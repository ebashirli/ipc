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0f35a67bc0854e0/Desktop/ipc/"/>
    </mc:Choice>
  </mc:AlternateContent>
  <xr:revisionPtr revIDLastSave="2485" documentId="8_{6315CA27-2092-4EF3-9ED5-C994854AB47B}" xr6:coauthVersionLast="47" xr6:coauthVersionMax="47" xr10:uidLastSave="{B546A72B-1753-406F-9993-06CDA14F5562}"/>
  <bookViews>
    <workbookView xWindow="-120" yWindow="-120" windowWidth="29040" windowHeight="15720" xr2:uid="{00000000-000D-0000-FFFF-FFFF00000000}"/>
  </bookViews>
  <sheets>
    <sheet name="view__cover" sheetId="3" r:id="rId1"/>
    <sheet name="view_calc" sheetId="25" r:id="rId2"/>
    <sheet name="view_daily_records" sheetId="26" r:id="rId3"/>
    <sheet name="view_monthly_records" sheetId="33" r:id="rId4"/>
    <sheet name="view_fuel" sheetId="32" r:id="rId5"/>
    <sheet name="log_monthly_records" sheetId="27" r:id="rId6"/>
    <sheet name="log_daily_records" sheetId="20" r:id="rId7"/>
    <sheet name="log_ipcs" sheetId="15" r:id="rId8"/>
    <sheet name="log_contracts" sheetId="14" r:id="rId9"/>
    <sheet name="log_addendums" sheetId="18" r:id="rId10"/>
    <sheet name="log_prices" sheetId="16" r:id="rId11"/>
    <sheet name="log_fuel_provision" sheetId="22" r:id="rId12"/>
    <sheet name="daily_quantities" sheetId="31" r:id="rId13"/>
    <sheet name="quantities" sheetId="30" r:id="rId14"/>
    <sheet name="log_positions" sheetId="34" r:id="rId15"/>
    <sheet name="old_ipc_dates" sheetId="35" r:id="rId16"/>
  </sheets>
  <definedNames>
    <definedName name="_xlnm._FilterDatabase" localSheetId="12" hidden="1">daily_quantities!$A$1:$K$826</definedName>
    <definedName name="_xlnm._FilterDatabase" localSheetId="9" hidden="1">log_addendums!$A$1:$M$284</definedName>
    <definedName name="_xlnm._FilterDatabase" localSheetId="8" hidden="1">log_contracts!$A$1:$N$35</definedName>
    <definedName name="_xlnm._FilterDatabase" localSheetId="6" hidden="1">log_daily_records!$A$1:$AS$1699</definedName>
    <definedName name="_xlnm._FilterDatabase" localSheetId="11" hidden="1">log_fuel_provision!$A$1:$G$855</definedName>
    <definedName name="_xlnm._FilterDatabase" localSheetId="7" hidden="1">log_ipcs!$A$1:$K$245</definedName>
    <definedName name="_xlnm._FilterDatabase" localSheetId="5" hidden="1">log_monthly_records!$A$1:$M$299</definedName>
    <definedName name="_xlnm._FilterDatabase" localSheetId="10" hidden="1">log_prices!$A$1:$O$377</definedName>
    <definedName name="_xlnm._FilterDatabase" localSheetId="13" hidden="1">quantities!$A$1:$M$1128</definedName>
    <definedName name="_xlnm._FilterDatabase" localSheetId="0" hidden="1">view__cover!$A$1:$P$25</definedName>
    <definedName name="_xlnm._FilterDatabase" localSheetId="1" hidden="1">view_calc!$A$5:$I$113</definedName>
    <definedName name="_xlnm._FilterDatabase" localSheetId="4" hidden="1">view_fuel!$A$2:$I$45</definedName>
    <definedName name="_Order1" hidden="1">255</definedName>
    <definedName name="contract_no">view__cover!$R$1</definedName>
    <definedName name="contract_nos">_xlfn.DROP(log_contracts!$B:$B,1)</definedName>
    <definedName name="ipc_date_end">view__cover!$L$5</definedName>
    <definedName name="ipc_date_start">view__cover!$L$4</definedName>
    <definedName name="ipc_no">view__cover!$R$2</definedName>
    <definedName name="_xlnm.Print_Area" localSheetId="0">view__cover!$A$1:$L$29</definedName>
    <definedName name="_xlnm.Print_Area" localSheetId="1">view_calc!$A$1:$I$168</definedName>
    <definedName name="_xlnm.Print_Area" localSheetId="2">view_daily_records!$A$1:$G$125</definedName>
    <definedName name="_xlnm.Print_Area" localSheetId="4">view_fuel!$A$1:$I$45</definedName>
    <definedName name="_xlnm.Print_Area" localSheetId="3">view_monthly_records!$A$1:$E$95</definedName>
    <definedName name="_xlnm.Print_Titles" localSheetId="3">view_monthly_records!$1:$2</definedName>
    <definedName name="vv" localSheetId="0" hidden="1">{#N/A,#N/A,FALSE,"kap1";#N/A,#N/A,FALSE,"kap2";#N/A,#N/A,FALSE,"tem_mektubu";#N/A,#N/A,FALSE,"avans";#N/A,#N/A,FALSE,"söz_fiy_fark";#N/A,#N/A,FALSE,"fat_ihz"}</definedName>
    <definedName name="vv" localSheetId="1" hidden="1">{#N/A,#N/A,FALSE,"kap1";#N/A,#N/A,FALSE,"kap2";#N/A,#N/A,FALSE,"tem_mektubu";#N/A,#N/A,FALSE,"avans";#N/A,#N/A,FALSE,"söz_fiy_fark";#N/A,#N/A,FALSE,"fat_ihz"}</definedName>
    <definedName name="vv" hidden="1">{#N/A,#N/A,FALSE,"kap1";#N/A,#N/A,FALSE,"kap2";#N/A,#N/A,FALSE,"tem_mektubu";#N/A,#N/A,FALSE,"avans";#N/A,#N/A,FALSE,"söz_fiy_fark";#N/A,#N/A,FALSE,"fat_ihz"}</definedName>
    <definedName name="w" localSheetId="0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" localSheetId="1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localSheetId="0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localSheetId="1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IMAL." localSheetId="0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BIMAL." localSheetId="1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BIMAL.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DEMIR." localSheetId="0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MIR." localSheetId="1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ekinci._.ihzarat." localSheetId="0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hzarat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GENEL." localSheetId="0" hidden="1">{#N/A,#N/A,FALSE,"kap1";#N/A,#N/A,FALSE,"kap2";#N/A,#N/A,FALSE,"tem_mektubu";#N/A,#N/A,FALSE,"avans";#N/A,#N/A,FALSE,"söz_fiy_fark";#N/A,#N/A,FALSE,"fat_ihz"}</definedName>
    <definedName name="wrn.GENEL." localSheetId="1" hidden="1">{#N/A,#N/A,FALSE,"kap1";#N/A,#N/A,FALSE,"kap2";#N/A,#N/A,FALSE,"tem_mektubu";#N/A,#N/A,FALSE,"avans";#N/A,#N/A,FALSE,"söz_fiy_fark";#N/A,#N/A,FALSE,"fat_ihz"}</definedName>
    <definedName name="wrn.GENEL." hidden="1">{#N/A,#N/A,FALSE,"kap1";#N/A,#N/A,FALSE,"kap2";#N/A,#N/A,FALSE,"tem_mektubu";#N/A,#N/A,FALSE,"avans";#N/A,#N/A,FALSE,"söz_fiy_fark";#N/A,#N/A,FALSE,"fat_ihz"}</definedName>
    <definedName name="wrn.ILAVE._.BETON." localSheetId="0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BETON." localSheetId="1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localSheetId="0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LAVE._.DEMIR." localSheetId="1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NS." localSheetId="0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." localSheetId="1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stinat." localSheetId="0" hidden="1">{#N/A,#N/A,FALSE,"NF_S1";#N/A,#N/A,FALSE,"İ_100M";#N/A,#N/A,FALSE,"İ_150M";#N/A,#N/A,FALSE,"İ_200M"}</definedName>
    <definedName name="wrn.istinat." localSheetId="1" hidden="1">{#N/A,#N/A,FALSE,"NF_S1";#N/A,#N/A,FALSE,"İ_100M";#N/A,#N/A,FALSE,"İ_150M";#N/A,#N/A,FALSE,"İ_200M"}</definedName>
    <definedName name="wrn.istinat." hidden="1">{#N/A,#N/A,FALSE,"NF_S1";#N/A,#N/A,FALSE,"İ_100M";#N/A,#N/A,FALSE,"İ_150M";#N/A,#N/A,FALSE,"İ_200M"}</definedName>
    <definedName name="wrn.KAL._.BÜR." localSheetId="0" hidden="1">{#N/A,#N/A,FALSE,"3";#N/A,#N/A,FALSE,"kal_iç_ihz";#N/A,#N/A,FALSE,"kal_iç_er";#N/A,#N/A,FALSE,"kal_iç_tut";#N/A,#N/A,FALSE,"5";#N/A,#N/A,FALSE,"brü_ihz";#N/A,#N/A,FALSE,"brü_er";#N/A,#N/A,FALSE,"brü_tut"}</definedName>
    <definedName name="wrn.KAL._.BÜR." localSheetId="1" hidden="1">{#N/A,#N/A,FALSE,"3";#N/A,#N/A,FALSE,"kal_iç_ihz";#N/A,#N/A,FALSE,"kal_iç_er";#N/A,#N/A,FALSE,"kal_iç_tut";#N/A,#N/A,FALSE,"5";#N/A,#N/A,FALSE,"brü_ihz";#N/A,#N/A,FALSE,"brü_er";#N/A,#N/A,FALSE,"brü_tut"}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MKESIF." localSheetId="0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KESIF." localSheetId="1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ukayese." localSheetId="0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ukayese." localSheetId="1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nakliye." localSheetId="0" hidden="1">{#N/A,#N/A,FALSE,"NAKLİYE_MESAFE";#N/A,#N/A,FALSE,"NF_01";#N/A,#N/A,FALSE,"NF_02";#N/A,#N/A,FALSE,"NF_03";#N/A,#N/A,FALSE,"NF_04";#N/A,#N/A,FALSE,"NF_05";#N/A,#N/A,FALSE,"NF_06"}</definedName>
    <definedName name="wrn.nakliye." localSheetId="1" hidden="1">{#N/A,#N/A,FALSE,"NAKLİYE_MESAFE";#N/A,#N/A,FALSE,"NF_01";#N/A,#N/A,FALSE,"NF_02";#N/A,#N/A,FALSE,"NF_03";#N/A,#N/A,FALSE,"NF_04";#N/A,#N/A,FALSE,"NF_05";#N/A,#N/A,FALSE,"NF_06"}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SIHHI." localSheetId="0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." localSheetId="1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xxxx" localSheetId="0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xxxx" localSheetId="1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xxxx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6" l="1"/>
  <c r="J94" i="16"/>
  <c r="I92" i="16"/>
  <c r="I95" i="16"/>
  <c r="I93" i="16"/>
  <c r="K87" i="16"/>
  <c r="I132" i="16"/>
  <c r="I131" i="16"/>
  <c r="I145" i="16"/>
  <c r="I146" i="16"/>
  <c r="K33" i="16"/>
  <c r="I112" i="16"/>
  <c r="I113" i="16"/>
  <c r="K43" i="16"/>
  <c r="I194" i="16"/>
  <c r="I195" i="16"/>
  <c r="G2" i="35" a="1"/>
  <c r="G2" i="35" s="1"/>
  <c r="I361" i="16"/>
  <c r="I360" i="16"/>
  <c r="K299" i="27" a="1"/>
  <c r="K299" i="27" s="1"/>
  <c r="I339" i="16"/>
  <c r="I340" i="16"/>
  <c r="I362" i="16"/>
  <c r="I358" i="16"/>
  <c r="I219" i="16"/>
  <c r="I357" i="16"/>
  <c r="G279" i="27"/>
  <c r="V1" i="3"/>
  <c r="H284" i="18"/>
  <c r="H283" i="18"/>
  <c r="E302" i="22" a="1"/>
  <c r="E302" i="22" s="1"/>
  <c r="H116" i="25"/>
  <c r="H115" i="25"/>
  <c r="AO1561" i="20" a="1"/>
  <c r="AO1561" i="20" s="1"/>
  <c r="AQ1655" i="20"/>
  <c r="H270" i="18"/>
  <c r="H269" i="18"/>
  <c r="AO1499" i="20" a="1"/>
  <c r="AO1499" i="20" s="1"/>
  <c r="AO1643" i="20" a="1"/>
  <c r="AO1643" i="20" s="1"/>
  <c r="AO1647" i="20" a="1"/>
  <c r="AO1647" i="20" s="1"/>
  <c r="AO1651" i="20" a="1"/>
  <c r="AO1651" i="20" s="1"/>
  <c r="AO1571" i="20" a="1"/>
  <c r="AO1571" i="20" s="1"/>
  <c r="AO1569" i="20" a="1"/>
  <c r="AO1569" i="20" s="1"/>
  <c r="AQ1653" i="20"/>
  <c r="AQ1649" i="20"/>
  <c r="AQ1645" i="20"/>
  <c r="AQ1641" i="20"/>
  <c r="AQ1639" i="20"/>
  <c r="AQ1637" i="20"/>
  <c r="AQ1635" i="20"/>
  <c r="AQ1633" i="20"/>
  <c r="AQ1631" i="20"/>
  <c r="AQ1629" i="20"/>
  <c r="AQ1627" i="20"/>
  <c r="AQ1625" i="20"/>
  <c r="AQ1623" i="20"/>
  <c r="AQ1621" i="20"/>
  <c r="AQ1619" i="20"/>
  <c r="AQ1617" i="20"/>
  <c r="AQ1615" i="20"/>
  <c r="AQ1613" i="20"/>
  <c r="AQ1611" i="20"/>
  <c r="AQ1609" i="20"/>
  <c r="AQ1607" i="20"/>
  <c r="AQ1605" i="20"/>
  <c r="AQ1603" i="20"/>
  <c r="AQ1601" i="20"/>
  <c r="AQ1599" i="20"/>
  <c r="AQ1597" i="20"/>
  <c r="AQ1595" i="20"/>
  <c r="AQ1593" i="20"/>
  <c r="AQ1591" i="20"/>
  <c r="AQ1589" i="20"/>
  <c r="AQ1587" i="20"/>
  <c r="AQ1585" i="20"/>
  <c r="AQ1583" i="20"/>
  <c r="AQ1581" i="20"/>
  <c r="AQ1579" i="20"/>
  <c r="AQ1577" i="20"/>
  <c r="AM1651" i="20" a="1"/>
  <c r="AM1651" i="20" s="1"/>
  <c r="AM1647" i="20" a="1"/>
  <c r="AM1647" i="20" s="1"/>
  <c r="E2" i="22" a="1"/>
  <c r="E2" i="22" s="1"/>
  <c r="I333" i="16"/>
  <c r="I332" i="16"/>
  <c r="I311" i="16"/>
  <c r="I310" i="16"/>
  <c r="I309" i="16"/>
  <c r="I308" i="16"/>
  <c r="I307" i="16"/>
  <c r="I306" i="16"/>
  <c r="I304" i="16"/>
  <c r="I303" i="16"/>
  <c r="I302" i="16"/>
  <c r="I301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03" i="16"/>
  <c r="I188" i="16"/>
  <c r="I185" i="16"/>
  <c r="I182" i="16"/>
  <c r="I28" i="16"/>
  <c r="I27" i="16"/>
  <c r="B2" i="16" a="1"/>
  <c r="H274" i="18"/>
  <c r="H250" i="18"/>
  <c r="H249" i="18"/>
  <c r="H248" i="18"/>
  <c r="H247" i="18"/>
  <c r="H246" i="18"/>
  <c r="H245" i="18"/>
  <c r="H235" i="18"/>
  <c r="H149" i="18"/>
  <c r="A2" i="18" a="1"/>
  <c r="N2" i="14" a="1"/>
  <c r="N2" i="14" s="1"/>
  <c r="A2" i="14" a="1"/>
  <c r="AQ1575" i="20"/>
  <c r="AQ1573" i="20"/>
  <c r="AM1571" i="20" a="1"/>
  <c r="AM1571" i="20" s="1"/>
  <c r="AM1569" i="20" a="1"/>
  <c r="AM1569" i="20" s="1"/>
  <c r="AO1565" i="20" a="1"/>
  <c r="AO1565" i="20" s="1"/>
  <c r="AS1561" i="20" a="1"/>
  <c r="AS1561" i="20" s="1"/>
  <c r="AN1483" i="20" a="1"/>
  <c r="AN1483" i="20" s="1"/>
  <c r="AM1477" i="20" a="1"/>
  <c r="AM1477" i="20" s="1"/>
  <c r="AM1475" i="20" a="1"/>
  <c r="AM1475" i="20" s="1"/>
  <c r="AO1473" i="20" a="1"/>
  <c r="AO1473" i="20" s="1"/>
  <c r="AM1471" i="20" a="1"/>
  <c r="AM1471" i="20" s="1"/>
  <c r="AO1469" i="20" a="1"/>
  <c r="AO1469" i="20" s="1"/>
  <c r="AM1465" i="20" a="1"/>
  <c r="AM1465" i="20" s="1"/>
  <c r="AO1457" i="20" a="1"/>
  <c r="AO1457" i="20" s="1"/>
  <c r="AM1451" i="20" a="1"/>
  <c r="AM1451" i="20" s="1"/>
  <c r="AQ1449" i="20"/>
  <c r="AM1449" i="20" a="1"/>
  <c r="AM1449" i="20" s="1"/>
  <c r="AS1447" i="20" a="1"/>
  <c r="AS1447" i="20" s="1"/>
  <c r="AM1445" i="20" a="1"/>
  <c r="AM1445" i="20" s="1"/>
  <c r="AQ1443" i="20"/>
  <c r="AO1441" i="20" a="1"/>
  <c r="AO1441" i="20" s="1"/>
  <c r="AM1441" i="20" a="1"/>
  <c r="AM1441" i="20" s="1"/>
  <c r="AQ1439" i="20"/>
  <c r="AO1437" i="20" a="1"/>
  <c r="AO1437" i="20" s="1"/>
  <c r="AM1437" i="20" a="1"/>
  <c r="AM1437" i="20" s="1"/>
  <c r="AQ1435" i="20"/>
  <c r="AO1433" i="20" a="1"/>
  <c r="AO1433" i="20" s="1"/>
  <c r="AM1433" i="20" a="1"/>
  <c r="AM1433" i="20" s="1"/>
  <c r="AQ1431" i="20"/>
  <c r="AM1429" i="20" a="1"/>
  <c r="AM1429" i="20" s="1"/>
  <c r="AQ1427" i="20"/>
  <c r="AO1425" i="20" a="1"/>
  <c r="AO1425" i="20" s="1"/>
  <c r="AM1425" i="20" a="1"/>
  <c r="AM1425" i="20" s="1"/>
  <c r="AQ1423" i="20"/>
  <c r="AQ1421" i="20"/>
  <c r="AQ1419" i="20"/>
  <c r="AQ1417" i="20"/>
  <c r="AQ1415" i="20"/>
  <c r="AQ1413" i="20"/>
  <c r="AQ1411" i="20"/>
  <c r="AQ1409" i="20"/>
  <c r="AQ1407" i="20"/>
  <c r="AQ1405" i="20"/>
  <c r="AQ1403" i="20"/>
  <c r="AQ1401" i="20"/>
  <c r="AQ1399" i="20"/>
  <c r="AQ1397" i="20"/>
  <c r="AQ1395" i="20"/>
  <c r="AQ1393" i="20"/>
  <c r="AQ1391" i="20"/>
  <c r="AQ1389" i="20"/>
  <c r="AQ1387" i="20"/>
  <c r="AQ1385" i="20"/>
  <c r="AQ1383" i="20"/>
  <c r="AQ1381" i="20"/>
  <c r="AQ1379" i="20"/>
  <c r="AQ1377" i="20"/>
  <c r="AQ1375" i="20"/>
  <c r="AQ1373" i="20"/>
  <c r="AQ1371" i="20"/>
  <c r="AQ1369" i="20"/>
  <c r="AO1367" i="20" a="1"/>
  <c r="AO1367" i="20" s="1"/>
  <c r="AM1367" i="20" a="1"/>
  <c r="AM1367" i="20" s="1"/>
  <c r="AO1365" i="20" a="1"/>
  <c r="AO1365" i="20" s="1"/>
  <c r="AM1365" i="20" a="1"/>
  <c r="AM1365" i="20" s="1"/>
  <c r="AO1363" i="20" a="1"/>
  <c r="AO1363" i="20" s="1"/>
  <c r="AM1363" i="20" a="1"/>
  <c r="AM1363" i="20" s="1"/>
  <c r="AO1361" i="20" a="1"/>
  <c r="AO1361" i="20" s="1"/>
  <c r="AM1361" i="20" a="1"/>
  <c r="AM1361" i="20" s="1"/>
  <c r="AO1359" i="20" a="1"/>
  <c r="AO1359" i="20" s="1"/>
  <c r="AM1359" i="20" a="1"/>
  <c r="AM1359" i="20" s="1"/>
  <c r="AO1357" i="20" a="1"/>
  <c r="AO1357" i="20" s="1"/>
  <c r="AM1357" i="20" a="1"/>
  <c r="AM1357" i="20" s="1"/>
  <c r="AO1355" i="20" a="1"/>
  <c r="AO1355" i="20" s="1"/>
  <c r="AM1355" i="20" a="1"/>
  <c r="AM1355" i="20" s="1"/>
  <c r="AO1353" i="20" a="1"/>
  <c r="AO1353" i="20" s="1"/>
  <c r="AM1353" i="20" a="1"/>
  <c r="AM1353" i="20" s="1"/>
  <c r="AO1351" i="20" a="1"/>
  <c r="AO1351" i="20" s="1"/>
  <c r="AM1351" i="20" a="1"/>
  <c r="AM1351" i="20" s="1"/>
  <c r="AO1349" i="20" a="1"/>
  <c r="AO1349" i="20" s="1"/>
  <c r="AM1349" i="20" a="1"/>
  <c r="AM1349" i="20" s="1"/>
  <c r="AO1347" i="20" a="1"/>
  <c r="AO1347" i="20" s="1"/>
  <c r="AM1347" i="20" a="1"/>
  <c r="AM1347" i="20" s="1"/>
  <c r="AO1345" i="20" a="1"/>
  <c r="AO1345" i="20" s="1"/>
  <c r="AM1345" i="20" a="1"/>
  <c r="AM1345" i="20" s="1"/>
  <c r="AO1343" i="20" a="1"/>
  <c r="AO1343" i="20" s="1"/>
  <c r="AM1343" i="20" a="1"/>
  <c r="AM1343" i="20" s="1"/>
  <c r="AM1341" i="20" a="1"/>
  <c r="AM1341" i="20" s="1"/>
  <c r="AO1339" i="20" a="1"/>
  <c r="AO1339" i="20" s="1"/>
  <c r="AM1339" i="20" a="1"/>
  <c r="AM1339" i="20" s="1"/>
  <c r="AO1337" i="20" a="1"/>
  <c r="AO1337" i="20" s="1"/>
  <c r="AM1337" i="20" a="1"/>
  <c r="AM1337" i="20" s="1"/>
  <c r="AO1335" i="20" a="1"/>
  <c r="AO1335" i="20" s="1"/>
  <c r="AM1335" i="20" a="1"/>
  <c r="AM1335" i="20" s="1"/>
  <c r="AM1333" i="20" a="1"/>
  <c r="AM1333" i="20" s="1"/>
  <c r="AO1331" i="20" a="1"/>
  <c r="AO1331" i="20" s="1"/>
  <c r="AM1331" i="20" a="1"/>
  <c r="AM1331" i="20" s="1"/>
  <c r="AM1329" i="20" a="1"/>
  <c r="AM1329" i="20" s="1"/>
  <c r="AO1325" i="20" a="1"/>
  <c r="AO1325" i="20" s="1"/>
  <c r="AM1325" i="20" a="1"/>
  <c r="AM1325" i="20" s="1"/>
  <c r="AM1323" i="20" a="1"/>
  <c r="AM1323" i="20" s="1"/>
  <c r="AO1319" i="20" a="1"/>
  <c r="AO1319" i="20" s="1"/>
  <c r="AM1319" i="20" a="1"/>
  <c r="AM1319" i="20" s="1"/>
  <c r="AO1317" i="20" a="1"/>
  <c r="AO1317" i="20" s="1"/>
  <c r="AM1317" i="20" a="1"/>
  <c r="AM1317" i="20" s="1"/>
  <c r="AO1315" i="20" a="1"/>
  <c r="AO1315" i="20" s="1"/>
  <c r="AM1315" i="20" a="1"/>
  <c r="AM1315" i="20" s="1"/>
  <c r="AO1313" i="20" a="1"/>
  <c r="AO1313" i="20" s="1"/>
  <c r="AM1313" i="20" a="1"/>
  <c r="AM1313" i="20" s="1"/>
  <c r="AO1311" i="20" a="1"/>
  <c r="AO1311" i="20" s="1"/>
  <c r="AM1311" i="20" a="1"/>
  <c r="AM1311" i="20" s="1"/>
  <c r="AO1309" i="20" a="1"/>
  <c r="AO1309" i="20" s="1"/>
  <c r="AM1309" i="20" a="1"/>
  <c r="AM1309" i="20" s="1"/>
  <c r="AO1307" i="20" a="1"/>
  <c r="AO1307" i="20" s="1"/>
  <c r="AM1307" i="20" a="1"/>
  <c r="AM1307" i="20" s="1"/>
  <c r="AO1305" i="20" a="1"/>
  <c r="AO1305" i="20" s="1"/>
  <c r="AM1305" i="20" a="1"/>
  <c r="AM1305" i="20" s="1"/>
  <c r="AO1303" i="20" a="1"/>
  <c r="AO1303" i="20" s="1"/>
  <c r="AM1303" i="20" a="1"/>
  <c r="AM1303" i="20" s="1"/>
  <c r="AN1301" i="20" a="1"/>
  <c r="AN1301" i="20" s="1"/>
  <c r="AQ1299" i="20"/>
  <c r="AQ1297" i="20"/>
  <c r="AM1295" i="20" a="1"/>
  <c r="AM1295" i="20" s="1"/>
  <c r="AO1293" i="20" a="1"/>
  <c r="AO1293" i="20" s="1"/>
  <c r="AM1293" i="20" a="1"/>
  <c r="AM1293" i="20" s="1"/>
  <c r="AM1291" i="20" a="1"/>
  <c r="AM1291" i="20" s="1"/>
  <c r="AM1289" i="20" a="1"/>
  <c r="AM1289" i="20" s="1"/>
  <c r="AO1287" i="20" a="1"/>
  <c r="AO1287" i="20" s="1"/>
  <c r="AM1287" i="20" a="1"/>
  <c r="AM1287" i="20" s="1"/>
  <c r="AM1285" i="20" a="1"/>
  <c r="AM1285" i="20" s="1"/>
  <c r="AO1283" i="20" a="1"/>
  <c r="AO1283" i="20" s="1"/>
  <c r="AM1283" i="20" a="1"/>
  <c r="AM1283" i="20" s="1"/>
  <c r="AO1281" i="20" a="1"/>
  <c r="AO1281" i="20" s="1"/>
  <c r="AM1281" i="20" a="1"/>
  <c r="AM1281" i="20" s="1"/>
  <c r="AM1279" i="20" a="1"/>
  <c r="AM1279" i="20" s="1"/>
  <c r="AM1277" i="20" a="1"/>
  <c r="AM1277" i="20" s="1"/>
  <c r="AM1275" i="20" a="1"/>
  <c r="AM1275" i="20" s="1"/>
  <c r="AO1273" i="20" a="1"/>
  <c r="AO1273" i="20" s="1"/>
  <c r="AM1273" i="20" a="1"/>
  <c r="AM1273" i="20" s="1"/>
  <c r="AM1271" i="20" a="1"/>
  <c r="AM1271" i="20" s="1"/>
  <c r="AO1269" i="20" a="1"/>
  <c r="AO1269" i="20" s="1"/>
  <c r="AM1269" i="20" a="1"/>
  <c r="AM1269" i="20" s="1"/>
  <c r="AM1267" i="20" a="1"/>
  <c r="AM1267" i="20" s="1"/>
  <c r="AM1265" i="20" a="1"/>
  <c r="AM1265" i="20" s="1"/>
  <c r="AM1263" i="20" a="1"/>
  <c r="AM1263" i="20" s="1"/>
  <c r="AM1261" i="20" a="1"/>
  <c r="AM1261" i="20" s="1"/>
  <c r="C991" i="20"/>
  <c r="F990" i="20"/>
  <c r="F991" i="20" s="1"/>
  <c r="F954" i="20"/>
  <c r="F955" i="20" s="1"/>
  <c r="G269" i="27"/>
  <c r="G267" i="27"/>
  <c r="G196" i="27"/>
  <c r="G125" i="27"/>
  <c r="G123" i="27"/>
  <c r="G119" i="27"/>
  <c r="G115" i="27"/>
  <c r="G111" i="27"/>
  <c r="G109" i="27"/>
  <c r="G107" i="27"/>
  <c r="G105" i="27"/>
  <c r="G102" i="27"/>
  <c r="A2" i="27" a="1"/>
  <c r="E168" i="25"/>
  <c r="C168" i="25"/>
  <c r="A168" i="25"/>
  <c r="E167" i="25"/>
  <c r="A165" i="25"/>
  <c r="A164" i="25"/>
  <c r="A163" i="25"/>
  <c r="A113" i="25"/>
  <c r="H168" i="25"/>
  <c r="H167" i="25"/>
  <c r="A57" i="25"/>
  <c r="J4" i="25"/>
  <c r="J3" i="25"/>
  <c r="F22" i="3"/>
  <c r="J15" i="3" s="1"/>
  <c r="V2" i="3"/>
  <c r="R1" i="3"/>
  <c r="A2" i="14" l="1"/>
  <c r="A2" i="27"/>
  <c r="AS1655" i="20" a="1"/>
  <c r="AS1655" i="20" s="1"/>
  <c r="AP1655" i="20" a="1"/>
  <c r="AP1655" i="20" s="1"/>
  <c r="A2" i="18"/>
  <c r="A2" i="16" a="1"/>
  <c r="B2" i="16"/>
  <c r="AS1621" i="20" a="1"/>
  <c r="AS1621" i="20" s="1"/>
  <c r="AP1621" i="20" a="1"/>
  <c r="AP1621" i="20" s="1"/>
  <c r="AP1649" i="20" a="1"/>
  <c r="AP1649" i="20" s="1"/>
  <c r="AS1649" i="20" a="1"/>
  <c r="AS1649" i="20" s="1"/>
  <c r="AS1645" i="20" a="1"/>
  <c r="AS1645" i="20" s="1"/>
  <c r="AP1645" i="20" a="1"/>
  <c r="AP1645" i="20" s="1"/>
  <c r="AS1577" i="20" a="1"/>
  <c r="AS1577" i="20" s="1"/>
  <c r="AP1577" i="20" a="1"/>
  <c r="AP1577" i="20" s="1"/>
  <c r="AS1419" i="20" a="1"/>
  <c r="AS1419" i="20" s="1"/>
  <c r="AP1419" i="20" a="1"/>
  <c r="AP1419" i="20" s="1"/>
  <c r="AS1653" i="20" a="1"/>
  <c r="AS1653" i="20" s="1"/>
  <c r="AP1653" i="20" a="1"/>
  <c r="AP1653" i="20" s="1"/>
  <c r="AS1641" i="20" a="1"/>
  <c r="AS1641" i="20" s="1"/>
  <c r="AP1641" i="20" a="1"/>
  <c r="AP1641" i="20" s="1"/>
  <c r="AP1639" i="20" a="1"/>
  <c r="AP1639" i="20" s="1"/>
  <c r="AS1639" i="20" a="1"/>
  <c r="AS1639" i="20" s="1"/>
  <c r="AP1637" i="20" a="1"/>
  <c r="AP1637" i="20" s="1"/>
  <c r="AS1637" i="20" a="1"/>
  <c r="AS1637" i="20" s="1"/>
  <c r="AS1635" i="20" a="1"/>
  <c r="AS1635" i="20" s="1"/>
  <c r="AP1635" i="20" a="1"/>
  <c r="AP1635" i="20" s="1"/>
  <c r="AP1633" i="20" a="1"/>
  <c r="AP1633" i="20" s="1"/>
  <c r="AS1633" i="20" a="1"/>
  <c r="AS1633" i="20" s="1"/>
  <c r="AS1631" i="20" a="1"/>
  <c r="AS1631" i="20" s="1"/>
  <c r="AP1631" i="20" a="1"/>
  <c r="AP1631" i="20" s="1"/>
  <c r="AP1629" i="20" a="1"/>
  <c r="AP1629" i="20" s="1"/>
  <c r="AS1629" i="20" a="1"/>
  <c r="AS1629" i="20" s="1"/>
  <c r="AP1627" i="20" a="1"/>
  <c r="AP1627" i="20" s="1"/>
  <c r="AS1627" i="20" a="1"/>
  <c r="AS1627" i="20" s="1"/>
  <c r="AS1625" i="20" a="1"/>
  <c r="AS1625" i="20" s="1"/>
  <c r="AP1625" i="20" a="1"/>
  <c r="AP1625" i="20" s="1"/>
  <c r="AS1623" i="20" a="1"/>
  <c r="AS1623" i="20" s="1"/>
  <c r="AP1623" i="20" a="1"/>
  <c r="AP1623" i="20" s="1"/>
  <c r="AS1619" i="20" a="1"/>
  <c r="AS1619" i="20" s="1"/>
  <c r="AP1619" i="20" a="1"/>
  <c r="AP1619" i="20" s="1"/>
  <c r="AP1617" i="20" a="1"/>
  <c r="AP1617" i="20" s="1"/>
  <c r="AS1617" i="20" a="1"/>
  <c r="AS1617" i="20" s="1"/>
  <c r="AS1615" i="20" a="1"/>
  <c r="AS1615" i="20" s="1"/>
  <c r="AP1615" i="20" a="1"/>
  <c r="AP1615" i="20" s="1"/>
  <c r="AP1613" i="20" a="1"/>
  <c r="AP1613" i="20" s="1"/>
  <c r="AS1613" i="20" a="1"/>
  <c r="AS1613" i="20" s="1"/>
  <c r="AS1611" i="20" a="1"/>
  <c r="AS1611" i="20" s="1"/>
  <c r="AP1611" i="20" a="1"/>
  <c r="AP1611" i="20" s="1"/>
  <c r="AS1609" i="20" a="1"/>
  <c r="AS1609" i="20" s="1"/>
  <c r="AP1609" i="20" a="1"/>
  <c r="AP1609" i="20" s="1"/>
  <c r="AP1607" i="20" a="1"/>
  <c r="AP1607" i="20" s="1"/>
  <c r="AS1607" i="20" a="1"/>
  <c r="AS1607" i="20" s="1"/>
  <c r="AS1605" i="20" a="1"/>
  <c r="AS1605" i="20" s="1"/>
  <c r="AP1605" i="20" a="1"/>
  <c r="AP1605" i="20" s="1"/>
  <c r="AP1603" i="20" a="1"/>
  <c r="AP1603" i="20" s="1"/>
  <c r="AS1603" i="20" a="1"/>
  <c r="AS1603" i="20" s="1"/>
  <c r="AS1601" i="20" a="1"/>
  <c r="AS1601" i="20" s="1"/>
  <c r="AP1601" i="20" a="1"/>
  <c r="AP1601" i="20" s="1"/>
  <c r="AS1599" i="20" a="1"/>
  <c r="AS1599" i="20" s="1"/>
  <c r="AP1599" i="20" a="1"/>
  <c r="AP1599" i="20" s="1"/>
  <c r="AS1597" i="20" a="1"/>
  <c r="AS1597" i="20" s="1"/>
  <c r="AP1597" i="20" a="1"/>
  <c r="AP1597" i="20" s="1"/>
  <c r="AP1595" i="20" a="1"/>
  <c r="AP1595" i="20" s="1"/>
  <c r="AS1595" i="20" a="1"/>
  <c r="AS1595" i="20" s="1"/>
  <c r="AS1593" i="20" a="1"/>
  <c r="AS1593" i="20" s="1"/>
  <c r="AP1593" i="20" a="1"/>
  <c r="AP1593" i="20" s="1"/>
  <c r="AS1591" i="20" a="1"/>
  <c r="AS1591" i="20" s="1"/>
  <c r="AP1591" i="20" a="1"/>
  <c r="AP1591" i="20" s="1"/>
  <c r="AP1589" i="20" a="1"/>
  <c r="AP1589" i="20" s="1"/>
  <c r="AS1589" i="20" a="1"/>
  <c r="AS1589" i="20" s="1"/>
  <c r="AP1587" i="20" a="1"/>
  <c r="AP1587" i="20" s="1"/>
  <c r="AS1587" i="20" a="1"/>
  <c r="AS1587" i="20" s="1"/>
  <c r="AP1585" i="20" a="1"/>
  <c r="AP1585" i="20" s="1"/>
  <c r="AS1585" i="20" a="1"/>
  <c r="AS1585" i="20" s="1"/>
  <c r="AS1583" i="20" a="1"/>
  <c r="AS1583" i="20" s="1"/>
  <c r="AP1583" i="20" a="1"/>
  <c r="AP1583" i="20" s="1"/>
  <c r="AP1581" i="20" a="1"/>
  <c r="AP1581" i="20" s="1"/>
  <c r="AS1581" i="20" a="1"/>
  <c r="AS1581" i="20" s="1"/>
  <c r="AP1579" i="20" a="1"/>
  <c r="AP1579" i="20" s="1"/>
  <c r="AS1579" i="20" a="1"/>
  <c r="AS1579" i="20" s="1"/>
  <c r="AP1449" i="20" a="1"/>
  <c r="AP1449" i="20" s="1"/>
  <c r="AS1449" i="20" a="1"/>
  <c r="AS1449" i="20" s="1"/>
  <c r="AS1443" i="20" a="1"/>
  <c r="AS1443" i="20" s="1"/>
  <c r="AP1443" i="20" a="1"/>
  <c r="AP1443" i="20" s="1"/>
  <c r="AP1439" i="20" a="1"/>
  <c r="AP1439" i="20" s="1"/>
  <c r="AS1439" i="20" a="1"/>
  <c r="AS1439" i="20" s="1"/>
  <c r="AS1435" i="20" a="1"/>
  <c r="AS1435" i="20" s="1"/>
  <c r="AP1435" i="20" a="1"/>
  <c r="AP1435" i="20" s="1"/>
  <c r="AS1431" i="20" a="1"/>
  <c r="AS1431" i="20" s="1"/>
  <c r="AP1431" i="20" a="1"/>
  <c r="AP1431" i="20" s="1"/>
  <c r="AS1427" i="20" a="1"/>
  <c r="AS1427" i="20" s="1"/>
  <c r="AP1427" i="20" a="1"/>
  <c r="AP1427" i="20" s="1"/>
  <c r="AS1423" i="20" a="1"/>
  <c r="AS1423" i="20" s="1"/>
  <c r="AP1423" i="20" a="1"/>
  <c r="AP1423" i="20" s="1"/>
  <c r="AP1421" i="20" a="1"/>
  <c r="AP1421" i="20" s="1"/>
  <c r="AS1421" i="20" a="1"/>
  <c r="AS1421" i="20" s="1"/>
  <c r="AS1417" i="20" a="1"/>
  <c r="AS1417" i="20" s="1"/>
  <c r="AP1417" i="20" a="1"/>
  <c r="AP1417" i="20" s="1"/>
  <c r="AP1415" i="20" a="1"/>
  <c r="AP1415" i="20" s="1"/>
  <c r="AS1415" i="20" a="1"/>
  <c r="AS1415" i="20" s="1"/>
  <c r="AS1413" i="20" a="1"/>
  <c r="AS1413" i="20" s="1"/>
  <c r="AP1413" i="20" a="1"/>
  <c r="AP1413" i="20" s="1"/>
  <c r="AS1411" i="20" a="1"/>
  <c r="AS1411" i="20" s="1"/>
  <c r="AP1411" i="20" a="1"/>
  <c r="AP1411" i="20" s="1"/>
  <c r="AS1409" i="20" a="1"/>
  <c r="AS1409" i="20" s="1"/>
  <c r="AP1409" i="20" a="1"/>
  <c r="AP1409" i="20" s="1"/>
  <c r="AP1407" i="20" a="1"/>
  <c r="AP1407" i="20" s="1"/>
  <c r="AS1407" i="20" a="1"/>
  <c r="AS1407" i="20" s="1"/>
  <c r="AS1405" i="20" a="1"/>
  <c r="AS1405" i="20" s="1"/>
  <c r="AP1405" i="20" a="1"/>
  <c r="AP1405" i="20" s="1"/>
  <c r="AS1403" i="20" a="1"/>
  <c r="AS1403" i="20" s="1"/>
  <c r="AP1403" i="20" a="1"/>
  <c r="AP1403" i="20" s="1"/>
  <c r="AS1401" i="20" a="1"/>
  <c r="AS1401" i="20" s="1"/>
  <c r="AP1401" i="20" a="1"/>
  <c r="AP1401" i="20" s="1"/>
  <c r="AS1399" i="20" a="1"/>
  <c r="AS1399" i="20" s="1"/>
  <c r="AP1399" i="20" a="1"/>
  <c r="AP1399" i="20" s="1"/>
  <c r="AS1397" i="20" a="1"/>
  <c r="AS1397" i="20" s="1"/>
  <c r="AP1397" i="20" a="1"/>
  <c r="AP1397" i="20" s="1"/>
  <c r="AP1395" i="20" a="1"/>
  <c r="AP1395" i="20" s="1"/>
  <c r="AS1395" i="20" a="1"/>
  <c r="AS1395" i="20" s="1"/>
  <c r="AS1393" i="20" a="1"/>
  <c r="AS1393" i="20" s="1"/>
  <c r="AP1393" i="20" a="1"/>
  <c r="AP1393" i="20" s="1"/>
  <c r="AP1391" i="20" a="1"/>
  <c r="AP1391" i="20" s="1"/>
  <c r="AS1391" i="20" a="1"/>
  <c r="AS1391" i="20" s="1"/>
  <c r="AP1389" i="20" a="1"/>
  <c r="AP1389" i="20" s="1"/>
  <c r="AS1389" i="20" a="1"/>
  <c r="AS1389" i="20" s="1"/>
  <c r="AP1387" i="20" a="1"/>
  <c r="AP1387" i="20" s="1"/>
  <c r="AS1387" i="20" a="1"/>
  <c r="AS1387" i="20" s="1"/>
  <c r="AS1385" i="20" a="1"/>
  <c r="AS1385" i="20" s="1"/>
  <c r="AP1385" i="20" a="1"/>
  <c r="AP1385" i="20" s="1"/>
  <c r="AP1383" i="20" a="1"/>
  <c r="AP1383" i="20" s="1"/>
  <c r="AS1383" i="20" a="1"/>
  <c r="AS1383" i="20" s="1"/>
  <c r="AS1381" i="20" a="1"/>
  <c r="AS1381" i="20" s="1"/>
  <c r="AP1381" i="20" a="1"/>
  <c r="AP1381" i="20" s="1"/>
  <c r="AP1379" i="20" a="1"/>
  <c r="AP1379" i="20" s="1"/>
  <c r="AS1379" i="20" a="1"/>
  <c r="AS1379" i="20" s="1"/>
  <c r="AP1377" i="20" a="1"/>
  <c r="AP1377" i="20" s="1"/>
  <c r="AS1377" i="20" a="1"/>
  <c r="AS1377" i="20" s="1"/>
  <c r="AP1375" i="20" a="1"/>
  <c r="AP1375" i="20" s="1"/>
  <c r="AS1375" i="20" a="1"/>
  <c r="AS1375" i="20" s="1"/>
  <c r="AS1373" i="20" a="1"/>
  <c r="AS1373" i="20" s="1"/>
  <c r="AP1373" i="20" a="1"/>
  <c r="AP1373" i="20" s="1"/>
  <c r="AP1371" i="20" a="1"/>
  <c r="AP1371" i="20" s="1"/>
  <c r="AS1371" i="20" a="1"/>
  <c r="AS1371" i="20" s="1"/>
  <c r="AP1369" i="20" a="1"/>
  <c r="AP1369" i="20" s="1"/>
  <c r="AS1369" i="20" a="1"/>
  <c r="AS1369" i="20" s="1"/>
  <c r="AS1299" i="20" a="1"/>
  <c r="AS1299" i="20" s="1"/>
  <c r="AP1299" i="20" a="1"/>
  <c r="AP1299" i="20" s="1"/>
  <c r="AP1297" i="20" a="1"/>
  <c r="AP1297" i="20" s="1"/>
  <c r="AS1297" i="20" a="1"/>
  <c r="AS1297" i="20" s="1"/>
  <c r="C59" i="25"/>
  <c r="C115" i="25"/>
  <c r="K3" i="25"/>
  <c r="C167" i="25"/>
  <c r="K1" i="3"/>
  <c r="C8" i="3"/>
  <c r="L6" i="3" a="1"/>
  <c r="L6" i="3" s="1"/>
  <c r="C6" i="3"/>
  <c r="AS1575" i="20" a="1"/>
  <c r="AS1575" i="20" s="1"/>
  <c r="AP1575" i="20" a="1"/>
  <c r="AP1575" i="20" s="1"/>
  <c r="AS1573" i="20" a="1"/>
  <c r="AS1573" i="20" s="1"/>
  <c r="AP1573" i="20" a="1"/>
  <c r="AP1573" i="20" s="1"/>
  <c r="AO1559" i="20" a="1"/>
  <c r="AO1559" i="20" s="1"/>
  <c r="AO1555" i="20" a="1"/>
  <c r="AO1555" i="20" s="1"/>
  <c r="AO1551" i="20" a="1"/>
  <c r="AO1551" i="20" s="1"/>
  <c r="AO1547" i="20" a="1"/>
  <c r="AO1547" i="20" s="1"/>
  <c r="AO1545" i="20" a="1"/>
  <c r="AO1545" i="20" s="1"/>
  <c r="AO1543" i="20" a="1"/>
  <c r="AO1543" i="20" s="1"/>
  <c r="AO1539" i="20" a="1"/>
  <c r="AO1539" i="20" s="1"/>
  <c r="AO1537" i="20" a="1"/>
  <c r="AO1537" i="20" s="1"/>
  <c r="AO1535" i="20" a="1"/>
  <c r="AO1535" i="20" s="1"/>
  <c r="AO1533" i="20" a="1"/>
  <c r="AO1533" i="20" s="1"/>
  <c r="AO1521" i="20" a="1"/>
  <c r="AO1521" i="20" s="1"/>
  <c r="AO1511" i="20" a="1"/>
  <c r="AO1511" i="20" s="1"/>
  <c r="AO1501" i="20" a="1"/>
  <c r="AO1501" i="20" s="1"/>
  <c r="AO1497" i="20" a="1"/>
  <c r="AO1497" i="20" s="1"/>
  <c r="AO1495" i="20" a="1"/>
  <c r="AO1495" i="20" s="1"/>
  <c r="AO1491" i="20" a="1"/>
  <c r="AO1491" i="20" s="1"/>
  <c r="AM1489" i="20" a="1"/>
  <c r="AM1489" i="20" s="1"/>
  <c r="AO1489" i="20" a="1"/>
  <c r="AO1489" i="20" s="1"/>
  <c r="A2" i="16" l="1"/>
  <c r="I1" i="25"/>
  <c r="F1" i="32"/>
  <c r="D1" i="33"/>
  <c r="A29" i="3"/>
  <c r="AO1541" i="20" a="1"/>
  <c r="AO1541" i="20" s="1"/>
  <c r="AO1485" i="20" a="1"/>
  <c r="AO1485" i="20" s="1"/>
  <c r="B2" i="31" s="1" a="1"/>
  <c r="AO1527" i="20" a="1"/>
  <c r="AO1527" i="20" s="1"/>
  <c r="AO1507" i="20" a="1"/>
  <c r="AO1507" i="20" s="1"/>
  <c r="AO1505" i="20" a="1"/>
  <c r="AO1505" i="20" s="1"/>
  <c r="AO1553" i="20" a="1"/>
  <c r="AO1553" i="20" s="1"/>
  <c r="AO1493" i="20" a="1"/>
  <c r="AO1493" i="20" s="1"/>
  <c r="AO1531" i="20" a="1"/>
  <c r="AO1531" i="20" s="1"/>
  <c r="AO1513" i="20" a="1"/>
  <c r="AO1513" i="20" s="1"/>
  <c r="AO1557" i="20" a="1"/>
  <c r="AO1557" i="20" s="1"/>
  <c r="AO1529" i="20" a="1"/>
  <c r="AO1529" i="20" s="1"/>
  <c r="AO1519" i="20" a="1"/>
  <c r="AO1519" i="20" s="1"/>
  <c r="AO1487" i="20" a="1"/>
  <c r="AO1487" i="20" s="1"/>
  <c r="B2" i="31" l="1"/>
  <c r="A59" i="25"/>
  <c r="A115" i="25" l="1"/>
  <c r="A167" i="25"/>
  <c r="AA1" i="30" l="1" a="1"/>
  <c r="AA1" i="30" l="1"/>
  <c r="A2" i="31" a="1"/>
  <c r="K2" i="31" l="1" a="1"/>
  <c r="A2" i="31"/>
  <c r="K2" i="31" l="1"/>
  <c r="J2" i="31" s="1" a="1"/>
  <c r="J2" i="31" l="1"/>
  <c r="B2" i="30" s="1" a="1"/>
  <c r="B2" i="30" l="1"/>
  <c r="A2" i="30" a="1"/>
  <c r="B2" i="15" a="1"/>
  <c r="B2" i="15" s="1"/>
  <c r="K2" i="30" a="1"/>
  <c r="A2" i="30" l="1"/>
  <c r="K2" i="30"/>
  <c r="L2" i="30" a="1"/>
  <c r="A2" i="15" a="1"/>
  <c r="C2" i="15" a="1"/>
  <c r="D2" i="15" a="1"/>
  <c r="L2" i="30" l="1"/>
  <c r="E3" i="15" a="1"/>
  <c r="E3" i="15" s="1"/>
  <c r="F3" i="15" s="1"/>
  <c r="E4" i="15" a="1"/>
  <c r="E4" i="15" s="1"/>
  <c r="F4" i="15" s="1"/>
  <c r="E6" i="15" a="1"/>
  <c r="E6" i="15" s="1"/>
  <c r="F6" i="15" s="1"/>
  <c r="E12" i="15" a="1"/>
  <c r="E12" i="15" s="1"/>
  <c r="F12" i="15" s="1"/>
  <c r="E7" i="15" a="1"/>
  <c r="E7" i="15" s="1"/>
  <c r="F7" i="15" s="1"/>
  <c r="E8" i="15" a="1"/>
  <c r="E8" i="15" s="1"/>
  <c r="F8" i="15" s="1"/>
  <c r="E9" i="15" a="1"/>
  <c r="E9" i="15" s="1"/>
  <c r="F9" i="15" s="1"/>
  <c r="E13" i="15" a="1"/>
  <c r="E13" i="15" s="1"/>
  <c r="F13" i="15" s="1"/>
  <c r="E10" i="15" a="1"/>
  <c r="E10" i="15" s="1"/>
  <c r="F10" i="15" s="1"/>
  <c r="E14" i="15" a="1"/>
  <c r="E14" i="15" s="1"/>
  <c r="F14" i="15" s="1"/>
  <c r="E15" i="15" a="1"/>
  <c r="E15" i="15" s="1"/>
  <c r="F15" i="15" s="1"/>
  <c r="E16" i="15" a="1"/>
  <c r="E16" i="15" s="1"/>
  <c r="F16" i="15" s="1"/>
  <c r="E20" i="15" a="1"/>
  <c r="E20" i="15" s="1"/>
  <c r="F20" i="15" s="1"/>
  <c r="E190" i="15" a="1"/>
  <c r="E190" i="15" s="1"/>
  <c r="F190" i="15" s="1"/>
  <c r="E17" i="15" a="1"/>
  <c r="E17" i="15" s="1"/>
  <c r="F17" i="15" s="1"/>
  <c r="E18" i="15" a="1"/>
  <c r="E18" i="15" s="1"/>
  <c r="E19" i="15" a="1"/>
  <c r="E19" i="15" s="1"/>
  <c r="F19" i="15" s="1"/>
  <c r="E188" i="15" a="1"/>
  <c r="E188" i="15" s="1"/>
  <c r="F188" i="15" s="1"/>
  <c r="E21" i="15" a="1"/>
  <c r="E21" i="15" s="1"/>
  <c r="F21" i="15" s="1"/>
  <c r="E22" i="15" a="1"/>
  <c r="E22" i="15" s="1"/>
  <c r="F22" i="15" s="1"/>
  <c r="E23" i="15" a="1"/>
  <c r="E23" i="15" s="1"/>
  <c r="F23" i="15" s="1"/>
  <c r="E182" i="15" a="1"/>
  <c r="E182" i="15" s="1"/>
  <c r="F182" i="15" s="1"/>
  <c r="E24" i="15" a="1"/>
  <c r="E24" i="15" s="1"/>
  <c r="F24" i="15" s="1"/>
  <c r="E142" i="15" a="1"/>
  <c r="E142" i="15" s="1"/>
  <c r="F142" i="15" s="1"/>
  <c r="E153" i="15" a="1"/>
  <c r="E153" i="15" s="1"/>
  <c r="F153" i="15" s="1"/>
  <c r="E187" i="15" a="1"/>
  <c r="E187" i="15" s="1"/>
  <c r="F187" i="15" s="1"/>
  <c r="E5" i="15" a="1"/>
  <c r="E5" i="15" s="1"/>
  <c r="F5" i="15" s="1"/>
  <c r="E11" i="15" a="1"/>
  <c r="E11" i="15" s="1"/>
  <c r="F11" i="15" s="1"/>
  <c r="J213" i="15"/>
  <c r="H213" i="15" a="1"/>
  <c r="H213" i="15" s="1"/>
  <c r="J208" i="15"/>
  <c r="J201" i="15"/>
  <c r="J206" i="15"/>
  <c r="J204" i="15"/>
  <c r="J205" i="15"/>
  <c r="J202" i="15"/>
  <c r="J203" i="15"/>
  <c r="J200" i="15"/>
  <c r="J207" i="15"/>
  <c r="J199" i="15"/>
  <c r="J210" i="15"/>
  <c r="J198" i="15"/>
  <c r="J209" i="15"/>
  <c r="J197" i="15"/>
  <c r="J211" i="15"/>
  <c r="J212" i="15"/>
  <c r="H192" i="15" a="1"/>
  <c r="H192" i="15" s="1"/>
  <c r="H209" i="15" a="1"/>
  <c r="H209" i="15" s="1"/>
  <c r="H195" i="15" a="1"/>
  <c r="H195" i="15" s="1"/>
  <c r="H205" i="15" a="1"/>
  <c r="H205" i="15" s="1"/>
  <c r="H202" i="15" a="1"/>
  <c r="H202" i="15" s="1"/>
  <c r="H193" i="15" a="1"/>
  <c r="H193" i="15" s="1"/>
  <c r="H207" i="15" a="1"/>
  <c r="H207" i="15" s="1"/>
  <c r="H194" i="15" a="1"/>
  <c r="H194" i="15" s="1"/>
  <c r="H206" i="15" a="1"/>
  <c r="H206" i="15" s="1"/>
  <c r="H203" i="15" a="1"/>
  <c r="H203" i="15" s="1"/>
  <c r="H204" i="15" a="1"/>
  <c r="H204" i="15" s="1"/>
  <c r="H201" i="15" a="1"/>
  <c r="H201" i="15" s="1"/>
  <c r="H208" i="15" a="1"/>
  <c r="H208" i="15" s="1"/>
  <c r="H200" i="15" a="1"/>
  <c r="H200" i="15" s="1"/>
  <c r="H211" i="15" a="1"/>
  <c r="H211" i="15" s="1"/>
  <c r="H199" i="15" a="1"/>
  <c r="H199" i="15" s="1"/>
  <c r="H210" i="15" a="1"/>
  <c r="H210" i="15" s="1"/>
  <c r="H198" i="15" a="1"/>
  <c r="H198" i="15" s="1"/>
  <c r="H196" i="15" a="1"/>
  <c r="H196" i="15" s="1"/>
  <c r="H212" i="15" a="1"/>
  <c r="H212" i="15" s="1"/>
  <c r="H197" i="15" a="1"/>
  <c r="H197" i="15" s="1"/>
  <c r="D2" i="15"/>
  <c r="A2" i="15"/>
  <c r="H43" i="15" a="1"/>
  <c r="H43" i="15" s="1"/>
  <c r="H34" i="15" a="1"/>
  <c r="H34" i="15" s="1"/>
  <c r="H112" i="15" a="1"/>
  <c r="H112" i="15" s="1"/>
  <c r="H123" i="15" a="1"/>
  <c r="H123" i="15" s="1"/>
  <c r="H181" i="15" a="1"/>
  <c r="H181" i="15" s="1"/>
  <c r="H127" i="15" a="1"/>
  <c r="H127" i="15" s="1"/>
  <c r="H20" i="15" a="1"/>
  <c r="H20" i="15" s="1"/>
  <c r="H95" i="15" a="1"/>
  <c r="H95" i="15" s="1"/>
  <c r="H144" i="15" a="1"/>
  <c r="H144" i="15" s="1"/>
  <c r="H167" i="15" a="1"/>
  <c r="H167" i="15" s="1"/>
  <c r="H47" i="15" a="1"/>
  <c r="H47" i="15" s="1"/>
  <c r="H31" i="15" a="1"/>
  <c r="H31" i="15" s="1"/>
  <c r="H6" i="15" a="1"/>
  <c r="H6" i="15" s="1"/>
  <c r="H158" i="15" a="1"/>
  <c r="H158" i="15" s="1"/>
  <c r="H19" i="15" a="1"/>
  <c r="H19" i="15" s="1"/>
  <c r="H56" i="15" a="1"/>
  <c r="H56" i="15" s="1"/>
  <c r="H63" i="15" a="1"/>
  <c r="H63" i="15" s="1"/>
  <c r="H37" i="15" a="1"/>
  <c r="H37" i="15" s="1"/>
  <c r="H157" i="15" a="1"/>
  <c r="H157" i="15" s="1"/>
  <c r="H41" i="15" a="1"/>
  <c r="H41" i="15" s="1"/>
  <c r="H110" i="15" a="1"/>
  <c r="H110" i="15" s="1"/>
  <c r="H113" i="15" a="1"/>
  <c r="H113" i="15" s="1"/>
  <c r="H42" i="15" a="1"/>
  <c r="H42" i="15" s="1"/>
  <c r="H139" i="15" a="1"/>
  <c r="H139" i="15" s="1"/>
  <c r="H25" i="15" a="1"/>
  <c r="H25" i="15" s="1"/>
  <c r="H147" i="15" a="1"/>
  <c r="H147" i="15" s="1"/>
  <c r="H188" i="15" a="1"/>
  <c r="H188" i="15" s="1"/>
  <c r="H102" i="15" a="1"/>
  <c r="H102" i="15" s="1"/>
  <c r="H62" i="15" a="1"/>
  <c r="H62" i="15" s="1"/>
  <c r="H57" i="15" a="1"/>
  <c r="H57" i="15" s="1"/>
  <c r="H51" i="15" a="1"/>
  <c r="H51" i="15" s="1"/>
  <c r="H45" i="15" a="1"/>
  <c r="H45" i="15" s="1"/>
  <c r="H30" i="15" a="1"/>
  <c r="H30" i="15" s="1"/>
  <c r="H36" i="15" a="1"/>
  <c r="H36" i="15" s="1"/>
  <c r="H12" i="15" a="1"/>
  <c r="H12" i="15" s="1"/>
  <c r="H189" i="15" a="1"/>
  <c r="H189" i="15" s="1"/>
  <c r="H153" i="15" a="1"/>
  <c r="H153" i="15" s="1"/>
  <c r="H68" i="15" a="1"/>
  <c r="H68" i="15" s="1"/>
  <c r="H15" i="15" a="1"/>
  <c r="H15" i="15" s="1"/>
  <c r="H75" i="15" a="1"/>
  <c r="H75" i="15" s="1"/>
  <c r="H94" i="15" a="1"/>
  <c r="H94" i="15" s="1"/>
  <c r="H28" i="15" a="1"/>
  <c r="H28" i="15" s="1"/>
  <c r="H84" i="15" a="1"/>
  <c r="H84" i="15" s="1"/>
  <c r="H143" i="15" a="1"/>
  <c r="H143" i="15" s="1"/>
  <c r="H5" i="15" a="1"/>
  <c r="H5" i="15" s="1"/>
  <c r="H185" i="15" a="1"/>
  <c r="H185" i="15" s="1"/>
  <c r="H138" i="15" a="1"/>
  <c r="H138" i="15" s="1"/>
  <c r="H146" i="15" a="1"/>
  <c r="H146" i="15" s="1"/>
  <c r="H14" i="15" a="1"/>
  <c r="H14" i="15" s="1"/>
  <c r="H23" i="15" a="1"/>
  <c r="H23" i="15" s="1"/>
  <c r="H107" i="15" a="1"/>
  <c r="H107" i="15" s="1"/>
  <c r="H58" i="15" a="1"/>
  <c r="H58" i="15" s="1"/>
  <c r="H79" i="15" a="1"/>
  <c r="H79" i="15" s="1"/>
  <c r="H132" i="15" a="1"/>
  <c r="H132" i="15" s="1"/>
  <c r="H135" i="15" a="1"/>
  <c r="H135" i="15" s="1"/>
  <c r="H99" i="15" a="1"/>
  <c r="H99" i="15" s="1"/>
  <c r="H166" i="15" a="1"/>
  <c r="H166" i="15" s="1"/>
  <c r="H81" i="15" a="1"/>
  <c r="H81" i="15" s="1"/>
  <c r="H119" i="15" a="1"/>
  <c r="H119" i="15" s="1"/>
  <c r="H140" i="15" a="1"/>
  <c r="H140" i="15" s="1"/>
  <c r="H131" i="15" a="1"/>
  <c r="H131" i="15" s="1"/>
  <c r="H78" i="15" a="1"/>
  <c r="H78" i="15" s="1"/>
  <c r="H80" i="15" a="1"/>
  <c r="H80" i="15" s="1"/>
  <c r="H154" i="15" a="1"/>
  <c r="H154" i="15" s="1"/>
  <c r="H156" i="15" a="1"/>
  <c r="H156" i="15" s="1"/>
  <c r="H90" i="15" a="1"/>
  <c r="H90" i="15" s="1"/>
  <c r="H96" i="15" a="1"/>
  <c r="H96" i="15" s="1"/>
  <c r="H170" i="15" a="1"/>
  <c r="H170" i="15" s="1"/>
  <c r="H150" i="15" a="1"/>
  <c r="H150" i="15" s="1"/>
  <c r="H17" i="15" a="1"/>
  <c r="H17" i="15" s="1"/>
  <c r="H148" i="15" a="1"/>
  <c r="H148" i="15" s="1"/>
  <c r="H32" i="15" a="1"/>
  <c r="H32" i="15" s="1"/>
  <c r="H39" i="15" a="1"/>
  <c r="H39" i="15" s="1"/>
  <c r="H175" i="15" a="1"/>
  <c r="H175" i="15" s="1"/>
  <c r="H64" i="15" a="1"/>
  <c r="H64" i="15" s="1"/>
  <c r="H13" i="15" a="1"/>
  <c r="H13" i="15" s="1"/>
  <c r="H98" i="15" a="1"/>
  <c r="H98" i="15" s="1"/>
  <c r="H122" i="15" a="1"/>
  <c r="H122" i="15" s="1"/>
  <c r="H88" i="15" a="1"/>
  <c r="H88" i="15" s="1"/>
  <c r="H187" i="15" a="1"/>
  <c r="H187" i="15" s="1"/>
  <c r="H105" i="15" a="1"/>
  <c r="H105" i="15" s="1"/>
  <c r="H38" i="15" a="1"/>
  <c r="H38" i="15" s="1"/>
  <c r="H184" i="15" a="1"/>
  <c r="H184" i="15" s="1"/>
  <c r="H129" i="15" a="1"/>
  <c r="H129" i="15" s="1"/>
  <c r="H111" i="15" a="1"/>
  <c r="H111" i="15" s="1"/>
  <c r="H77" i="15" a="1"/>
  <c r="H77" i="15" s="1"/>
  <c r="H71" i="15" a="1"/>
  <c r="H71" i="15" s="1"/>
  <c r="H66" i="15" a="1"/>
  <c r="H66" i="15" s="1"/>
  <c r="H59" i="15" a="1"/>
  <c r="H59" i="15" s="1"/>
  <c r="H26" i="15" a="1"/>
  <c r="H26" i="15" s="1"/>
  <c r="H22" i="15" a="1"/>
  <c r="H22" i="15" s="1"/>
  <c r="H18" i="15" a="1"/>
  <c r="H18" i="15" s="1"/>
  <c r="H76" i="15" a="1"/>
  <c r="H76" i="15" s="1"/>
  <c r="H48" i="15" a="1"/>
  <c r="H48" i="15" s="1"/>
  <c r="H180" i="15" a="1"/>
  <c r="H180" i="15" s="1"/>
  <c r="H24" i="15" a="1"/>
  <c r="H24" i="15" s="1"/>
  <c r="H82" i="15" a="1"/>
  <c r="H82" i="15" s="1"/>
  <c r="H16" i="15" a="1"/>
  <c r="H16" i="15" s="1"/>
  <c r="H8" i="15" a="1"/>
  <c r="H8" i="15" s="1"/>
  <c r="H4" i="15" a="1"/>
  <c r="H4" i="15" s="1"/>
  <c r="H92" i="15" a="1"/>
  <c r="H92" i="15" s="1"/>
  <c r="H137" i="15" a="1"/>
  <c r="H137" i="15" s="1"/>
  <c r="H91" i="15" a="1"/>
  <c r="H91" i="15" s="1"/>
  <c r="H40" i="15" a="1"/>
  <c r="H40" i="15" s="1"/>
  <c r="H74" i="15" a="1"/>
  <c r="H74" i="15" s="1"/>
  <c r="H54" i="15" a="1"/>
  <c r="H54" i="15" s="1"/>
  <c r="H173" i="15" a="1"/>
  <c r="H173" i="15" s="1"/>
  <c r="H89" i="15" a="1"/>
  <c r="H89" i="15" s="1"/>
  <c r="H178" i="15" a="1"/>
  <c r="H178" i="15" s="1"/>
  <c r="H106" i="15" a="1"/>
  <c r="H106" i="15" s="1"/>
  <c r="H46" i="15" a="1"/>
  <c r="H46" i="15" s="1"/>
  <c r="H21" i="15" a="1"/>
  <c r="H21" i="15" s="1"/>
  <c r="H11" i="15" a="1"/>
  <c r="H11" i="15" s="1"/>
  <c r="H93" i="15" a="1"/>
  <c r="H93" i="15" s="1"/>
  <c r="H117" i="15" a="1"/>
  <c r="H117" i="15" s="1"/>
  <c r="H53" i="15" a="1"/>
  <c r="H53" i="15" s="1"/>
  <c r="H116" i="15" a="1"/>
  <c r="H116" i="15" s="1"/>
  <c r="H33" i="15" a="1"/>
  <c r="H33" i="15" s="1"/>
  <c r="H109" i="15" a="1"/>
  <c r="H109" i="15" s="1"/>
  <c r="H179" i="15" a="1"/>
  <c r="H179" i="15" s="1"/>
  <c r="H151" i="15" a="1"/>
  <c r="H151" i="15" s="1"/>
  <c r="H101" i="15" a="1"/>
  <c r="H101" i="15" s="1"/>
  <c r="H44" i="15" a="1"/>
  <c r="H44" i="15" s="1"/>
  <c r="H69" i="15" a="1"/>
  <c r="H69" i="15" s="1"/>
  <c r="H141" i="15" a="1"/>
  <c r="H141" i="15" s="1"/>
  <c r="H61" i="15" a="1"/>
  <c r="H61" i="15" s="1"/>
  <c r="H70" i="15" a="1"/>
  <c r="H70" i="15" s="1"/>
  <c r="H118" i="15" a="1"/>
  <c r="H118" i="15" s="1"/>
  <c r="H10" i="15" a="1"/>
  <c r="H10" i="15" s="1"/>
  <c r="H3" i="15" a="1"/>
  <c r="H3" i="15" s="1"/>
  <c r="H174" i="15" a="1"/>
  <c r="H174" i="15" s="1"/>
  <c r="H97" i="15" a="1"/>
  <c r="H97" i="15" s="1"/>
  <c r="H163" i="15" a="1"/>
  <c r="H163" i="15" s="1"/>
  <c r="H73" i="15" a="1"/>
  <c r="H73" i="15" s="1"/>
  <c r="H172" i="15" a="1"/>
  <c r="H172" i="15" s="1"/>
  <c r="H87" i="15" a="1"/>
  <c r="H87" i="15" s="1"/>
  <c r="H29" i="15" a="1"/>
  <c r="H29" i="15" s="1"/>
  <c r="H191" i="15" a="1"/>
  <c r="H191" i="15" s="1"/>
  <c r="H145" i="15" a="1"/>
  <c r="H145" i="15" s="1"/>
  <c r="H114" i="15" a="1"/>
  <c r="H114" i="15" s="1"/>
  <c r="H149" i="15" a="1"/>
  <c r="H149" i="15" s="1"/>
  <c r="H130" i="15" a="1"/>
  <c r="H130" i="15" s="1"/>
  <c r="H120" i="15" a="1"/>
  <c r="H120" i="15" s="1"/>
  <c r="H136" i="15" a="1"/>
  <c r="H136" i="15" s="1"/>
  <c r="H125" i="15" a="1"/>
  <c r="H125" i="15" s="1"/>
  <c r="H108" i="15" a="1"/>
  <c r="H108" i="15" s="1"/>
  <c r="H100" i="15" a="1"/>
  <c r="H100" i="15" s="1"/>
  <c r="H85" i="15" a="1"/>
  <c r="H85" i="15" s="1"/>
  <c r="H190" i="15" a="1"/>
  <c r="H190" i="15" s="1"/>
  <c r="H165" i="15" a="1"/>
  <c r="H165" i="15" s="1"/>
  <c r="H9" i="15" a="1"/>
  <c r="H9" i="15" s="1"/>
  <c r="H104" i="15" a="1"/>
  <c r="H104" i="15" s="1"/>
  <c r="H183" i="15" a="1"/>
  <c r="H183" i="15" s="1"/>
  <c r="H142" i="15" a="1"/>
  <c r="H142" i="15" s="1"/>
  <c r="H159" i="15" a="1"/>
  <c r="H159" i="15" s="1"/>
  <c r="H126" i="15" a="1"/>
  <c r="H126" i="15" s="1"/>
  <c r="H152" i="15" a="1"/>
  <c r="H152" i="15" s="1"/>
  <c r="H168" i="15" a="1"/>
  <c r="H168" i="15" s="1"/>
  <c r="H49" i="15" a="1"/>
  <c r="H49" i="15" s="1"/>
  <c r="H7" i="15" a="1"/>
  <c r="H7" i="15" s="1"/>
  <c r="H133" i="15" a="1"/>
  <c r="H133" i="15" s="1"/>
  <c r="H72" i="15" a="1"/>
  <c r="H72" i="15" s="1"/>
  <c r="H86" i="15" a="1"/>
  <c r="H86" i="15" s="1"/>
  <c r="H50" i="15" a="1"/>
  <c r="H50" i="15" s="1"/>
  <c r="H169" i="15" a="1"/>
  <c r="H169" i="15" s="1"/>
  <c r="C2" i="15"/>
  <c r="H52" i="15" a="1"/>
  <c r="H52" i="15" s="1"/>
  <c r="H161" i="15" a="1"/>
  <c r="H161" i="15" s="1"/>
  <c r="H160" i="15" a="1"/>
  <c r="H160" i="15" s="1"/>
  <c r="H67" i="15" a="1"/>
  <c r="H67" i="15" s="1"/>
  <c r="H124" i="15" a="1"/>
  <c r="H124" i="15" s="1"/>
  <c r="H27" i="15" a="1"/>
  <c r="H27" i="15" s="1"/>
  <c r="H55" i="15" a="1"/>
  <c r="H55" i="15" s="1"/>
  <c r="H171" i="15" a="1"/>
  <c r="H171" i="15" s="1"/>
  <c r="H162" i="15" a="1"/>
  <c r="H162" i="15" s="1"/>
  <c r="H176" i="15" a="1"/>
  <c r="H176" i="15" s="1"/>
  <c r="H177" i="15" a="1"/>
  <c r="H177" i="15" s="1"/>
  <c r="H134" i="15" a="1"/>
  <c r="H134" i="15" s="1"/>
  <c r="H128" i="15" a="1"/>
  <c r="H128" i="15" s="1"/>
  <c r="H60" i="15" a="1"/>
  <c r="H60" i="15" s="1"/>
  <c r="H182" i="15" a="1"/>
  <c r="H182" i="15" s="1"/>
  <c r="H83" i="15" a="1"/>
  <c r="H83" i="15" s="1"/>
  <c r="H35" i="15" a="1"/>
  <c r="H35" i="15" s="1"/>
  <c r="H115" i="15" a="1"/>
  <c r="H115" i="15" s="1"/>
  <c r="H155" i="15" a="1"/>
  <c r="H155" i="15" s="1"/>
  <c r="H103" i="15" a="1"/>
  <c r="H103" i="15" s="1"/>
  <c r="H65" i="15" a="1"/>
  <c r="H65" i="15" s="1"/>
  <c r="H121" i="15" a="1"/>
  <c r="H121" i="15" s="1"/>
  <c r="H164" i="15" a="1"/>
  <c r="H164" i="15" s="1"/>
  <c r="H186" i="15" a="1"/>
  <c r="H186" i="15" s="1"/>
  <c r="E2" i="15" l="1" a="1"/>
  <c r="E2" i="15" s="1"/>
  <c r="F2" i="15" s="1"/>
  <c r="F18" i="15"/>
  <c r="S2" i="3" a="1"/>
  <c r="H2" i="15" a="1"/>
  <c r="H2" i="15" s="1"/>
  <c r="G2" i="15" a="1"/>
  <c r="E215" i="15" l="1" a="1"/>
  <c r="E215" i="15" s="1"/>
  <c r="F215" i="15" s="1"/>
  <c r="E216" i="15" a="1"/>
  <c r="E216" i="15" s="1"/>
  <c r="F216" i="15" s="1"/>
  <c r="E218" i="15" a="1"/>
  <c r="E218" i="15" s="1"/>
  <c r="F218" i="15" s="1"/>
  <c r="E220" i="15" a="1"/>
  <c r="E220" i="15" s="1"/>
  <c r="F220" i="15" s="1"/>
  <c r="E223" i="15" a="1"/>
  <c r="E223" i="15" s="1"/>
  <c r="F223" i="15" s="1"/>
  <c r="E226" i="15" a="1"/>
  <c r="E226" i="15" s="1"/>
  <c r="F226" i="15" s="1"/>
  <c r="E229" i="15" a="1"/>
  <c r="E229" i="15" s="1"/>
  <c r="F229" i="15" s="1"/>
  <c r="E232" i="15" a="1"/>
  <c r="E232" i="15" s="1"/>
  <c r="F232" i="15" s="1"/>
  <c r="E235" i="15" a="1"/>
  <c r="E235" i="15" s="1"/>
  <c r="F235" i="15" s="1"/>
  <c r="E237" i="15" a="1"/>
  <c r="E237" i="15" s="1"/>
  <c r="F237" i="15" s="1"/>
  <c r="E240" i="15" a="1"/>
  <c r="E240" i="15" s="1"/>
  <c r="F240" i="15" s="1"/>
  <c r="E243" i="15" a="1"/>
  <c r="E243" i="15" s="1"/>
  <c r="F243" i="15" s="1"/>
  <c r="E214" i="15" a="1"/>
  <c r="E214" i="15" s="1"/>
  <c r="F214" i="15" s="1"/>
  <c r="E217" i="15" a="1"/>
  <c r="E217" i="15" s="1"/>
  <c r="F217" i="15" s="1"/>
  <c r="E219" i="15" a="1"/>
  <c r="E219" i="15" s="1"/>
  <c r="F219" i="15" s="1"/>
  <c r="E222" i="15" a="1"/>
  <c r="E222" i="15" s="1"/>
  <c r="F222" i="15" s="1"/>
  <c r="E224" i="15" a="1"/>
  <c r="E224" i="15" s="1"/>
  <c r="F224" i="15" s="1"/>
  <c r="E227" i="15" a="1"/>
  <c r="E227" i="15" s="1"/>
  <c r="F227" i="15" s="1"/>
  <c r="E230" i="15" a="1"/>
  <c r="E230" i="15" s="1"/>
  <c r="F230" i="15" s="1"/>
  <c r="E233" i="15" a="1"/>
  <c r="E233" i="15" s="1"/>
  <c r="F233" i="15" s="1"/>
  <c r="E236" i="15" a="1"/>
  <c r="E236" i="15" s="1"/>
  <c r="F236" i="15" s="1"/>
  <c r="E239" i="15" a="1"/>
  <c r="E239" i="15" s="1"/>
  <c r="F239" i="15" s="1"/>
  <c r="E242" i="15" a="1"/>
  <c r="E242" i="15" s="1"/>
  <c r="F242" i="15" s="1"/>
  <c r="E221" i="15" a="1"/>
  <c r="E221" i="15" s="1"/>
  <c r="F221" i="15" s="1"/>
  <c r="E225" i="15" a="1"/>
  <c r="E225" i="15" s="1"/>
  <c r="F225" i="15" s="1"/>
  <c r="E228" i="15" a="1"/>
  <c r="E228" i="15" s="1"/>
  <c r="F228" i="15" s="1"/>
  <c r="E231" i="15" a="1"/>
  <c r="E231" i="15" s="1"/>
  <c r="F231" i="15" s="1"/>
  <c r="E234" i="15" a="1"/>
  <c r="E234" i="15" s="1"/>
  <c r="F234" i="15" s="1"/>
  <c r="E238" i="15" a="1"/>
  <c r="E238" i="15" s="1"/>
  <c r="F238" i="15" s="1"/>
  <c r="E241" i="15" a="1"/>
  <c r="E241" i="15" s="1"/>
  <c r="F241" i="15" s="1"/>
  <c r="E245" i="15" a="1"/>
  <c r="E245" i="15" s="1"/>
  <c r="F245" i="15" s="1"/>
  <c r="E244" i="15" a="1"/>
  <c r="E244" i="15" s="1"/>
  <c r="F244" i="15" s="1"/>
  <c r="E213" i="15" a="1"/>
  <c r="E213" i="15" s="1"/>
  <c r="F213" i="15" s="1"/>
  <c r="E170" i="15" a="1"/>
  <c r="E170" i="15" s="1"/>
  <c r="F170" i="15" s="1"/>
  <c r="E171" i="15" s="1" a="1"/>
  <c r="E171" i="15" s="1"/>
  <c r="F171" i="15" s="1"/>
  <c r="E172" i="15" s="1" a="1"/>
  <c r="E172" i="15" s="1"/>
  <c r="F172" i="15" s="1"/>
  <c r="E173" i="15" s="1" a="1"/>
  <c r="E173" i="15" s="1"/>
  <c r="F173" i="15" s="1"/>
  <c r="E174" i="15" s="1" a="1"/>
  <c r="E174" i="15" s="1"/>
  <c r="F174" i="15" s="1"/>
  <c r="E175" i="15" s="1" a="1"/>
  <c r="E175" i="15" s="1"/>
  <c r="F175" i="15" s="1"/>
  <c r="E176" i="15" s="1" a="1"/>
  <c r="E176" i="15" s="1"/>
  <c r="F176" i="15" s="1"/>
  <c r="E177" i="15" s="1" a="1"/>
  <c r="E177" i="15" s="1"/>
  <c r="F177" i="15" s="1"/>
  <c r="E178" i="15" s="1" a="1"/>
  <c r="E178" i="15" s="1"/>
  <c r="F178" i="15" s="1"/>
  <c r="E179" i="15" s="1" a="1"/>
  <c r="E179" i="15" s="1"/>
  <c r="F179" i="15" s="1"/>
  <c r="E180" i="15" s="1" a="1"/>
  <c r="E180" i="15" s="1"/>
  <c r="F180" i="15" s="1"/>
  <c r="E181" i="15" s="1" a="1"/>
  <c r="E181" i="15" s="1"/>
  <c r="F181" i="15" s="1"/>
  <c r="E194" i="15" s="1" a="1"/>
  <c r="E194" i="15" s="1"/>
  <c r="F194" i="15" s="1"/>
  <c r="E199" i="15" s="1" a="1"/>
  <c r="E199" i="15" s="1"/>
  <c r="F199" i="15" s="1"/>
  <c r="E204" i="15" s="1" a="1"/>
  <c r="E204" i="15" s="1"/>
  <c r="F204" i="15" s="1"/>
  <c r="E210" i="15" s="1" a="1"/>
  <c r="E210" i="15" s="1"/>
  <c r="F210" i="15" s="1"/>
  <c r="E183" i="15" a="1"/>
  <c r="E183" i="15" s="1"/>
  <c r="F183" i="15" s="1"/>
  <c r="E184" i="15" s="1" a="1"/>
  <c r="E184" i="15" s="1"/>
  <c r="F184" i="15" s="1"/>
  <c r="E185" i="15" s="1" a="1"/>
  <c r="E185" i="15" s="1"/>
  <c r="F185" i="15" s="1"/>
  <c r="E186" i="15" s="1" a="1"/>
  <c r="E186" i="15" s="1"/>
  <c r="F186" i="15" s="1"/>
  <c r="E196" i="15" s="1" a="1"/>
  <c r="E196" i="15" s="1"/>
  <c r="F196" i="15" s="1"/>
  <c r="E198" i="15" s="1" a="1"/>
  <c r="E198" i="15" s="1"/>
  <c r="F198" i="15" s="1"/>
  <c r="E203" i="15" s="1" a="1"/>
  <c r="E203" i="15" s="1"/>
  <c r="F203" i="15" s="1"/>
  <c r="E209" i="15" s="1" a="1"/>
  <c r="E209" i="15" s="1"/>
  <c r="F209" i="15" s="1"/>
  <c r="E25" i="15" a="1"/>
  <c r="E25" i="15" s="1"/>
  <c r="F25" i="15" s="1"/>
  <c r="E161" i="15" s="1" a="1"/>
  <c r="E161" i="15" s="1"/>
  <c r="F161" i="15" s="1"/>
  <c r="E162" i="15" s="1" a="1"/>
  <c r="E162" i="15" s="1"/>
  <c r="F162" i="15" s="1"/>
  <c r="E163" i="15" s="1" a="1"/>
  <c r="E163" i="15" s="1"/>
  <c r="F163" i="15" s="1"/>
  <c r="E164" i="15" s="1" a="1"/>
  <c r="E164" i="15" s="1"/>
  <c r="F164" i="15" s="1"/>
  <c r="E165" i="15" s="1" a="1"/>
  <c r="E165" i="15" s="1"/>
  <c r="F165" i="15" s="1"/>
  <c r="E166" i="15" s="1" a="1"/>
  <c r="E166" i="15" s="1"/>
  <c r="F166" i="15" s="1"/>
  <c r="E167" i="15" s="1" a="1"/>
  <c r="E167" i="15" s="1"/>
  <c r="F167" i="15" s="1"/>
  <c r="E168" i="15" s="1" a="1"/>
  <c r="E168" i="15" s="1"/>
  <c r="F168" i="15" s="1"/>
  <c r="E169" i="15" s="1" a="1"/>
  <c r="E169" i="15" s="1"/>
  <c r="F169" i="15" s="1"/>
  <c r="E193" i="15" s="1" a="1"/>
  <c r="E193" i="15" s="1"/>
  <c r="F193" i="15" s="1"/>
  <c r="E200" i="15" s="1" a="1"/>
  <c r="E200" i="15" s="1"/>
  <c r="F200" i="15" s="1"/>
  <c r="E205" i="15" s="1" a="1"/>
  <c r="E205" i="15" s="1"/>
  <c r="F205" i="15" s="1"/>
  <c r="E211" i="15" s="1" a="1"/>
  <c r="E211" i="15" s="1"/>
  <c r="F211" i="15" s="1"/>
  <c r="E26" i="15" a="1"/>
  <c r="E26" i="15" s="1"/>
  <c r="F26" i="15" s="1"/>
  <c r="E46" i="15" s="1" a="1"/>
  <c r="E46" i="15" s="1"/>
  <c r="F46" i="15" s="1"/>
  <c r="E63" i="15" s="1" a="1"/>
  <c r="E63" i="15" s="1"/>
  <c r="F63" i="15" s="1"/>
  <c r="E79" i="15" s="1" a="1"/>
  <c r="E79" i="15" s="1"/>
  <c r="F79" i="15" s="1"/>
  <c r="E93" i="15" s="1" a="1"/>
  <c r="E93" i="15" s="1"/>
  <c r="F93" i="15" s="1"/>
  <c r="E105" i="15" s="1" a="1"/>
  <c r="E105" i="15" s="1"/>
  <c r="F105" i="15" s="1"/>
  <c r="E116" i="15" s="1" a="1"/>
  <c r="E116" i="15" s="1"/>
  <c r="F116" i="15" s="1"/>
  <c r="E126" i="15" s="1" a="1"/>
  <c r="E126" i="15" s="1"/>
  <c r="F126" i="15" s="1"/>
  <c r="E133" i="15" s="1" a="1"/>
  <c r="E133" i="15" s="1"/>
  <c r="F133" i="15" s="1"/>
  <c r="E137" i="15" s="1" a="1"/>
  <c r="E137" i="15" s="1"/>
  <c r="F137" i="15" s="1"/>
  <c r="E139" i="15" s="1" a="1"/>
  <c r="E139" i="15" s="1"/>
  <c r="F139" i="15" s="1"/>
  <c r="E140" i="15" s="1" a="1"/>
  <c r="E140" i="15" s="1"/>
  <c r="F140" i="15" s="1"/>
  <c r="E141" i="15" s="1" a="1"/>
  <c r="E141" i="15" s="1"/>
  <c r="F141" i="15" s="1"/>
  <c r="E28" i="15" a="1"/>
  <c r="E28" i="15" s="1"/>
  <c r="F28" i="15" s="1"/>
  <c r="E48" i="15" s="1" a="1"/>
  <c r="E48" i="15" s="1"/>
  <c r="F48" i="15" s="1"/>
  <c r="E65" i="15" s="1" a="1"/>
  <c r="E65" i="15" s="1"/>
  <c r="F65" i="15" s="1"/>
  <c r="E81" i="15" s="1" a="1"/>
  <c r="E81" i="15" s="1"/>
  <c r="F81" i="15" s="1"/>
  <c r="E95" i="15" s="1" a="1"/>
  <c r="E95" i="15" s="1"/>
  <c r="F95" i="15" s="1"/>
  <c r="E107" i="15" s="1" a="1"/>
  <c r="E107" i="15" s="1"/>
  <c r="F107" i="15" s="1"/>
  <c r="E118" i="15" s="1" a="1"/>
  <c r="E118" i="15" s="1"/>
  <c r="F118" i="15" s="1"/>
  <c r="E127" i="15" s="1" a="1"/>
  <c r="E127" i="15" s="1"/>
  <c r="F127" i="15" s="1"/>
  <c r="E134" i="15" s="1" a="1"/>
  <c r="E134" i="15" s="1"/>
  <c r="F134" i="15" s="1"/>
  <c r="E29" i="15" a="1"/>
  <c r="E29" i="15" s="1"/>
  <c r="F29" i="15" s="1"/>
  <c r="E49" i="15" s="1" a="1"/>
  <c r="E49" i="15" s="1"/>
  <c r="F49" i="15" s="1"/>
  <c r="E66" i="15" s="1" a="1"/>
  <c r="E66" i="15" s="1"/>
  <c r="F66" i="15" s="1"/>
  <c r="E82" i="15" s="1" a="1"/>
  <c r="E82" i="15" s="1"/>
  <c r="F82" i="15" s="1"/>
  <c r="E96" i="15" s="1" a="1"/>
  <c r="E96" i="15" s="1"/>
  <c r="F96" i="15" s="1"/>
  <c r="E108" i="15" s="1" a="1"/>
  <c r="E108" i="15" s="1"/>
  <c r="F108" i="15" s="1"/>
  <c r="E119" i="15" s="1" a="1"/>
  <c r="E119" i="15" s="1"/>
  <c r="F119" i="15" s="1"/>
  <c r="E31" i="15" a="1"/>
  <c r="E31" i="15" s="1"/>
  <c r="F31" i="15" s="1"/>
  <c r="E51" i="15" s="1" a="1"/>
  <c r="E51" i="15" s="1"/>
  <c r="F51" i="15" s="1"/>
  <c r="E68" i="15" s="1" a="1"/>
  <c r="E68" i="15" s="1"/>
  <c r="F68" i="15" s="1"/>
  <c r="E83" i="15" s="1" a="1"/>
  <c r="E83" i="15" s="1"/>
  <c r="F83" i="15" s="1"/>
  <c r="E97" i="15" s="1" a="1"/>
  <c r="E97" i="15" s="1"/>
  <c r="F97" i="15" s="1"/>
  <c r="E109" i="15" s="1" a="1"/>
  <c r="E109" i="15" s="1"/>
  <c r="F109" i="15" s="1"/>
  <c r="E120" i="15" s="1" a="1"/>
  <c r="E120" i="15" s="1"/>
  <c r="F120" i="15" s="1"/>
  <c r="E128" i="15" s="1" a="1"/>
  <c r="E128" i="15" s="1"/>
  <c r="F128" i="15" s="1"/>
  <c r="E135" i="15" s="1" a="1"/>
  <c r="E135" i="15" s="1"/>
  <c r="F135" i="15" s="1"/>
  <c r="E138" i="15" s="1" a="1"/>
  <c r="E138" i="15" s="1"/>
  <c r="F138" i="15" s="1"/>
  <c r="E33" i="15" a="1"/>
  <c r="E33" i="15" s="1"/>
  <c r="F33" i="15" s="1"/>
  <c r="E53" i="15" s="1" a="1"/>
  <c r="E53" i="15" s="1"/>
  <c r="F53" i="15" s="1"/>
  <c r="E70" i="15" s="1" a="1"/>
  <c r="E70" i="15" s="1"/>
  <c r="F70" i="15" s="1"/>
  <c r="E85" i="15" s="1" a="1"/>
  <c r="E85" i="15" s="1"/>
  <c r="F85" i="15" s="1"/>
  <c r="E35" i="15" a="1"/>
  <c r="E35" i="15" s="1"/>
  <c r="F35" i="15" s="1"/>
  <c r="E55" i="15" s="1" a="1"/>
  <c r="E55" i="15" s="1"/>
  <c r="F55" i="15" s="1"/>
  <c r="E72" i="15" s="1" a="1"/>
  <c r="E72" i="15" s="1"/>
  <c r="F72" i="15" s="1"/>
  <c r="E87" i="15" s="1" a="1"/>
  <c r="E87" i="15" s="1"/>
  <c r="F87" i="15" s="1"/>
  <c r="E100" i="15" s="1" a="1"/>
  <c r="E100" i="15" s="1"/>
  <c r="F100" i="15" s="1"/>
  <c r="E112" i="15" s="1" a="1"/>
  <c r="E112" i="15" s="1"/>
  <c r="F112" i="15" s="1"/>
  <c r="E123" i="15" s="1" a="1"/>
  <c r="E123" i="15" s="1"/>
  <c r="F123" i="15" s="1"/>
  <c r="E131" i="15" s="1" a="1"/>
  <c r="E131" i="15" s="1"/>
  <c r="F131" i="15" s="1"/>
  <c r="E37" i="15" a="1"/>
  <c r="E37" i="15" s="1"/>
  <c r="F37" i="15" s="1"/>
  <c r="E57" i="15" s="1" a="1"/>
  <c r="E57" i="15" s="1"/>
  <c r="F57" i="15" s="1"/>
  <c r="E74" i="15" s="1" a="1"/>
  <c r="E74" i="15" s="1"/>
  <c r="F74" i="15" s="1"/>
  <c r="E88" i="15" s="1" a="1"/>
  <c r="E88" i="15" s="1"/>
  <c r="F88" i="15" s="1"/>
  <c r="E101" i="15" s="1" a="1"/>
  <c r="E101" i="15" s="1"/>
  <c r="F101" i="15" s="1"/>
  <c r="E113" i="15" s="1" a="1"/>
  <c r="E113" i="15" s="1"/>
  <c r="F113" i="15" s="1"/>
  <c r="E124" i="15" s="1" a="1"/>
  <c r="E124" i="15" s="1"/>
  <c r="F124" i="15" s="1"/>
  <c r="E132" i="15" s="1" a="1"/>
  <c r="E132" i="15" s="1"/>
  <c r="F132" i="15" s="1"/>
  <c r="E39" i="15" a="1"/>
  <c r="E39" i="15" s="1"/>
  <c r="F39" i="15" s="1"/>
  <c r="E59" i="15" s="1" a="1"/>
  <c r="E59" i="15" s="1"/>
  <c r="F59" i="15" s="1"/>
  <c r="E76" i="15" s="1" a="1"/>
  <c r="E76" i="15" s="1"/>
  <c r="F76" i="15" s="1"/>
  <c r="E90" i="15" s="1" a="1"/>
  <c r="E90" i="15" s="1"/>
  <c r="F90" i="15" s="1"/>
  <c r="E103" i="15" s="1" a="1"/>
  <c r="E103" i="15" s="1"/>
  <c r="F103" i="15" s="1"/>
  <c r="E115" i="15" s="1" a="1"/>
  <c r="E115" i="15" s="1"/>
  <c r="F115" i="15" s="1"/>
  <c r="E41" i="15" a="1"/>
  <c r="E41" i="15" s="1"/>
  <c r="F41" i="15" s="1"/>
  <c r="E61" i="15" s="1" a="1"/>
  <c r="E61" i="15" s="1"/>
  <c r="F61" i="15" s="1"/>
  <c r="E78" i="15" s="1" a="1"/>
  <c r="E78" i="15" s="1"/>
  <c r="F78" i="15" s="1"/>
  <c r="E92" i="15" s="1" a="1"/>
  <c r="E92" i="15" s="1"/>
  <c r="F92" i="15" s="1"/>
  <c r="E43" i="15" a="1"/>
  <c r="E43" i="15" s="1"/>
  <c r="F43" i="15" s="1"/>
  <c r="E45" i="15" a="1"/>
  <c r="E45" i="15" s="1"/>
  <c r="F45" i="15" s="1"/>
  <c r="E154" i="15" a="1"/>
  <c r="E154" i="15" s="1"/>
  <c r="F154" i="15" s="1"/>
  <c r="E155" i="15" s="1" a="1"/>
  <c r="E155" i="15" s="1"/>
  <c r="F155" i="15" s="1"/>
  <c r="E156" i="15" s="1" a="1"/>
  <c r="E156" i="15" s="1"/>
  <c r="F156" i="15" s="1"/>
  <c r="E157" i="15" s="1" a="1"/>
  <c r="E157" i="15" s="1"/>
  <c r="F157" i="15" s="1"/>
  <c r="E158" i="15" s="1" a="1"/>
  <c r="E158" i="15" s="1"/>
  <c r="F158" i="15" s="1"/>
  <c r="E159" i="15" s="1" a="1"/>
  <c r="E159" i="15" s="1"/>
  <c r="F159" i="15" s="1"/>
  <c r="E160" i="15" s="1" a="1"/>
  <c r="E160" i="15" s="1"/>
  <c r="F160" i="15" s="1"/>
  <c r="E192" i="15" s="1" a="1"/>
  <c r="E192" i="15" s="1"/>
  <c r="F192" i="15" s="1"/>
  <c r="E201" i="15" s="1" a="1"/>
  <c r="E201" i="15" s="1"/>
  <c r="F201" i="15" s="1"/>
  <c r="E206" i="15" s="1" a="1"/>
  <c r="E206" i="15" s="1"/>
  <c r="F206" i="15" s="1"/>
  <c r="E208" i="15" s="1" a="1"/>
  <c r="E208" i="15" s="1"/>
  <c r="F208" i="15" s="1"/>
  <c r="E189" i="15" a="1"/>
  <c r="E189" i="15" s="1"/>
  <c r="F189" i="15" s="1"/>
  <c r="E195" i="15" s="1" a="1"/>
  <c r="E195" i="15" s="1"/>
  <c r="F195" i="15" s="1"/>
  <c r="E27" i="15" a="1"/>
  <c r="E27" i="15" s="1"/>
  <c r="F27" i="15" s="1"/>
  <c r="E47" i="15" s="1" a="1"/>
  <c r="E47" i="15" s="1"/>
  <c r="F47" i="15" s="1"/>
  <c r="E64" i="15" s="1" a="1"/>
  <c r="E64" i="15" s="1"/>
  <c r="F64" i="15" s="1"/>
  <c r="E80" i="15" s="1" a="1"/>
  <c r="E80" i="15" s="1"/>
  <c r="F80" i="15" s="1"/>
  <c r="E94" i="15" s="1" a="1"/>
  <c r="E94" i="15" s="1"/>
  <c r="F94" i="15" s="1"/>
  <c r="E106" i="15" s="1" a="1"/>
  <c r="E106" i="15" s="1"/>
  <c r="F106" i="15" s="1"/>
  <c r="E117" i="15" s="1" a="1"/>
  <c r="E117" i="15" s="1"/>
  <c r="F117" i="15" s="1"/>
  <c r="E30" i="15" a="1"/>
  <c r="E30" i="15" s="1"/>
  <c r="F30" i="15" s="1"/>
  <c r="E50" i="15" s="1" a="1"/>
  <c r="E50" i="15" s="1"/>
  <c r="F50" i="15" s="1"/>
  <c r="E67" i="15" s="1" a="1"/>
  <c r="E67" i="15" s="1"/>
  <c r="F67" i="15" s="1"/>
  <c r="E32" i="15" a="1"/>
  <c r="E32" i="15" s="1"/>
  <c r="F32" i="15" s="1"/>
  <c r="E52" i="15" s="1" a="1"/>
  <c r="E52" i="15" s="1"/>
  <c r="F52" i="15" s="1"/>
  <c r="E69" i="15" s="1" a="1"/>
  <c r="E69" i="15" s="1"/>
  <c r="F69" i="15" s="1"/>
  <c r="E84" i="15" s="1" a="1"/>
  <c r="E84" i="15" s="1"/>
  <c r="F84" i="15" s="1"/>
  <c r="E98" i="15" s="1" a="1"/>
  <c r="E98" i="15" s="1"/>
  <c r="F98" i="15" s="1"/>
  <c r="E110" i="15" s="1" a="1"/>
  <c r="E110" i="15" s="1"/>
  <c r="F110" i="15" s="1"/>
  <c r="E121" i="15" s="1" a="1"/>
  <c r="E121" i="15" s="1"/>
  <c r="F121" i="15" s="1"/>
  <c r="E129" i="15" s="1" a="1"/>
  <c r="E129" i="15" s="1"/>
  <c r="F129" i="15" s="1"/>
  <c r="E136" i="15" s="1" a="1"/>
  <c r="E136" i="15" s="1"/>
  <c r="F136" i="15" s="1"/>
  <c r="E34" i="15" a="1"/>
  <c r="E34" i="15" s="1"/>
  <c r="F34" i="15" s="1"/>
  <c r="E36" i="15" a="1"/>
  <c r="E36" i="15" s="1"/>
  <c r="F36" i="15" s="1"/>
  <c r="E56" i="15" s="1" a="1"/>
  <c r="E56" i="15" s="1"/>
  <c r="F56" i="15" s="1"/>
  <c r="E73" i="15" s="1" a="1"/>
  <c r="E73" i="15" s="1"/>
  <c r="F73" i="15" s="1"/>
  <c r="E38" i="15" a="1"/>
  <c r="E38" i="15" s="1"/>
  <c r="F38" i="15" s="1"/>
  <c r="E58" i="15" s="1" a="1"/>
  <c r="E58" i="15" s="1"/>
  <c r="F58" i="15" s="1"/>
  <c r="E75" i="15" s="1" a="1"/>
  <c r="E75" i="15" s="1"/>
  <c r="F75" i="15" s="1"/>
  <c r="E89" i="15" s="1" a="1"/>
  <c r="E89" i="15" s="1"/>
  <c r="F89" i="15" s="1"/>
  <c r="E102" i="15" s="1" a="1"/>
  <c r="E102" i="15" s="1"/>
  <c r="F102" i="15" s="1"/>
  <c r="E114" i="15" s="1" a="1"/>
  <c r="E114" i="15" s="1"/>
  <c r="F114" i="15" s="1"/>
  <c r="E125" i="15" s="1" a="1"/>
  <c r="E125" i="15" s="1"/>
  <c r="F125" i="15" s="1"/>
  <c r="E40" i="15" a="1"/>
  <c r="E40" i="15" s="1"/>
  <c r="F40" i="15" s="1"/>
  <c r="E60" i="15" s="1" a="1"/>
  <c r="E60" i="15" s="1"/>
  <c r="F60" i="15" s="1"/>
  <c r="E77" i="15" s="1" a="1"/>
  <c r="E77" i="15" s="1"/>
  <c r="F77" i="15" s="1"/>
  <c r="E91" i="15" s="1" a="1"/>
  <c r="E91" i="15" s="1"/>
  <c r="F91" i="15" s="1"/>
  <c r="E104" i="15" s="1" a="1"/>
  <c r="E104" i="15" s="1"/>
  <c r="F104" i="15" s="1"/>
  <c r="E42" i="15" a="1"/>
  <c r="E42" i="15" s="1"/>
  <c r="F42" i="15" s="1"/>
  <c r="E44" i="15" a="1"/>
  <c r="E44" i="15" s="1"/>
  <c r="F44" i="15" s="1"/>
  <c r="E54" i="15" a="1"/>
  <c r="E54" i="15" s="1"/>
  <c r="F54" i="15" s="1"/>
  <c r="E71" i="15" s="1" a="1"/>
  <c r="E71" i="15" s="1"/>
  <c r="F71" i="15" s="1"/>
  <c r="E86" i="15" s="1" a="1"/>
  <c r="E86" i="15" s="1"/>
  <c r="F86" i="15" s="1"/>
  <c r="E99" i="15" s="1" a="1"/>
  <c r="E99" i="15" s="1"/>
  <c r="F99" i="15" s="1"/>
  <c r="E111" i="15" s="1" a="1"/>
  <c r="E111" i="15" s="1"/>
  <c r="F111" i="15" s="1"/>
  <c r="E122" i="15" s="1" a="1"/>
  <c r="E122" i="15" s="1"/>
  <c r="F122" i="15" s="1"/>
  <c r="E130" i="15" s="1" a="1"/>
  <c r="E130" i="15" s="1"/>
  <c r="F130" i="15" s="1"/>
  <c r="E143" i="15" a="1"/>
  <c r="E143" i="15" s="1"/>
  <c r="F143" i="15" s="1"/>
  <c r="E144" i="15" s="1" a="1"/>
  <c r="E144" i="15" s="1"/>
  <c r="F144" i="15" s="1"/>
  <c r="E145" i="15" s="1" a="1"/>
  <c r="E145" i="15" s="1"/>
  <c r="F145" i="15" s="1"/>
  <c r="E146" i="15" s="1" a="1"/>
  <c r="E146" i="15" s="1"/>
  <c r="F146" i="15" s="1"/>
  <c r="E147" i="15" s="1" a="1"/>
  <c r="E147" i="15" s="1"/>
  <c r="F147" i="15" s="1"/>
  <c r="E148" i="15" s="1" a="1"/>
  <c r="E148" i="15" s="1"/>
  <c r="F148" i="15" s="1"/>
  <c r="E149" i="15" s="1" a="1"/>
  <c r="E149" i="15" s="1"/>
  <c r="F149" i="15" s="1"/>
  <c r="E150" i="15" s="1" a="1"/>
  <c r="E150" i="15" s="1"/>
  <c r="F150" i="15" s="1"/>
  <c r="E151" i="15" s="1" a="1"/>
  <c r="E151" i="15" s="1"/>
  <c r="F151" i="15" s="1"/>
  <c r="E152" i="15" s="1" a="1"/>
  <c r="E152" i="15" s="1"/>
  <c r="F152" i="15" s="1"/>
  <c r="E191" i="15" s="1" a="1"/>
  <c r="E191" i="15" s="1"/>
  <c r="F191" i="15" s="1"/>
  <c r="E197" i="15" s="1" a="1"/>
  <c r="E197" i="15" s="1"/>
  <c r="F197" i="15" s="1"/>
  <c r="E202" i="15" s="1" a="1"/>
  <c r="E202" i="15" s="1"/>
  <c r="F202" i="15" s="1"/>
  <c r="E207" i="15" s="1" a="1"/>
  <c r="E207" i="15" s="1"/>
  <c r="F207" i="15" s="1"/>
  <c r="E212" i="15" a="1"/>
  <c r="E212" i="15" s="1"/>
  <c r="F212" i="15" s="1"/>
  <c r="S2" i="3"/>
  <c r="O2" i="3" s="1"/>
  <c r="G2" i="15"/>
  <c r="E62" i="15" l="1" a="1"/>
  <c r="E62" i="15" s="1"/>
  <c r="F62" i="15" s="1"/>
  <c r="U3" i="3"/>
  <c r="R2" i="3"/>
  <c r="I1" i="26" s="1" a="1"/>
  <c r="I1" i="26" s="1"/>
  <c r="J135" i="15"/>
  <c r="L4" i="3"/>
  <c r="N1" i="25" l="1" a="1"/>
  <c r="A1" i="26" a="1"/>
  <c r="A3" i="33" a="1"/>
  <c r="L5" i="3" a="1"/>
  <c r="L5" i="3" s="1"/>
  <c r="K4" i="25"/>
  <c r="K2" i="3"/>
  <c r="N4" i="3"/>
  <c r="K4" i="32"/>
  <c r="M14" i="3"/>
  <c r="A1" i="26" l="1"/>
  <c r="A3" i="33"/>
  <c r="A118" i="25" a="1"/>
  <c r="N1" i="25"/>
  <c r="A6" i="25" s="1" a="1"/>
  <c r="A62" i="25" a="1"/>
  <c r="Q1" i="25"/>
  <c r="B12" i="3"/>
  <c r="A3" i="32" a="1"/>
  <c r="A3" i="32" s="1"/>
  <c r="I2" i="25"/>
  <c r="H1" i="32"/>
  <c r="A62" i="25" l="1"/>
  <c r="A118" i="25"/>
  <c r="A6" i="25"/>
  <c r="B6" i="25" s="1" a="1"/>
  <c r="G62" i="25" a="1"/>
  <c r="B62" i="25" a="1"/>
  <c r="F62" i="25" a="1"/>
  <c r="D62" i="25" a="1"/>
  <c r="C62" i="25" l="1" a="1"/>
  <c r="C62" i="25" s="1"/>
  <c r="A61" i="25"/>
  <c r="C118" i="25" a="1"/>
  <c r="F118" i="25" a="1"/>
  <c r="D6" i="25" a="1"/>
  <c r="F6" i="25" a="1"/>
  <c r="G118" i="25" a="1"/>
  <c r="B118" i="25" a="1"/>
  <c r="B6" i="25"/>
  <c r="C6" i="25" a="1"/>
  <c r="G6" i="25" a="1"/>
  <c r="A117" i="25"/>
  <c r="D118" i="25" a="1"/>
  <c r="G62" i="25"/>
  <c r="B62" i="25"/>
  <c r="F62" i="25"/>
  <c r="D62" i="25"/>
  <c r="C118" i="25" l="1"/>
  <c r="F118" i="25"/>
  <c r="B118" i="25"/>
  <c r="D6" i="25"/>
  <c r="F6" i="25"/>
  <c r="G118" i="25"/>
  <c r="C6" i="25"/>
  <c r="G6" i="25"/>
  <c r="D118" i="25"/>
  <c r="E118" i="25" s="1" a="1"/>
  <c r="I62" i="25" a="1"/>
  <c r="E62" i="25" a="1"/>
  <c r="I118" i="25" l="1" a="1"/>
  <c r="E118" i="25"/>
  <c r="H118" i="25" s="1" a="1"/>
  <c r="K148" i="25" s="1" a="1"/>
  <c r="K148" i="25" s="1"/>
  <c r="I118" i="25"/>
  <c r="I62" i="25"/>
  <c r="E6" i="25" a="1"/>
  <c r="I6" i="25" a="1"/>
  <c r="J13" i="3" a="1"/>
  <c r="J13" i="3" s="1"/>
  <c r="E62" i="25"/>
  <c r="H62" i="25" s="1" a="1"/>
  <c r="H118" i="25" l="1"/>
  <c r="E6" i="25"/>
  <c r="H6" i="25" s="1" a="1"/>
  <c r="I6" i="25"/>
  <c r="H62" i="25"/>
  <c r="H6" i="25" l="1"/>
  <c r="I57" i="25" a="1"/>
  <c r="I57" i="25" s="1"/>
  <c r="I61" i="25" s="1"/>
  <c r="I113" i="25" s="1" a="1"/>
  <c r="I113" i="25" s="1"/>
  <c r="I117" i="25" s="1"/>
  <c r="I163" i="25" s="1" a="1"/>
  <c r="I163" i="25" s="1"/>
  <c r="I164" i="25" a="1"/>
  <c r="I164" i="25" s="1"/>
  <c r="H57" i="25" l="1" a="1"/>
  <c r="H57" i="25" s="1"/>
  <c r="H164" i="25" a="1"/>
  <c r="H164" i="25" s="1"/>
  <c r="I165" i="25"/>
  <c r="J12" i="3" s="1"/>
  <c r="J14" i="3" s="1"/>
  <c r="H61" i="25" l="1"/>
  <c r="H113" i="25" s="1" a="1"/>
  <c r="H113" i="25" s="1"/>
  <c r="H117" i="25" s="1"/>
  <c r="O14" i="3"/>
  <c r="J23" i="3"/>
  <c r="N14" i="3"/>
  <c r="K147" i="25" l="1"/>
  <c r="K150" i="25" s="1"/>
  <c r="H163" i="25" a="1"/>
  <c r="H163" i="25" s="1"/>
  <c r="J141" i="15"/>
  <c r="J140" i="15"/>
  <c r="J137" i="15"/>
  <c r="J139" i="15"/>
  <c r="J138" i="15"/>
  <c r="H165" i="25" l="1"/>
  <c r="J195" i="15"/>
  <c r="J196" i="15"/>
  <c r="J132" i="15"/>
  <c r="J134" i="15"/>
  <c r="J136" i="15"/>
  <c r="J121" i="15" l="1"/>
  <c r="J120" i="15"/>
  <c r="J131" i="15"/>
  <c r="J130" i="15" l="1"/>
  <c r="J123" i="15" l="1"/>
  <c r="J191" i="15" l="1"/>
  <c r="J192" i="15"/>
  <c r="J193" i="15"/>
  <c r="J194" i="15"/>
  <c r="J113" i="15"/>
  <c r="J114" i="15"/>
  <c r="J115" i="15"/>
  <c r="J117" i="15"/>
  <c r="J118" i="15"/>
  <c r="J129" i="15"/>
  <c r="J128" i="15"/>
  <c r="J127" i="15"/>
  <c r="J125" i="15"/>
  <c r="J124" i="15"/>
  <c r="J119" i="15"/>
  <c r="J110" i="15" l="1"/>
  <c r="J112" i="15" l="1"/>
  <c r="J111" i="15" l="1"/>
  <c r="J151" i="15" l="1"/>
  <c r="J108" i="15"/>
  <c r="J107" i="15" l="1"/>
  <c r="J104" i="15" l="1"/>
  <c r="J103" i="15"/>
  <c r="J102" i="15" l="1"/>
  <c r="J109" i="15" l="1"/>
  <c r="J190" i="15"/>
  <c r="J101" i="15"/>
  <c r="J100" i="15" l="1"/>
  <c r="J99" i="15"/>
  <c r="J96" i="15" l="1"/>
  <c r="J82" i="15" l="1"/>
  <c r="J91" i="15"/>
  <c r="J77" i="15"/>
  <c r="J89" i="15"/>
  <c r="J90" i="15"/>
  <c r="J92" i="15"/>
  <c r="J78" i="15"/>
  <c r="J60" i="15" l="1"/>
  <c r="J66" i="15"/>
  <c r="J61" i="15"/>
  <c r="J62" i="15"/>
  <c r="J41" i="15" l="1"/>
  <c r="J42" i="15"/>
  <c r="J43" i="15"/>
  <c r="J44" i="15"/>
  <c r="J45" i="15"/>
  <c r="J23" i="15" l="1"/>
  <c r="J24" i="15" l="1"/>
  <c r="J20" i="15"/>
  <c r="J19" i="15"/>
  <c r="J22" i="15" l="1"/>
  <c r="J18" i="15"/>
  <c r="J21" i="15"/>
  <c r="J186" i="15" l="1"/>
  <c r="J122" i="15"/>
  <c r="J152" i="15" l="1"/>
  <c r="J160" i="15"/>
  <c r="J169" i="15"/>
  <c r="J181" i="15"/>
  <c r="J106" i="15"/>
  <c r="J133" i="15"/>
  <c r="J40" i="15"/>
  <c r="J76" i="15"/>
  <c r="J75" i="15"/>
  <c r="J88" i="15"/>
  <c r="J87" i="15"/>
  <c r="J86" i="15"/>
  <c r="J95" i="15"/>
  <c r="J126" i="15" l="1"/>
  <c r="J189" i="15" l="1"/>
  <c r="J58" i="15"/>
  <c r="J85" i="15" l="1"/>
  <c r="J17" i="15"/>
  <c r="J59" i="15" l="1"/>
  <c r="J74" i="15" l="1"/>
  <c r="J73" i="15" l="1"/>
  <c r="J72" i="15" l="1"/>
  <c r="J71" i="15" l="1"/>
  <c r="J185" i="15" l="1"/>
  <c r="J84" i="15"/>
  <c r="J97" i="15" l="1"/>
  <c r="J49" i="15" l="1"/>
  <c r="J81" i="15" l="1"/>
  <c r="J94" i="15"/>
  <c r="J159" i="15" l="1"/>
  <c r="J180" i="15"/>
  <c r="J168" i="15"/>
  <c r="J80" i="15" l="1"/>
  <c r="J54" i="15"/>
  <c r="J65" i="15"/>
  <c r="J57" i="15"/>
  <c r="J83" i="15"/>
  <c r="J184" i="15"/>
  <c r="J158" i="15"/>
  <c r="J179" i="15"/>
  <c r="J39" i="15"/>
  <c r="J69" i="15"/>
  <c r="J55" i="15"/>
  <c r="J150" i="15"/>
  <c r="J56" i="15"/>
  <c r="J70" i="15"/>
  <c r="J38" i="15"/>
  <c r="J116" i="15"/>
  <c r="J167" i="15"/>
  <c r="J29" i="15" l="1"/>
  <c r="J166" i="15" l="1"/>
  <c r="J105" i="15"/>
  <c r="J15" i="15"/>
  <c r="J53" i="15"/>
  <c r="J36" i="15"/>
  <c r="J188" i="15"/>
  <c r="J149" i="15"/>
  <c r="J35" i="15"/>
  <c r="J52" i="15"/>
  <c r="J16" i="15"/>
  <c r="J178" i="15"/>
  <c r="J157" i="15"/>
  <c r="J187" i="15"/>
  <c r="J183" i="15"/>
  <c r="J68" i="15"/>
  <c r="J37" i="15"/>
  <c r="J48" i="15"/>
  <c r="J34" i="15"/>
  <c r="J64" i="15"/>
  <c r="J32" i="15" l="1"/>
  <c r="J33" i="15"/>
  <c r="J11" i="15"/>
  <c r="J12" i="15"/>
  <c r="J13" i="15"/>
  <c r="J14" i="15"/>
  <c r="J182" i="15"/>
  <c r="J148" i="15" l="1"/>
  <c r="J165" i="15"/>
  <c r="J93" i="15"/>
  <c r="J177" i="15"/>
  <c r="J47" i="15"/>
  <c r="J28" i="15"/>
  <c r="J67" i="15"/>
  <c r="J51" i="15"/>
  <c r="J5" i="15" l="1"/>
  <c r="J10" i="15"/>
  <c r="J9" i="15"/>
  <c r="J31" i="15"/>
  <c r="J147" i="15"/>
  <c r="J164" i="15"/>
  <c r="J79" i="15"/>
  <c r="J176" i="15"/>
  <c r="J27" i="15"/>
  <c r="J50" i="15"/>
  <c r="J4" i="15"/>
  <c r="J8" i="15"/>
  <c r="J30" i="15" l="1"/>
  <c r="J175" i="15" l="1"/>
  <c r="J146" i="15" l="1"/>
  <c r="J163" i="15" l="1"/>
  <c r="J63" i="15"/>
  <c r="J46" i="15"/>
  <c r="J162" i="15"/>
  <c r="J145" i="15"/>
  <c r="J2" i="15" l="1"/>
  <c r="J7" i="15"/>
  <c r="J6" i="15"/>
  <c r="J156" i="15"/>
  <c r="J174" i="15"/>
  <c r="J26" i="15" l="1"/>
  <c r="J144" i="15" l="1"/>
  <c r="J155" i="15"/>
  <c r="J173" i="15"/>
  <c r="J161" i="15"/>
  <c r="J172" i="15"/>
  <c r="J25" i="15"/>
  <c r="J3" i="15"/>
  <c r="J98" i="15"/>
  <c r="J143" i="15" l="1"/>
  <c r="J154" i="15"/>
  <c r="J153" i="15" l="1"/>
  <c r="J170" i="15"/>
  <c r="J171" i="15"/>
  <c r="M12" i="3" l="1"/>
  <c r="J142" i="15"/>
  <c r="K2" i="15" s="1" a="1"/>
  <c r="K2" i="15" s="1"/>
  <c r="O12" i="3" l="1"/>
  <c r="N1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DD95DC-01E9-45CD-ADA4-48A7FE8507A9}" keepAlive="1" name="Query - 00_SPP2 Taseron Sozlesmeleri" description="Connection to the '00_SPP2 Taseron Sozlesmeleri' query in the workbook." type="5" refreshedVersion="0" background="1" saveData="1">
    <dbPr connection="Provider=Microsoft.Mashup.OleDb.1;Data Source=$Workbook$;Location=&quot;00_SPP2 Taseron Sozlesmeleri&quot;;Extended Properties=&quot;&quot;" command="SELECT * FROM [00_SPP2 Taseron Sozlesmeleri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<sst xmlns="http://schemas.openxmlformats.org/spreadsheetml/2006/main" count="23253" uniqueCount="1460">
  <si>
    <t xml:space="preserve">Kolin Construction, Tourism, Industry and Trading Co. Inc.
 Kolin İnşaat, Turizm, Sənaye və Ticarət Co. Inc. </t>
  </si>
  <si>
    <t>Contract No</t>
  </si>
  <si>
    <t>IPC No</t>
  </si>
  <si>
    <t xml:space="preserve"> Interim Payment Certificate
Müvəqqəti Ödəniş Şəhadətnaməsi</t>
  </si>
  <si>
    <t>A</t>
  </si>
  <si>
    <t>B</t>
  </si>
  <si>
    <t>D</t>
  </si>
  <si>
    <t xml:space="preserve">No  </t>
  </si>
  <si>
    <t>Description of the Work
İşin təsviri</t>
  </si>
  <si>
    <t>Unit
Vahid</t>
  </si>
  <si>
    <t>Subcontractor
Subpodratçı</t>
  </si>
  <si>
    <t xml:space="preserve">Invoice Period (Start):
Faktura müddəti (başlanğıc): </t>
  </si>
  <si>
    <t>Invoice Period (Finish):
Faktura müddəti (Son):</t>
  </si>
  <si>
    <t>Commencement Date:
Başlanğıc tarixi:</t>
  </si>
  <si>
    <t>Completion Date:
Bitmə tarixi:</t>
  </si>
  <si>
    <t>Contract Type (Subc.):
Müqavilənin növü (Subp.):</t>
  </si>
  <si>
    <t>Contract Value:
Müqavilənin dəyəri:</t>
  </si>
  <si>
    <t xml:space="preserve">Cumulative Value of The Previous Payment :
Öncəki ödənişlərin ümumi dəyəri: </t>
  </si>
  <si>
    <t>C</t>
  </si>
  <si>
    <t>E</t>
  </si>
  <si>
    <t xml:space="preserve">Subcontractor
Subpodratçı    </t>
  </si>
  <si>
    <r>
      <t xml:space="preserve">Unit Price </t>
    </r>
    <r>
      <rPr>
        <sz val="9"/>
        <rFont val="Times New Roman"/>
        <family val="1"/>
        <charset val="162"/>
      </rPr>
      <t>Vahidin qiyməti</t>
    </r>
  </si>
  <si>
    <r>
      <rPr>
        <b/>
        <sz val="14"/>
        <rFont val="Times New Roman"/>
        <family val="1"/>
        <charset val="162"/>
      </rPr>
      <t>Deductions</t>
    </r>
    <r>
      <rPr>
        <b/>
        <sz val="12"/>
        <rFont val="Times New Roman"/>
        <family val="1"/>
        <charset val="162"/>
      </rPr>
      <t xml:space="preserve">
Çıxılmalar</t>
    </r>
  </si>
  <si>
    <r>
      <rPr>
        <sz val="12"/>
        <rFont val="Times New Roman"/>
        <family val="1"/>
        <charset val="162"/>
      </rPr>
      <t>Advance Payment:</t>
    </r>
    <r>
      <rPr>
        <sz val="11"/>
        <rFont val="Times New Roman"/>
        <family val="1"/>
        <charset val="162"/>
      </rPr>
      <t xml:space="preserve">
Avans ödənişi:</t>
    </r>
  </si>
  <si>
    <r>
      <rPr>
        <sz val="12"/>
        <rFont val="Times New Roman"/>
        <family val="1"/>
        <charset val="162"/>
      </rPr>
      <t>On Site Deductions (Lunch,fuel,etc):</t>
    </r>
    <r>
      <rPr>
        <sz val="11"/>
        <rFont val="Times New Roman"/>
        <family val="1"/>
        <charset val="162"/>
      </rPr>
      <t xml:space="preserve">
</t>
    </r>
    <r>
      <rPr>
        <sz val="10"/>
        <rFont val="Times New Roman"/>
        <family val="1"/>
        <charset val="162"/>
      </rPr>
      <t>Sahə üzrə çıxılmalar (Yemək, yanacaq və s.)</t>
    </r>
  </si>
  <si>
    <r>
      <rPr>
        <sz val="12"/>
        <rFont val="Times New Roman"/>
        <family val="1"/>
        <charset val="162"/>
      </rPr>
      <t>Delay Penalties:</t>
    </r>
    <r>
      <rPr>
        <sz val="11"/>
        <rFont val="Times New Roman"/>
        <family val="1"/>
        <charset val="162"/>
      </rPr>
      <t xml:space="preserve">
Yubanmaya görə cərimələr:</t>
    </r>
  </si>
  <si>
    <r>
      <rPr>
        <sz val="12"/>
        <rFont val="Times New Roman"/>
        <family val="1"/>
        <charset val="162"/>
      </rPr>
      <t>Retention:</t>
    </r>
    <r>
      <rPr>
        <sz val="11"/>
        <rFont val="Times New Roman"/>
        <family val="1"/>
        <charset val="162"/>
      </rPr>
      <t xml:space="preserve">
Saxlanılma:</t>
    </r>
  </si>
  <si>
    <r>
      <rPr>
        <sz val="12"/>
        <rFont val="Times New Roman"/>
        <family val="1"/>
        <charset val="162"/>
      </rPr>
      <t>Others:</t>
    </r>
    <r>
      <rPr>
        <sz val="11"/>
        <rFont val="Times New Roman"/>
        <family val="1"/>
        <charset val="162"/>
      </rPr>
      <t xml:space="preserve">
Digərləri:</t>
    </r>
  </si>
  <si>
    <r>
      <rPr>
        <b/>
        <sz val="12"/>
        <rFont val="Times New Roman"/>
        <family val="1"/>
        <charset val="162"/>
      </rPr>
      <t>Total Amount (Deductions):</t>
    </r>
    <r>
      <rPr>
        <b/>
        <sz val="11"/>
        <rFont val="Times New Roman"/>
        <family val="1"/>
        <charset val="162"/>
      </rPr>
      <t xml:space="preserve">
Cəmi (Çıxılmalar):</t>
    </r>
  </si>
  <si>
    <t>Previous Quantity
Önceki Kəmiyyət</t>
  </si>
  <si>
    <t>Current Quantity
Hazirki Kəmiyyət</t>
  </si>
  <si>
    <t>Total Quantity
Ümumi Kəmiyyət</t>
  </si>
  <si>
    <t>…... / …... / 202…..</t>
  </si>
  <si>
    <t>Project :
Layihə:</t>
  </si>
  <si>
    <t xml:space="preserve">Subcontractor:
Subpodratçı:  </t>
  </si>
  <si>
    <t>Scope of Work:
İşin həcmi:</t>
  </si>
  <si>
    <t>Payment Table
 Ödəniş cədvəli</t>
  </si>
  <si>
    <t>E = C x D</t>
  </si>
  <si>
    <t>F = B x D</t>
  </si>
  <si>
    <t>Unit Price
Vahidin dəyəri</t>
  </si>
  <si>
    <t>Current Amount 
Hazırki Məbləğ</t>
  </si>
  <si>
    <t>Amount
Məbləğ</t>
  </si>
  <si>
    <t>Kolin Construction, Tourism, Industry and Trading Co. Inc.
 Kolin İnşaat, Turizm, Sənaye və Ticarət Co. Inc.</t>
  </si>
  <si>
    <t>Interim Payment Certificate (IPC)
Müvəqqəti Ödəniş Şəhadətnaməsi</t>
  </si>
  <si>
    <t>Approved by: Project Manager
Təsdiqləyən şəxs: Layihə Rəhbəri</t>
  </si>
  <si>
    <t>TEOMAN ULUDAĞ</t>
  </si>
  <si>
    <t>Technical Office Manager 
Texniki Şöbə Rəhbəri</t>
  </si>
  <si>
    <t>Site Manager
Sahə Rəhbəri</t>
  </si>
  <si>
    <t xml:space="preserve">ERDİNÇ DELİBAŞI
</t>
  </si>
  <si>
    <t>Department Chief
Bölmə Şefi</t>
  </si>
  <si>
    <t>ay</t>
  </si>
  <si>
    <t>Aylıq Ücret</t>
  </si>
  <si>
    <t>Elave Ücret</t>
  </si>
  <si>
    <t>gün</t>
  </si>
  <si>
    <t>Hakan Alkan</t>
  </si>
  <si>
    <t>Monitorinq Xidməti</t>
  </si>
  <si>
    <t>Su Testi</t>
  </si>
  <si>
    <t>Kaynak Testi</t>
  </si>
  <si>
    <t>Armatür Test (Tensile st., Yield st., Elangation)</t>
  </si>
  <si>
    <t>Ultrasonic Pulse Echo (Betonarme)</t>
  </si>
  <si>
    <t>Armatür Test (Bend)</t>
  </si>
  <si>
    <t>Construction of the facilities and buildings, storages, and other structures, including roads and all industrial utilities for establishment of “Sitalchay 2” Production Plant</t>
  </si>
  <si>
    <t>Pull-Out for Paint</t>
  </si>
  <si>
    <t>Tensile testing of embedded rebar</t>
  </si>
  <si>
    <t>CASPIAN ENGINEERING SOLUTIONS MMC</t>
  </si>
  <si>
    <t>Contract and Progress Payment Chief 
Ödəniş Sertifikatı Üzrə Məsul şəxs</t>
  </si>
  <si>
    <t>MEHMET TEVFİK ÇELİKKOL</t>
  </si>
  <si>
    <t>TURGAY BAL</t>
  </si>
  <si>
    <t>ID</t>
  </si>
  <si>
    <t>#</t>
  </si>
  <si>
    <t>Discipline code</t>
  </si>
  <si>
    <t>CW</t>
  </si>
  <si>
    <t>Contract no:</t>
  </si>
  <si>
    <t>No</t>
  </si>
  <si>
    <t>IPC no</t>
  </si>
  <si>
    <t>Commencement Date</t>
  </si>
  <si>
    <t>contract no</t>
  </si>
  <si>
    <t>start</t>
  </si>
  <si>
    <t>no</t>
  </si>
  <si>
    <t>Subcontractor</t>
  </si>
  <si>
    <t>Scope of Work</t>
  </si>
  <si>
    <t>unit</t>
  </si>
  <si>
    <t>ipc no</t>
  </si>
  <si>
    <t>price description</t>
  </si>
  <si>
    <t>month</t>
  </si>
  <si>
    <t>quantity</t>
  </si>
  <si>
    <t>plate no</t>
  </si>
  <si>
    <t>addendum</t>
  </si>
  <si>
    <t>is active</t>
  </si>
  <si>
    <t>conctract no</t>
  </si>
  <si>
    <t>əd</t>
  </si>
  <si>
    <t>44 KVA (YT22100145)</t>
  </si>
  <si>
    <t>110 KVA (YT19105911)</t>
  </si>
  <si>
    <t>75 KVA (YT21225224)</t>
  </si>
  <si>
    <t>50 KVA (YT05103727)</t>
  </si>
  <si>
    <t>70 KVA</t>
  </si>
  <si>
    <t>490 KVA (EA20A100709)</t>
  </si>
  <si>
    <t>75 KVA (YT24124975)</t>
  </si>
  <si>
    <t>44 KVA Bakım Ücreti</t>
  </si>
  <si>
    <t>110 KVA Bakım Ücreti</t>
  </si>
  <si>
    <t>50 KVA Bakım Ücreti</t>
  </si>
  <si>
    <t>70 KVA Bakım Ücreti</t>
  </si>
  <si>
    <t>490 KVA Bakim Ucreti</t>
  </si>
  <si>
    <t>AKSA AD 330 KVA</t>
  </si>
  <si>
    <t>330 KVA Bakim Ucreti</t>
  </si>
  <si>
    <t>EQ</t>
  </si>
  <si>
    <t>HİLAL LTD</t>
  </si>
  <si>
    <t>Jenerator Hizmeti</t>
  </si>
  <si>
    <t>NAR TRANSPORT SERVICES MMC</t>
  </si>
  <si>
    <t>AKKOL HAZIR YEMEK SAN. TIC. AS</t>
  </si>
  <si>
    <t>LOFT CONSTRUCTION</t>
  </si>
  <si>
    <t>INTERMAK GROUP MMC</t>
  </si>
  <si>
    <t>ETIBAR MAMMADOV</t>
  </si>
  <si>
    <t>BABEK ALBANDOV</t>
  </si>
  <si>
    <t>ELSAD QULIYEV</t>
  </si>
  <si>
    <t>IBRAHIM XALILOV</t>
  </si>
  <si>
    <t>HACIAGA KERIMOV</t>
  </si>
  <si>
    <t>KONUL HUSEYNOVA</t>
  </si>
  <si>
    <t>MAMMAD QALANDARLI</t>
  </si>
  <si>
    <t>TEYMUR ABBASOV</t>
  </si>
  <si>
    <t>MIRELEM CABBROV</t>
  </si>
  <si>
    <t>AS RT MMC</t>
  </si>
  <si>
    <t>AA</t>
  </si>
  <si>
    <t>in charge person</t>
  </si>
  <si>
    <t>description</t>
  </si>
  <si>
    <t>day count</t>
  </si>
  <si>
    <t>Rental Vehicle
Kiralıq Vasitə</t>
  </si>
  <si>
    <t>Total price</t>
  </si>
  <si>
    <t>Coeifficient Price</t>
  </si>
  <si>
    <t>99CN447</t>
  </si>
  <si>
    <t>99AS882</t>
  </si>
  <si>
    <t>99OR961</t>
  </si>
  <si>
    <t>Mazot Ödemesi (15 lt - 18 lt / 100 km)-lt</t>
  </si>
  <si>
    <t>lt</t>
  </si>
  <si>
    <t>99LT168</t>
  </si>
  <si>
    <t>99FB123</t>
  </si>
  <si>
    <t>90OV187</t>
  </si>
  <si>
    <t>77UG347</t>
  </si>
  <si>
    <t>66CC029</t>
  </si>
  <si>
    <t>77QK725</t>
  </si>
  <si>
    <t>90SL686</t>
  </si>
  <si>
    <t>77GM723</t>
  </si>
  <si>
    <t>99DX531</t>
  </si>
  <si>
    <t>15BZ942</t>
  </si>
  <si>
    <t>99BT339</t>
  </si>
  <si>
    <t>77ET143</t>
  </si>
  <si>
    <t>52BK688</t>
  </si>
  <si>
    <t>77RN868</t>
  </si>
  <si>
    <t>99TV366</t>
  </si>
  <si>
    <t>77QE133</t>
  </si>
  <si>
    <t>53BB774</t>
  </si>
  <si>
    <t>77GR998</t>
  </si>
  <si>
    <t>01CC689</t>
  </si>
  <si>
    <t>50CN929</t>
  </si>
  <si>
    <t>50BN724</t>
  </si>
  <si>
    <t>10RN527</t>
  </si>
  <si>
    <t>99HZ395</t>
  </si>
  <si>
    <t>77AT386</t>
  </si>
  <si>
    <t>90PY548</t>
  </si>
  <si>
    <t>99EM163</t>
  </si>
  <si>
    <t>77VL420</t>
  </si>
  <si>
    <t>55CB633</t>
  </si>
  <si>
    <t>50DK730</t>
  </si>
  <si>
    <t>99MN472</t>
  </si>
  <si>
    <t>99LM412</t>
  </si>
  <si>
    <t>50BD165</t>
  </si>
  <si>
    <t>90VS316</t>
  </si>
  <si>
    <t>77UR032</t>
  </si>
  <si>
    <t>99KL663</t>
  </si>
  <si>
    <t>90LS143</t>
  </si>
  <si>
    <t>90OE402</t>
  </si>
  <si>
    <t>50EF902</t>
  </si>
  <si>
    <t>77TG971</t>
  </si>
  <si>
    <t>77SR538</t>
  </si>
  <si>
    <t>99UK314</t>
  </si>
  <si>
    <t>99FO779</t>
  </si>
  <si>
    <t>21BF442</t>
  </si>
  <si>
    <t>90EC344</t>
  </si>
  <si>
    <t>50FB264</t>
  </si>
  <si>
    <t>99GZ612</t>
  </si>
  <si>
    <t>17BE358</t>
  </si>
  <si>
    <t>53BD338</t>
  </si>
  <si>
    <t>77DK884</t>
  </si>
  <si>
    <t>77PV619</t>
  </si>
  <si>
    <t>10NS184</t>
  </si>
  <si>
    <t>10ZS260</t>
  </si>
  <si>
    <t>Fuel lt/100km</t>
  </si>
  <si>
    <t>year</t>
  </si>
  <si>
    <t>SERVIS - 01CC689 - Sahə-saat</t>
  </si>
  <si>
    <t>SERVIS - 01CC689 - Sahə-tək</t>
  </si>
  <si>
    <t>SERVIS - 10NS184 - Sahə-saat</t>
  </si>
  <si>
    <t>SERVIS - 10NS184 - Sahə-tək</t>
  </si>
  <si>
    <t>SERVIS - 10RN527 - Sahə-saat</t>
  </si>
  <si>
    <t>SERVIS - 10RN527 - Sahə_v1-saat</t>
  </si>
  <si>
    <t>SERVIS - 10RN527 - Sahə-tək</t>
  </si>
  <si>
    <t>SERVIS - 10RN527 - Sahə_v1-tək</t>
  </si>
  <si>
    <t>SERVIS - 10ZS260 - Sahə-tək</t>
  </si>
  <si>
    <t>SERVIS - 15BZ942 - Sahə-saat</t>
  </si>
  <si>
    <t>SERVIS - 15BZ942 - Sahə-tək</t>
  </si>
  <si>
    <t>SERVIS - 17BE358 - Sahə-saat</t>
  </si>
  <si>
    <t>SERVIS - 17BE358 - Sahə-tək</t>
  </si>
  <si>
    <t>SERVIS - 21BF442 - Sahə-saat</t>
  </si>
  <si>
    <t>SERVIS - 21BF442 - Sahə-tək</t>
  </si>
  <si>
    <t>SERVIS - 50BD165 - Sahə-saat</t>
  </si>
  <si>
    <t>SERVIS - 50BD165 - Sahə-tək</t>
  </si>
  <si>
    <t>SERVIS - 50BN724 - Sahə-saat</t>
  </si>
  <si>
    <t>SERVIS - 50BN724 - Sahə-tək</t>
  </si>
  <si>
    <t>SERVIS - 50CN929 - Sahə-saat</t>
  </si>
  <si>
    <t>SERVIS - 50CN929 - Sahə-tək</t>
  </si>
  <si>
    <t>SERVIS - 50DK730 - Sahə-saat</t>
  </si>
  <si>
    <t>SERVIS - 50DK730 - Sahə-tək</t>
  </si>
  <si>
    <t>SERVIS - 50EF902 - Sahə-saat</t>
  </si>
  <si>
    <t>SERVIS - 50EF902 - Sahə-tək</t>
  </si>
  <si>
    <t>SERVIS - 52BK688 - Sahə-saat</t>
  </si>
  <si>
    <t>SERVIS - 52BK688 - Sahə-tək</t>
  </si>
  <si>
    <t>SERVIS - 53BB774 - Sahə-saat</t>
  </si>
  <si>
    <t>SERVIS - 53BB774 - Sahə-tək</t>
  </si>
  <si>
    <t>SERVIS - 53BD338 - Sahə-saat</t>
  </si>
  <si>
    <t>SERVIS - 53BD338 - Sahə-tək</t>
  </si>
  <si>
    <t>SERVIS - 55CB633 - Sahə-saat</t>
  </si>
  <si>
    <t>SERVIS - 55CB633 - Sahə-tək</t>
  </si>
  <si>
    <t>SERVIS - 66CC029 - Sahə-saat</t>
  </si>
  <si>
    <t>SERVIS - 66CC029 - Sahə-tək</t>
  </si>
  <si>
    <t>SERVIS - 77AT386 - Satınalma-saat</t>
  </si>
  <si>
    <t>SERVIS - 77AT386 - Satınalma-tək</t>
  </si>
  <si>
    <t>SERVIS - 77ET143 - Sahə-saat</t>
  </si>
  <si>
    <t>SERVIS - 77ET143 - Sahə-tək</t>
  </si>
  <si>
    <t>SERVIS - 77GM723 - Sahə-saat</t>
  </si>
  <si>
    <t>SERVIS - 77GM723 - Sahə-tək</t>
  </si>
  <si>
    <t>SERVIS - 77GR998 - Sahə-cüt</t>
  </si>
  <si>
    <t>SERVIS - 77GR998 - Sahə_v1-cüt</t>
  </si>
  <si>
    <t>SERVIS - 77GR998 - Sahə-saat</t>
  </si>
  <si>
    <t>SERVIS - 77GR998 - Sahə-tək</t>
  </si>
  <si>
    <t>SERVIS - 77PV619 - Satınalma-saat</t>
  </si>
  <si>
    <t>SERVIS - 77PV619 - Satınalma-tək</t>
  </si>
  <si>
    <t>SERVIS - 77QE133 - Baku-saat</t>
  </si>
  <si>
    <t>SERVIS - 77QE133 - Baku-tək</t>
  </si>
  <si>
    <t>SERVIS - 77RN868 - Baku-saat</t>
  </si>
  <si>
    <t>SERVIS - 77RN868 - Baku-tək</t>
  </si>
  <si>
    <t>SERVIS - 77SR538 - Baku-saat</t>
  </si>
  <si>
    <t>SERVIS - 77SR538 - Baku-tək</t>
  </si>
  <si>
    <t>SERVIS - 77TG971 - Sahə-saat</t>
  </si>
  <si>
    <t>SERVIS - 77TG971 - Sahə-tək</t>
  </si>
  <si>
    <t>SERVIS - 77UG347 - Sumqayıt-saat</t>
  </si>
  <si>
    <t>SERVIS - 77UG347 - Sumqayıt-tək</t>
  </si>
  <si>
    <t>SERVIS - 77UR032 - Sahə-saat</t>
  </si>
  <si>
    <t>SERVIS - 77UR032 - Sahə-tək</t>
  </si>
  <si>
    <t>SERVIS - 90EC344 - Sahə-saat</t>
  </si>
  <si>
    <t>SERVIS - 90EC344 - Sahə-tək</t>
  </si>
  <si>
    <t>SERVIS - 90LS143 - Sahə-saat</t>
  </si>
  <si>
    <t>SERVIS - 90LS143 - Sahə-tək</t>
  </si>
  <si>
    <t>SERVIS - 90OE402 - Baku-saat</t>
  </si>
  <si>
    <t>SERVIS - 90OE402 - Baku-tək</t>
  </si>
  <si>
    <t>SERVIS - 90OV187 - Baku-saat</t>
  </si>
  <si>
    <t>SERVIS - 90OV187 - Baku-tək</t>
  </si>
  <si>
    <t>SERVIS - 90PY548 - Satınalma-saat</t>
  </si>
  <si>
    <t>SERVIS - 90PY548 - Satınalma-tək</t>
  </si>
  <si>
    <t>SERVIS - 90SL686 - Aeroport-saat</t>
  </si>
  <si>
    <t>SERVIS - 90SL686 - Aeroport-tək</t>
  </si>
  <si>
    <t>SERVIS - 90VS316 - Sahə-saat</t>
  </si>
  <si>
    <t>SERVIS - 90VS316 - Sahə-tək</t>
  </si>
  <si>
    <t>SERVIS - 90YN163 - Satınalma-saat</t>
  </si>
  <si>
    <t>SERVIS - 90YN163 - Satınalma-tək</t>
  </si>
  <si>
    <t>SERVIS - 99BT339 - Sahə-cüt</t>
  </si>
  <si>
    <t>SERVIS - 99BT339 - Sahə_v1-cüt</t>
  </si>
  <si>
    <t>SERVIS - 99BT339 - Sahə-saat</t>
  </si>
  <si>
    <t>SERVIS - 99BT339 - Sahə-tək</t>
  </si>
  <si>
    <t>SERVIS - 99CN447 - Sahə-saat</t>
  </si>
  <si>
    <t>SERVIS - 99CN447 - Sahə-tək</t>
  </si>
  <si>
    <t>SERVIS - 99DX531 - Sahə-saat</t>
  </si>
  <si>
    <t>SERVIS - 99DX531 - Sahə-tək</t>
  </si>
  <si>
    <t>SERVIS - 99EM163 - Sahə-cüt</t>
  </si>
  <si>
    <t>SERVIS - 99EM163 - Sahə-saat</t>
  </si>
  <si>
    <t>SERVIS - 99EM163 - Sahə-tək</t>
  </si>
  <si>
    <t>SERVIS - 99FB123 - Baku-saat</t>
  </si>
  <si>
    <t>SERVIS - 99FB123 - Baku-tək</t>
  </si>
  <si>
    <t>SERVIS - 99FO779 - Sahə-saat</t>
  </si>
  <si>
    <t>SERVIS - 99FO779 - Sahə-tək</t>
  </si>
  <si>
    <t>SERVIS - 99GZ612 - Sahə-saat</t>
  </si>
  <si>
    <t>SERVIS - 99GZ612 - Sahə-tək</t>
  </si>
  <si>
    <t>SERVIS - 99HZ395 - Sumqayıt-saat</t>
  </si>
  <si>
    <t>SERVIS - 99HZ395 - Sumqayıt-tək</t>
  </si>
  <si>
    <t>SERVIS - 99KL663 - Sahə-saat</t>
  </si>
  <si>
    <t>SERVIS - 99KL663 - Sahə-tək</t>
  </si>
  <si>
    <t>SERVIS - 99LT168 - Baku-saat</t>
  </si>
  <si>
    <t>SERVIS - 99LT168 - Baku-tək</t>
  </si>
  <si>
    <t>SERVIS - 99MN472 - Sahə-saat</t>
  </si>
  <si>
    <t>SERVIS - 99MN472 - Sahə-tək</t>
  </si>
  <si>
    <t>SERVIS - 99OR961 - Sahə-saat</t>
  </si>
  <si>
    <t>SERVIS - 99OR961 - Sahə-tək</t>
  </si>
  <si>
    <t>SERVIS - 99TV366 - Sahə-saat</t>
  </si>
  <si>
    <t>SERVIS - 99TV366 - Sahə-tək</t>
  </si>
  <si>
    <t>SERVIS - 99UK314 - Aeroport-saat</t>
  </si>
  <si>
    <t>SERVIS - 99UK314 - Aeroport-tək</t>
  </si>
  <si>
    <t>VAQON - 99LM412 - Sahə-saat</t>
  </si>
  <si>
    <t>VAQON - 99LM412 - Sahə-tək</t>
  </si>
  <si>
    <t>ZİBİL MAŞINI - 77QK725-saat</t>
  </si>
  <si>
    <t>ZİBİL MAŞINI - 77QK725-tək</t>
  </si>
  <si>
    <t>99JE233</t>
  </si>
  <si>
    <t>110FY524 - CAT CS 56B Vərdənə (Cylinder)-tək</t>
  </si>
  <si>
    <t>110FY524 - CAT CS 56B Vərdənə (Cylinder)-cüt</t>
  </si>
  <si>
    <t>110FY524 - CAT CS 56B Vərdənə (Cylinder)-saat</t>
  </si>
  <si>
    <t>10AB468 - CAT428F Beko-Loader (Operatorlu)-tək</t>
  </si>
  <si>
    <t>10AB468 - CAT428F Beko-Loader (Operatorlu)-cüt</t>
  </si>
  <si>
    <t>10AB468 - CAT428F Beko-Loader (Operatorlu)-saat</t>
  </si>
  <si>
    <t>110FY523 - CAT CS 56B Vərdənə (Cylinder)-saat</t>
  </si>
  <si>
    <t>110FY523 - CAT CS 56B Vərdənə (Cylinder)-cüt</t>
  </si>
  <si>
    <t>10AD801 - Hyundai R380LC-9SH Ekskavator - (Operatorlu)-tək</t>
  </si>
  <si>
    <t>10AD801 - Hyundai R380LC-9SH Ekskavator - (Operatorlu)-cüt</t>
  </si>
  <si>
    <t>10AD801 - Hyundai R380LC-9SH Ekskavator - (Operatorlu)-saat</t>
  </si>
  <si>
    <t>110FY523 - CAT CS 56B Vərdənə (Cylinder)-tək</t>
  </si>
  <si>
    <t>AMBULANCE - 99AS882</t>
  </si>
  <si>
    <t>AMBULANCE - 99JE233</t>
  </si>
  <si>
    <t>110FY523</t>
  </si>
  <si>
    <t>110FY524</t>
  </si>
  <si>
    <t>R-1</t>
  </si>
  <si>
    <t>Hours</t>
  </si>
  <si>
    <t>ZİBİL MAŞINI - 77VL420 - Camp-saat</t>
  </si>
  <si>
    <t>ZİBİL MAŞINI - 77VL420 - Camp-tək</t>
  </si>
  <si>
    <t>M-1</t>
  </si>
  <si>
    <t/>
  </si>
  <si>
    <t>100km/lt</t>
  </si>
  <si>
    <t>Date</t>
  </si>
  <si>
    <t>Quantity</t>
  </si>
  <si>
    <t>R-2</t>
  </si>
  <si>
    <t>AZN</t>
  </si>
  <si>
    <t>90ZP408</t>
  </si>
  <si>
    <t>Notes</t>
  </si>
  <si>
    <t>Diğer aydan +5 gün</t>
  </si>
  <si>
    <t>Diğer aydan +6 gün</t>
  </si>
  <si>
    <t>Diğer aydan +56 saat</t>
  </si>
  <si>
    <t>Diğer aydan +9 gün</t>
  </si>
  <si>
    <t>SERVIS - 90ZP408 - Sahə-tək</t>
  </si>
  <si>
    <t>SERVIS - 90ZP408 - Sahə-saat</t>
  </si>
  <si>
    <t>7th is with 11 hours</t>
  </si>
  <si>
    <t>6th is with 11 hours</t>
  </si>
  <si>
    <t>Single</t>
  </si>
  <si>
    <t>Double</t>
  </si>
  <si>
    <t>Mayıs 25 ayından eksik odenen 2 gün ilave edilmiştir</t>
  </si>
  <si>
    <t>Mayıs 25 Düzeltme</t>
  </si>
  <si>
    <t>paid double</t>
  </si>
  <si>
    <t>for some reason gotten from 01CC969 sheet. Real value is 362.4</t>
  </si>
  <si>
    <t>Haziran ayından 40 saat mesai</t>
  </si>
  <si>
    <t>günlük sabit 7 km</t>
  </si>
  <si>
    <t>notes</t>
  </si>
  <si>
    <t>deduced 6lt per day</t>
  </si>
  <si>
    <t>deduced 9lt for 9 days</t>
  </si>
  <si>
    <t>mistakenly calculated</t>
  </si>
  <si>
    <t>added 751.5 from June 2025</t>
  </si>
  <si>
    <t>added 140 from July 2025</t>
  </si>
  <si>
    <t>km of 28th manually removed</t>
  </si>
  <si>
    <t>90YN163</t>
  </si>
  <si>
    <t>57BV285</t>
  </si>
  <si>
    <t>90RC631</t>
  </si>
  <si>
    <t>90UX686</t>
  </si>
  <si>
    <t>99DT131</t>
  </si>
  <si>
    <t>SERVIS - 57BV285 - Sahə-saat</t>
  </si>
  <si>
    <t>SERVIS - 57BV285 - Sahə-tək</t>
  </si>
  <si>
    <t>SERVIS - 90UX686 - Sahə-saat</t>
  </si>
  <si>
    <t>SERVIS - 90UX686 - Sahə-tək</t>
  </si>
  <si>
    <t>SERVIS - 99DT131 - Sahə-saat</t>
  </si>
  <si>
    <t>SERVIS - 99DT131 - Sahə-tək</t>
  </si>
  <si>
    <t>R-3</t>
  </si>
  <si>
    <t>R-4</t>
  </si>
  <si>
    <t>12l calculated</t>
  </si>
  <si>
    <t>18l calculated</t>
  </si>
  <si>
    <t>Pickup - 90RC631 - Cesan crane-tək</t>
  </si>
  <si>
    <t>Pickup - 90RC631 - Cesan crane-saat</t>
  </si>
  <si>
    <t>Pickup - 50FB264 - Kamyonet-saat</t>
  </si>
  <si>
    <t>Pickup - 50FB264 - Kamyonet-tək</t>
  </si>
  <si>
    <t>Pickup - 77DK884 - Çift Kabin (Remez)-saat</t>
  </si>
  <si>
    <t>Pickup - 77DK884 - Çift Kabin (Remez)-tək</t>
  </si>
  <si>
    <t>AMBULANCE - 99AS882-gün</t>
  </si>
  <si>
    <t>AMBULANCE - 99JE233-gün</t>
  </si>
  <si>
    <t>+8 not reason noted</t>
  </si>
  <si>
    <t>07:00</t>
  </si>
  <si>
    <t>18:00</t>
  </si>
  <si>
    <t>05:30</t>
  </si>
  <si>
    <t>02:30</t>
  </si>
  <si>
    <t>00:00</t>
  </si>
  <si>
    <t>01:55</t>
  </si>
  <si>
    <t>01:30</t>
  </si>
  <si>
    <t>05:00</t>
  </si>
  <si>
    <t>8356</t>
  </si>
  <si>
    <t>8585</t>
  </si>
  <si>
    <t>8823</t>
  </si>
  <si>
    <t>9064</t>
  </si>
  <si>
    <t>07:45</t>
  </si>
  <si>
    <t>19:00</t>
  </si>
  <si>
    <t>20:00</t>
  </si>
  <si>
    <t>21:00</t>
  </si>
  <si>
    <t>00:38</t>
  </si>
  <si>
    <t>07:57</t>
  </si>
  <si>
    <t>07:07</t>
  </si>
  <si>
    <t>07:18</t>
  </si>
  <si>
    <t>07:30</t>
  </si>
  <si>
    <t>05:16</t>
  </si>
  <si>
    <t>06:27</t>
  </si>
  <si>
    <t>06:57</t>
  </si>
  <si>
    <t>07:26</t>
  </si>
  <si>
    <t>06:48</t>
  </si>
  <si>
    <t>06:50</t>
  </si>
  <si>
    <t>00:30</t>
  </si>
  <si>
    <t>06:44</t>
  </si>
  <si>
    <t>06:34</t>
  </si>
  <si>
    <t>00:45</t>
  </si>
  <si>
    <t>06:00</t>
  </si>
  <si>
    <t>06:30</t>
  </si>
  <si>
    <t>06:38</t>
  </si>
  <si>
    <t>00:50</t>
  </si>
  <si>
    <t>19:30</t>
  </si>
  <si>
    <t>22:00</t>
  </si>
  <si>
    <t>20:59</t>
  </si>
  <si>
    <t>20:31</t>
  </si>
  <si>
    <t>20:09</t>
  </si>
  <si>
    <t>20:42</t>
  </si>
  <si>
    <t>20:30</t>
  </si>
  <si>
    <t>00:15</t>
  </si>
  <si>
    <t>06:35</t>
  </si>
  <si>
    <t>03:10</t>
  </si>
  <si>
    <t>23:00</t>
  </si>
  <si>
    <t>06:26</t>
  </si>
  <si>
    <t>06:22</t>
  </si>
  <si>
    <t>04:00</t>
  </si>
  <si>
    <t>03:00</t>
  </si>
  <si>
    <t>02:00</t>
  </si>
  <si>
    <t>09:20</t>
  </si>
  <si>
    <t>14:00</t>
  </si>
  <si>
    <t>01:00</t>
  </si>
  <si>
    <t>13:00</t>
  </si>
  <si>
    <t>time-start</t>
  </si>
  <si>
    <t>time-end</t>
  </si>
  <si>
    <t>km-start</t>
  </si>
  <si>
    <t>km-end</t>
  </si>
  <si>
    <t>deduced 4.4 from each day</t>
  </si>
  <si>
    <t>deduced 4l from each day</t>
  </si>
  <si>
    <t>deduced 6l from each day</t>
  </si>
  <si>
    <t>deduced 2l from each day</t>
  </si>
  <si>
    <t>deduced 5l from each day</t>
  </si>
  <si>
    <t>km-start-n</t>
  </si>
  <si>
    <t>km-end-n</t>
  </si>
  <si>
    <t>Kahvaltı Hizmeti Verimesi</t>
  </si>
  <si>
    <t>Öğle Yemeği Hizmeti Verilmesi</t>
  </si>
  <si>
    <t>Akşam Yemeği Hizmeti Verilmesi</t>
  </si>
  <si>
    <t>Kumanya Hizmeti Verilmesi</t>
  </si>
  <si>
    <t>ad</t>
  </si>
  <si>
    <t>Kahvaltı Hizmeti Verimesi_v1</t>
  </si>
  <si>
    <t>Öğle Yemeği Hizmeti Verilmesi_v1</t>
  </si>
  <si>
    <t>Akşam Yemeği Hizmeti Verilmesi_v1</t>
  </si>
  <si>
    <t>Kumanya Hizmeti Verilmesi_v1</t>
  </si>
  <si>
    <t>person</t>
  </si>
  <si>
    <t>Kahvaltı Hizmeti Verimesi_v2</t>
  </si>
  <si>
    <t>Öğle Yemeği Hizmeti Verilmesi_v2</t>
  </si>
  <si>
    <t>Akşam Yemeği Hizmeti Verilmesi_v2</t>
  </si>
  <si>
    <t>Gece Yemeği Hizmeti Verilmesi_v2</t>
  </si>
  <si>
    <t>Kumanya Hizmeti Verilmesi_v2</t>
  </si>
  <si>
    <t>case</t>
  </si>
  <si>
    <t>10AD801</t>
  </si>
  <si>
    <t>10AB468</t>
  </si>
  <si>
    <t>type</t>
  </si>
  <si>
    <t>61AB256</t>
  </si>
  <si>
    <t>Luigong GLG 4215D Avtoqreyder - (Operatorlu) 61 AB 256-tək</t>
  </si>
  <si>
    <t>Luigong GLG 4215D Avtoqreyder - (Operatorlu) 61 AB 256-cüt</t>
  </si>
  <si>
    <t>10 BA 194 - HELI Telehandler-tək</t>
  </si>
  <si>
    <t>10 BA 194 - HELI Telehandler-saat</t>
  </si>
  <si>
    <t>10BA194</t>
  </si>
  <si>
    <t>10 BA 857 - XCMG XC6-4517K-tək</t>
  </si>
  <si>
    <t>10 BA 857 - XCMG XC6-4517K-saat</t>
  </si>
  <si>
    <t>10BA857</t>
  </si>
  <si>
    <t>10 AC 750 - Luigong CLG Buldozer-tək</t>
  </si>
  <si>
    <t>DTS MMC</t>
  </si>
  <si>
    <t>10AC750</t>
  </si>
  <si>
    <t>10 AC 750 - Luigong CLG Buldozer-saat</t>
  </si>
  <si>
    <t>10 BC 326 - Luigong CLG Avtoqreyder-tək</t>
  </si>
  <si>
    <t>10BC326</t>
  </si>
  <si>
    <t>01-BA-176 -Doosan DH55-V Ekskavator-tək</t>
  </si>
  <si>
    <t>10 BD 252 - Liugong CLG 375A Frontal Yükləyici-tək</t>
  </si>
  <si>
    <t>01BA176</t>
  </si>
  <si>
    <t>10BD252</t>
  </si>
  <si>
    <t>77 SN 951 - Mobil Beton Pompa
Mercedes-Benz Actros 3341 model Putzmeister-tək</t>
  </si>
  <si>
    <t>77 SN 951 - Mobil Beton Pompa
Mercedes-Benz Actros 3341 model Putzmeister-saat</t>
  </si>
  <si>
    <t>77SN951</t>
  </si>
  <si>
    <t>90 VJ 454 - 53-12 Ş-DƏ ATS-3613 yanacaq çəni-tək</t>
  </si>
  <si>
    <t>90VJ454</t>
  </si>
  <si>
    <t>6&amp;7 2025</t>
  </si>
  <si>
    <t>XANIM ABDULLAYEVA</t>
  </si>
  <si>
    <t xml:space="preserve"> Kamaz Su Çəni (54 BM 823)-tək</t>
  </si>
  <si>
    <t xml:space="preserve"> Kamaz Su Çəni (54 BM 823)-saat</t>
  </si>
  <si>
    <t xml:space="preserve"> Kamaz Su Çəni (01 BT 754)-tək</t>
  </si>
  <si>
    <t xml:space="preserve"> Kamaz Su Çəni (10 MF 640)-tək</t>
  </si>
  <si>
    <t xml:space="preserve"> Kamaz Su Çəni (10 MF 640)-saat</t>
  </si>
  <si>
    <t>54BM823</t>
  </si>
  <si>
    <t>01BT754</t>
  </si>
  <si>
    <t>10MF640</t>
  </si>
  <si>
    <t>54BA209</t>
  </si>
  <si>
    <t>54 BA 209 - Hidromek HMK 200W-2 ekskavator-tək</t>
  </si>
  <si>
    <t>50 BX 301 Kamaz Su Çəni-tək</t>
  </si>
  <si>
    <t>YUSIF MAHARRAMOV</t>
  </si>
  <si>
    <t>50BX301</t>
  </si>
  <si>
    <t>50 BD 416 - KAMAZ – 5410 yük-tək</t>
  </si>
  <si>
    <t>50 BD 416 - KAMAZ – 5410 yük-saat</t>
  </si>
  <si>
    <t>50BD416</t>
  </si>
  <si>
    <t>50 BX 301 Kamaz Su Çəni-saat</t>
  </si>
  <si>
    <t>22 AB 273 -  Hitachi ZX48U-3 ekskavator-tək</t>
  </si>
  <si>
    <t>22AB273</t>
  </si>
  <si>
    <t>99 HQ 687 Kamaz Su Çəni -tək</t>
  </si>
  <si>
    <t>99 HQ 687 Kamaz Su Çəni -saat</t>
  </si>
  <si>
    <t>10 MF 640 Kamaz Su Çəni -tək</t>
  </si>
  <si>
    <t>10 MF 640 Kamaz Su Çəni -saat</t>
  </si>
  <si>
    <t>99HQ687</t>
  </si>
  <si>
    <t>Personnel Trainings</t>
  </si>
  <si>
    <t>ISO 9001:2015 Keyfiyyət İdarəetmə sistemi – Giriş Məlumatlandırma təlimi
3 gün x 9 saat</t>
  </si>
  <si>
    <t>set</t>
  </si>
  <si>
    <t>QM</t>
  </si>
  <si>
    <t>BUREAU VERITAS AZERI MMC</t>
  </si>
  <si>
    <t>QUALIFY MMC</t>
  </si>
  <si>
    <t>Inspection of Welding WPS‐A: İnce divarlar
 D=75,125,160 X 6.8, 9.5, 11 mm.</t>
  </si>
  <si>
    <t>pc</t>
  </si>
  <si>
    <t>Inspection of Welding WPS‐B: Orta qalınlıqlar
 D=200,225,280 X 18, 20.5, 25 mm.</t>
  </si>
  <si>
    <t>Inspection of Welding WPS‐C: Qalın divarlar — &gt;25 mm
 D=400 X 32 mm.</t>
  </si>
  <si>
    <t>S235 markali tikişli borunun qaynaq prosedurunun hazırlanması</t>
  </si>
  <si>
    <t>A106  markalı borunun qaynaq prosedurunun hazırlanması</t>
  </si>
  <si>
    <t>Boru qaynaqçı testlərində iştirak və sertifikatlarının hazırlanması</t>
  </si>
  <si>
    <t>MIG/MAG qaynaqçı testlərində iştirak və sertifikatlarının hazırlanması</t>
  </si>
  <si>
    <t>Materialların mexaniki və kimyəvi test raportlarının hazırlanması</t>
  </si>
  <si>
    <t>99XC106</t>
  </si>
  <si>
    <t>99XC106 
MERCEDES BENZ YUK Hi-up Kran-tək</t>
  </si>
  <si>
    <t>Truck
Dartıcı</t>
  </si>
  <si>
    <t>11BC843 - DAIMAN – dartıcı-tək</t>
  </si>
  <si>
    <t>11BC843 - DAIMAN – dartıcı-saat</t>
  </si>
  <si>
    <t>11BC843</t>
  </si>
  <si>
    <t>10V288</t>
  </si>
  <si>
    <t>Bomag roller - 10V288-tək</t>
  </si>
  <si>
    <t>Bomag roller - 10V288-saat</t>
  </si>
  <si>
    <t>Sökülmə yapıma möhkəmliyi sınağı
Dolly test (pull-off Adhesion)</t>
  </si>
  <si>
    <t>point</t>
  </si>
  <si>
    <t>Name</t>
  </si>
  <si>
    <t>Calculated</t>
  </si>
  <si>
    <t>Deduction</t>
  </si>
  <si>
    <t>Contract Date</t>
  </si>
  <si>
    <t>Calc. fuel</t>
  </si>
  <si>
    <t>Diff. dist.</t>
  </si>
  <si>
    <t>double</t>
  </si>
  <si>
    <t>single</t>
  </si>
  <si>
    <t>hour</t>
  </si>
  <si>
    <t>end</t>
  </si>
  <si>
    <t>SERVIS - 99LT168 - Baku-fuel</t>
  </si>
  <si>
    <t>SERVIS - 99HZ395 - Sumqayıt-fuel</t>
  </si>
  <si>
    <t>SERVIS - 90OV187 - Baku-fuel</t>
  </si>
  <si>
    <t>SERVIS - 90ZP408 - Sahə-fuel</t>
  </si>
  <si>
    <t>SERVIS - 77AT386 - Satınalma-fuel</t>
  </si>
  <si>
    <t>SERVIS - 66CC029 - Sahə-fuel</t>
  </si>
  <si>
    <t>SERVIS - 90SL686 - Aeroport-fuel</t>
  </si>
  <si>
    <t>Pickup - 50FB264 - Kamyonet-fuel</t>
  </si>
  <si>
    <t>SERVIS - 01CC689 - Sahə-fuel</t>
  </si>
  <si>
    <t>SERVIS - 10NS184 - Sahə-fuel</t>
  </si>
  <si>
    <t>SERVIS - 10RN527 - Sahə-fuel</t>
  </si>
  <si>
    <t>SERVIS - 10ZS260 - Sahə-fuel</t>
  </si>
  <si>
    <t>SERVIS - 15BZ942 - Sahə-fuel</t>
  </si>
  <si>
    <t>SERVIS - 17BE358 - Sahə-fuel</t>
  </si>
  <si>
    <t>SERVIS - 21BF442 - Sahə-fuel</t>
  </si>
  <si>
    <t>SERVIS - 50BD165 - Sahə-fuel</t>
  </si>
  <si>
    <t>SERVIS - 50BN724 - Sahə-fuel</t>
  </si>
  <si>
    <t>SERVIS - 50CN929 - Sahə-fuel</t>
  </si>
  <si>
    <t>SERVIS - 50DK730 - Sahə-fuel</t>
  </si>
  <si>
    <t>SERVIS - 50EF902 - Sahə-fuel</t>
  </si>
  <si>
    <t>SERVIS - 52BK688 - Sahə-fuel</t>
  </si>
  <si>
    <t>SERVIS - 53BB774 - Sahə-fuel</t>
  </si>
  <si>
    <t>SERVIS - 53BD338 - Sahə-fuel</t>
  </si>
  <si>
    <t>SERVIS - 55CB633 - Sahə-fuel</t>
  </si>
  <si>
    <t>SERVIS - 77ET143 - Sahə-fuel</t>
  </si>
  <si>
    <t>SERVIS - 77GM723 - Sahə-fuel</t>
  </si>
  <si>
    <t>SERVIS - 77GR998 - Sahə-fuel</t>
  </si>
  <si>
    <t>SERVIS - 77QE133 - Baku-fuel</t>
  </si>
  <si>
    <t>SERVIS - 77RN868 - Baku-fuel</t>
  </si>
  <si>
    <t>SERVIS - 77SR538 - Baku-fuel</t>
  </si>
  <si>
    <t>SERVIS - 77TG971 - Sahə-fuel</t>
  </si>
  <si>
    <t>SERVIS - 77UR032 - Sahə-fuel</t>
  </si>
  <si>
    <t>SERVIS - 90EC344 - Sahə-fuel</t>
  </si>
  <si>
    <t>SERVIS - 90LS143 - Sahə-fuel</t>
  </si>
  <si>
    <t>SERVIS - 90OE402 - Baku-fuel</t>
  </si>
  <si>
    <t>SERVIS - 90VS316 - Sahə-fuel</t>
  </si>
  <si>
    <t>SERVIS - 90YN163 - Satınalma-fuel</t>
  </si>
  <si>
    <t>SERVIS - 99BT339 - Sahə-fuel</t>
  </si>
  <si>
    <t>SERVIS - 99CN447 - Sahə-fuel</t>
  </si>
  <si>
    <t>SERVIS - 99DX531 - Sahə-fuel</t>
  </si>
  <si>
    <t>SERVIS - 99EM163 - Sahə-fuel</t>
  </si>
  <si>
    <t>SERVIS - 99FO779 - Sahə-fuel</t>
  </si>
  <si>
    <t>SERVIS - 99GZ612 - Sahə-fuel</t>
  </si>
  <si>
    <t>SERVIS - 99KL663 - Sahə-fuel</t>
  </si>
  <si>
    <t>SERVIS - 99MN472 - Sahə-fuel</t>
  </si>
  <si>
    <t>SERVIS - 99OR961 - Sahə-fuel</t>
  </si>
  <si>
    <t>SERVIS - 99TV366 - Sahə-fuel</t>
  </si>
  <si>
    <t>SERVIS - 99UK314 - Aeroport-fuel</t>
  </si>
  <si>
    <t>VAQON - 99LM412 - Sahə-fuel</t>
  </si>
  <si>
    <t>SERVIS - 57BV285 - Sahə-fuel</t>
  </si>
  <si>
    <t>SERVIS - 90UX686 - Sahə-fuel</t>
  </si>
  <si>
    <t>SERVIS - 99DT131 - Sahə-fuel</t>
  </si>
  <si>
    <t>Pickup - 90RC631 - Cesan crane-fuel</t>
  </si>
  <si>
    <t>fuel</t>
  </si>
  <si>
    <t>price no</t>
  </si>
  <si>
    <t>Price no select</t>
  </si>
  <si>
    <t>starting from date</t>
  </si>
  <si>
    <t>price type</t>
  </si>
  <si>
    <t>Plateno</t>
  </si>
  <si>
    <t>plateno</t>
  </si>
  <si>
    <t>Value of The Works Executed Within Current Period [A  B] :
Cari müddət [A  B] ərzində görülmüş işlərin dəyəri:</t>
  </si>
  <si>
    <t>Net Payment:    [  C  D  ]
Xalis ödəniş:     [  C  D  ]</t>
  </si>
  <si>
    <t>B = C  A</t>
  </si>
  <si>
    <t>date</t>
  </si>
  <si>
    <t>Amount</t>
  </si>
  <si>
    <t>Litres per 100km</t>
  </si>
  <si>
    <t>IPC log</t>
  </si>
  <si>
    <t>Diff</t>
  </si>
  <si>
    <t>Price</t>
  </si>
  <si>
    <t>Mesut Fırat</t>
  </si>
  <si>
    <t>İbrahim Kemik</t>
  </si>
  <si>
    <t>Cartering Service</t>
  </si>
  <si>
    <t>Month</t>
  </si>
  <si>
    <t>Retention - First Aid Training</t>
  </si>
  <si>
    <t>Retention - First Fire Training</t>
  </si>
  <si>
    <t>Retention - Hygiene Non-Compliance Penalty</t>
  </si>
  <si>
    <t>Retention - Unsatisfactory meal quality</t>
  </si>
  <si>
    <t>Retention - Fuel Reduction</t>
  </si>
  <si>
    <t>Retention - Mistakes for 8&amp;9&amp;10-25-single day</t>
  </si>
  <si>
    <t>Retention - Mistakes for 8&amp;9&amp;10-25 - hour</t>
  </si>
  <si>
    <t>Retention - SƏTƏMM Cərimə Kesintisi (İSG)</t>
  </si>
  <si>
    <t>Barış Gültekin</t>
  </si>
  <si>
    <t>Ertuğ Kuban</t>
  </si>
  <si>
    <t>Dilaver Türk</t>
  </si>
  <si>
    <t>İbrahim Akgün</t>
  </si>
  <si>
    <t>addendum no</t>
  </si>
  <si>
    <t>Person in Charge</t>
  </si>
  <si>
    <t>-</t>
  </si>
  <si>
    <t>10AD015</t>
  </si>
  <si>
    <t>10 AD 015 - Bobcat S 450 - mini loader-tək</t>
  </si>
  <si>
    <t>Retention - Əvəzinə cəriməsi ödənilib</t>
  </si>
  <si>
    <t>ATTENTION!!!➡️➡️</t>
  </si>
  <si>
    <t>10AD071</t>
  </si>
  <si>
    <t>Retention - Fuel Reduction (Yanlış ödənişin düzəlişi)</t>
  </si>
  <si>
    <t xml:space="preserve">AKSA APD 33 KVA </t>
  </si>
  <si>
    <t>AKSA APD 75 KVA - 1 (from 1936 hours)</t>
  </si>
  <si>
    <t>AKSA APD 75 KVA - 2 (from 1713 hours)</t>
  </si>
  <si>
    <t>HARDCORE CONSTRUCTION AND EQUIPMENT</t>
  </si>
  <si>
    <t>10AD071 - XCMG XC6-4517K-tək</t>
  </si>
  <si>
    <t>10AD071 - XCMG XC6-4517K-saat</t>
  </si>
  <si>
    <t>SERVIS - 77MU119 - Sahə-tək</t>
  </si>
  <si>
    <t>SERVIS - 77MU119 - Sahə-saat</t>
  </si>
  <si>
    <t>77MU119</t>
  </si>
  <si>
    <t>50EL608</t>
  </si>
  <si>
    <t>Pickup - 50EL608 - Kİ-tək</t>
  </si>
  <si>
    <t>Pickup - 50EL608 - Kİ-saat</t>
  </si>
  <si>
    <t>08:00</t>
  </si>
  <si>
    <t>99fo779</t>
  </si>
  <si>
    <t>Diff.
A-B</t>
  </si>
  <si>
    <t>Hesablanmış məbləğ
(AZN)</t>
  </si>
  <si>
    <t>Heablanmış miqdar
A</t>
  </si>
  <si>
    <t>Folder Name</t>
  </si>
  <si>
    <t>011_Caspian Engineering</t>
  </si>
  <si>
    <t>014_Hilal Ltd</t>
  </si>
  <si>
    <t>030_Nar Transport_Ambulance</t>
  </si>
  <si>
    <t>031_Nar Transport_Services</t>
  </si>
  <si>
    <t>033_Akkol Hazir Yemek</t>
  </si>
  <si>
    <t>046_Hardcore Equipment</t>
  </si>
  <si>
    <t>050_Loft Construction</t>
  </si>
  <si>
    <t>051_Intermak Group</t>
  </si>
  <si>
    <t>052_DTS</t>
  </si>
  <si>
    <t>065_Etibar Mammadov</t>
  </si>
  <si>
    <t>085_Babek Albandov</t>
  </si>
  <si>
    <t>091_Quliyev Elşad Ramis</t>
  </si>
  <si>
    <t>094_Abdullayeva Xanım (Rasim)</t>
  </si>
  <si>
    <t>095_Xəlilov İbrahim</t>
  </si>
  <si>
    <t>098_Kərimov Hacıağa</t>
  </si>
  <si>
    <t>099_Maharramov Yusif Qurban oğlu</t>
  </si>
  <si>
    <t>100_Hüseyinov Ruslan</t>
  </si>
  <si>
    <t>102_Huseynova Konul</t>
  </si>
  <si>
    <t>103_Büro Veritas Azeri MMC</t>
  </si>
  <si>
    <t>107_Qualify</t>
  </si>
  <si>
    <t>110_Qalandarli Mammad</t>
  </si>
  <si>
    <t>115_Gülanə Hüseynova</t>
  </si>
  <si>
    <t>121_Abbasov Teymur</t>
  </si>
  <si>
    <t>124_Qafqaz AZE  İnşaat (Finishing Works)</t>
  </si>
  <si>
    <t>141_Cabbarov Mirelem_(Asfalt Silindir)</t>
  </si>
  <si>
    <t>150_AS RT MMC</t>
  </si>
  <si>
    <t>117_Mehdiyeva Səadət</t>
  </si>
  <si>
    <t>119_NAR KRAN MMC</t>
  </si>
  <si>
    <t>163_Əsgərov Yaşar</t>
  </si>
  <si>
    <t>164_Əliyev Fizuli</t>
  </si>
  <si>
    <t>Gülanə Hüseynova</t>
  </si>
  <si>
    <t>R-5</t>
  </si>
  <si>
    <t>Retention - Mistakenly paid amount (May 2025)</t>
  </si>
  <si>
    <t>actual</t>
  </si>
  <si>
    <t>Əsgərov Yaşar</t>
  </si>
  <si>
    <t>Əliyev Fizuli</t>
  </si>
  <si>
    <t>Mahmudov Rüstəm</t>
  </si>
  <si>
    <t>172_Mahmudov Rüstəm</t>
  </si>
  <si>
    <t>22T727 - Mini Excavator - NEW HOLLAND E35B SR-single</t>
  </si>
  <si>
    <t>22T727 - Mini Excavator - NEW HOLLAND E35B SR-hour</t>
  </si>
  <si>
    <t>110FA930 - Ekskavator yüklayici - Komatsu WR93 R-5-single</t>
  </si>
  <si>
    <t>110FA930 - Ekskavator yüklayici - Komatsu WR93 R-5-hour</t>
  </si>
  <si>
    <t>77DN323</t>
  </si>
  <si>
    <t>77DN323 - BETON NASOS - MERCEDES BENZ ACTROS 4141-single</t>
  </si>
  <si>
    <t>77DN323 - BETON NASOS - MERCEDES BENZ ACTROS 4141-hour</t>
  </si>
  <si>
    <t>110FA930</t>
  </si>
  <si>
    <t>22T727</t>
  </si>
  <si>
    <t>Retention - Fuel Reduction (Yanlış ödəniş)</t>
  </si>
  <si>
    <t>Phone numbers</t>
  </si>
  <si>
    <t>+994776371714</t>
  </si>
  <si>
    <t>+994502459043</t>
  </si>
  <si>
    <t>+994514299334</t>
  </si>
  <si>
    <t>+994703775515</t>
  </si>
  <si>
    <t>+994503774242</t>
  </si>
  <si>
    <t>+994102305309</t>
  </si>
  <si>
    <t>+994555923919</t>
  </si>
  <si>
    <t>+994773389192</t>
  </si>
  <si>
    <t>+994515992662</t>
  </si>
  <si>
    <t>+994517928522</t>
  </si>
  <si>
    <t>+994502324211</t>
  </si>
  <si>
    <t>+994503466032</t>
  </si>
  <si>
    <t>994559997804</t>
  </si>
  <si>
    <t>+994552212085</t>
  </si>
  <si>
    <t>+994708207470</t>
  </si>
  <si>
    <t>+994502490088</t>
  </si>
  <si>
    <t>+994503851015</t>
  </si>
  <si>
    <t>+994503462100</t>
  </si>
  <si>
    <t>+994506142283</t>
  </si>
  <si>
    <t>+994558864957</t>
  </si>
  <si>
    <t>+994555711494</t>
  </si>
  <si>
    <t>Whatsapp</t>
  </si>
  <si>
    <t>PDF Folder link</t>
  </si>
  <si>
    <t>https://drive.google.com/drive/folders/142DR3TGBLzpjgWZ1F78DojtfSMPtjze2?usp=sharing</t>
  </si>
  <si>
    <t>https://drive.google.com/drive/folders/1ml3Q1rpL0TOOWpRzE1GY0AOCLSJXv7UD?usp=sharing</t>
  </si>
  <si>
    <t>https://drive.google.com/drive/folders/177UTtWaWCyOQxtxb8hXPwJzqaIQh9SVI?usp=sharing</t>
  </si>
  <si>
    <t>https://drive.google.com/drive/folders/1G4c8mB0Yw0QQFItKQxhfihyD_Y7dRGIV?usp=sharing</t>
  </si>
  <si>
    <t>https://drive.google.com/drive/folders/1TxDlJAKcQJvhj4YfdVsDMA84KYon0Eig?usp=sharing</t>
  </si>
  <si>
    <t>https://drive.google.com/drive/folders/1EN2LCshwd4uA-FBkQwoo3Ejw4BTLDLfI?usp=sharing</t>
  </si>
  <si>
    <t>https://drive.google.com/drive/folders/1jJLSXJZMd5mNU0F7nQqC40nV6nTqDAVb?usp=sharing</t>
  </si>
  <si>
    <t>https://drive.google.com/drive/folders/14IVFENbPf9zcZ0pksLzsPtqxaTm-yLUk?usp=sharing</t>
  </si>
  <si>
    <t>https://drive.google.com/drive/folders/1MlUuXhEyTVHQ9ZchQfCykcPmRqwRODOM?usp=sharing</t>
  </si>
  <si>
    <t>https://drive.google.com/drive/folders/1CrwG3ob5BEFABuz5-YmzV6HrRZhCMCUB?usp=sharing</t>
  </si>
  <si>
    <t>https://drive.google.com/drive/folders/1eo3mmH6MI0Cp36wazLWJZvuEefWiZBI5?usp=sharing</t>
  </si>
  <si>
    <t>https://drive.google.com/drive/folders/1_4ohQ2w2bYgVwf6kaSt-1pkA6LnL3oUS?usp=sharing</t>
  </si>
  <si>
    <t>https://drive.google.com/drive/folders/1RTbySgxWzvB86fkBJ2hhAV8Sdp0evw1K?usp=sharing</t>
  </si>
  <si>
    <t>https://drive.google.com/drive/folders/1NTIDOS2OvgAzZMXHlNhfpr3JhXPk2zOm?usp=sharing</t>
  </si>
  <si>
    <t>Active</t>
  </si>
  <si>
    <t>In Charge</t>
  </si>
  <si>
    <t>EB</t>
  </si>
  <si>
    <t>DY</t>
  </si>
  <si>
    <t>NAR KRAN MMC</t>
  </si>
  <si>
    <t>https://drive.google.com/drive/folders/1HVFrbtCu5RwlpD9UT74iMuIdGa_5fRHQ?usp=sharing</t>
  </si>
  <si>
    <t>https://drive.google.com/drive/folders/1lKKetY3A2eVGjDOoR01MEz93Yaihkaa6?usp=sharing</t>
  </si>
  <si>
    <t>10NG198</t>
  </si>
  <si>
    <t>27BP916</t>
  </si>
  <si>
    <t>10ON175</t>
  </si>
  <si>
    <t>27BZ361</t>
  </si>
  <si>
    <t>10ZU722</t>
  </si>
  <si>
    <t>77PV319</t>
  </si>
  <si>
    <t>38BG860</t>
  </si>
  <si>
    <t>77PV659</t>
  </si>
  <si>
    <t>SERVIS - 10NG198 - hour</t>
  </si>
  <si>
    <t>SERVIS - 10NG198 - single</t>
  </si>
  <si>
    <t>SERVIS - 27BP916 - hour</t>
  </si>
  <si>
    <t>SERVIS - 27BP916 - single</t>
  </si>
  <si>
    <t>SERVIS - 10ON175 - hour</t>
  </si>
  <si>
    <t>SERVIS - 10ON175 - single</t>
  </si>
  <si>
    <t>SERVIS - 27BZ361 - hour</t>
  </si>
  <si>
    <t>SERVIS - 27BZ361 - single</t>
  </si>
  <si>
    <t>SERVIS - 10ZU722 - hour</t>
  </si>
  <si>
    <t>SERVIS - 10ZU722 - single</t>
  </si>
  <si>
    <t>SERVIS - 77PV319 - hour</t>
  </si>
  <si>
    <t>SERVIS - 77PV319 - single</t>
  </si>
  <si>
    <t>SERVIS - 38BG860 - hour</t>
  </si>
  <si>
    <t>SERVIS - 38BG860 - single</t>
  </si>
  <si>
    <t>SERVIS - 77PV659 - hour</t>
  </si>
  <si>
    <t>SERVIS - 77PV659 - single</t>
  </si>
  <si>
    <t>SERVIS - Pickup - 77DK884 - hour</t>
  </si>
  <si>
    <t>SERVIS - Pickup - 77DK884 - single</t>
  </si>
  <si>
    <t>https://drive.google.com/drive/folders/1PNEoaQDXbNgUGYReeztRkUTLC7H6-Wcn?usp=sharing</t>
  </si>
  <si>
    <t>https://drive.google.com/drive/folders/1TU7kGm8O57LowutFwQrPgedqtaIfI9Q5?usp=sharing</t>
  </si>
  <si>
    <t>Contract no</t>
  </si>
  <si>
    <t>Accounting</t>
  </si>
  <si>
    <t>Recorded by</t>
  </si>
  <si>
    <t>Verilmiş yanacaq miqdarı
B</t>
  </si>
  <si>
    <t>Verilmiş yanacaq məbləği
(AZN)</t>
  </si>
  <si>
    <t>https://drive.google.com/drive/folders/1-9qvvhOEkqe0d21skfpYNC4z22wlYln8?usp=sharing</t>
  </si>
  <si>
    <t>+994512449400</t>
  </si>
  <si>
    <t>90GG153</t>
  </si>
  <si>
    <t>Avtosəbət  - ISUZU -90GG153 - single</t>
  </si>
  <si>
    <t>XE120W - Mantall qayçılı səbət</t>
  </si>
  <si>
    <t xml:space="preserve">XE120W </t>
  </si>
  <si>
    <t>XE160W - Mantall qayçılı səbət</t>
  </si>
  <si>
    <t>XE160W</t>
  </si>
  <si>
    <t>CFPT1212 - Mantall qayçılı səbət</t>
  </si>
  <si>
    <t>#
=LET(hourRow,COUNTA($A:$A)+2,start,INDIRECT("H"&amp;ROW()-1&amp;":AL"&amp;ROW()-1),IF(start="","",start+10/24+IFERROR(INDIRECT("H"&amp;hourRow&amp;":AL"&amp;hourRow),0)/24))</t>
  </si>
  <si>
    <t>99BQ963 - Sabit beton pompası</t>
  </si>
  <si>
    <t>99BQ963</t>
  </si>
  <si>
    <t>99BQ963 - Stationary concrete pump - single</t>
  </si>
  <si>
    <t>99BQ963 - Stationary concrete pump - hour</t>
  </si>
  <si>
    <t>99MD834</t>
  </si>
  <si>
    <t>77VS178</t>
  </si>
  <si>
    <t>Hüseynov Pərviz</t>
  </si>
  <si>
    <t>173_Hüseynov Pərviz</t>
  </si>
  <si>
    <t>+994556519191</t>
  </si>
  <si>
    <t>https://drive.google.com/drive/folders/1-5T04mDWAcX6L4rC5MejMDmcjYArOZjv?usp=sharing</t>
  </si>
  <si>
    <t>https://drive.google.com/drive/folders/1yTODQR1SFWtkzB3SLvEFhCXxYBKAY0uJ?usp=sharing</t>
  </si>
  <si>
    <t>Monthly Fee</t>
  </si>
  <si>
    <t>Additional Fee</t>
  </si>
  <si>
    <t>Rebar Test (Tensile st., Yield st., Elangation)</t>
  </si>
  <si>
    <t>Water Test</t>
  </si>
  <si>
    <t>Welding Test</t>
  </si>
  <si>
    <t>Ultrasonic Pulse Echo (Reinforced Concrete)</t>
  </si>
  <si>
    <t>SERVICE - 77SR538 - Baku-hour</t>
  </si>
  <si>
    <t>Rebar Test (Bend)</t>
  </si>
  <si>
    <t>SERVICE - 77SR538 - Baku-single</t>
  </si>
  <si>
    <t>SERVICE - 90OE402 - Baku-hour</t>
  </si>
  <si>
    <t>44 KVA Maintenance Fee</t>
  </si>
  <si>
    <t>SERVICE - 90OE402 - Baku-single</t>
  </si>
  <si>
    <t>110 KVA Maintenance Fee</t>
  </si>
  <si>
    <t>SERVICE - 90PY548 - Procurement-hour</t>
  </si>
  <si>
    <t>75 KVA Maintenance Fee</t>
  </si>
  <si>
    <t>10 BC 326 - Luigong CLG Motor Grader-single</t>
  </si>
  <si>
    <t>SERVICE - 90PY548 - Procurement-single</t>
  </si>
  <si>
    <t>50 KVA Maintenance Fee</t>
  </si>
  <si>
    <t>01-BA-176 -Doosan DH55-V Excavator-single</t>
  </si>
  <si>
    <t>70 KVA Maintenance Fee</t>
  </si>
  <si>
    <t>10 BD 252 - Liugong CLG 375A Front Loader-single</t>
  </si>
  <si>
    <t>490 KVA Maintenance Fee</t>
  </si>
  <si>
    <t>77 SN 951 - Mobile Concrete Pump
Mercedes-Benz Actros 3341 model Putzmeister-single</t>
  </si>
  <si>
    <t>SERVICE - 90YN163 - Procurement-hour</t>
  </si>
  <si>
    <t>77 SN 951 - Mobile Concrete Pump
Mercedes-Benz Actros 3341 model Putzmeister-hour</t>
  </si>
  <si>
    <t>SERVICE - 90YN163 - Procurement-single</t>
  </si>
  <si>
    <t>Pickup - 50EL608 - Kİ-single</t>
  </si>
  <si>
    <t>90 VJ 454 - 53-12 Ş-DƏ ATS-3613 Fuel Tank-single</t>
  </si>
  <si>
    <t>330 KVA Maintenance Fee</t>
  </si>
  <si>
    <t>Pickup - 50EL608 - Kİ-hour</t>
  </si>
  <si>
    <t>Kamaz Water Tank (54 BM 823)-single</t>
  </si>
  <si>
    <t>AMBULANCE - 99AS882-day</t>
  </si>
  <si>
    <t>Kamaz Water Tank (54 BM 823)-hour</t>
  </si>
  <si>
    <t>AMBULANCE - 99JE233-day</t>
  </si>
  <si>
    <t>110FA930 - Excavator Loader - Komatsu WR93 R-5-single</t>
  </si>
  <si>
    <t>Kamaz Water Tank (01 BT 754)-single</t>
  </si>
  <si>
    <t>110FA930 - Excavator Loader - Komatsu WR93 R-5-hour</t>
  </si>
  <si>
    <t>Kamaz Water Tank (10 MF 640)-single</t>
  </si>
  <si>
    <t>77DN323 - CONCRETE PUMP - MERCEDES BENZ ACTROS 4141-single</t>
  </si>
  <si>
    <t>Kamaz Water Tank (10 MF 640)-hour</t>
  </si>
  <si>
    <t>SERVICE - 99LT168 - Baku-single</t>
  </si>
  <si>
    <t>77DN323 - CONCRETE PUMP - MERCEDES BENZ ACTROS 4141-hour</t>
  </si>
  <si>
    <t>54 BA 209 - Hidromek HMK 200W-2 Excavator-single</t>
  </si>
  <si>
    <t>SERVICE - 99LT168 - Baku-hour</t>
  </si>
  <si>
    <t>50 BD 416 - KAMAZ – 5410 Cargo-single</t>
  </si>
  <si>
    <t>SERVICE - 99HZ395 - Sumqayıt-single</t>
  </si>
  <si>
    <t>50 BD 416 - KAMAZ – 5410 Cargo-hour</t>
  </si>
  <si>
    <t>SERVICE - 99HZ395 - Sumqayıt-hour</t>
  </si>
  <si>
    <t>SERVICE - 90OV187 - Baku-single</t>
  </si>
  <si>
    <t>Retention - Fuel Reduction (Incorrect payment)</t>
  </si>
  <si>
    <t>SERVICE - 90OV187 - Baku-hour</t>
  </si>
  <si>
    <t>Retention - Fuel Reduction (Incorrect payment correction)</t>
  </si>
  <si>
    <t>50 BX 301 Kamaz Water Tank-single</t>
  </si>
  <si>
    <t>SERVICE - 77UG347 - Sumqayıt-single</t>
  </si>
  <si>
    <t>SERVICE - 10NG198 - hour</t>
  </si>
  <si>
    <t>50 BX 301 Kamaz Water Tank-hour</t>
  </si>
  <si>
    <t>SERVICE - 77UG347 - Sumqayıt-hour</t>
  </si>
  <si>
    <t>SERVICE - 10NG198 - single</t>
  </si>
  <si>
    <t>22 AB 273 - Hitachi ZX48U-3 Excavator-single</t>
  </si>
  <si>
    <t>SERVICE - 99FB123 - Baku-single</t>
  </si>
  <si>
    <t>SERVICE - 27BP916 - hour</t>
  </si>
  <si>
    <t>99 HQ 687 Kamaz Water Tank-single</t>
  </si>
  <si>
    <t>SERVICE - 99FB123 - Baku-hour</t>
  </si>
  <si>
    <t>SERVICE - 27BP916 - single</t>
  </si>
  <si>
    <t>99 HQ 687 Kamaz Water Tank-hour</t>
  </si>
  <si>
    <t>SERVICE - 10ON175 - hour</t>
  </si>
  <si>
    <t>10 MF 640 Kamaz Water Tank-single</t>
  </si>
  <si>
    <t>SERVICE - 10ON175 - single</t>
  </si>
  <si>
    <t>10 MF 640 Kamaz Water Tank-hour</t>
  </si>
  <si>
    <t>SERVICE - 77AT386 - Procurement-single</t>
  </si>
  <si>
    <t>SERVICE - 27BZ361 - hour</t>
  </si>
  <si>
    <t>SERVICE - 77AT386 - Procurement-hour</t>
  </si>
  <si>
    <t>SERVICE - 27BZ361 - single</t>
  </si>
  <si>
    <t>SERVICE - 10ZU722 - hour</t>
  </si>
  <si>
    <t>ISO 9001:2015 Quality Management System – Introduction Awareness Training
3 days x 9 hours</t>
  </si>
  <si>
    <t>SERVICE - 10ZU722 - single</t>
  </si>
  <si>
    <t>Inspection of Welding WPS‐A: Thin walls
D=75,125,160 X 6.8, 9.5, 11 mm.</t>
  </si>
  <si>
    <t>GARBAGE TRUCK - 77QK725-single</t>
  </si>
  <si>
    <t>SERVICE - 77PV319 - hour</t>
  </si>
  <si>
    <t>Inspection of Welding WPS‐B: Medium thicknesses
D=200,225,280 X 18, 20.5, 25 mm.</t>
  </si>
  <si>
    <t>GARBAGE TRUCK - 77QK725-hour</t>
  </si>
  <si>
    <t>SERVICE - 77PV319 - single</t>
  </si>
  <si>
    <t>Inspection of Welding WPS‐C: Thick walls — &gt;25 mm
D=400 X 32 mm.</t>
  </si>
  <si>
    <t>SERVICE - 90SL686 - Aeroport-single</t>
  </si>
  <si>
    <t>SERVICE - 38BG860 - hour</t>
  </si>
  <si>
    <t>S235 grade welded pipe welding procedure preparation</t>
  </si>
  <si>
    <t>SERVICE - 99UK314 - Aeroport-hour</t>
  </si>
  <si>
    <t>SERVICE - 90SL686 - Aeroport-hour</t>
  </si>
  <si>
    <t>SERVICE - 38BG860 - single</t>
  </si>
  <si>
    <t>A106 grade pipe welding procedure preparation</t>
  </si>
  <si>
    <t>SERVICE - 99UK314 - Aeroport-single</t>
  </si>
  <si>
    <t>Pickup - 77DK884 - Double Cab (Remez)-single</t>
  </si>
  <si>
    <t>SERVICE - 77PV659 - hour</t>
  </si>
  <si>
    <t>Participation in pipe welder tests and certificate preparation</t>
  </si>
  <si>
    <t>Pickup - 77DK884 - Double Cab (Remez)-hour</t>
  </si>
  <si>
    <t>SERVICE - 77PV659 - single</t>
  </si>
  <si>
    <t>Participation in MIG/MAG welder tests and certificate preparation</t>
  </si>
  <si>
    <t>Pickup - 50FB264 - Van-single</t>
  </si>
  <si>
    <t>SERVICE - Pickup - 77DK884 - hour</t>
  </si>
  <si>
    <t>Preparation of mechanical and chemical test reports for materials</t>
  </si>
  <si>
    <t>GARBAGE TRUCK - 77VL420 - Camp-hour</t>
  </si>
  <si>
    <t>Pickup - 50FB264 - Van-hour</t>
  </si>
  <si>
    <t>SERVICE - Pickup - 77DK884 - single</t>
  </si>
  <si>
    <t>99XC106
MERCEDES BENZ CARGO Hi-up Crane-single</t>
  </si>
  <si>
    <t>GARBAGE TRUCK - 77VL420 - Camp-single</t>
  </si>
  <si>
    <t>Aerial Platform - ISUZU -90GG153 - single</t>
  </si>
  <si>
    <t>11BC843 - DAIMAN – Tractor-single</t>
  </si>
  <si>
    <t>Aerial Platform - ISUZU -90GG153 - hour</t>
  </si>
  <si>
    <t>11BC843 - DAIMAN – Tractor-hour</t>
  </si>
  <si>
    <t>XE120W - Mantall Scissor Lift</t>
  </si>
  <si>
    <t>Bomag roller - 10V288-single</t>
  </si>
  <si>
    <t>XE160W - Mantall Scissor Lift</t>
  </si>
  <si>
    <t>Bomag roller - 10V288-hour</t>
  </si>
  <si>
    <t>CFPT1212 - Mantall Scissor Lift</t>
  </si>
  <si>
    <t>Adhesion strength test
Dolly test (pull-off Adhesion)</t>
  </si>
  <si>
    <t>SERVICE - 99LT168 - Baku-fuel</t>
  </si>
  <si>
    <t>SERVICE - 99HZ395 - Sumqayıt-fuel</t>
  </si>
  <si>
    <t>Pickup - 90RC631 - Cesan crane-single</t>
  </si>
  <si>
    <t>SERVICE - 90OV187 - Baku-fuel</t>
  </si>
  <si>
    <t>Pickup - 90RC631 - Cesan crane-hour</t>
  </si>
  <si>
    <t>Diesel Payment (15 lt - 18 lt / 100 km)-lt</t>
  </si>
  <si>
    <t>SERVICE - 77AT386 - Procurement-fuel</t>
  </si>
  <si>
    <t>Retention - HSE Penalty Deduction (OHS)</t>
  </si>
  <si>
    <t>SERVICE - 90SL686 - Aeroport-fuel</t>
  </si>
  <si>
    <t>Pickup - 50FB264 - Van-fuel</t>
  </si>
  <si>
    <t>Breakfast Service Provision</t>
  </si>
  <si>
    <t>Lunch Service Provision</t>
  </si>
  <si>
    <t>Dinner Service Provision</t>
  </si>
  <si>
    <t>Night Meal Service Provision</t>
  </si>
  <si>
    <t>Packed Meal Service Provision</t>
  </si>
  <si>
    <t>Packed Meal Service Provision (Breakfast)</t>
  </si>
  <si>
    <t>Breakfast Service Provision_v1</t>
  </si>
  <si>
    <t>Lunch Service Provision_v1</t>
  </si>
  <si>
    <t>Dinner Service Provision_v1</t>
  </si>
  <si>
    <t>Night Meal Service Provision_v1</t>
  </si>
  <si>
    <t>Packed Meal Service Provision_v1</t>
  </si>
  <si>
    <t>Breakfast Service Provision_v2</t>
  </si>
  <si>
    <t>Lunch Service Provision_v2</t>
  </si>
  <si>
    <t>Dinner Service Provision_v2</t>
  </si>
  <si>
    <t>Night Meal Service Provision_v2</t>
  </si>
  <si>
    <t>Packed Meal Service Provision_v2</t>
  </si>
  <si>
    <t>SERVICE - 77QE133 - Baku-fuel</t>
  </si>
  <si>
    <t>SERVICE - 77RN868 - Baku-fuel</t>
  </si>
  <si>
    <t>110FY523 - CAT CS 56B Roller (Cylinder)-single</t>
  </si>
  <si>
    <t>SERVICE - 77SR538 - Baku-fuel</t>
  </si>
  <si>
    <t>110FY523 - CAT CS 56B Roller (Cylinder)-double</t>
  </si>
  <si>
    <t>110FY523 - CAT CS 56B Roller (Cylinder)-hour</t>
  </si>
  <si>
    <t>10AD801 - Hyundai R380LC-9SH Excavator - (With Operator)-single</t>
  </si>
  <si>
    <t>10AD801 - Hyundai R380LC-9SH Excavator - (With Operator)-double</t>
  </si>
  <si>
    <t>10AD801 - Hyundai R380LC-9SH Excavator - (With Operator)-hour</t>
  </si>
  <si>
    <t>SERVICE - 90OE402 - Baku-fuel</t>
  </si>
  <si>
    <t>110FY524 - CAT CS 56B Roller (Cylinder)-single</t>
  </si>
  <si>
    <t>110FY524 - CAT CS 56B Roller (Cylinder)-double</t>
  </si>
  <si>
    <t>SERVICE - 77PV619 - Procurement-hour</t>
  </si>
  <si>
    <t>SERVICE - 90YN163 - Procurement-fuel</t>
  </si>
  <si>
    <t>110FY524 - CAT CS 56B Roller (Cylinder)-hour</t>
  </si>
  <si>
    <t>SERVICE - 77PV619 - Procurement-single</t>
  </si>
  <si>
    <t>10AB468 - CAT428F Beko-Loader (With Operator)-single</t>
  </si>
  <si>
    <t>SERVICE - 77QE133 - Baku-hour</t>
  </si>
  <si>
    <t>10AB468 - CAT428F Beko-Loader (With Operator)-double</t>
  </si>
  <si>
    <t>SERVICE - 77QE133 - Baku-single</t>
  </si>
  <si>
    <t>10AB468 - CAT428F Beko-Loader (With Operator)-hour</t>
  </si>
  <si>
    <t>SERVICE - 77RN868 - Baku-hour</t>
  </si>
  <si>
    <t>Luigong GLG 4215D Motor Grader - (With Operator) 61 AB 256-single</t>
  </si>
  <si>
    <t>SERVICE - 77RN868 - Baku-single</t>
  </si>
  <si>
    <t>Luigong GLG 4215D Motor Grader - (With Operator) 61 AB 256-double</t>
  </si>
  <si>
    <t>10 BA 194 - HELI Telehandler-single</t>
  </si>
  <si>
    <t>10 BA 194 - HELI Telehandler-hour</t>
  </si>
  <si>
    <t>10 BA 857 - XCMG XC6-4517K-single</t>
  </si>
  <si>
    <t>10 BA 857 - XCMG XC6-4517K-hour</t>
  </si>
  <si>
    <t>10 AC 750 - Luigong CLG Bulldozer-single</t>
  </si>
  <si>
    <t>SERVICE - 99UK314 - Aeroport-fuel</t>
  </si>
  <si>
    <t>10 AC 750 - Luigong CLG Bulldozer-hour</t>
  </si>
  <si>
    <t>Retention - Replacement penalty paid</t>
  </si>
  <si>
    <t>AKSA APD 33 KVA</t>
  </si>
  <si>
    <t>10AD071 - XCMG XC6-4517K-single</t>
  </si>
  <si>
    <t>10AD071 - XCMG XC6-4517K-hour</t>
  </si>
  <si>
    <t>10 AD 015 - Bobcat S 450 - mini loader-single</t>
  </si>
  <si>
    <t>SERVICE - 90ZP408 - Site-single</t>
  </si>
  <si>
    <t>SERVICE - 90ZP408 - Site-hour</t>
  </si>
  <si>
    <t>SERVICE - 66CC029 - Site-single</t>
  </si>
  <si>
    <t>SERVICE - 66CC029 - Site-hour</t>
  </si>
  <si>
    <t>SERVICE - 01CC689 - Site-hour</t>
  </si>
  <si>
    <t>SERVICE - 01CC689 - Site-single</t>
  </si>
  <si>
    <t>SERVICE - 10NS184 - Site-hour</t>
  </si>
  <si>
    <t>SERVICE - 10NS184 - Site-single</t>
  </si>
  <si>
    <t>SERVICE - 10RN527 - Site-hour</t>
  </si>
  <si>
    <t>SERVICE - 10RN527 - Site_v1-hour</t>
  </si>
  <si>
    <t>SERVICE - 10RN527 - Site-single</t>
  </si>
  <si>
    <t>SERVICE - 10RN527 - Site_v1-single</t>
  </si>
  <si>
    <t>SERVICE - 10ZS260 - Site-single</t>
  </si>
  <si>
    <t>SERVICE - 15BZ942 - Site-hour</t>
  </si>
  <si>
    <t>SERVICE - 15BZ942 - Site-single</t>
  </si>
  <si>
    <t>SERVICE - 17BE358 - Site-hour</t>
  </si>
  <si>
    <t>SERVICE - 17BE358 - Site-single</t>
  </si>
  <si>
    <t>SERVICE - 21BF442 - Site-hour</t>
  </si>
  <si>
    <t>SERVICE - 21BF442 - Site-single</t>
  </si>
  <si>
    <t>SERVICE - 50BD165 - Site-hour</t>
  </si>
  <si>
    <t>SERVICE - 50BD165 - Site-single</t>
  </si>
  <si>
    <t>SERVICE - 50BN724 - Site-hour</t>
  </si>
  <si>
    <t>SERVICE - 50BN724 - Site-single</t>
  </si>
  <si>
    <t>SERVICE - 50CN929 - Site-hour</t>
  </si>
  <si>
    <t>SERVICE - 50CN929 - Site-single</t>
  </si>
  <si>
    <t>SERVICE - 50DK730 - Site-hour</t>
  </si>
  <si>
    <t>SERVICE - 50DK730 - Site-single</t>
  </si>
  <si>
    <t>SERVICE - 50EF902 - Site-hour</t>
  </si>
  <si>
    <t>SERVICE - 50EF902 - Site-single</t>
  </si>
  <si>
    <t>SERVICE - 52BK688 - Site-hour</t>
  </si>
  <si>
    <t>SERVICE - 52BK688 - Site-single</t>
  </si>
  <si>
    <t>SERVICE - 53BB774 - Site-hour</t>
  </si>
  <si>
    <t>SERVICE - 53BB774 - Site-single</t>
  </si>
  <si>
    <t>SERVICE - 53BD338 - Site-hour</t>
  </si>
  <si>
    <t>SERVICE - 53BD338 - Site-single</t>
  </si>
  <si>
    <t>SERVICE - 55CB633 - Site-hour</t>
  </si>
  <si>
    <t>SERVICE - 55CB633 - Site-single</t>
  </si>
  <si>
    <t>SERVICE - 77ET143 - Site-hour</t>
  </si>
  <si>
    <t>SERVICE - 77ET143 - Site-single</t>
  </si>
  <si>
    <t>SERVICE - 77GM723 - Site-hour</t>
  </si>
  <si>
    <t>SERVICE - 77GM723 - Site-single</t>
  </si>
  <si>
    <t>SERVICE - 77GR998 - Site-double</t>
  </si>
  <si>
    <t>SERVICE - 77GR998 - Site_v1-double</t>
  </si>
  <si>
    <t>SERVICE - 77GR998 - Site-hour</t>
  </si>
  <si>
    <t>SERVICE - 77GR998 - Site-single</t>
  </si>
  <si>
    <t>SERVICE - 77TG971 - Site-hour</t>
  </si>
  <si>
    <t>SERVICE - 77TG971 - Site-single</t>
  </si>
  <si>
    <t>SERVICE - 77UR032 - Site-hour</t>
  </si>
  <si>
    <t>SERVICE - 77UR032 - Site-single</t>
  </si>
  <si>
    <t>SERVICE - 90EC344 - Site-hour</t>
  </si>
  <si>
    <t>SERVICE - 90EC344 - Site-single</t>
  </si>
  <si>
    <t>SERVICE - 90LS143 - Site-hour</t>
  </si>
  <si>
    <t>SERVICE - 90LS143 - Site-single</t>
  </si>
  <si>
    <t>SERVICE - 90VS316 - Site-hour</t>
  </si>
  <si>
    <t>SERVICE - 90VS316 - Site-single</t>
  </si>
  <si>
    <t>SERVICE - 99BT339 - Site-double</t>
  </si>
  <si>
    <t>SERVICE - 99BT339 - Site_v1-double</t>
  </si>
  <si>
    <t>SERVICE - 99BT339 - Site-hour</t>
  </si>
  <si>
    <t>SERVICE - 99BT339 - Site-single</t>
  </si>
  <si>
    <t>SERVICE - 99CN447 - Site-single</t>
  </si>
  <si>
    <t>SERVICE - 99CN447 - Site-hour</t>
  </si>
  <si>
    <t>SERVICE - 99DX531 - Site-hour</t>
  </si>
  <si>
    <t>SERVICE - 99DX531 - Site-single</t>
  </si>
  <si>
    <t>SERVICE - 99EM163 - Site-double</t>
  </si>
  <si>
    <t>SERVICE - 99EM163 - Site-hour</t>
  </si>
  <si>
    <t>SERVICE - 99EM163 - Site-single</t>
  </si>
  <si>
    <t>SERVICE - 99FO779 - Site-single</t>
  </si>
  <si>
    <t>SERVICE - 99FO779 - Site-hour</t>
  </si>
  <si>
    <t>SERVICE - 99GZ612 - Site-hour</t>
  </si>
  <si>
    <t>SERVICE - 99GZ612 - Site-single</t>
  </si>
  <si>
    <t>SERVICE - 99KL663 - Site-hour</t>
  </si>
  <si>
    <t>SERVICE - 99KL663 - Site-single</t>
  </si>
  <si>
    <t>SERVICE - 99MN472 - Site-hour</t>
  </si>
  <si>
    <t>SERVICE - 99MN472 - Site-single</t>
  </si>
  <si>
    <t>SERVICE - 99OR961 - Site-single</t>
  </si>
  <si>
    <t>SERVICE - 99OR961 - Site-hour</t>
  </si>
  <si>
    <t>SERVICE - 99TV366 - Site-hour</t>
  </si>
  <si>
    <t>SERVICE - 99TV366 - Site-single</t>
  </si>
  <si>
    <t>WAGON - 99LM412 - Site-hour</t>
  </si>
  <si>
    <t>WAGON - 99LM412 - Site-single</t>
  </si>
  <si>
    <t>SERVICE - 57BV285 - Site-single</t>
  </si>
  <si>
    <t>SERVICE - 57BV285 - Site-hour</t>
  </si>
  <si>
    <t>SERVICE - 90UX686 - Site-single</t>
  </si>
  <si>
    <t>SERVICE - 90UX686 - Site-hour</t>
  </si>
  <si>
    <t>SERVICE - 99DT131 - Site-single</t>
  </si>
  <si>
    <t>SERVICE - 99DT131 - Site-hour</t>
  </si>
  <si>
    <t>SERVICE - 90ZP408 - Site-fuel</t>
  </si>
  <si>
    <t>SERVICE - 66CC029 - Site-fuel</t>
  </si>
  <si>
    <t>SERVICE - 01CC689 - Site-fuel</t>
  </si>
  <si>
    <t>SERVICE - 10NS184 - Site-fuel</t>
  </si>
  <si>
    <t>SERVICE - 10RN527 - Site-fuel</t>
  </si>
  <si>
    <t>SERVICE - 10ZS260 - Site-fuel</t>
  </si>
  <si>
    <t>SERVICE - 15BZ942 - Site-fuel</t>
  </si>
  <si>
    <t>SERVICE - 17BE358 - Site-fuel</t>
  </si>
  <si>
    <t>SERVICE - 21BF442 - Site-fuel</t>
  </si>
  <si>
    <t>SERVICE - 50BD165 - Site-fuel</t>
  </si>
  <si>
    <t>SERVICE - 50BN724 - Site-fuel</t>
  </si>
  <si>
    <t>SERVICE - 50CN929 - Site-fuel</t>
  </si>
  <si>
    <t>SERVICE - 50DK730 - Site-fuel</t>
  </si>
  <si>
    <t>SERVICE - 50EF902 - Site-fuel</t>
  </si>
  <si>
    <t>SERVICE - 52BK688 - Site-fuel</t>
  </si>
  <si>
    <t>SERVICE - 53BB774 - Site-fuel</t>
  </si>
  <si>
    <t>SERVICE - 53BD338 - Site-fuel</t>
  </si>
  <si>
    <t>SERVICE - 55CB633 - Site-fuel</t>
  </si>
  <si>
    <t>SERVICE - 77ET143 - Site-fuel</t>
  </si>
  <si>
    <t>SERVICE - 77GM723 - Site-fuel</t>
  </si>
  <si>
    <t>SERVICE - 77GR998 - Site-fuel</t>
  </si>
  <si>
    <t>SERVICE - 77TG971 - Site-fuel</t>
  </si>
  <si>
    <t>SERVICE - 77UR032 - Site-fuel</t>
  </si>
  <si>
    <t>SERVICE - 90EC344 - Site-fuel</t>
  </si>
  <si>
    <t>SERVICE - 90LS143 - Site-fuel</t>
  </si>
  <si>
    <t>SERVICE - 90VS316 - Site-fuel</t>
  </si>
  <si>
    <t>SERVICE - 99BT339 - Site-fuel</t>
  </si>
  <si>
    <t>SERVICE - 99CN447 - Site-fuel</t>
  </si>
  <si>
    <t>SERVICE - 99DX531 - Site-fuel</t>
  </si>
  <si>
    <t>SERVICE - 99EM163 - Site-fuel</t>
  </si>
  <si>
    <t>SERVICE - 99FO779 - Site-fuel</t>
  </si>
  <si>
    <t>SERVICE - 99GZ612 - Site-fuel</t>
  </si>
  <si>
    <t>SERVICE - 99KL663 - Site-fuel</t>
  </si>
  <si>
    <t>SERVICE - 99MN472 - Site-fuel</t>
  </si>
  <si>
    <t>SERVICE - 99OR961 - Site-fuel</t>
  </si>
  <si>
    <t>SERVICE - 99TV366 - Site-fuel</t>
  </si>
  <si>
    <t>WAGON - 99LM412 - Site-fuel</t>
  </si>
  <si>
    <t>SERVICE - 57BV285 - Site-fuel</t>
  </si>
  <si>
    <t>SERVICE - 90UX686 - Site-fuel</t>
  </si>
  <si>
    <t>SERVICE - 99DT131 - Site-fuel</t>
  </si>
  <si>
    <t>SERVICE - 77MU119 - Site-single</t>
  </si>
  <si>
    <t>SERVICE - 77MU119 - Site-hour</t>
  </si>
  <si>
    <t>Rüstəmov Sakit</t>
  </si>
  <si>
    <t>182_Rüstəmov Sakit</t>
  </si>
  <si>
    <t>Enes Çetin</t>
  </si>
  <si>
    <t>77VS178 - Bucket truck</t>
  </si>
  <si>
    <t>99MD834 - Bucket truck</t>
  </si>
  <si>
    <t xml:space="preserve"> </t>
  </si>
  <si>
    <t>RUSLAN HUSEYNOV</t>
  </si>
  <si>
    <t>Nurettin Biçer</t>
  </si>
  <si>
    <t>+994555155362</t>
  </si>
  <si>
    <t>+994772954541</t>
  </si>
  <si>
    <t>SERVIS - 99GN495 - single</t>
  </si>
  <si>
    <t>SERVIS - 99GN495 - hour</t>
  </si>
  <si>
    <t>SERVIS - 10OG142 - single</t>
  </si>
  <si>
    <t>SERVIS - 10OG142 - hour</t>
  </si>
  <si>
    <t>99GN495</t>
  </si>
  <si>
    <t>10OG142</t>
  </si>
  <si>
    <t>12:00</t>
  </si>
  <si>
    <t>07:25</t>
  </si>
  <si>
    <t>SERVIS - 53BD239 - single</t>
  </si>
  <si>
    <t>SERVIS - 53BD239 - hour</t>
  </si>
  <si>
    <t>53BD239</t>
  </si>
  <si>
    <t>Avtosəbət  - ISUZU -90GG153 - hour</t>
  </si>
  <si>
    <t>Mehmet Özgün DEDEKARGINOĞLU</t>
  </si>
  <si>
    <t>Technical Office Cheif 
Texniki Şöbə Şefi</t>
  </si>
  <si>
    <t>x</t>
  </si>
  <si>
    <t>77YL852</t>
  </si>
  <si>
    <t>90YG742</t>
  </si>
  <si>
    <t>90YG746</t>
  </si>
  <si>
    <t>77JS132</t>
  </si>
  <si>
    <t>90YG745</t>
  </si>
  <si>
    <t>Məsafə</t>
  </si>
  <si>
    <t>Qeydiyyat nömrə nişanı</t>
  </si>
  <si>
    <t>77VL420-</t>
  </si>
  <si>
    <t>22AB283</t>
  </si>
  <si>
    <t>INFRACON MMC</t>
  </si>
  <si>
    <t>Burak Papila</t>
  </si>
  <si>
    <t>179_INFRACON</t>
  </si>
  <si>
    <t>https://drive.google.com/drive/folders/1GF0RgNNzPRR6vtSBss-Qqjd8eNWJZScU?usp=sharing</t>
  </si>
  <si>
    <t>+994502424644</t>
  </si>
  <si>
    <t>10 O 046 - Ekskavator yükləyici - CAT 428F CRS70595</t>
  </si>
  <si>
    <t>10O046</t>
  </si>
  <si>
    <t>33 KVA Maintenance Fee</t>
  </si>
  <si>
    <t>test</t>
  </si>
  <si>
    <t>Determination of Tensile Strength of Concrete Paving Blocks</t>
  </si>
  <si>
    <t>Determination of Unpolished Slip Resistance Value</t>
  </si>
  <si>
    <t>Determination of Flexural Strength of Concrete Paving Units</t>
  </si>
  <si>
    <t>Determination of Freeze–Thaw Resistance in the Presence of De-icing Salt</t>
  </si>
  <si>
    <t>Determination of Water Absorption of Concrete Paving Blocks</t>
  </si>
  <si>
    <t>22 AB 283 - AUSA MH15 Excavator-single</t>
  </si>
  <si>
    <t>54 BA 209 - Hidromek HMK 200W-2 Excavator-hour</t>
  </si>
  <si>
    <t>77VS178 - Bucket truck-single</t>
  </si>
  <si>
    <t>77VS178 - Bucket truck-hour</t>
  </si>
  <si>
    <t>99MD834 - Bucket truck-single</t>
  </si>
  <si>
    <t>Adhesion strength test
Dolly test (pull-off Adhesion) 10+ pcs.</t>
  </si>
  <si>
    <t>X</t>
  </si>
  <si>
    <t>Retention - Mistakenly paid amount</t>
  </si>
  <si>
    <t>https://drive.google.com/drive/folders/1I2QQvT6OZVy4T-dRj0k9yfggLcRlYnFN?usp=sharing</t>
  </si>
  <si>
    <t>LET(y,LET(x,DROP(VSTACK(daily_quantities!B:.J,DROP(log_monthly_records!B:.J,1)),1),IF(x="","",SORT(x, {1,2,3,4}, {1,1,1,1}))),IF(y=0,"",y))</t>
  </si>
  <si>
    <t>Contr-Ipc</t>
  </si>
  <si>
    <t>Start</t>
  </si>
  <si>
    <t>Finish</t>
  </si>
  <si>
    <t>Commencement</t>
  </si>
  <si>
    <t>150-1</t>
  </si>
  <si>
    <t>141-1</t>
  </si>
  <si>
    <t>121-1</t>
  </si>
  <si>
    <t>121-2</t>
  </si>
  <si>
    <t>110-1</t>
  </si>
  <si>
    <t>110-2</t>
  </si>
  <si>
    <t>110-3</t>
  </si>
  <si>
    <t>110-4</t>
  </si>
  <si>
    <t>107-1</t>
  </si>
  <si>
    <t>107-2</t>
  </si>
  <si>
    <t>103-1</t>
  </si>
  <si>
    <t>102-1</t>
  </si>
  <si>
    <t>102-2</t>
  </si>
  <si>
    <t>102-3</t>
  </si>
  <si>
    <t>102-4</t>
  </si>
  <si>
    <t>100-1</t>
  </si>
  <si>
    <t>100-2</t>
  </si>
  <si>
    <t>100-3</t>
  </si>
  <si>
    <t>100-4</t>
  </si>
  <si>
    <t>100-5</t>
  </si>
  <si>
    <t>99-1</t>
  </si>
  <si>
    <t>99-2</t>
  </si>
  <si>
    <t>99-3</t>
  </si>
  <si>
    <t>99-4</t>
  </si>
  <si>
    <t>99-5</t>
  </si>
  <si>
    <t>98-1</t>
  </si>
  <si>
    <t>98-2</t>
  </si>
  <si>
    <t>98-3</t>
  </si>
  <si>
    <t>98-4</t>
  </si>
  <si>
    <t>98-5</t>
  </si>
  <si>
    <t>95-1</t>
  </si>
  <si>
    <t>95-2</t>
  </si>
  <si>
    <t>95-3</t>
  </si>
  <si>
    <t>95-4</t>
  </si>
  <si>
    <t>95-5</t>
  </si>
  <si>
    <t>94-1</t>
  </si>
  <si>
    <t>94-2</t>
  </si>
  <si>
    <t>94-3</t>
  </si>
  <si>
    <t>94-4</t>
  </si>
  <si>
    <t>94-5</t>
  </si>
  <si>
    <t>91-1</t>
  </si>
  <si>
    <t>91-2</t>
  </si>
  <si>
    <t>91-3</t>
  </si>
  <si>
    <t>91-4</t>
  </si>
  <si>
    <t>91-5</t>
  </si>
  <si>
    <t>85-1</t>
  </si>
  <si>
    <t>85-2</t>
  </si>
  <si>
    <t>85-3</t>
  </si>
  <si>
    <t>85-4</t>
  </si>
  <si>
    <t>85-5</t>
  </si>
  <si>
    <t>85-6</t>
  </si>
  <si>
    <t>65-1</t>
  </si>
  <si>
    <t>65-2</t>
  </si>
  <si>
    <t>65-3</t>
  </si>
  <si>
    <t>65-4</t>
  </si>
  <si>
    <t>65-5</t>
  </si>
  <si>
    <t>65-6</t>
  </si>
  <si>
    <t>65-7</t>
  </si>
  <si>
    <t>52-1</t>
  </si>
  <si>
    <t>52-2</t>
  </si>
  <si>
    <t>52-3</t>
  </si>
  <si>
    <t>52-4</t>
  </si>
  <si>
    <t>51-1</t>
  </si>
  <si>
    <t>51-2</t>
  </si>
  <si>
    <t>51-3</t>
  </si>
  <si>
    <t>51-4</t>
  </si>
  <si>
    <t>50-1</t>
  </si>
  <si>
    <t>50-2</t>
  </si>
  <si>
    <t>50-3</t>
  </si>
  <si>
    <t>50-4</t>
  </si>
  <si>
    <t>50-5</t>
  </si>
  <si>
    <t>50-6</t>
  </si>
  <si>
    <t>46-1</t>
  </si>
  <si>
    <t>46-2</t>
  </si>
  <si>
    <t>46-3</t>
  </si>
  <si>
    <t>46-4</t>
  </si>
  <si>
    <t>46-5</t>
  </si>
  <si>
    <t>46-6</t>
  </si>
  <si>
    <t>46-7</t>
  </si>
  <si>
    <t>33-10</t>
  </si>
  <si>
    <t>33-11</t>
  </si>
  <si>
    <t>33-12</t>
  </si>
  <si>
    <t>33-13</t>
  </si>
  <si>
    <t>33-14</t>
  </si>
  <si>
    <t>33-15</t>
  </si>
  <si>
    <t>33-5</t>
  </si>
  <si>
    <t>33-6</t>
  </si>
  <si>
    <t>33-7</t>
  </si>
  <si>
    <t>33-8</t>
  </si>
  <si>
    <t>33-9</t>
  </si>
  <si>
    <t>31-1</t>
  </si>
  <si>
    <t>31-10</t>
  </si>
  <si>
    <t>31-2</t>
  </si>
  <si>
    <t>31-3</t>
  </si>
  <si>
    <t>31-4</t>
  </si>
  <si>
    <t>31-5</t>
  </si>
  <si>
    <t>31-6</t>
  </si>
  <si>
    <t>31-7</t>
  </si>
  <si>
    <t>31-8</t>
  </si>
  <si>
    <t>30-1</t>
  </si>
  <si>
    <t>30-10</t>
  </si>
  <si>
    <t>30-11</t>
  </si>
  <si>
    <t>30-2</t>
  </si>
  <si>
    <t>30-3</t>
  </si>
  <si>
    <t>30-4</t>
  </si>
  <si>
    <t>30-5</t>
  </si>
  <si>
    <t>30-6</t>
  </si>
  <si>
    <t>30-7</t>
  </si>
  <si>
    <t>30-8</t>
  </si>
  <si>
    <t>30-9</t>
  </si>
  <si>
    <t>14-1</t>
  </si>
  <si>
    <t>14-2</t>
  </si>
  <si>
    <t>14-3</t>
  </si>
  <si>
    <t>14-4</t>
  </si>
  <si>
    <t>14-5</t>
  </si>
  <si>
    <t>14-6</t>
  </si>
  <si>
    <t>14-7</t>
  </si>
  <si>
    <t>14-8</t>
  </si>
  <si>
    <t>11-1</t>
  </si>
  <si>
    <t>11-10</t>
  </si>
  <si>
    <t>11-11</t>
  </si>
  <si>
    <t>11-2</t>
  </si>
  <si>
    <t>11-3</t>
  </si>
  <si>
    <t>11-4</t>
  </si>
  <si>
    <t>11-5</t>
  </si>
  <si>
    <t>11-6</t>
  </si>
  <si>
    <t>11-7</t>
  </si>
  <si>
    <t>11-8</t>
  </si>
  <si>
    <t>11-9</t>
  </si>
  <si>
    <t>150-001</t>
  </si>
  <si>
    <t>141-001</t>
  </si>
  <si>
    <t>121-001</t>
  </si>
  <si>
    <t>121-002</t>
  </si>
  <si>
    <t>110-001</t>
  </si>
  <si>
    <t>110-002</t>
  </si>
  <si>
    <t>110-003</t>
  </si>
  <si>
    <t>110-004</t>
  </si>
  <si>
    <t>107-001</t>
  </si>
  <si>
    <t>107-002</t>
  </si>
  <si>
    <t>103-001</t>
  </si>
  <si>
    <t>102-001</t>
  </si>
  <si>
    <t>102-002</t>
  </si>
  <si>
    <t>102-003</t>
  </si>
  <si>
    <t>102-004</t>
  </si>
  <si>
    <t>100-001</t>
  </si>
  <si>
    <t>100-002</t>
  </si>
  <si>
    <t>100-003</t>
  </si>
  <si>
    <t>100-004</t>
  </si>
  <si>
    <t>100-005</t>
  </si>
  <si>
    <t>099-001</t>
  </si>
  <si>
    <t>099-002</t>
  </si>
  <si>
    <t>099-003</t>
  </si>
  <si>
    <t>099-004</t>
  </si>
  <si>
    <t>099-005</t>
  </si>
  <si>
    <t>098-001</t>
  </si>
  <si>
    <t>098-002</t>
  </si>
  <si>
    <t>098-003</t>
  </si>
  <si>
    <t>098-004</t>
  </si>
  <si>
    <t>098-005</t>
  </si>
  <si>
    <t>095-001</t>
  </si>
  <si>
    <t>095-002</t>
  </si>
  <si>
    <t>095-003</t>
  </si>
  <si>
    <t>095-004</t>
  </si>
  <si>
    <t>095-005</t>
  </si>
  <si>
    <t>094-001</t>
  </si>
  <si>
    <t>094-002</t>
  </si>
  <si>
    <t>094-003</t>
  </si>
  <si>
    <t>094-004</t>
  </si>
  <si>
    <t>094-005</t>
  </si>
  <si>
    <t>091-001</t>
  </si>
  <si>
    <t>091-002</t>
  </si>
  <si>
    <t>091-003</t>
  </si>
  <si>
    <t>091-004</t>
  </si>
  <si>
    <t>091-005</t>
  </si>
  <si>
    <t>085-001</t>
  </si>
  <si>
    <t>085-002</t>
  </si>
  <si>
    <t>085-003</t>
  </si>
  <si>
    <t>085-004</t>
  </si>
  <si>
    <t>085-005</t>
  </si>
  <si>
    <t>085-006</t>
  </si>
  <si>
    <t>065-001</t>
  </si>
  <si>
    <t>065-002</t>
  </si>
  <si>
    <t>065-003</t>
  </si>
  <si>
    <t>065-004</t>
  </si>
  <si>
    <t>065-005</t>
  </si>
  <si>
    <t>065-006</t>
  </si>
  <si>
    <t>065-007</t>
  </si>
  <si>
    <t>052-001</t>
  </si>
  <si>
    <t>052-002</t>
  </si>
  <si>
    <t>052-003</t>
  </si>
  <si>
    <t>052-004</t>
  </si>
  <si>
    <t>051-001</t>
  </si>
  <si>
    <t>051-002</t>
  </si>
  <si>
    <t>051-003</t>
  </si>
  <si>
    <t>051-004</t>
  </si>
  <si>
    <t>050-001</t>
  </si>
  <si>
    <t>050-002</t>
  </si>
  <si>
    <t>050-003</t>
  </si>
  <si>
    <t>050-004</t>
  </si>
  <si>
    <t>050-005</t>
  </si>
  <si>
    <t>050-006</t>
  </si>
  <si>
    <t>046-001</t>
  </si>
  <si>
    <t>046-002</t>
  </si>
  <si>
    <t>046-003</t>
  </si>
  <si>
    <t>046-004</t>
  </si>
  <si>
    <t>046-005</t>
  </si>
  <si>
    <t>046-006</t>
  </si>
  <si>
    <t>046-007</t>
  </si>
  <si>
    <t>033-010</t>
  </si>
  <si>
    <t>033-011</t>
  </si>
  <si>
    <t>033-012</t>
  </si>
  <si>
    <t>033-013</t>
  </si>
  <si>
    <t>033-014</t>
  </si>
  <si>
    <t>033-015</t>
  </si>
  <si>
    <t>033-005</t>
  </si>
  <si>
    <t>033-006</t>
  </si>
  <si>
    <t>033-007</t>
  </si>
  <si>
    <t>033-008</t>
  </si>
  <si>
    <t>033-009</t>
  </si>
  <si>
    <t>031-001</t>
  </si>
  <si>
    <t>031-010</t>
  </si>
  <si>
    <t>031-002</t>
  </si>
  <si>
    <t>031-003</t>
  </si>
  <si>
    <t>031-004</t>
  </si>
  <si>
    <t>031-005</t>
  </si>
  <si>
    <t>031-006</t>
  </si>
  <si>
    <t>031-007</t>
  </si>
  <si>
    <t>031-008</t>
  </si>
  <si>
    <t>030-001</t>
  </si>
  <si>
    <t>030-010</t>
  </si>
  <si>
    <t>030-011</t>
  </si>
  <si>
    <t>030-002</t>
  </si>
  <si>
    <t>030-003</t>
  </si>
  <si>
    <t>030-004</t>
  </si>
  <si>
    <t>030-005</t>
  </si>
  <si>
    <t>030-006</t>
  </si>
  <si>
    <t>030-007</t>
  </si>
  <si>
    <t>030-008</t>
  </si>
  <si>
    <t>030-009</t>
  </si>
  <si>
    <t>014-001</t>
  </si>
  <si>
    <t>014-002</t>
  </si>
  <si>
    <t>014-003</t>
  </si>
  <si>
    <t>014-004</t>
  </si>
  <si>
    <t>014-005</t>
  </si>
  <si>
    <t>014-006</t>
  </si>
  <si>
    <t>014-007</t>
  </si>
  <si>
    <t>014-008</t>
  </si>
  <si>
    <t>011-001</t>
  </si>
  <si>
    <t>011-010</t>
  </si>
  <si>
    <t>011-011</t>
  </si>
  <si>
    <t>011-002</t>
  </si>
  <si>
    <t>011-003</t>
  </si>
  <si>
    <t>011-004</t>
  </si>
  <si>
    <t>011-005</t>
  </si>
  <si>
    <t>011-006</t>
  </si>
  <si>
    <t>011-007</t>
  </si>
  <si>
    <t>011-008</t>
  </si>
  <si>
    <t>011-009</t>
  </si>
  <si>
    <t>İrfan Karakaya</t>
  </si>
  <si>
    <t xml:space="preserve">75 KVA Maintenance Fee </t>
  </si>
  <si>
    <t>o-1</t>
  </si>
  <si>
    <t>SERVICE - 53BD239 - single</t>
  </si>
  <si>
    <t>SERVICE - 53BD239 - hour</t>
  </si>
  <si>
    <t>SERVICE - 99GN495 - single</t>
  </si>
  <si>
    <t>SERVICE - 99GN495 - hour</t>
  </si>
  <si>
    <t>SERVICE - 10OG142 - single</t>
  </si>
  <si>
    <t>SERVICE - 10OG142 - hour</t>
  </si>
  <si>
    <t>Executive car - 77AT396-single</t>
  </si>
  <si>
    <t>Site Service - 50DX470-single</t>
  </si>
  <si>
    <t>Site Service - 50DX470-hour</t>
  </si>
  <si>
    <t>Site Service - 99GR519-single</t>
  </si>
  <si>
    <t>Site Service - 99GR519-hour</t>
  </si>
  <si>
    <t>Site Service - 99LT168-single</t>
  </si>
  <si>
    <t>Site Service - 99LT168-hour</t>
  </si>
  <si>
    <t>Site Service - 20DY940-single</t>
  </si>
  <si>
    <t>Site Service - 20DY940-hour</t>
  </si>
  <si>
    <t>Site Service - 90KU272-single</t>
  </si>
  <si>
    <t>Site Service - 90KU272-hour</t>
  </si>
  <si>
    <t>Site Service - 77SA957-single</t>
  </si>
  <si>
    <t>Site Service - 77SA957-double</t>
  </si>
  <si>
    <t>Site Service - 77SA957-hour</t>
  </si>
  <si>
    <t>77AT396</t>
  </si>
  <si>
    <t>50DX470</t>
  </si>
  <si>
    <t>99GR519</t>
  </si>
  <si>
    <t>20DY940</t>
  </si>
  <si>
    <t>90KU272</t>
  </si>
  <si>
    <t>77SA957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</si>
</sst>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[$-409]d\-mmm\-yy;@"/>
    <numFmt numFmtId="167" formatCode="#,##0.00\ &quot;LD&quot;"/>
    <numFmt numFmtId="168" formatCode="#,##0.00\ [$₼-82C]"/>
    <numFmt numFmtId="169" formatCode="#,##0.00\ [$₼-42C]"/>
    <numFmt numFmtId="170" formatCode="&quot;KOL-ST-R-&quot;00#"/>
    <numFmt numFmtId="171" formatCode="_-* #,##0\ _T_L_-;\-* #,##0\ _T_L_-;_-* &quot;-&quot;\ _T_L_-;_-@_-"/>
    <numFmt numFmtId="172" formatCode="#,##0.000"/>
    <numFmt numFmtId="173" formatCode="0.0"/>
    <numFmt numFmtId="174" formatCode="#,##0.0\ [$₼-42C]"/>
    <numFmt numFmtId="175" formatCode="h:mm;@"/>
    <numFmt numFmtId="176" formatCode="_(* #,##0_);_(* \(#,##0\);_(* &quot;-&quot;??_);_(@_)"/>
    <numFmt numFmtId="177" formatCode="mmmm\ yyyy"/>
    <numFmt numFmtId="178" formatCode="yyyy/mm/dd;@"/>
    <numFmt numFmtId="179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b/>
      <sz val="11"/>
      <name val="Times New Roman"/>
      <family val="1"/>
      <charset val="162"/>
    </font>
    <font>
      <b/>
      <sz val="13"/>
      <name val="Times New Roman"/>
      <family val="1"/>
      <charset val="162"/>
    </font>
    <font>
      <b/>
      <sz val="10"/>
      <name val="Times New Roman"/>
      <family val="1"/>
      <charset val="162"/>
    </font>
    <font>
      <sz val="11"/>
      <name val="Times New Roman"/>
      <family val="1"/>
      <charset val="162"/>
    </font>
    <font>
      <b/>
      <sz val="12"/>
      <name val="Times New Roman"/>
      <family val="1"/>
      <charset val="162"/>
    </font>
    <font>
      <sz val="9"/>
      <name val="Times New Roman"/>
      <family val="1"/>
      <charset val="162"/>
    </font>
    <font>
      <sz val="10"/>
      <name val="Times New Roman"/>
      <family val="1"/>
      <charset val="162"/>
    </font>
    <font>
      <b/>
      <sz val="14"/>
      <name val="Times New Roman"/>
      <family val="1"/>
      <charset val="162"/>
    </font>
    <font>
      <sz val="12"/>
      <name val="Times New Roman"/>
      <family val="1"/>
      <charset val="162"/>
    </font>
    <font>
      <b/>
      <sz val="9"/>
      <name val="Times New Roman"/>
      <family val="1"/>
      <charset val="162"/>
    </font>
    <font>
      <sz val="11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Times New Roman"/>
      <family val="1"/>
      <charset val="16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171" fontId="2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18" fillId="0" borderId="0" applyNumberFormat="0" applyFont="0" applyFill="0" applyBorder="0" applyAlignment="0" applyProtection="0">
      <alignment vertical="top"/>
    </xf>
    <xf numFmtId="16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65">
    <xf numFmtId="0" fontId="0" fillId="0" borderId="0" xfId="0"/>
    <xf numFmtId="0" fontId="0" fillId="0" borderId="0" xfId="0" applyAlignment="1">
      <alignment horizontal="center" vertical="center"/>
    </xf>
    <xf numFmtId="166" fontId="6" fillId="0" borderId="41" xfId="1" applyNumberFormat="1" applyFont="1" applyBorder="1" applyAlignment="1">
      <alignment horizontal="center" vertical="center" wrapText="1"/>
    </xf>
    <xf numFmtId="14" fontId="6" fillId="0" borderId="41" xfId="1" applyNumberFormat="1" applyFont="1" applyBorder="1" applyAlignment="1">
      <alignment horizontal="center" vertical="center" wrapText="1"/>
    </xf>
    <xf numFmtId="167" fontId="6" fillId="0" borderId="41" xfId="1" applyNumberFormat="1" applyFont="1" applyBorder="1" applyAlignment="1">
      <alignment horizontal="center" vertical="center" wrapText="1"/>
    </xf>
    <xf numFmtId="0" fontId="3" fillId="0" borderId="48" xfId="1" applyFont="1" applyBorder="1" applyAlignment="1">
      <alignment horizontal="center" vertical="center"/>
    </xf>
    <xf numFmtId="0" fontId="3" fillId="0" borderId="20" xfId="1" applyFont="1" applyBorder="1" applyAlignment="1">
      <alignment vertical="center" wrapText="1"/>
    </xf>
    <xf numFmtId="0" fontId="3" fillId="0" borderId="49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7" fillId="0" borderId="3" xfId="1" applyFont="1" applyBorder="1" applyAlignment="1">
      <alignment wrapText="1"/>
    </xf>
    <xf numFmtId="0" fontId="7" fillId="0" borderId="25" xfId="1" applyFont="1" applyBorder="1" applyAlignment="1">
      <alignment wrapText="1"/>
    </xf>
    <xf numFmtId="0" fontId="7" fillId="0" borderId="22" xfId="1" applyFont="1" applyBorder="1" applyAlignment="1">
      <alignment wrapText="1"/>
    </xf>
    <xf numFmtId="0" fontId="7" fillId="0" borderId="22" xfId="1" applyFont="1" applyBorder="1"/>
    <xf numFmtId="0" fontId="7" fillId="0" borderId="4" xfId="1" applyFont="1" applyBorder="1"/>
    <xf numFmtId="0" fontId="3" fillId="0" borderId="38" xfId="1" applyFont="1" applyBorder="1" applyAlignment="1">
      <alignment vertical="center" wrapText="1"/>
    </xf>
    <xf numFmtId="0" fontId="7" fillId="0" borderId="0" xfId="1" applyFont="1" applyAlignment="1">
      <alignment wrapText="1"/>
    </xf>
    <xf numFmtId="0" fontId="7" fillId="0" borderId="0" xfId="1" applyFont="1"/>
    <xf numFmtId="0" fontId="3" fillId="0" borderId="20" xfId="1" applyFont="1" applyBorder="1" applyAlignment="1">
      <alignment horizontal="left" vertical="center" wrapText="1" indent="1"/>
    </xf>
    <xf numFmtId="14" fontId="0" fillId="0" borderId="0" xfId="0" applyNumberFormat="1"/>
    <xf numFmtId="0" fontId="19" fillId="0" borderId="0" xfId="0" applyFont="1"/>
    <xf numFmtId="0" fontId="6" fillId="0" borderId="0" xfId="2" applyFont="1"/>
    <xf numFmtId="165" fontId="6" fillId="0" borderId="0" xfId="2" applyNumberFormat="1" applyFont="1"/>
    <xf numFmtId="0" fontId="3" fillId="0" borderId="38" xfId="1" applyFont="1" applyBorder="1" applyAlignment="1">
      <alignment horizontal="left" vertical="center" wrapText="1" indent="1"/>
    </xf>
    <xf numFmtId="0" fontId="3" fillId="0" borderId="58" xfId="1" applyFont="1" applyBorder="1" applyAlignment="1">
      <alignment horizontal="center" vertical="center" wrapText="1"/>
    </xf>
    <xf numFmtId="0" fontId="3" fillId="0" borderId="41" xfId="1" applyFont="1" applyBorder="1" applyAlignment="1">
      <alignment horizontal="center" vertical="center" wrapText="1"/>
    </xf>
    <xf numFmtId="3" fontId="3" fillId="0" borderId="35" xfId="2" applyNumberFormat="1" applyFont="1" applyBorder="1" applyAlignment="1">
      <alignment horizontal="center" vertical="center" wrapText="1"/>
    </xf>
    <xf numFmtId="0" fontId="3" fillId="0" borderId="35" xfId="2" applyFont="1" applyBorder="1" applyAlignment="1">
      <alignment horizontal="center" vertical="center" wrapText="1"/>
    </xf>
    <xf numFmtId="0" fontId="3" fillId="0" borderId="59" xfId="2" applyFont="1" applyBorder="1" applyAlignment="1">
      <alignment horizontal="center" vertical="center" wrapText="1"/>
    </xf>
    <xf numFmtId="0" fontId="6" fillId="0" borderId="48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left" vertical="center" wrapText="1"/>
    </xf>
    <xf numFmtId="0" fontId="14" fillId="0" borderId="20" xfId="2" applyFont="1" applyBorder="1" applyAlignment="1">
      <alignment horizontal="center" vertical="center" wrapText="1"/>
    </xf>
    <xf numFmtId="4" fontId="13" fillId="0" borderId="20" xfId="2" applyNumberFormat="1" applyFont="1" applyBorder="1" applyAlignment="1">
      <alignment horizontal="right" vertical="center" wrapText="1" indent="1"/>
    </xf>
    <xf numFmtId="168" fontId="13" fillId="0" borderId="20" xfId="2" applyNumberFormat="1" applyFont="1" applyBorder="1" applyAlignment="1">
      <alignment horizontal="right" vertical="center" wrapText="1" indent="1"/>
    </xf>
    <xf numFmtId="168" fontId="13" fillId="0" borderId="41" xfId="2" applyNumberFormat="1" applyFont="1" applyBorder="1" applyAlignment="1">
      <alignment horizontal="right" vertical="center" wrapText="1" indent="1"/>
    </xf>
    <xf numFmtId="0" fontId="6" fillId="0" borderId="20" xfId="2" applyFont="1" applyBorder="1" applyAlignment="1">
      <alignment horizontal="left" vertical="center" wrapText="1"/>
    </xf>
    <xf numFmtId="4" fontId="6" fillId="0" borderId="20" xfId="2" applyNumberFormat="1" applyFont="1" applyBorder="1" applyAlignment="1">
      <alignment horizontal="right" vertical="center" wrapText="1" indent="1"/>
    </xf>
    <xf numFmtId="0" fontId="6" fillId="0" borderId="20" xfId="2" applyFont="1" applyBorder="1" applyAlignment="1">
      <alignment horizontal="center" vertical="center" wrapText="1"/>
    </xf>
    <xf numFmtId="4" fontId="6" fillId="0" borderId="20" xfId="2" quotePrefix="1" applyNumberFormat="1" applyFont="1" applyBorder="1" applyAlignment="1">
      <alignment horizontal="right" vertical="center" wrapText="1" indent="1"/>
    </xf>
    <xf numFmtId="168" fontId="6" fillId="0" borderId="20" xfId="2" applyNumberFormat="1" applyFont="1" applyBorder="1" applyAlignment="1">
      <alignment horizontal="right" vertical="center" wrapText="1" indent="1"/>
    </xf>
    <xf numFmtId="168" fontId="6" fillId="0" borderId="41" xfId="2" applyNumberFormat="1" applyFont="1" applyBorder="1" applyAlignment="1">
      <alignment horizontal="right" vertical="center" wrapText="1" indent="1"/>
    </xf>
    <xf numFmtId="168" fontId="3" fillId="0" borderId="20" xfId="2" applyNumberFormat="1" applyFont="1" applyBorder="1" applyAlignment="1">
      <alignment horizontal="right" vertical="center" wrapText="1" indent="1"/>
    </xf>
    <xf numFmtId="168" fontId="3" fillId="0" borderId="41" xfId="2" applyNumberFormat="1" applyFont="1" applyBorder="1" applyAlignment="1">
      <alignment horizontal="right" vertical="center" wrapText="1" indent="1"/>
    </xf>
    <xf numFmtId="0" fontId="3" fillId="0" borderId="3" xfId="2" applyFont="1" applyBorder="1" applyAlignment="1">
      <alignment wrapText="1"/>
    </xf>
    <xf numFmtId="0" fontId="3" fillId="0" borderId="0" xfId="2" applyFont="1" applyAlignment="1">
      <alignment horizontal="center" wrapText="1"/>
    </xf>
    <xf numFmtId="165" fontId="6" fillId="0" borderId="4" xfId="2" applyNumberFormat="1" applyFont="1" applyBorder="1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/>
    </xf>
    <xf numFmtId="169" fontId="0" fillId="0" borderId="0" xfId="0" applyNumberFormat="1"/>
    <xf numFmtId="0" fontId="12" fillId="0" borderId="13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4" fontId="0" fillId="0" borderId="20" xfId="0" applyNumberFormat="1" applyBorder="1" applyAlignment="1">
      <alignment horizontal="center" vertical="center"/>
    </xf>
    <xf numFmtId="0" fontId="12" fillId="0" borderId="16" xfId="2" applyFont="1" applyBorder="1" applyAlignment="1">
      <alignment vertical="center" wrapText="1"/>
    </xf>
    <xf numFmtId="0" fontId="12" fillId="0" borderId="36" xfId="2" applyFont="1" applyBorder="1" applyAlignment="1">
      <alignment vertical="center" wrapText="1"/>
    </xf>
    <xf numFmtId="0" fontId="12" fillId="0" borderId="49" xfId="2" applyFont="1" applyBorder="1" applyAlignment="1">
      <alignment vertical="center" wrapText="1"/>
    </xf>
    <xf numFmtId="0" fontId="12" fillId="0" borderId="35" xfId="2" applyFont="1" applyBorder="1" applyAlignment="1">
      <alignment vertical="center" wrapText="1"/>
    </xf>
    <xf numFmtId="0" fontId="0" fillId="2" borderId="0" xfId="0" applyFill="1"/>
    <xf numFmtId="173" fontId="0" fillId="0" borderId="0" xfId="0" applyNumberFormat="1"/>
    <xf numFmtId="0" fontId="0" fillId="0" borderId="0" xfId="0" applyAlignment="1">
      <alignment horizontal="left"/>
    </xf>
    <xf numFmtId="43" fontId="19" fillId="0" borderId="0" xfId="8" applyFont="1"/>
    <xf numFmtId="43" fontId="0" fillId="0" borderId="0" xfId="8" applyFont="1"/>
    <xf numFmtId="0" fontId="0" fillId="0" borderId="0" xfId="0" quotePrefix="1"/>
    <xf numFmtId="3" fontId="12" fillId="0" borderId="15" xfId="2" applyNumberFormat="1" applyFont="1" applyBorder="1" applyAlignment="1">
      <alignment horizontal="center" vertical="center" wrapText="1"/>
    </xf>
    <xf numFmtId="165" fontId="12" fillId="0" borderId="15" xfId="2" applyNumberFormat="1" applyFont="1" applyBorder="1" applyAlignment="1">
      <alignment horizontal="center" vertical="center" wrapText="1"/>
    </xf>
    <xf numFmtId="165" fontId="12" fillId="0" borderId="61" xfId="2" applyNumberFormat="1" applyFont="1" applyBorder="1" applyAlignment="1">
      <alignment horizontal="center" vertical="center" wrapText="1"/>
    </xf>
    <xf numFmtId="0" fontId="20" fillId="0" borderId="0" xfId="0" applyFont="1"/>
    <xf numFmtId="0" fontId="0" fillId="0" borderId="0" xfId="0" applyAlignment="1">
      <alignment wrapText="1"/>
    </xf>
    <xf numFmtId="0" fontId="21" fillId="0" borderId="0" xfId="0" applyFont="1" applyAlignment="1">
      <alignment horizontal="center" wrapText="1"/>
    </xf>
    <xf numFmtId="175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175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175" fontId="21" fillId="0" borderId="0" xfId="0" applyNumberFormat="1" applyFont="1" applyAlignment="1">
      <alignment horizontal="center" vertical="center"/>
    </xf>
    <xf numFmtId="175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Continuous"/>
    </xf>
    <xf numFmtId="175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5" fontId="21" fillId="0" borderId="0" xfId="0" applyNumberFormat="1" applyFont="1" applyAlignment="1">
      <alignment horizontal="center"/>
    </xf>
    <xf numFmtId="175" fontId="21" fillId="0" borderId="0" xfId="0" applyNumberFormat="1" applyFont="1" applyAlignment="1">
      <alignment horizontal="center" wrapText="1"/>
    </xf>
    <xf numFmtId="175" fontId="21" fillId="0" borderId="0" xfId="0" applyNumberFormat="1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175" fontId="22" fillId="0" borderId="0" xfId="0" applyNumberFormat="1" applyFont="1" applyAlignment="1">
      <alignment horizontal="center" vertical="top" wrapText="1"/>
    </xf>
    <xf numFmtId="175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23" fillId="0" borderId="0" xfId="0" applyFont="1"/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9" fillId="0" borderId="0" xfId="0" applyFont="1" applyAlignment="1">
      <alignment horizontal="center"/>
    </xf>
    <xf numFmtId="43" fontId="19" fillId="0" borderId="0" xfId="8" applyFont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/>
    <xf numFmtId="2" fontId="24" fillId="0" borderId="0" xfId="0" applyNumberFormat="1" applyFont="1" applyAlignment="1">
      <alignment vertical="center"/>
    </xf>
    <xf numFmtId="14" fontId="19" fillId="0" borderId="0" xfId="0" applyNumberFormat="1" applyFont="1"/>
    <xf numFmtId="0" fontId="25" fillId="0" borderId="0" xfId="0" applyFont="1"/>
    <xf numFmtId="176" fontId="0" fillId="0" borderId="0" xfId="8" applyNumberFormat="1" applyFont="1"/>
    <xf numFmtId="43" fontId="0" fillId="0" borderId="0" xfId="0" applyNumberFormat="1"/>
    <xf numFmtId="43" fontId="19" fillId="0" borderId="0" xfId="8" applyFont="1" applyAlignment="1">
      <alignment horizontal="right"/>
    </xf>
    <xf numFmtId="43" fontId="0" fillId="0" borderId="0" xfId="8" applyFont="1" applyAlignment="1">
      <alignment horizontal="right"/>
    </xf>
    <xf numFmtId="177" fontId="0" fillId="0" borderId="0" xfId="0" applyNumberFormat="1" applyAlignment="1">
      <alignment horizontal="left"/>
    </xf>
    <xf numFmtId="175" fontId="21" fillId="0" borderId="0" xfId="0" applyNumberFormat="1" applyFont="1" applyAlignment="1">
      <alignment horizontal="right" vertical="top"/>
    </xf>
    <xf numFmtId="0" fontId="21" fillId="0" borderId="0" xfId="0" applyFont="1" applyAlignment="1">
      <alignment horizontal="right" vertical="top"/>
    </xf>
    <xf numFmtId="169" fontId="24" fillId="0" borderId="0" xfId="0" applyNumberFormat="1" applyFont="1" applyAlignment="1">
      <alignment vertical="center"/>
    </xf>
    <xf numFmtId="174" fontId="24" fillId="0" borderId="0" xfId="0" applyNumberFormat="1" applyFont="1" applyAlignment="1">
      <alignment vertical="center"/>
    </xf>
    <xf numFmtId="178" fontId="0" fillId="0" borderId="0" xfId="0" applyNumberFormat="1" applyAlignment="1">
      <alignment horizontal="left"/>
    </xf>
    <xf numFmtId="178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8" applyNumberFormat="1" applyFont="1" applyAlignment="1">
      <alignment horizontal="center" vertical="center" wrapText="1"/>
    </xf>
    <xf numFmtId="43" fontId="0" fillId="0" borderId="0" xfId="8" applyFont="1" applyAlignment="1">
      <alignment horizontal="center" vertical="center" wrapText="1"/>
    </xf>
    <xf numFmtId="0" fontId="26" fillId="0" borderId="0" xfId="9" applyAlignment="1">
      <alignment horizontal="center" vertical="center"/>
    </xf>
    <xf numFmtId="0" fontId="6" fillId="0" borderId="0" xfId="1" applyFont="1" applyAlignment="1">
      <alignment vertical="center"/>
    </xf>
    <xf numFmtId="20" fontId="0" fillId="0" borderId="0" xfId="0" applyNumberFormat="1" applyAlignment="1">
      <alignment horizontal="right"/>
    </xf>
    <xf numFmtId="168" fontId="27" fillId="0" borderId="20" xfId="2" applyNumberFormat="1" applyFont="1" applyBorder="1" applyAlignment="1">
      <alignment horizontal="right" vertical="center" wrapText="1" indent="1"/>
    </xf>
    <xf numFmtId="168" fontId="27" fillId="0" borderId="41" xfId="2" applyNumberFormat="1" applyFont="1" applyBorder="1" applyAlignment="1">
      <alignment horizontal="right" vertical="center" wrapText="1" indent="1"/>
    </xf>
    <xf numFmtId="172" fontId="0" fillId="0" borderId="20" xfId="0" applyNumberFormat="1" applyBorder="1" applyAlignment="1">
      <alignment horizontal="center" vertical="center"/>
    </xf>
    <xf numFmtId="0" fontId="0" fillId="0" borderId="20" xfId="0" applyBorder="1"/>
    <xf numFmtId="0" fontId="28" fillId="0" borderId="0" xfId="0" applyFont="1" applyAlignment="1">
      <alignment vertical="center"/>
    </xf>
    <xf numFmtId="176" fontId="19" fillId="0" borderId="0" xfId="8" applyNumberFormat="1" applyFont="1" applyAlignment="1">
      <alignment horizontal="center" vertical="center" wrapText="1"/>
    </xf>
    <xf numFmtId="43" fontId="19" fillId="0" borderId="0" xfId="8" applyFont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176" fontId="0" fillId="0" borderId="20" xfId="8" applyNumberFormat="1" applyFont="1" applyBorder="1"/>
    <xf numFmtId="43" fontId="19" fillId="0" borderId="20" xfId="8" applyFont="1" applyBorder="1" applyAlignment="1">
      <alignment horizontal="center" vertical="center"/>
    </xf>
    <xf numFmtId="43" fontId="0" fillId="0" borderId="20" xfId="8" applyFont="1" applyBorder="1"/>
    <xf numFmtId="0" fontId="19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wrapText="1"/>
    </xf>
    <xf numFmtId="0" fontId="19" fillId="0" borderId="20" xfId="0" applyFont="1" applyBorder="1" applyAlignment="1">
      <alignment horizontal="center"/>
    </xf>
    <xf numFmtId="179" fontId="19" fillId="0" borderId="20" xfId="8" applyNumberFormat="1" applyFont="1" applyBorder="1" applyAlignment="1">
      <alignment horizontal="center" vertical="center"/>
    </xf>
    <xf numFmtId="175" fontId="0" fillId="0" borderId="0" xfId="0" applyNumberFormat="1" applyAlignment="1">
      <alignment horizontal="right"/>
    </xf>
    <xf numFmtId="17" fontId="0" fillId="0" borderId="0" xfId="0" applyNumberFormat="1" applyAlignment="1">
      <alignment horizontal="right"/>
    </xf>
    <xf numFmtId="168" fontId="0" fillId="0" borderId="0" xfId="0" applyNumberFormat="1"/>
    <xf numFmtId="0" fontId="21" fillId="0" borderId="0" xfId="8" applyNumberFormat="1" applyFont="1" applyAlignment="1">
      <alignment horizontal="right"/>
    </xf>
    <xf numFmtId="43" fontId="16" fillId="0" borderId="0" xfId="8" applyFont="1"/>
    <xf numFmtId="2" fontId="19" fillId="0" borderId="20" xfId="0" applyNumberFormat="1" applyFont="1" applyBorder="1" applyAlignment="1">
      <alignment horizontal="right" vertical="center" wrapText="1"/>
    </xf>
    <xf numFmtId="179" fontId="19" fillId="0" borderId="15" xfId="8" applyNumberFormat="1" applyFont="1" applyBorder="1" applyAlignment="1">
      <alignment horizontal="center" vertical="center"/>
    </xf>
    <xf numFmtId="0" fontId="0" fillId="0" borderId="9" xfId="0" applyBorder="1"/>
    <xf numFmtId="0" fontId="19" fillId="0" borderId="20" xfId="0" applyFont="1" applyBorder="1"/>
    <xf numFmtId="177" fontId="19" fillId="0" borderId="20" xfId="0" applyNumberFormat="1" applyFont="1" applyBorder="1" applyAlignment="1">
      <alignment horizontal="left"/>
    </xf>
    <xf numFmtId="177" fontId="0" fillId="0" borderId="20" xfId="0" applyNumberFormat="1" applyBorder="1" applyAlignment="1">
      <alignment horizontal="left"/>
    </xf>
    <xf numFmtId="43" fontId="19" fillId="0" borderId="20" xfId="8" applyFont="1" applyBorder="1"/>
    <xf numFmtId="0" fontId="30" fillId="0" borderId="0" xfId="1" applyFont="1"/>
    <xf numFmtId="169" fontId="3" fillId="0" borderId="30" xfId="1" applyNumberFormat="1" applyFont="1" applyBorder="1" applyAlignment="1">
      <alignment horizontal="right" vertical="center" wrapText="1" indent="1"/>
    </xf>
    <xf numFmtId="169" fontId="3" fillId="0" borderId="6" xfId="1" applyNumberFormat="1" applyFont="1" applyBorder="1" applyAlignment="1">
      <alignment horizontal="right" vertical="center" wrapText="1" indent="1"/>
    </xf>
    <xf numFmtId="169" fontId="3" fillId="0" borderId="7" xfId="1" applyNumberFormat="1" applyFont="1" applyBorder="1" applyAlignment="1">
      <alignment horizontal="right" vertical="center" wrapText="1" indent="1"/>
    </xf>
    <xf numFmtId="169" fontId="6" fillId="0" borderId="12" xfId="1" applyNumberFormat="1" applyFont="1" applyBorder="1" applyAlignment="1">
      <alignment horizontal="right" vertical="center" wrapText="1" indent="1"/>
    </xf>
    <xf numFmtId="169" fontId="6" fillId="0" borderId="24" xfId="1" applyNumberFormat="1" applyFont="1" applyBorder="1" applyAlignment="1">
      <alignment horizontal="right" vertical="center" wrapText="1" indent="1"/>
    </xf>
    <xf numFmtId="169" fontId="6" fillId="0" borderId="28" xfId="1" applyNumberFormat="1" applyFont="1" applyBorder="1" applyAlignment="1">
      <alignment horizontal="right" vertical="center" wrapText="1" indent="1"/>
    </xf>
    <xf numFmtId="0" fontId="3" fillId="0" borderId="55" xfId="1" applyFont="1" applyBorder="1" applyAlignment="1">
      <alignment horizontal="left" vertical="center" wrapText="1" indent="1"/>
    </xf>
    <xf numFmtId="0" fontId="3" fillId="0" borderId="23" xfId="1" applyFont="1" applyBorder="1" applyAlignment="1">
      <alignment horizontal="left" vertical="center" indent="1"/>
    </xf>
    <xf numFmtId="0" fontId="3" fillId="0" borderId="56" xfId="1" applyFont="1" applyBorder="1" applyAlignment="1">
      <alignment horizontal="left" vertical="center" indent="1"/>
    </xf>
    <xf numFmtId="0" fontId="3" fillId="0" borderId="36" xfId="1" applyFont="1" applyBorder="1" applyAlignment="1">
      <alignment horizontal="center" vertical="center" wrapText="1"/>
    </xf>
    <xf numFmtId="0" fontId="3" fillId="0" borderId="37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textRotation="90" wrapText="1"/>
    </xf>
    <xf numFmtId="0" fontId="7" fillId="0" borderId="29" xfId="1" applyFont="1" applyBorder="1" applyAlignment="1">
      <alignment horizontal="center" vertical="center" textRotation="90" wrapText="1"/>
    </xf>
    <xf numFmtId="0" fontId="7" fillId="0" borderId="35" xfId="1" applyFont="1" applyBorder="1" applyAlignment="1">
      <alignment horizontal="center" vertical="center" textRotation="90" wrapText="1"/>
    </xf>
    <xf numFmtId="0" fontId="6" fillId="0" borderId="26" xfId="1" applyFont="1" applyBorder="1" applyAlignment="1">
      <alignment horizontal="left" vertical="center" wrapText="1" indent="1"/>
    </xf>
    <xf numFmtId="0" fontId="6" fillId="0" borderId="5" xfId="1" applyFont="1" applyBorder="1" applyAlignment="1">
      <alignment horizontal="left" vertical="center" indent="1"/>
    </xf>
    <xf numFmtId="0" fontId="6" fillId="0" borderId="27" xfId="1" applyFont="1" applyBorder="1" applyAlignment="1">
      <alignment horizontal="left" vertical="center" indent="1"/>
    </xf>
    <xf numFmtId="169" fontId="6" fillId="0" borderId="26" xfId="1" applyNumberFormat="1" applyFont="1" applyBorder="1" applyAlignment="1">
      <alignment horizontal="right" vertical="center" wrapText="1" indent="1"/>
    </xf>
    <xf numFmtId="169" fontId="6" fillId="0" borderId="5" xfId="1" applyNumberFormat="1" applyFont="1" applyBorder="1" applyAlignment="1">
      <alignment horizontal="right" vertical="center" wrapText="1" indent="1"/>
    </xf>
    <xf numFmtId="169" fontId="6" fillId="0" borderId="27" xfId="1" applyNumberFormat="1" applyFont="1" applyBorder="1" applyAlignment="1">
      <alignment horizontal="right" vertical="center" wrapText="1" indent="1"/>
    </xf>
    <xf numFmtId="0" fontId="10" fillId="0" borderId="44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45" xfId="1" applyFont="1" applyBorder="1" applyAlignment="1">
      <alignment horizontal="center" vertical="center" wrapText="1"/>
    </xf>
    <xf numFmtId="0" fontId="10" fillId="0" borderId="4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43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left" vertical="top" wrapText="1" indent="1"/>
    </xf>
    <xf numFmtId="0" fontId="6" fillId="0" borderId="11" xfId="1" applyFont="1" applyBorder="1" applyAlignment="1">
      <alignment horizontal="left" vertical="top" indent="1"/>
    </xf>
    <xf numFmtId="0" fontId="6" fillId="0" borderId="14" xfId="1" applyFont="1" applyBorder="1" applyAlignment="1">
      <alignment horizontal="left" vertical="top" indent="1"/>
    </xf>
    <xf numFmtId="169" fontId="3" fillId="0" borderId="32" xfId="1" applyNumberFormat="1" applyFont="1" applyBorder="1" applyAlignment="1">
      <alignment horizontal="right" vertical="center" wrapText="1" indent="1"/>
    </xf>
    <xf numFmtId="169" fontId="3" fillId="0" borderId="33" xfId="1" applyNumberFormat="1" applyFont="1" applyBorder="1" applyAlignment="1">
      <alignment horizontal="right" vertical="center" wrapText="1" indent="1"/>
    </xf>
    <xf numFmtId="169" fontId="3" fillId="0" borderId="57" xfId="1" applyNumberFormat="1" applyFont="1" applyBorder="1" applyAlignment="1">
      <alignment horizontal="right" vertical="center" wrapText="1" indent="1"/>
    </xf>
    <xf numFmtId="0" fontId="6" fillId="0" borderId="12" xfId="1" applyFont="1" applyBorder="1" applyAlignment="1">
      <alignment horizontal="left" vertical="center" wrapText="1" indent="1"/>
    </xf>
    <xf numFmtId="0" fontId="6" fillId="0" borderId="24" xfId="1" applyFont="1" applyBorder="1" applyAlignment="1">
      <alignment horizontal="left" vertical="center" indent="1"/>
    </xf>
    <xf numFmtId="0" fontId="6" fillId="0" borderId="28" xfId="1" applyFont="1" applyBorder="1" applyAlignment="1">
      <alignment horizontal="left" vertical="center" indent="1"/>
    </xf>
    <xf numFmtId="169" fontId="6" fillId="0" borderId="10" xfId="1" applyNumberFormat="1" applyFont="1" applyBorder="1" applyAlignment="1">
      <alignment horizontal="right" vertical="center" wrapText="1" indent="1"/>
    </xf>
    <xf numFmtId="0" fontId="3" fillId="0" borderId="46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top" wrapText="1"/>
    </xf>
    <xf numFmtId="0" fontId="7" fillId="0" borderId="51" xfId="1" applyFont="1" applyBorder="1" applyAlignment="1">
      <alignment horizontal="center" vertical="top"/>
    </xf>
    <xf numFmtId="0" fontId="7" fillId="0" borderId="52" xfId="1" applyFont="1" applyBorder="1" applyAlignment="1">
      <alignment horizontal="center" vertical="top"/>
    </xf>
    <xf numFmtId="0" fontId="7" fillId="0" borderId="51" xfId="1" applyFont="1" applyBorder="1" applyAlignment="1">
      <alignment horizontal="center" vertical="top" wrapText="1"/>
    </xf>
    <xf numFmtId="0" fontId="7" fillId="0" borderId="54" xfId="1" applyFont="1" applyBorder="1" applyAlignment="1">
      <alignment horizontal="center" vertical="top" wrapText="1"/>
    </xf>
    <xf numFmtId="0" fontId="7" fillId="0" borderId="13" xfId="1" applyFont="1" applyBorder="1" applyAlignment="1">
      <alignment horizontal="center" wrapText="1"/>
    </xf>
    <xf numFmtId="0" fontId="7" fillId="0" borderId="11" xfId="1" applyFont="1" applyBorder="1" applyAlignment="1">
      <alignment horizontal="center" wrapText="1"/>
    </xf>
    <xf numFmtId="0" fontId="7" fillId="0" borderId="45" xfId="1" applyFont="1" applyBorder="1" applyAlignment="1">
      <alignment horizontal="center" wrapText="1"/>
    </xf>
    <xf numFmtId="0" fontId="7" fillId="0" borderId="14" xfId="1" applyFont="1" applyBorder="1" applyAlignment="1">
      <alignment horizontal="center" wrapText="1"/>
    </xf>
    <xf numFmtId="0" fontId="7" fillId="0" borderId="44" xfId="1" applyFont="1" applyBorder="1" applyAlignment="1">
      <alignment horizont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47" xfId="1" applyFont="1" applyBorder="1" applyAlignment="1">
      <alignment horizontal="center" vertical="center" wrapText="1"/>
    </xf>
    <xf numFmtId="0" fontId="7" fillId="0" borderId="50" xfId="1" applyFont="1" applyBorder="1" applyAlignment="1">
      <alignment horizontal="center" vertical="top" wrapText="1"/>
    </xf>
    <xf numFmtId="0" fontId="4" fillId="0" borderId="40" xfId="1" applyFont="1" applyBorder="1" applyAlignment="1">
      <alignment horizontal="center" vertical="center" wrapText="1"/>
    </xf>
    <xf numFmtId="0" fontId="4" fillId="0" borderId="38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7" fillId="0" borderId="42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0" fontId="3" fillId="0" borderId="44" xfId="1" applyFont="1" applyBorder="1" applyAlignment="1">
      <alignment horizontal="left" vertical="center" wrapText="1" indent="1"/>
    </xf>
    <xf numFmtId="0" fontId="3" fillId="0" borderId="14" xfId="1" applyFont="1" applyBorder="1" applyAlignment="1">
      <alignment horizontal="left" vertical="center" wrapText="1" indent="1"/>
    </xf>
    <xf numFmtId="0" fontId="3" fillId="0" borderId="42" xfId="1" applyFont="1" applyBorder="1" applyAlignment="1">
      <alignment horizontal="left" vertical="center" wrapText="1" indent="1"/>
    </xf>
    <xf numFmtId="0" fontId="3" fillId="0" borderId="17" xfId="1" applyFont="1" applyBorder="1" applyAlignment="1">
      <alignment horizontal="left" vertical="center" wrapText="1" indent="1"/>
    </xf>
    <xf numFmtId="0" fontId="7" fillId="0" borderId="13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left" vertical="center" wrapText="1"/>
    </xf>
    <xf numFmtId="0" fontId="5" fillId="0" borderId="19" xfId="1" applyFont="1" applyBorder="1" applyAlignment="1">
      <alignment horizontal="left" vertical="center" wrapText="1"/>
    </xf>
    <xf numFmtId="170" fontId="3" fillId="0" borderId="39" xfId="1" applyNumberFormat="1" applyFont="1" applyBorder="1" applyAlignment="1">
      <alignment horizontal="center" vertical="center" wrapText="1"/>
    </xf>
    <xf numFmtId="170" fontId="3" fillId="0" borderId="60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42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169" fontId="3" fillId="0" borderId="18" xfId="1" applyNumberFormat="1" applyFont="1" applyBorder="1" applyAlignment="1">
      <alignment horizontal="right" vertical="center" wrapText="1" indent="1"/>
    </xf>
    <xf numFmtId="169" fontId="3" fillId="0" borderId="21" xfId="1" applyNumberFormat="1" applyFont="1" applyBorder="1" applyAlignment="1">
      <alignment horizontal="right" vertical="center" wrapText="1" indent="1"/>
    </xf>
    <xf numFmtId="169" fontId="3" fillId="0" borderId="47" xfId="1" applyNumberFormat="1" applyFont="1" applyBorder="1" applyAlignment="1">
      <alignment horizontal="right" vertical="center" wrapText="1" indent="1"/>
    </xf>
    <xf numFmtId="169" fontId="6" fillId="0" borderId="32" xfId="1" applyNumberFormat="1" applyFont="1" applyBorder="1" applyAlignment="1">
      <alignment horizontal="right" vertical="center" wrapText="1" indent="1"/>
    </xf>
    <xf numFmtId="169" fontId="6" fillId="0" borderId="33" xfId="1" applyNumberFormat="1" applyFont="1" applyBorder="1" applyAlignment="1">
      <alignment horizontal="right" vertical="center" wrapText="1" indent="1"/>
    </xf>
    <xf numFmtId="169" fontId="6" fillId="0" borderId="34" xfId="1" applyNumberFormat="1" applyFont="1" applyBorder="1" applyAlignment="1">
      <alignment horizontal="right" vertical="center" wrapText="1" indent="1"/>
    </xf>
    <xf numFmtId="0" fontId="3" fillId="0" borderId="20" xfId="1" applyFont="1" applyBorder="1" applyAlignment="1">
      <alignment horizontal="left" vertical="center" wrapText="1" indent="1"/>
    </xf>
    <xf numFmtId="0" fontId="3" fillId="0" borderId="20" xfId="1" applyFont="1" applyBorder="1" applyAlignment="1">
      <alignment horizontal="left" vertical="center" indent="1"/>
    </xf>
    <xf numFmtId="169" fontId="3" fillId="0" borderId="19" xfId="1" applyNumberFormat="1" applyFont="1" applyBorder="1" applyAlignment="1">
      <alignment horizontal="right" vertical="center" wrapText="1" indent="1"/>
    </xf>
    <xf numFmtId="169" fontId="6" fillId="0" borderId="13" xfId="1" applyNumberFormat="1" applyFont="1" applyBorder="1" applyAlignment="1">
      <alignment horizontal="right" vertical="center" wrapText="1" indent="1"/>
    </xf>
    <xf numFmtId="169" fontId="6" fillId="0" borderId="11" xfId="1" applyNumberFormat="1" applyFont="1" applyBorder="1" applyAlignment="1">
      <alignment horizontal="right" vertical="center" wrapText="1" indent="1"/>
    </xf>
    <xf numFmtId="169" fontId="6" fillId="0" borderId="45" xfId="1" applyNumberFormat="1" applyFont="1" applyBorder="1" applyAlignment="1">
      <alignment horizontal="right" vertical="center" wrapText="1" indent="1"/>
    </xf>
    <xf numFmtId="169" fontId="6" fillId="0" borderId="22" xfId="1" applyNumberFormat="1" applyFont="1" applyBorder="1" applyAlignment="1">
      <alignment horizontal="right" vertical="center" wrapText="1" indent="1"/>
    </xf>
    <xf numFmtId="169" fontId="6" fillId="0" borderId="0" xfId="1" applyNumberFormat="1" applyFont="1" applyAlignment="1">
      <alignment horizontal="right" vertical="center" wrapText="1" indent="1"/>
    </xf>
    <xf numFmtId="169" fontId="6" fillId="0" borderId="4" xfId="1" applyNumberFormat="1" applyFont="1" applyBorder="1" applyAlignment="1">
      <alignment horizontal="right" vertical="center" wrapText="1" indent="1"/>
    </xf>
    <xf numFmtId="169" fontId="6" fillId="0" borderId="16" xfId="1" applyNumberFormat="1" applyFont="1" applyBorder="1" applyAlignment="1">
      <alignment horizontal="right" vertical="center" wrapText="1" indent="1"/>
    </xf>
    <xf numFmtId="169" fontId="6" fillId="0" borderId="9" xfId="1" applyNumberFormat="1" applyFont="1" applyBorder="1" applyAlignment="1">
      <alignment horizontal="right" vertical="center" wrapText="1" indent="1"/>
    </xf>
    <xf numFmtId="169" fontId="6" fillId="0" borderId="43" xfId="1" applyNumberFormat="1" applyFont="1" applyBorder="1" applyAlignment="1">
      <alignment horizontal="right" vertical="center" wrapText="1" indent="1"/>
    </xf>
    <xf numFmtId="0" fontId="6" fillId="0" borderId="24" xfId="1" applyFont="1" applyBorder="1" applyAlignment="1">
      <alignment horizontal="left" vertical="center" wrapText="1" indent="1"/>
    </xf>
    <xf numFmtId="0" fontId="6" fillId="0" borderId="28" xfId="1" applyFont="1" applyBorder="1" applyAlignment="1">
      <alignment horizontal="left" vertical="center" wrapText="1" indent="1"/>
    </xf>
    <xf numFmtId="0" fontId="6" fillId="0" borderId="30" xfId="1" applyFont="1" applyBorder="1" applyAlignment="1">
      <alignment horizontal="left" vertical="center" indent="1"/>
    </xf>
    <xf numFmtId="0" fontId="6" fillId="0" borderId="6" xfId="1" applyFont="1" applyBorder="1" applyAlignment="1">
      <alignment horizontal="left" vertical="center" indent="1"/>
    </xf>
    <xf numFmtId="0" fontId="6" fillId="0" borderId="31" xfId="1" applyFont="1" applyBorder="1" applyAlignment="1">
      <alignment horizontal="left" vertical="center" indent="1"/>
    </xf>
    <xf numFmtId="0" fontId="6" fillId="0" borderId="12" xfId="1" applyFont="1" applyBorder="1" applyAlignment="1">
      <alignment horizontal="left" vertical="center" indent="1"/>
    </xf>
    <xf numFmtId="0" fontId="3" fillId="0" borderId="0" xfId="2" applyFont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6" fillId="0" borderId="50" xfId="2" applyFont="1" applyBorder="1" applyAlignment="1">
      <alignment horizontal="center" vertical="center" wrapText="1"/>
    </xf>
    <xf numFmtId="0" fontId="6" fillId="0" borderId="51" xfId="2" applyFont="1" applyBorder="1" applyAlignment="1">
      <alignment horizontal="center" vertical="center" wrapText="1"/>
    </xf>
    <xf numFmtId="0" fontId="6" fillId="0" borderId="52" xfId="2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64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165" fontId="3" fillId="0" borderId="46" xfId="2" applyNumberFormat="1" applyFont="1" applyBorder="1" applyAlignment="1">
      <alignment horizontal="right" vertical="center" wrapText="1" indent="1"/>
    </xf>
    <xf numFmtId="165" fontId="3" fillId="0" borderId="21" xfId="2" applyNumberFormat="1" applyFont="1" applyBorder="1" applyAlignment="1">
      <alignment horizontal="right" vertical="center" wrapText="1" indent="1"/>
    </xf>
    <xf numFmtId="165" fontId="3" fillId="0" borderId="19" xfId="2" applyNumberFormat="1" applyFont="1" applyBorder="1" applyAlignment="1">
      <alignment horizontal="right" vertical="center" wrapText="1" indent="1"/>
    </xf>
    <xf numFmtId="0" fontId="3" fillId="0" borderId="3" xfId="2" applyFont="1" applyBorder="1" applyAlignment="1">
      <alignment horizontal="center" vertical="center" wrapText="1"/>
    </xf>
    <xf numFmtId="165" fontId="27" fillId="0" borderId="46" xfId="2" applyNumberFormat="1" applyFont="1" applyBorder="1" applyAlignment="1">
      <alignment horizontal="right" vertical="center" wrapText="1" indent="1"/>
    </xf>
    <xf numFmtId="165" fontId="27" fillId="0" borderId="21" xfId="2" applyNumberFormat="1" applyFont="1" applyBorder="1" applyAlignment="1">
      <alignment horizontal="right" vertical="center" wrapText="1" indent="1"/>
    </xf>
    <xf numFmtId="165" fontId="27" fillId="0" borderId="19" xfId="2" applyNumberFormat="1" applyFont="1" applyBorder="1" applyAlignment="1">
      <alignment horizontal="right" vertical="center" wrapText="1" indent="1"/>
    </xf>
    <xf numFmtId="0" fontId="0" fillId="0" borderId="20" xfId="0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43" fontId="29" fillId="0" borderId="20" xfId="8" applyFont="1" applyBorder="1" applyAlignment="1">
      <alignment horizontal="left" vertical="center"/>
    </xf>
  </cellXfs>
  <cellStyles count="10">
    <cellStyle name="Binlik Ayracı_menfez" xfId="3" xr:uid="{00433219-8341-468A-9151-ECB009FB19D7}"/>
    <cellStyle name="Comma" xfId="8" builtinId="3"/>
    <cellStyle name="Comma 2" xfId="7" xr:uid="{C2A1C35E-CF8E-4859-B6AD-E59E82F41F67}"/>
    <cellStyle name="Hyperlink" xfId="9" builtinId="8"/>
    <cellStyle name="Normal" xfId="0" builtinId="0"/>
    <cellStyle name="Normal 2" xfId="2" xr:uid="{00000000-0005-0000-0000-000001000000}"/>
    <cellStyle name="Normal 3" xfId="4" xr:uid="{3335504F-E56A-494B-9A67-277F36B7928E}"/>
    <cellStyle name="Normal 5" xfId="6" xr:uid="{1162EF8E-0EE0-40C3-BF90-701A64B598AC}"/>
    <cellStyle name="Normal_MTT HAK-KPK" xfId="1" xr:uid="{00000000-0005-0000-0000-000002000000}"/>
    <cellStyle name="Virgül 2" xfId="5" xr:uid="{CFC53690-64EE-443A-99FD-773F7CC5D3B6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5" formatCode="h:mm;@"/>
    </dxf>
    <dxf>
      <numFmt numFmtId="175" formatCode="h:mm;@"/>
    </dxf>
    <dxf>
      <numFmt numFmtId="175" formatCode="h:mm;@"/>
    </dxf>
    <dxf>
      <numFmt numFmtId="175" formatCode="h:mm;@"/>
    </dxf>
    <dxf>
      <numFmt numFmtId="175" formatCode="h:mm;@"/>
    </dxf>
    <dxf>
      <numFmt numFmtId="175" formatCode="h:mm;@"/>
    </dxf>
    <dxf>
      <numFmt numFmtId="175" formatCode="h:mm;@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font>
        <color rgb="FFFF0000"/>
      </font>
    </dxf>
    <dxf>
      <font>
        <b/>
        <i val="0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0/07/relationships/rdRichValueWebImage" Target="richData/rdRichValueWebImage.xml"/><Relationship Id="rId27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Spin" dx="22" fmlaLink="$P$2" max="300" min="1" page="10" val="129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46</xdr:col>
          <xdr:colOff>76200</xdr:colOff>
          <xdr:row>4</xdr:row>
          <xdr:rowOff>219075</xdr:rowOff>
        </xdr:from>
        <xdr:to>
          <xdr:col>46</xdr:col>
          <xdr:colOff>504825</xdr:colOff>
          <xdr:row>6</xdr:row>
          <xdr:rowOff>390525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080BC9-269F-30C6-F63F-EB5275D5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7825" cy="647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813288</xdr:colOff>
      <xdr:row>0</xdr:row>
      <xdr:rowOff>446392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B2C9D-55E5-488B-984D-247A41069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5673" cy="4463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1155701</xdr:colOff>
      <xdr:row>0</xdr:row>
      <xdr:rowOff>636468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2D91D-982D-4BBF-BE08-C71DF9B5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619250" cy="6364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kolin.com.tr/Templates/Default/assets/img/logo.png" TargetMode="Externa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4">
  <rv s="0">
    <v>0</v>
    <v>5</v>
  </rv>
  <rv s="1">
    <v>13</v>
    <v>3</v>
  </rv>
  <rv s="2">
    <v>13</v>
    <v>1</v>
  </rv>
  <rv s="3">
    <v>0</v>
    <v>1</v>
    <v>0</v>
    <v>1</v>
    <v>LOGO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error">
    <k n="errorType" t="i"/>
    <k n="subType" t="i"/>
  </s>
  <s t="_error">
    <k n="errorType" t="i"/>
    <k n="propagated" t="b"/>
  </s>
  <s t="_webimage">
    <k n="WebImageIdentifier" t="i"/>
    <k n="CalcOrigin" t="i"/>
    <k n="ComputedImage" t="b"/>
    <k n="ImageSizing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54ED2B-E95D-4DB9-BF2C-FE601C39ED15}">
  <we:reference id="wa200009404" version="1.0.0.5" store="en-US" storeType="OMEX"/>
  <we:alternateReferences>
    <we:reference id="wa200009404" version="1.0.0.5" store="wa200009404" storeType="OMEX"/>
  </we:alternateReferences>
  <we:properties>
    <we:property name="claude.fileId" value="&quot;d37b7fe9-6ffc-4c3c-b332-5cfebff645a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9"/>
  <sheetViews>
    <sheetView showGridLines="0" showZeros="0" tabSelected="1" view="pageBreakPreview" zoomScale="85" zoomScaleNormal="70" zoomScaleSheetLayoutView="85" workbookViewId="0">
      <selection activeCell="Q20" sqref="Q20"/>
    </sheetView>
  </sheetViews>
  <sheetFormatPr defaultColWidth="9.28515625" defaultRowHeight="15" x14ac:dyDescent="0.25"/>
  <cols>
    <col min="1" max="1" width="15" customWidth="1"/>
    <col min="2" max="3" width="10.42578125" customWidth="1"/>
    <col min="4" max="9" width="9.7109375" customWidth="1"/>
    <col min="10" max="11" width="14.7109375" customWidth="1"/>
    <col min="12" max="12" width="12.42578125" customWidth="1"/>
    <col min="13" max="13" width="13.5703125" bestFit="1" customWidth="1"/>
    <col min="14" max="14" width="22.42578125" bestFit="1" customWidth="1"/>
    <col min="15" max="15" width="22" customWidth="1"/>
    <col min="16" max="16" width="9.28515625" hidden="1" customWidth="1"/>
    <col min="18" max="18" width="0" hidden="1" customWidth="1"/>
    <col min="21" max="21" width="21.7109375" bestFit="1" customWidth="1"/>
    <col min="22" max="22" width="30.5703125" bestFit="1" customWidth="1"/>
    <col min="23" max="23" width="9.28515625" customWidth="1"/>
  </cols>
  <sheetData>
    <row r="1" spans="1:22" ht="31.9" customHeight="1" thickTop="1" thickBot="1" x14ac:dyDescent="0.3">
      <c r="A1" s="219" t="e" vm="1">
        <v>#VALUE!</v>
      </c>
      <c r="B1" s="220"/>
      <c r="C1" s="199" t="s">
        <v>42</v>
      </c>
      <c r="D1" s="200"/>
      <c r="E1" s="200"/>
      <c r="F1" s="200"/>
      <c r="G1" s="200"/>
      <c r="H1" s="200"/>
      <c r="I1" s="200"/>
      <c r="J1" s="15" t="s">
        <v>1</v>
      </c>
      <c r="K1" s="217" t="str">
        <f>"KLN-SPP2-"&amp;_xlfn.XLOOKUP(R1,log_contracts!B:B,log_contracts!C:C)&amp;"-"&amp;TEXT(R1,"000")</f>
        <v>KLN-SPP2-AA-031</v>
      </c>
      <c r="L1" s="218"/>
      <c r="N1" t="s">
        <v>72</v>
      </c>
      <c r="O1" s="91">
        <v>31</v>
      </c>
      <c r="R1">
        <f>IF(O1="",_xlfn.XLOOKUP(P2,log_ipcs!A:A,log_ipcs!C:C,,0),O1)</f>
        <v>31</v>
      </c>
      <c r="U1" s="116" t="s">
        <v>637</v>
      </c>
      <c r="V1" s="115" t="str">
        <f>HYPERLINK("\\DATA\DataServer\Teknik Ofis\00_SPP2 Taseron Sozlesmeleri\000_FOLLOW-UP\S2 Subcon IPC Log.xlsx","Open IPC Log to Fix #REF error")</f>
        <v>Open IPC Log to Fix #REF error</v>
      </c>
    </row>
    <row r="2" spans="1:22" ht="31.9" customHeight="1" thickBot="1" x14ac:dyDescent="0.4">
      <c r="A2" s="221"/>
      <c r="B2" s="222"/>
      <c r="C2" s="201"/>
      <c r="D2" s="202"/>
      <c r="E2" s="202"/>
      <c r="F2" s="202"/>
      <c r="G2" s="202"/>
      <c r="H2" s="202"/>
      <c r="I2" s="202"/>
      <c r="J2" s="6" t="s">
        <v>2</v>
      </c>
      <c r="K2" s="184">
        <f>R2</f>
        <v>14</v>
      </c>
      <c r="L2" s="197"/>
      <c r="N2" t="s">
        <v>74</v>
      </c>
      <c r="O2" s="92">
        <f>IF(Q2="",MAX(_xlfn.ANCHORARRAY(S2)),Q2)</f>
        <v>14</v>
      </c>
      <c r="P2" s="91">
        <v>129</v>
      </c>
      <c r="R2" s="90">
        <f>IF(O2="",_xlfn.XLOOKUP(P2,log_ipcs!A:A,log_ipcs!D:D,,0),O2)</f>
        <v>14</v>
      </c>
      <c r="S2" cm="1">
        <f t="array" ref="S2:S15">_xlfn._xlws.FILTER(log_ipcs!D:D,log_ipcs!C:C=contract_no)</f>
        <v>1</v>
      </c>
      <c r="U2" s="91">
        <v>1</v>
      </c>
      <c r="V2" s="115" t="str">
        <f>HYPERLINK("\\DATA\DataServer\Teknik Ofis\00_SPP2 Taseron Sozlesmeleri\"&amp;_xlfn.XLOOKUP(O1,log_contracts!B:B,log_contracts!I:I,,0)&amp;"\ipcs\"&amp;IF(U2="",O2,U2)&amp;"\"&amp;O1&amp;"-"&amp;IF(U2="",O2,U2)&amp;".pdf","Open"&amp;" "&amp;O1&amp;"-"&amp;IF(U2="",O2,U2)&amp;" PDF")</f>
        <v>Open 31-1 PDF</v>
      </c>
    </row>
    <row r="3" spans="1:22" ht="31.9" customHeight="1" x14ac:dyDescent="0.25">
      <c r="A3" s="203" t="s">
        <v>43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5"/>
      <c r="S3">
        <v>2</v>
      </c>
      <c r="U3" s="145" t="e">
        <f ca="1">_xlfn.MAXIFS(INDIRECT("'[S2 Subcon IPC Log.xlsx]Subcon IPC Log'!"&amp;"D:D"),INDIRECT("'[S2 Subcon IPC Log.xlsx]Subcon IPC Log'!"&amp;"C:C"),K1)=MAX(_xlfn.ANCHORARRAY(S2))</f>
        <v>#REF!</v>
      </c>
    </row>
    <row r="4" spans="1:22" ht="31.9" customHeight="1" x14ac:dyDescent="0.35">
      <c r="A4" s="206" t="s">
        <v>33</v>
      </c>
      <c r="B4" s="207"/>
      <c r="C4" s="210" t="s">
        <v>61</v>
      </c>
      <c r="D4" s="211"/>
      <c r="E4" s="211"/>
      <c r="F4" s="211"/>
      <c r="G4" s="211"/>
      <c r="H4" s="211"/>
      <c r="I4" s="212"/>
      <c r="J4" s="215" t="s">
        <v>11</v>
      </c>
      <c r="K4" s="216"/>
      <c r="L4" s="2">
        <f>VLOOKUP(TEXT(O1,"000")&amp;"-"&amp;TEXT(O2,"000"),log_ipcs!B:F,4,0)</f>
        <v>46082</v>
      </c>
      <c r="N4" s="66" t="str">
        <f>IF(L6&gt;L4,"ERROR","")</f>
        <v/>
      </c>
      <c r="S4">
        <v>3</v>
      </c>
    </row>
    <row r="5" spans="1:22" ht="31.9" customHeight="1" x14ac:dyDescent="0.25">
      <c r="A5" s="208"/>
      <c r="B5" s="209"/>
      <c r="C5" s="213"/>
      <c r="D5" s="204"/>
      <c r="E5" s="204"/>
      <c r="F5" s="204"/>
      <c r="G5" s="204"/>
      <c r="H5" s="204"/>
      <c r="I5" s="214"/>
      <c r="J5" s="215" t="s">
        <v>12</v>
      </c>
      <c r="K5" s="216"/>
      <c r="L5" s="2" cm="1">
        <f t="array" ref="L5">EOMONTH(MAX(_xlfn.LET(_xlpm.ym,_xlfn._xlws.FILTER(quantities!B:C,(quantities!D:D=contract_no)*(quantities!E:E=ipc_no)),DATE(INDEX(_xlpm.ym,,1),INDEX(_xlpm.ym,,2),1))),0)</f>
        <v>46112</v>
      </c>
      <c r="S5">
        <v>4</v>
      </c>
    </row>
    <row r="6" spans="1:22" ht="31.5" customHeight="1" x14ac:dyDescent="0.25">
      <c r="A6" s="206" t="s">
        <v>34</v>
      </c>
      <c r="B6" s="207"/>
      <c r="C6" s="210" t="str">
        <f>_xlfn.XLOOKUP(R1,log_contracts!B:B,log_contracts!E:E,,0)</f>
        <v>NAR TRANSPORT SERVICES MMC</v>
      </c>
      <c r="D6" s="211"/>
      <c r="E6" s="211"/>
      <c r="F6" s="211"/>
      <c r="G6" s="211"/>
      <c r="H6" s="211"/>
      <c r="I6" s="212"/>
      <c r="J6" s="215" t="s">
        <v>13</v>
      </c>
      <c r="K6" s="216"/>
      <c r="L6" s="2" cm="1">
        <f t="array" ref="L6">_xlfn.XLOOKUP(R1,_xlfn._TRO_TRAILING(log_contracts!B:B),_xlfn._TRO_TRAILING(log_contracts!H:H),,0)</f>
        <v>45693</v>
      </c>
      <c r="S6">
        <v>5</v>
      </c>
    </row>
    <row r="7" spans="1:22" ht="31.9" customHeight="1" x14ac:dyDescent="0.25">
      <c r="A7" s="208"/>
      <c r="B7" s="209"/>
      <c r="C7" s="213"/>
      <c r="D7" s="204"/>
      <c r="E7" s="204"/>
      <c r="F7" s="204"/>
      <c r="G7" s="204"/>
      <c r="H7" s="204"/>
      <c r="I7" s="214"/>
      <c r="J7" s="215" t="s">
        <v>14</v>
      </c>
      <c r="K7" s="216"/>
      <c r="L7" s="2"/>
      <c r="S7">
        <v>6</v>
      </c>
    </row>
    <row r="8" spans="1:22" ht="48" customHeight="1" x14ac:dyDescent="0.25">
      <c r="A8" s="206" t="s">
        <v>35</v>
      </c>
      <c r="B8" s="207"/>
      <c r="C8" s="210" t="str">
        <f>_xlfn.XLOOKUP(R1,log_contracts!B:B,log_contracts!F:F,,0)</f>
        <v>Rental Vehicle
Kiralıq Vasitə</v>
      </c>
      <c r="D8" s="211"/>
      <c r="E8" s="211"/>
      <c r="F8" s="211"/>
      <c r="G8" s="211"/>
      <c r="H8" s="211"/>
      <c r="I8" s="212"/>
      <c r="J8" s="215" t="s">
        <v>15</v>
      </c>
      <c r="K8" s="216"/>
      <c r="L8" s="3" t="s">
        <v>21</v>
      </c>
      <c r="S8">
        <v>7</v>
      </c>
    </row>
    <row r="9" spans="1:22" ht="31.9" customHeight="1" x14ac:dyDescent="0.25">
      <c r="A9" s="208"/>
      <c r="B9" s="209"/>
      <c r="C9" s="213"/>
      <c r="D9" s="204"/>
      <c r="E9" s="204"/>
      <c r="F9" s="204"/>
      <c r="G9" s="204"/>
      <c r="H9" s="204"/>
      <c r="I9" s="214"/>
      <c r="J9" s="215" t="s">
        <v>16</v>
      </c>
      <c r="K9" s="216"/>
      <c r="L9" s="4"/>
      <c r="S9">
        <v>8</v>
      </c>
    </row>
    <row r="10" spans="1:22" ht="31.9" customHeight="1" x14ac:dyDescent="0.25">
      <c r="A10" s="167" t="s">
        <v>36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9"/>
      <c r="S10">
        <v>9</v>
      </c>
    </row>
    <row r="11" spans="1:22" ht="31.9" customHeight="1" x14ac:dyDescent="0.25">
      <c r="A11" s="170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2"/>
      <c r="S11">
        <v>10</v>
      </c>
    </row>
    <row r="12" spans="1:22" ht="31.9" customHeight="1" x14ac:dyDescent="0.25">
      <c r="A12" s="8" t="s">
        <v>4</v>
      </c>
      <c r="B12" s="173" t="str">
        <f>"Cumulative Value Of The Works Executed as of " &amp; TEXT(L5," DD/MMM/YYYY") &amp;CHAR(10)&amp;TEXT(L5,"DD/MMM/YYYY") &amp; "cu il tarixindən etibarən görülmüş işlərin ümumi dəyəri:"</f>
        <v>Cumulative Value Of The Works Executed as of  31/Mar/2026
31/Mar/2026cu il tarixindən etibarən görülmüş işlərin ümumi dəyəri:</v>
      </c>
      <c r="C12" s="174"/>
      <c r="D12" s="174"/>
      <c r="E12" s="174"/>
      <c r="F12" s="174"/>
      <c r="G12" s="174"/>
      <c r="H12" s="174"/>
      <c r="I12" s="175"/>
      <c r="J12" s="176">
        <f>view_calc!I165</f>
        <v>734672.00379436486</v>
      </c>
      <c r="K12" s="177"/>
      <c r="L12" s="178"/>
      <c r="M12" s="95" t="e">
        <f ca="1">SUMIFS(
INDIRECT("'[S2 Subcon IPC Log.xlsx]Subcon IPC Log'!"&amp;"$O:$O"),
INDIRECT("'[S2 Subcon IPC Log.xlsx]Subcon IPC Log'!"&amp;"$C:$C"),
K1,
INDIRECT("'[S2 Subcon IPC Log.xlsx]Subcon IPC Log'!"&amp;"$D:$D"),
"&lt;="&amp;K2)</f>
        <v>#REF!</v>
      </c>
      <c r="N12" s="122" t="e">
        <f ca="1">ROUND(M12,1)=ROUND(J12,1)</f>
        <v>#REF!</v>
      </c>
      <c r="O12" s="107" t="e">
        <f ca="1">J12-M12</f>
        <v>#REF!</v>
      </c>
      <c r="P12" s="96"/>
      <c r="Q12" s="96"/>
      <c r="S12">
        <v>11</v>
      </c>
    </row>
    <row r="13" spans="1:22" ht="31.9" customHeight="1" x14ac:dyDescent="0.25">
      <c r="A13" s="9" t="s">
        <v>5</v>
      </c>
      <c r="B13" s="179" t="s">
        <v>17</v>
      </c>
      <c r="C13" s="180"/>
      <c r="D13" s="180"/>
      <c r="E13" s="180"/>
      <c r="F13" s="180"/>
      <c r="G13" s="180"/>
      <c r="H13" s="180"/>
      <c r="I13" s="181"/>
      <c r="J13" s="149" cm="1">
        <f t="array" ref="J13">SUM(_xlfn.ANCHORARRAY(view_calc!D6)*_xlfn.ANCHORARRAY(view_calc!G6),IFERROR(_xlfn.ANCHORARRAY(view_calc!D62)*_xlfn.ANCHORARRAY(view_calc!G62),0),IFERROR(_xlfn.ANCHORARRAY(view_calc!D118)*_xlfn.ANCHORARRAY(view_calc!G118),0))</f>
        <v>729770.2180800793</v>
      </c>
      <c r="K13" s="150"/>
      <c r="L13" s="182"/>
      <c r="M13" s="95"/>
      <c r="N13" s="122"/>
      <c r="O13" s="95"/>
      <c r="P13" s="96"/>
      <c r="Q13" s="96"/>
      <c r="S13">
        <v>12</v>
      </c>
    </row>
    <row r="14" spans="1:22" ht="31.9" customHeight="1" x14ac:dyDescent="0.25">
      <c r="A14" s="7" t="s">
        <v>18</v>
      </c>
      <c r="B14" s="152" t="s">
        <v>606</v>
      </c>
      <c r="C14" s="153"/>
      <c r="D14" s="153"/>
      <c r="E14" s="153"/>
      <c r="F14" s="153"/>
      <c r="G14" s="153"/>
      <c r="H14" s="153"/>
      <c r="I14" s="154"/>
      <c r="J14" s="146">
        <f>J12-J13</f>
        <v>4901.7857142855646</v>
      </c>
      <c r="K14" s="147"/>
      <c r="L14" s="148"/>
      <c r="M14" s="97" t="e">
        <f ca="1">SUMIFS(
INDIRECT("'[S2 Subcon IPC Log.xlsx]Subcon IPC Log'!"&amp;"$O:$O"),
INDIRECT("'[S2 Subcon IPC Log.xlsx]Subcon IPC Log'!"&amp;"$C:$C"),
K1,
INDIRECT("'[S2 Subcon IPC Log.xlsx]Subcon IPC Log'!"&amp;"$D:$D"),
K2)</f>
        <v>#REF!</v>
      </c>
      <c r="N14" s="122" t="e">
        <f ca="1">IF(J14="","",ROUND(M14,1)=ROUND(J14,1))</f>
        <v>#REF!</v>
      </c>
      <c r="O14" s="108" t="e">
        <f ca="1">J14-M14</f>
        <v>#REF!</v>
      </c>
      <c r="P14" s="96"/>
      <c r="Q14" s="96"/>
      <c r="S14">
        <v>13</v>
      </c>
    </row>
    <row r="15" spans="1:22" ht="31.9" customHeight="1" x14ac:dyDescent="0.25">
      <c r="A15" s="155" t="s">
        <v>6</v>
      </c>
      <c r="B15" s="158" t="s">
        <v>22</v>
      </c>
      <c r="C15" s="161" t="s">
        <v>23</v>
      </c>
      <c r="D15" s="162"/>
      <c r="E15" s="163"/>
      <c r="F15" s="164"/>
      <c r="G15" s="165"/>
      <c r="H15" s="165"/>
      <c r="I15" s="166"/>
      <c r="J15" s="232">
        <f>F22</f>
        <v>0</v>
      </c>
      <c r="K15" s="233"/>
      <c r="L15" s="234"/>
      <c r="M15" s="96"/>
      <c r="N15" s="96"/>
      <c r="O15" s="96"/>
      <c r="P15" s="96"/>
      <c r="Q15" s="96"/>
      <c r="S15">
        <v>14</v>
      </c>
    </row>
    <row r="16" spans="1:22" ht="66" customHeight="1" x14ac:dyDescent="0.25">
      <c r="A16" s="156"/>
      <c r="B16" s="159"/>
      <c r="C16" s="179" t="s">
        <v>24</v>
      </c>
      <c r="D16" s="241"/>
      <c r="E16" s="242"/>
      <c r="F16" s="149"/>
      <c r="G16" s="150"/>
      <c r="H16" s="150"/>
      <c r="I16" s="151"/>
      <c r="J16" s="235"/>
      <c r="K16" s="236"/>
      <c r="L16" s="237"/>
    </row>
    <row r="17" spans="1:15" ht="31.9" customHeight="1" x14ac:dyDescent="0.25">
      <c r="A17" s="156"/>
      <c r="B17" s="159"/>
      <c r="C17" s="179" t="s">
        <v>25</v>
      </c>
      <c r="D17" s="180"/>
      <c r="E17" s="181"/>
      <c r="F17" s="149"/>
      <c r="G17" s="150"/>
      <c r="H17" s="150"/>
      <c r="I17" s="151"/>
      <c r="J17" s="235"/>
      <c r="K17" s="236"/>
      <c r="L17" s="237"/>
      <c r="O17" s="49"/>
    </row>
    <row r="18" spans="1:15" ht="31.9" customHeight="1" x14ac:dyDescent="0.25">
      <c r="A18" s="156"/>
      <c r="B18" s="159"/>
      <c r="C18" s="179" t="s">
        <v>26</v>
      </c>
      <c r="D18" s="180"/>
      <c r="E18" s="181"/>
      <c r="F18" s="149"/>
      <c r="G18" s="150"/>
      <c r="H18" s="150"/>
      <c r="I18" s="151"/>
      <c r="J18" s="235"/>
      <c r="K18" s="236"/>
      <c r="L18" s="237"/>
    </row>
    <row r="19" spans="1:15" ht="31.9" customHeight="1" x14ac:dyDescent="0.25">
      <c r="A19" s="156"/>
      <c r="B19" s="159"/>
      <c r="C19" s="179" t="s">
        <v>27</v>
      </c>
      <c r="D19" s="180"/>
      <c r="E19" s="181"/>
      <c r="F19" s="149"/>
      <c r="G19" s="150"/>
      <c r="H19" s="150"/>
      <c r="I19" s="151"/>
      <c r="J19" s="235"/>
      <c r="K19" s="236"/>
      <c r="L19" s="237"/>
      <c r="O19" s="49"/>
    </row>
    <row r="20" spans="1:15" ht="31.9" customHeight="1" x14ac:dyDescent="0.25">
      <c r="A20" s="156"/>
      <c r="B20" s="159"/>
      <c r="C20" s="246"/>
      <c r="D20" s="180"/>
      <c r="E20" s="181"/>
      <c r="F20" s="149"/>
      <c r="G20" s="150"/>
      <c r="H20" s="150"/>
      <c r="I20" s="151"/>
      <c r="J20" s="235"/>
      <c r="K20" s="236"/>
      <c r="L20" s="237"/>
    </row>
    <row r="21" spans="1:15" ht="31.9" customHeight="1" x14ac:dyDescent="0.25">
      <c r="A21" s="156"/>
      <c r="B21" s="159"/>
      <c r="C21" s="243"/>
      <c r="D21" s="244"/>
      <c r="E21" s="245"/>
      <c r="F21" s="226"/>
      <c r="G21" s="227"/>
      <c r="H21" s="227"/>
      <c r="I21" s="228"/>
      <c r="J21" s="235"/>
      <c r="K21" s="236"/>
      <c r="L21" s="237"/>
    </row>
    <row r="22" spans="1:15" ht="48.75" customHeight="1" x14ac:dyDescent="0.25">
      <c r="A22" s="157"/>
      <c r="B22" s="160"/>
      <c r="C22" s="229" t="s">
        <v>28</v>
      </c>
      <c r="D22" s="230"/>
      <c r="E22" s="230"/>
      <c r="F22" s="223">
        <f>SUM(F15:I21)</f>
        <v>0</v>
      </c>
      <c r="G22" s="224"/>
      <c r="H22" s="224"/>
      <c r="I22" s="231"/>
      <c r="J22" s="238"/>
      <c r="K22" s="239"/>
      <c r="L22" s="240"/>
    </row>
    <row r="23" spans="1:15" ht="31.9" customHeight="1" x14ac:dyDescent="0.25">
      <c r="A23" s="5" t="s">
        <v>19</v>
      </c>
      <c r="B23" s="229" t="s">
        <v>607</v>
      </c>
      <c r="C23" s="230"/>
      <c r="D23" s="230"/>
      <c r="E23" s="230"/>
      <c r="F23" s="230"/>
      <c r="G23" s="230"/>
      <c r="H23" s="230"/>
      <c r="I23" s="230"/>
      <c r="J23" s="223">
        <f>J14-J15</f>
        <v>4901.7857142855646</v>
      </c>
      <c r="K23" s="224"/>
      <c r="L23" s="225"/>
    </row>
    <row r="24" spans="1:15" ht="31.9" customHeight="1" x14ac:dyDescent="0.25">
      <c r="A24" s="183" t="s">
        <v>20</v>
      </c>
      <c r="B24" s="184"/>
      <c r="C24" s="185"/>
      <c r="D24" s="196" t="s">
        <v>46</v>
      </c>
      <c r="E24" s="184"/>
      <c r="F24" s="185"/>
      <c r="G24" s="196" t="s">
        <v>47</v>
      </c>
      <c r="H24" s="184"/>
      <c r="I24" s="185"/>
      <c r="J24" s="196" t="s">
        <v>44</v>
      </c>
      <c r="K24" s="184"/>
      <c r="L24" s="197"/>
    </row>
    <row r="25" spans="1:15" ht="31.9" customHeight="1" x14ac:dyDescent="0.25">
      <c r="A25" s="195" t="s">
        <v>32</v>
      </c>
      <c r="B25" s="192"/>
      <c r="C25" s="194"/>
      <c r="D25" s="191" t="s">
        <v>32</v>
      </c>
      <c r="E25" s="192"/>
      <c r="F25" s="194"/>
      <c r="G25" s="191" t="s">
        <v>32</v>
      </c>
      <c r="H25" s="192"/>
      <c r="I25" s="194"/>
      <c r="J25" s="191" t="s">
        <v>32</v>
      </c>
      <c r="K25" s="192"/>
      <c r="L25" s="193"/>
    </row>
    <row r="26" spans="1:15" ht="31.9" customHeight="1" x14ac:dyDescent="0.25">
      <c r="A26" s="10"/>
      <c r="B26" s="16"/>
      <c r="C26" s="11"/>
      <c r="D26" s="12"/>
      <c r="E26" s="16"/>
      <c r="F26" s="11"/>
      <c r="G26" s="12"/>
      <c r="H26" s="16"/>
      <c r="I26" s="11"/>
      <c r="J26" s="13"/>
      <c r="K26" s="17"/>
      <c r="L26" s="14"/>
    </row>
    <row r="27" spans="1:15" ht="31.9" customHeight="1" x14ac:dyDescent="0.25">
      <c r="A27" s="10"/>
      <c r="B27" s="16"/>
      <c r="C27" s="11"/>
      <c r="D27" s="12"/>
      <c r="E27" s="16"/>
      <c r="F27" s="11"/>
      <c r="G27" s="12"/>
      <c r="H27" s="16"/>
      <c r="I27" s="11"/>
      <c r="J27" s="13"/>
      <c r="K27" s="17"/>
      <c r="L27" s="14"/>
    </row>
    <row r="28" spans="1:15" ht="31.9" customHeight="1" x14ac:dyDescent="0.25">
      <c r="A28" s="10"/>
      <c r="B28" s="16"/>
      <c r="C28" s="11"/>
      <c r="D28" s="12"/>
      <c r="E28" s="16"/>
      <c r="F28" s="11"/>
      <c r="G28" s="12"/>
      <c r="H28" s="16"/>
      <c r="I28" s="11"/>
      <c r="J28" s="13"/>
      <c r="K28" s="17"/>
      <c r="L28" s="14"/>
    </row>
    <row r="29" spans="1:15" ht="55.5" customHeight="1" thickBot="1" x14ac:dyDescent="0.3">
      <c r="A29" s="198" t="str">
        <f>+C6</f>
        <v>NAR TRANSPORT SERVICES MMC</v>
      </c>
      <c r="B29" s="189"/>
      <c r="C29" s="190"/>
      <c r="D29" s="186" t="s">
        <v>48</v>
      </c>
      <c r="E29" s="189"/>
      <c r="F29" s="190"/>
      <c r="G29" s="186" t="s">
        <v>67</v>
      </c>
      <c r="H29" s="189"/>
      <c r="I29" s="190"/>
      <c r="J29" s="186" t="s">
        <v>45</v>
      </c>
      <c r="K29" s="187"/>
      <c r="L29" s="188"/>
    </row>
  </sheetData>
  <mergeCells count="57">
    <mergeCell ref="J23:L23"/>
    <mergeCell ref="F21:I21"/>
    <mergeCell ref="C22:E22"/>
    <mergeCell ref="F22:I22"/>
    <mergeCell ref="B23:I23"/>
    <mergeCell ref="J15:L22"/>
    <mergeCell ref="C16:E16"/>
    <mergeCell ref="F16:I16"/>
    <mergeCell ref="C17:E17"/>
    <mergeCell ref="F17:I17"/>
    <mergeCell ref="C18:E18"/>
    <mergeCell ref="F18:I18"/>
    <mergeCell ref="C19:E19"/>
    <mergeCell ref="F19:I19"/>
    <mergeCell ref="C21:E21"/>
    <mergeCell ref="C20:E20"/>
    <mergeCell ref="A6:B7"/>
    <mergeCell ref="C6:I7"/>
    <mergeCell ref="J6:K6"/>
    <mergeCell ref="J7:K7"/>
    <mergeCell ref="A8:B9"/>
    <mergeCell ref="J8:K8"/>
    <mergeCell ref="J9:K9"/>
    <mergeCell ref="C8:I9"/>
    <mergeCell ref="C1:I2"/>
    <mergeCell ref="A3:L3"/>
    <mergeCell ref="A4:B5"/>
    <mergeCell ref="C4:I5"/>
    <mergeCell ref="J4:K4"/>
    <mergeCell ref="J5:K5"/>
    <mergeCell ref="K2:L2"/>
    <mergeCell ref="K1:L1"/>
    <mergeCell ref="A1:B2"/>
    <mergeCell ref="A24:C24"/>
    <mergeCell ref="J29:L29"/>
    <mergeCell ref="G29:I29"/>
    <mergeCell ref="D29:F29"/>
    <mergeCell ref="J25:L25"/>
    <mergeCell ref="G25:I25"/>
    <mergeCell ref="A25:C25"/>
    <mergeCell ref="D25:F25"/>
    <mergeCell ref="J24:L24"/>
    <mergeCell ref="G24:I24"/>
    <mergeCell ref="D24:F24"/>
    <mergeCell ref="A29:C29"/>
    <mergeCell ref="A10:L11"/>
    <mergeCell ref="B12:I12"/>
    <mergeCell ref="J12:L12"/>
    <mergeCell ref="B13:I13"/>
    <mergeCell ref="J13:L13"/>
    <mergeCell ref="J14:L14"/>
    <mergeCell ref="F20:I20"/>
    <mergeCell ref="B14:I14"/>
    <mergeCell ref="A15:A22"/>
    <mergeCell ref="B15:B22"/>
    <mergeCell ref="C15:E15"/>
    <mergeCell ref="F15:I15"/>
  </mergeCells>
  <conditionalFormatting sqref="A1:L1048576">
    <cfRule type="expression" dxfId="21" priority="1">
      <formula>OR(ABS($O$12)&gt;=0.6,ABS($O$14)&gt;=0.6,ISNA($L$4),$J$14&lt;=0)</formula>
    </cfRule>
  </conditionalFormatting>
  <printOptions horizontalCentered="1" verticalCentered="1"/>
  <pageMargins left="0.76870078740157477" right="0.39370078740157483" top="0" bottom="0" header="0" footer="0"/>
  <pageSetup scale="67" fitToWidth="0" fitToHeight="0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Spinner 6">
              <controlPr defaultSize="0" autoPict="0">
                <anchor moveWithCells="1" sizeWithCells="1">
                  <from>
                    <xdr:col>46</xdr:col>
                    <xdr:colOff>76200</xdr:colOff>
                    <xdr:row>4</xdr:row>
                    <xdr:rowOff>219075</xdr:rowOff>
                  </from>
                  <to>
                    <xdr:col>46</xdr:col>
                    <xdr:colOff>504825</xdr:colOff>
                    <xdr:row>6</xdr:row>
                    <xdr:rowOff>390525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250623-44FA-4E3B-8790-1386D8C3008B}">
          <x14:formula1>
            <xm:f>_xlfn.DROP(log_contracts!$B:$B,1)</xm:f>
          </x14:formula1>
          <xm:sqref>O1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0693-6247-444D-9874-0AAF99D45C0B}">
  <sheetPr codeName="Sheet2">
    <pageSetUpPr fitToPage="1"/>
  </sheetPr>
  <dimension ref="A1:Q168"/>
  <sheetViews>
    <sheetView view="pageBreakPreview" topLeftCell="A7" zoomScale="85" zoomScaleNormal="85" zoomScaleSheetLayoutView="85" workbookViewId="0">
      <selection activeCell="O1" sqref="O1"/>
    </sheetView>
  </sheetViews>
  <sheetFormatPr defaultColWidth="9.28515625" defaultRowHeight="15" outlineLevelRow="1" x14ac:dyDescent="0.25"/>
  <cols>
    <col min="1" max="1" width="8.5703125" customWidth="1"/>
    <col min="2" max="2" width="36" customWidth="1"/>
    <col min="3" max="3" width="7.42578125" customWidth="1"/>
    <col min="4" max="4" width="12.42578125" customWidth="1"/>
    <col min="5" max="5" width="11.5703125" customWidth="1"/>
    <col min="6" max="6" width="11.42578125" customWidth="1"/>
    <col min="7" max="7" width="13.5703125" customWidth="1"/>
    <col min="8" max="8" width="15.140625" customWidth="1"/>
    <col min="9" max="9" width="21.140625" customWidth="1"/>
    <col min="10" max="10" width="19.28515625" customWidth="1"/>
    <col min="11" max="11" width="11" bestFit="1" customWidth="1"/>
    <col min="12" max="12" width="13.42578125" bestFit="1" customWidth="1"/>
  </cols>
  <sheetData>
    <row r="1" spans="1:17" ht="34.15" customHeight="1" thickTop="1" x14ac:dyDescent="0.25">
      <c r="A1" s="219"/>
      <c r="B1" s="220"/>
      <c r="C1" s="252" t="s">
        <v>0</v>
      </c>
      <c r="D1" s="252"/>
      <c r="E1" s="252"/>
      <c r="F1" s="252"/>
      <c r="G1" s="253"/>
      <c r="H1" s="23" t="s">
        <v>1</v>
      </c>
      <c r="I1" s="24" t="str">
        <f>view__cover!K1</f>
        <v>KLN-SPP2-AA-031</v>
      </c>
      <c r="N1" cm="1">
        <f t="array" ref="N1:N143">_xlfn._xlws.SORT(_xlfn.UNIQUE(_xlfn._xlws.FILTER(quantities!J:J,(quantities!D:D=contract_no)*(quantities!E:E&lt;=ipc_no))))</f>
        <v>1</v>
      </c>
      <c r="Q1">
        <f>ROWS(_xlfn.ANCHORARRAY(N1))</f>
        <v>143</v>
      </c>
    </row>
    <row r="2" spans="1:17" ht="29.25" customHeight="1" x14ac:dyDescent="0.25">
      <c r="A2" s="221"/>
      <c r="B2" s="222"/>
      <c r="C2" s="171"/>
      <c r="D2" s="171"/>
      <c r="E2" s="171"/>
      <c r="F2" s="171"/>
      <c r="G2" s="254"/>
      <c r="H2" s="18" t="s">
        <v>2</v>
      </c>
      <c r="I2" s="25">
        <f>view__cover!$K$2</f>
        <v>14</v>
      </c>
      <c r="N2">
        <v>2</v>
      </c>
    </row>
    <row r="3" spans="1:17" ht="33.75" customHeight="1" x14ac:dyDescent="0.25">
      <c r="A3" s="183" t="s">
        <v>3</v>
      </c>
      <c r="B3" s="184"/>
      <c r="C3" s="184"/>
      <c r="D3" s="184"/>
      <c r="E3" s="184"/>
      <c r="F3" s="184"/>
      <c r="G3" s="184"/>
      <c r="H3" s="184"/>
      <c r="I3" s="197"/>
      <c r="J3" t="str">
        <f>view__cover!$N$1</f>
        <v>Contract no:</v>
      </c>
      <c r="K3">
        <f>contract_no</f>
        <v>31</v>
      </c>
      <c r="N3">
        <v>3</v>
      </c>
    </row>
    <row r="4" spans="1:17" ht="34.15" customHeight="1" x14ac:dyDescent="0.25">
      <c r="A4" s="54" t="s">
        <v>7</v>
      </c>
      <c r="B4" s="50" t="s">
        <v>8</v>
      </c>
      <c r="C4" s="51" t="s">
        <v>9</v>
      </c>
      <c r="D4" s="63" t="s">
        <v>29</v>
      </c>
      <c r="E4" s="63" t="s">
        <v>30</v>
      </c>
      <c r="F4" s="63" t="s">
        <v>31</v>
      </c>
      <c r="G4" s="64" t="s">
        <v>39</v>
      </c>
      <c r="H4" s="63" t="s">
        <v>40</v>
      </c>
      <c r="I4" s="65" t="s">
        <v>41</v>
      </c>
      <c r="J4" t="str">
        <f>view__cover!$N$2</f>
        <v>IPC no</v>
      </c>
      <c r="K4">
        <f>ipc_no</f>
        <v>14</v>
      </c>
      <c r="N4">
        <v>4</v>
      </c>
    </row>
    <row r="5" spans="1:17" ht="19.5" customHeight="1" x14ac:dyDescent="0.25">
      <c r="A5" s="55"/>
      <c r="B5" s="53"/>
      <c r="C5" s="56"/>
      <c r="D5" s="26" t="s">
        <v>4</v>
      </c>
      <c r="E5" s="26" t="s">
        <v>608</v>
      </c>
      <c r="F5" s="26" t="s">
        <v>18</v>
      </c>
      <c r="G5" s="27" t="s">
        <v>6</v>
      </c>
      <c r="H5" s="27" t="s">
        <v>38</v>
      </c>
      <c r="I5" s="28" t="s">
        <v>37</v>
      </c>
      <c r="N5">
        <v>5</v>
      </c>
    </row>
    <row r="6" spans="1:17" ht="15.75" x14ac:dyDescent="0.25">
      <c r="A6" s="29" cm="1">
        <f t="array" ref="A6:A55">_xlfn.TAKE(_xlfn.ANCHORARRAY(N1),50)</f>
        <v>1</v>
      </c>
      <c r="B6" s="30" t="str" cm="1">
        <f t="array" ref="B6:B55">_xlfn.XLOOKUP(contract_no&amp;"-"&amp;_xlfn.ANCHORARRAY(A6),log_prices!B:B,log_prices!F:F,,0)</f>
        <v>SERVICE - 99LT168 - Baku-single</v>
      </c>
      <c r="C6" s="31" t="str" cm="1">
        <f t="array" ref="C6:C55">_xlfn.XLOOKUP(contract_no&amp;"-"&amp;_xlfn.ANCHORARRAY(A6),log_prices!B:B,log_prices!G:G,,0)</f>
        <v>single</v>
      </c>
      <c r="D6" s="32" cm="1">
        <f t="array" ref="D6:D55">SUMIFS(quantities!G:G,quantities!D:D,contract_no,quantities!E:E,"&lt;"&amp;ipc_no,quantities!J:J,_xlfn.ANCHORARRAY(A6))</f>
        <v>57</v>
      </c>
      <c r="E6" s="52" cm="1">
        <f t="array" ref="E6:E55">_xlfn.ANCHORARRAY(F6)-_xlfn.ANCHORARRAY(D6)</f>
        <v>0</v>
      </c>
      <c r="F6" s="32" cm="1">
        <f t="array" ref="F6:F55">SUMIFS(quantities!G:G,quantities!D:D,contract_no,quantities!E:E,"&lt;="&amp;ipc_no,quantities!J:J,_xlfn.ANCHORARRAY(A6))</f>
        <v>57</v>
      </c>
      <c r="G6" s="33" cm="1">
        <f t="array" ref="G6:G55">_xlfn.XLOOKUP(contract_no&amp;"-"&amp;_xlfn.ANCHORARRAY(A6),log_prices!B:B,log_prices!I:I,,0)</f>
        <v>73.33</v>
      </c>
      <c r="H6" s="33" cm="1">
        <f t="array" ref="H6:H55">_xlfn.ANCHORARRAY(E6)*_xlfn.ANCHORARRAY(G6)</f>
        <v>0</v>
      </c>
      <c r="I6" s="34" cm="1">
        <f t="array" ref="I6:I55">_xlfn.ANCHORARRAY(F6)*_xlfn.ANCHORARRAY(G6)</f>
        <v>4179.8099999999995</v>
      </c>
      <c r="N6">
        <v>6</v>
      </c>
    </row>
    <row r="7" spans="1:17" ht="15.75" x14ac:dyDescent="0.25">
      <c r="A7" s="29">
        <v>2</v>
      </c>
      <c r="B7" s="30" t="str">
        <v>SERVICE - 99LT168 - Baku-hour</v>
      </c>
      <c r="C7" s="31" t="str">
        <v>hour</v>
      </c>
      <c r="D7" s="32">
        <v>1.9999999999999964</v>
      </c>
      <c r="E7" s="120">
        <v>0</v>
      </c>
      <c r="F7" s="32">
        <v>1.9999999999999964</v>
      </c>
      <c r="G7" s="33">
        <v>7.3330000000000002</v>
      </c>
      <c r="H7" s="33">
        <v>0</v>
      </c>
      <c r="I7" s="34">
        <v>14.665999999999974</v>
      </c>
      <c r="N7">
        <v>7</v>
      </c>
    </row>
    <row r="8" spans="1:17" ht="30" x14ac:dyDescent="0.25">
      <c r="A8" s="29">
        <v>3</v>
      </c>
      <c r="B8" s="30" t="str">
        <v>SERVICE - 99HZ395 - Sumqayıt-single</v>
      </c>
      <c r="C8" s="31" t="str">
        <v>single</v>
      </c>
      <c r="D8" s="32">
        <v>384</v>
      </c>
      <c r="E8" s="52">
        <v>0</v>
      </c>
      <c r="F8" s="32">
        <v>384</v>
      </c>
      <c r="G8" s="33">
        <v>65</v>
      </c>
      <c r="H8" s="33">
        <v>0</v>
      </c>
      <c r="I8" s="34">
        <v>24960</v>
      </c>
      <c r="N8">
        <v>9</v>
      </c>
    </row>
    <row r="9" spans="1:17" ht="15.75" x14ac:dyDescent="0.25">
      <c r="A9" s="29">
        <v>4</v>
      </c>
      <c r="B9" s="30" t="str">
        <v>SERVICE - 99HZ395 - Sumqayıt-hour</v>
      </c>
      <c r="C9" s="31" t="str">
        <v>hour</v>
      </c>
      <c r="D9" s="32">
        <v>369.00000000157161</v>
      </c>
      <c r="E9" s="52">
        <v>0</v>
      </c>
      <c r="F9" s="32">
        <v>369.00000000157161</v>
      </c>
      <c r="G9" s="33">
        <v>6.5</v>
      </c>
      <c r="H9" s="33">
        <v>0</v>
      </c>
      <c r="I9" s="34">
        <v>2398.5000000102154</v>
      </c>
      <c r="N9">
        <v>11</v>
      </c>
    </row>
    <row r="10" spans="1:17" ht="15.75" x14ac:dyDescent="0.25">
      <c r="A10" s="29">
        <v>5</v>
      </c>
      <c r="B10" s="30" t="str">
        <v>SERVICE - 90OV187 - Baku-single</v>
      </c>
      <c r="C10" s="31" t="str">
        <v>single</v>
      </c>
      <c r="D10" s="32">
        <v>47</v>
      </c>
      <c r="E10" s="52">
        <v>0</v>
      </c>
      <c r="F10" s="32">
        <v>47</v>
      </c>
      <c r="G10" s="33">
        <v>73.33</v>
      </c>
      <c r="H10" s="33">
        <v>0</v>
      </c>
      <c r="I10" s="34">
        <v>3446.5099999999998</v>
      </c>
      <c r="K10" s="135"/>
      <c r="N10">
        <v>12</v>
      </c>
    </row>
    <row r="11" spans="1:17" ht="30" x14ac:dyDescent="0.25">
      <c r="A11" s="29">
        <v>6</v>
      </c>
      <c r="B11" s="30" t="str">
        <v>SERVICE - 90OV187 - Baku-hour</v>
      </c>
      <c r="C11" s="31" t="str">
        <v>hour</v>
      </c>
      <c r="D11" s="32">
        <v>48.999999999999986</v>
      </c>
      <c r="E11" s="52">
        <v>0</v>
      </c>
      <c r="F11" s="32">
        <v>48.999999999999986</v>
      </c>
      <c r="G11" s="33">
        <v>7.3330000000000002</v>
      </c>
      <c r="H11" s="33">
        <v>0</v>
      </c>
      <c r="I11" s="34">
        <v>359.31699999999989</v>
      </c>
      <c r="K11" s="135"/>
      <c r="N11">
        <v>13</v>
      </c>
    </row>
    <row r="12" spans="1:17" ht="15.75" x14ac:dyDescent="0.25">
      <c r="A12" s="29">
        <v>7</v>
      </c>
      <c r="B12" s="30" t="str">
        <v>SERVICE - 77UG347 - Sumqayıt-single</v>
      </c>
      <c r="C12" s="31" t="str">
        <v>single</v>
      </c>
      <c r="D12" s="32">
        <v>6</v>
      </c>
      <c r="E12" s="52">
        <v>0</v>
      </c>
      <c r="F12" s="32">
        <v>6</v>
      </c>
      <c r="G12" s="33">
        <v>65</v>
      </c>
      <c r="H12" s="33">
        <v>0</v>
      </c>
      <c r="I12" s="34">
        <v>390</v>
      </c>
      <c r="K12" s="135"/>
      <c r="N12">
        <v>15</v>
      </c>
    </row>
    <row r="13" spans="1:17" ht="15.75" x14ac:dyDescent="0.25">
      <c r="A13" s="29">
        <v>9</v>
      </c>
      <c r="B13" s="30" t="str">
        <v>SERVICE - 99FB123 - Baku-single</v>
      </c>
      <c r="C13" s="31" t="str">
        <v>single</v>
      </c>
      <c r="D13" s="32">
        <v>6</v>
      </c>
      <c r="E13" s="52">
        <v>0</v>
      </c>
      <c r="F13" s="32">
        <v>6</v>
      </c>
      <c r="G13" s="33">
        <v>73.33</v>
      </c>
      <c r="H13" s="33">
        <v>0</v>
      </c>
      <c r="I13" s="34">
        <v>439.98</v>
      </c>
      <c r="N13">
        <v>16</v>
      </c>
    </row>
    <row r="14" spans="1:17" ht="15.75" x14ac:dyDescent="0.25">
      <c r="A14" s="29">
        <v>11</v>
      </c>
      <c r="B14" s="30" t="str">
        <v>SERVICE - 90ZP408 - Site-single</v>
      </c>
      <c r="C14" s="31" t="str">
        <v>single</v>
      </c>
      <c r="D14" s="32">
        <v>97</v>
      </c>
      <c r="E14" s="52">
        <v>0</v>
      </c>
      <c r="F14" s="32">
        <v>97</v>
      </c>
      <c r="G14" s="33">
        <v>55.36</v>
      </c>
      <c r="H14" s="33">
        <v>0</v>
      </c>
      <c r="I14" s="34">
        <v>5369.92</v>
      </c>
      <c r="N14">
        <v>17</v>
      </c>
    </row>
    <row r="15" spans="1:17" ht="30" x14ac:dyDescent="0.25">
      <c r="A15" s="29">
        <v>12</v>
      </c>
      <c r="B15" s="30" t="str">
        <v>SERVICE - 90ZP408 - Site-hour</v>
      </c>
      <c r="C15" s="31" t="str">
        <v>hour</v>
      </c>
      <c r="D15" s="32">
        <v>32.299999999999947</v>
      </c>
      <c r="E15" s="52">
        <v>0</v>
      </c>
      <c r="F15" s="32">
        <v>32.299999999999947</v>
      </c>
      <c r="G15" s="33">
        <v>5.5359999999999996</v>
      </c>
      <c r="H15" s="33">
        <v>0</v>
      </c>
      <c r="I15" s="34">
        <v>178.8127999999997</v>
      </c>
      <c r="N15">
        <v>19</v>
      </c>
    </row>
    <row r="16" spans="1:17" ht="30" x14ac:dyDescent="0.25">
      <c r="A16" s="29">
        <v>13</v>
      </c>
      <c r="B16" s="30" t="str">
        <v>SERVICE - 77AT386 - Procurement-single</v>
      </c>
      <c r="C16" s="31" t="str">
        <v>single</v>
      </c>
      <c r="D16" s="32">
        <v>371</v>
      </c>
      <c r="E16" s="52">
        <v>0</v>
      </c>
      <c r="F16" s="32">
        <v>371</v>
      </c>
      <c r="G16" s="33">
        <v>46.67</v>
      </c>
      <c r="H16" s="33">
        <v>0</v>
      </c>
      <c r="I16" s="34">
        <v>17314.57</v>
      </c>
      <c r="N16">
        <v>20</v>
      </c>
    </row>
    <row r="17" spans="1:14" ht="30" x14ac:dyDescent="0.25">
      <c r="A17" s="29">
        <v>15</v>
      </c>
      <c r="B17" s="30" t="str">
        <v>SERVICE - 66CC029 - Site-single</v>
      </c>
      <c r="C17" s="31" t="str">
        <v>single</v>
      </c>
      <c r="D17" s="32">
        <v>105</v>
      </c>
      <c r="E17" s="52">
        <v>0</v>
      </c>
      <c r="F17" s="32">
        <v>105</v>
      </c>
      <c r="G17" s="33">
        <v>55.36</v>
      </c>
      <c r="H17" s="33">
        <v>0</v>
      </c>
      <c r="I17" s="34">
        <v>5812.8</v>
      </c>
      <c r="N17">
        <v>21</v>
      </c>
    </row>
    <row r="18" spans="1:14" ht="45" x14ac:dyDescent="0.25">
      <c r="A18" s="29">
        <v>16</v>
      </c>
      <c r="B18" s="30" t="str">
        <v>SERVICE - 66CC029 - Site-hour</v>
      </c>
      <c r="C18" s="31" t="str">
        <v>hour</v>
      </c>
      <c r="D18" s="32">
        <v>211.99999999999994</v>
      </c>
      <c r="E18" s="52">
        <v>0</v>
      </c>
      <c r="F18" s="32">
        <v>211.99999999999994</v>
      </c>
      <c r="G18" s="33">
        <v>5.5359999999999996</v>
      </c>
      <c r="H18" s="33">
        <v>0</v>
      </c>
      <c r="I18" s="34">
        <v>1173.6319999999996</v>
      </c>
      <c r="N18">
        <v>22</v>
      </c>
    </row>
    <row r="19" spans="1:14" ht="30" x14ac:dyDescent="0.25">
      <c r="A19" s="29">
        <v>17</v>
      </c>
      <c r="B19" s="30" t="str">
        <v>GARBAGE TRUCK - 77QK725-single</v>
      </c>
      <c r="C19" s="31" t="str">
        <v>single</v>
      </c>
      <c r="D19" s="32">
        <v>96</v>
      </c>
      <c r="E19" s="52">
        <v>0</v>
      </c>
      <c r="F19" s="32">
        <v>96</v>
      </c>
      <c r="G19" s="33">
        <v>275</v>
      </c>
      <c r="H19" s="33">
        <v>0</v>
      </c>
      <c r="I19" s="34">
        <v>26400</v>
      </c>
      <c r="N19">
        <v>23</v>
      </c>
    </row>
    <row r="20" spans="1:14" ht="15.75" x14ac:dyDescent="0.25">
      <c r="A20" s="29">
        <v>19</v>
      </c>
      <c r="B20" s="30" t="str">
        <v>SERVICE - 90SL686 - Aeroport-single</v>
      </c>
      <c r="C20" s="31" t="str">
        <v>single</v>
      </c>
      <c r="D20" s="32">
        <v>193</v>
      </c>
      <c r="E20" s="52">
        <v>0</v>
      </c>
      <c r="F20" s="32">
        <v>193</v>
      </c>
      <c r="G20" s="33">
        <v>58.93</v>
      </c>
      <c r="H20" s="33">
        <v>0</v>
      </c>
      <c r="I20" s="34">
        <v>11373.49</v>
      </c>
      <c r="N20">
        <v>24</v>
      </c>
    </row>
    <row r="21" spans="1:14" ht="15.75" hidden="1" outlineLevel="1" x14ac:dyDescent="0.25">
      <c r="A21" s="29">
        <v>20</v>
      </c>
      <c r="B21" s="30" t="str">
        <v>SERVICE - 90SL686 - Aeroport-hour</v>
      </c>
      <c r="C21" s="31" t="str">
        <v>hour</v>
      </c>
      <c r="D21" s="32">
        <v>616.34989999999993</v>
      </c>
      <c r="E21" s="52">
        <v>0</v>
      </c>
      <c r="F21" s="32">
        <v>616.34989999999993</v>
      </c>
      <c r="G21" s="33">
        <v>5.8929999999999998</v>
      </c>
      <c r="H21" s="33">
        <v>0</v>
      </c>
      <c r="I21" s="34">
        <v>3632.1499606999996</v>
      </c>
      <c r="N21">
        <v>25</v>
      </c>
    </row>
    <row r="22" spans="1:14" ht="15.75" hidden="1" outlineLevel="1" x14ac:dyDescent="0.25">
      <c r="A22" s="29">
        <v>21</v>
      </c>
      <c r="B22" s="30" t="str">
        <v>Pickup - 77DK884 - Double Cab (Remez)-single</v>
      </c>
      <c r="C22" s="31" t="str">
        <v>single</v>
      </c>
      <c r="D22" s="32">
        <v>55</v>
      </c>
      <c r="E22" s="52">
        <v>0</v>
      </c>
      <c r="F22" s="32">
        <v>55</v>
      </c>
      <c r="G22" s="33">
        <v>96.43</v>
      </c>
      <c r="H22" s="33">
        <v>0</v>
      </c>
      <c r="I22" s="34">
        <v>5303.6500000000005</v>
      </c>
      <c r="N22">
        <v>26</v>
      </c>
    </row>
    <row r="23" spans="1:14" ht="15.75" hidden="1" outlineLevel="1" x14ac:dyDescent="0.25">
      <c r="A23" s="29">
        <v>22</v>
      </c>
      <c r="B23" s="30" t="str">
        <v>Pickup - 77DK884 - Double Cab (Remez)-hour</v>
      </c>
      <c r="C23" s="31" t="str">
        <v>hour</v>
      </c>
      <c r="D23" s="32">
        <v>94.999999999999986</v>
      </c>
      <c r="E23" s="52">
        <v>0</v>
      </c>
      <c r="F23" s="32">
        <v>94.999999999999986</v>
      </c>
      <c r="G23" s="33">
        <v>9.6430000000000007</v>
      </c>
      <c r="H23" s="33">
        <v>0</v>
      </c>
      <c r="I23" s="34">
        <v>916.08499999999992</v>
      </c>
      <c r="N23">
        <v>27</v>
      </c>
    </row>
    <row r="24" spans="1:14" ht="15.75" hidden="1" outlineLevel="1" x14ac:dyDescent="0.25">
      <c r="A24" s="29">
        <v>23</v>
      </c>
      <c r="B24" s="30" t="str">
        <v>Pickup - 50FB264 - Van-single</v>
      </c>
      <c r="C24" s="31" t="str">
        <v>single</v>
      </c>
      <c r="D24" s="32">
        <v>136</v>
      </c>
      <c r="E24" s="52">
        <v>0</v>
      </c>
      <c r="F24" s="32">
        <v>136</v>
      </c>
      <c r="G24" s="33">
        <v>66.069999999999993</v>
      </c>
      <c r="H24" s="33">
        <v>0</v>
      </c>
      <c r="I24" s="34">
        <v>8985.5199999999986</v>
      </c>
      <c r="N24">
        <v>28</v>
      </c>
    </row>
    <row r="25" spans="1:14" ht="16.5" hidden="1" customHeight="1" outlineLevel="1" x14ac:dyDescent="0.25">
      <c r="A25" s="29">
        <v>24</v>
      </c>
      <c r="B25" s="35" t="str">
        <v>Pickup - 50FB264 - Van-hour</v>
      </c>
      <c r="C25" s="37" t="str">
        <v>hour</v>
      </c>
      <c r="D25" s="38">
        <v>375.99999999999983</v>
      </c>
      <c r="E25" s="52">
        <v>0</v>
      </c>
      <c r="F25" s="36">
        <v>375.99999999999983</v>
      </c>
      <c r="G25" s="33">
        <v>6.6070000000000002</v>
      </c>
      <c r="H25" s="33">
        <v>0</v>
      </c>
      <c r="I25" s="34">
        <v>2484.2319999999991</v>
      </c>
      <c r="N25">
        <v>29</v>
      </c>
    </row>
    <row r="26" spans="1:14" ht="16.5" hidden="1" customHeight="1" outlineLevel="1" x14ac:dyDescent="0.25">
      <c r="A26" s="29">
        <v>25</v>
      </c>
      <c r="B26" s="35" t="str">
        <v>SERVICE - 01CC689 - Site-hour</v>
      </c>
      <c r="C26" s="37" t="str">
        <v>hour</v>
      </c>
      <c r="D26" s="38">
        <v>89.999999999999972</v>
      </c>
      <c r="E26" s="52">
        <v>0</v>
      </c>
      <c r="F26" s="36">
        <v>89.999999999999972</v>
      </c>
      <c r="G26" s="33">
        <v>5.5359999999999996</v>
      </c>
      <c r="H26" s="33">
        <v>0</v>
      </c>
      <c r="I26" s="34">
        <v>498.23999999999978</v>
      </c>
      <c r="N26">
        <v>30</v>
      </c>
    </row>
    <row r="27" spans="1:14" ht="16.5" hidden="1" customHeight="1" outlineLevel="1" x14ac:dyDescent="0.25">
      <c r="A27" s="29">
        <v>26</v>
      </c>
      <c r="B27" s="35" t="str">
        <v>SERVICE - 01CC689 - Site-single</v>
      </c>
      <c r="C27" s="37" t="str">
        <v>single</v>
      </c>
      <c r="D27" s="38">
        <v>68</v>
      </c>
      <c r="E27" s="52">
        <v>0</v>
      </c>
      <c r="F27" s="36">
        <v>68</v>
      </c>
      <c r="G27" s="33">
        <v>55.36</v>
      </c>
      <c r="H27" s="33">
        <v>0</v>
      </c>
      <c r="I27" s="34">
        <v>3764.48</v>
      </c>
      <c r="N27">
        <v>31</v>
      </c>
    </row>
    <row r="28" spans="1:14" ht="16.5" hidden="1" customHeight="1" outlineLevel="1" x14ac:dyDescent="0.25">
      <c r="A28" s="29">
        <v>27</v>
      </c>
      <c r="B28" s="35" t="str">
        <v>SERVICE - 10NS184 - Site-hour</v>
      </c>
      <c r="C28" s="37" t="str">
        <v>hour</v>
      </c>
      <c r="D28" s="38">
        <v>45.999999999999979</v>
      </c>
      <c r="E28" s="52">
        <v>0</v>
      </c>
      <c r="F28" s="36">
        <v>45.999999999999979</v>
      </c>
      <c r="G28" s="33">
        <v>5.5359999999999996</v>
      </c>
      <c r="H28" s="33">
        <v>0</v>
      </c>
      <c r="I28" s="34">
        <v>254.65599999999986</v>
      </c>
      <c r="N28">
        <v>32</v>
      </c>
    </row>
    <row r="29" spans="1:14" ht="16.5" hidden="1" customHeight="1" outlineLevel="1" x14ac:dyDescent="0.25">
      <c r="A29" s="29">
        <v>28</v>
      </c>
      <c r="B29" s="35" t="str">
        <v>SERVICE - 10NS184 - Site-single</v>
      </c>
      <c r="C29" s="37" t="str">
        <v>single</v>
      </c>
      <c r="D29" s="38">
        <v>106</v>
      </c>
      <c r="E29" s="52">
        <v>0</v>
      </c>
      <c r="F29" s="36">
        <v>106</v>
      </c>
      <c r="G29" s="33">
        <v>55.36</v>
      </c>
      <c r="H29" s="33">
        <v>0</v>
      </c>
      <c r="I29" s="34">
        <v>5868.16</v>
      </c>
      <c r="N29">
        <v>33</v>
      </c>
    </row>
    <row r="30" spans="1:14" ht="16.5" hidden="1" customHeight="1" outlineLevel="1" x14ac:dyDescent="0.25">
      <c r="A30" s="29">
        <v>29</v>
      </c>
      <c r="B30" s="35" t="str">
        <v>SERVICE - 10RN527 - Site-hour</v>
      </c>
      <c r="C30" s="37" t="str">
        <v>hour</v>
      </c>
      <c r="D30" s="38">
        <v>185</v>
      </c>
      <c r="E30" s="52">
        <v>0</v>
      </c>
      <c r="F30" s="36">
        <v>185</v>
      </c>
      <c r="G30" s="39">
        <v>5.5359999999999996</v>
      </c>
      <c r="H30" s="39">
        <v>0</v>
      </c>
      <c r="I30" s="40">
        <v>1024.1599999999999</v>
      </c>
      <c r="N30">
        <v>34</v>
      </c>
    </row>
    <row r="31" spans="1:14" ht="16.5" hidden="1" customHeight="1" outlineLevel="1" x14ac:dyDescent="0.25">
      <c r="A31" s="29">
        <v>30</v>
      </c>
      <c r="B31" s="35" t="str">
        <v>SERVICE - 10RN527 - Site_v1-hour</v>
      </c>
      <c r="C31" s="37" t="str">
        <v>hour</v>
      </c>
      <c r="D31" s="38">
        <v>560</v>
      </c>
      <c r="E31" s="52">
        <v>0</v>
      </c>
      <c r="F31" s="36">
        <v>560</v>
      </c>
      <c r="G31" s="39">
        <v>6.25</v>
      </c>
      <c r="H31" s="39">
        <v>0</v>
      </c>
      <c r="I31" s="40">
        <v>3500</v>
      </c>
      <c r="N31">
        <v>35</v>
      </c>
    </row>
    <row r="32" spans="1:14" ht="16.5" customHeight="1" collapsed="1" x14ac:dyDescent="0.25">
      <c r="A32" s="29">
        <v>31</v>
      </c>
      <c r="B32" s="35" t="str">
        <v>SERVICE - 10RN527 - Site-single</v>
      </c>
      <c r="C32" s="37" t="str">
        <v>single</v>
      </c>
      <c r="D32" s="38">
        <v>76</v>
      </c>
      <c r="E32" s="52">
        <v>0</v>
      </c>
      <c r="F32" s="36">
        <v>76</v>
      </c>
      <c r="G32" s="39">
        <v>55.36</v>
      </c>
      <c r="H32" s="39">
        <v>0</v>
      </c>
      <c r="I32" s="40">
        <v>4207.3599999999997</v>
      </c>
      <c r="N32">
        <v>36</v>
      </c>
    </row>
    <row r="33" spans="1:14" ht="16.5" customHeight="1" x14ac:dyDescent="0.25">
      <c r="A33" s="29">
        <v>32</v>
      </c>
      <c r="B33" s="35" t="str">
        <v>SERVICE - 10RN527 - Site_v1-single</v>
      </c>
      <c r="C33" s="37" t="str">
        <v>single</v>
      </c>
      <c r="D33" s="38">
        <v>207</v>
      </c>
      <c r="E33" s="52">
        <v>0</v>
      </c>
      <c r="F33" s="36">
        <v>207</v>
      </c>
      <c r="G33" s="39">
        <v>62.5</v>
      </c>
      <c r="H33" s="39">
        <v>0</v>
      </c>
      <c r="I33" s="40">
        <v>12937.5</v>
      </c>
      <c r="N33">
        <v>37</v>
      </c>
    </row>
    <row r="34" spans="1:14" ht="16.5" hidden="1" customHeight="1" outlineLevel="1" x14ac:dyDescent="0.25">
      <c r="A34" s="29">
        <v>33</v>
      </c>
      <c r="B34" s="35" t="str">
        <v>SERVICE - 10ZS260 - Site-single</v>
      </c>
      <c r="C34" s="37" t="str">
        <v>single</v>
      </c>
      <c r="D34" s="38">
        <v>1</v>
      </c>
      <c r="E34" s="52">
        <v>0</v>
      </c>
      <c r="F34" s="36">
        <v>1</v>
      </c>
      <c r="G34" s="39">
        <v>66.67</v>
      </c>
      <c r="H34" s="39">
        <v>0</v>
      </c>
      <c r="I34" s="40">
        <v>66.67</v>
      </c>
      <c r="N34">
        <v>38</v>
      </c>
    </row>
    <row r="35" spans="1:14" ht="16.5" hidden="1" customHeight="1" outlineLevel="1" x14ac:dyDescent="0.25">
      <c r="A35" s="29">
        <v>34</v>
      </c>
      <c r="B35" s="35" t="str">
        <v>SERVICE - 15BZ942 - Site-hour</v>
      </c>
      <c r="C35" s="37" t="str">
        <v>hour</v>
      </c>
      <c r="D35" s="38">
        <v>26.999999999999993</v>
      </c>
      <c r="E35" s="52">
        <v>0</v>
      </c>
      <c r="F35" s="36">
        <v>26.999999999999993</v>
      </c>
      <c r="G35" s="39">
        <v>5.5359999999999996</v>
      </c>
      <c r="H35" s="39">
        <v>0</v>
      </c>
      <c r="I35" s="40">
        <v>149.47199999999995</v>
      </c>
      <c r="N35">
        <v>39</v>
      </c>
    </row>
    <row r="36" spans="1:14" ht="16.5" hidden="1" customHeight="1" outlineLevel="1" x14ac:dyDescent="0.25">
      <c r="A36" s="29">
        <v>35</v>
      </c>
      <c r="B36" s="35" t="str">
        <v>SERVICE - 15BZ942 - Site-single</v>
      </c>
      <c r="C36" s="37" t="str">
        <v>single</v>
      </c>
      <c r="D36" s="38">
        <v>29</v>
      </c>
      <c r="E36" s="52">
        <v>0</v>
      </c>
      <c r="F36" s="36">
        <v>29</v>
      </c>
      <c r="G36" s="39">
        <v>55.36</v>
      </c>
      <c r="H36" s="39">
        <v>0</v>
      </c>
      <c r="I36" s="40">
        <v>1605.44</v>
      </c>
      <c r="N36">
        <v>40</v>
      </c>
    </row>
    <row r="37" spans="1:14" ht="16.5" hidden="1" customHeight="1" outlineLevel="1" x14ac:dyDescent="0.25">
      <c r="A37" s="29">
        <v>36</v>
      </c>
      <c r="B37" s="35" t="str">
        <v>SERVICE - 17BE358 - Site-hour</v>
      </c>
      <c r="C37" s="37" t="str">
        <v>hour</v>
      </c>
      <c r="D37" s="38">
        <v>23.999999999999993</v>
      </c>
      <c r="E37" s="52">
        <v>0</v>
      </c>
      <c r="F37" s="36">
        <v>23.999999999999993</v>
      </c>
      <c r="G37" s="39">
        <v>5.5359999999999996</v>
      </c>
      <c r="H37" s="39">
        <v>0</v>
      </c>
      <c r="I37" s="40">
        <v>132.86399999999995</v>
      </c>
      <c r="N37">
        <v>41</v>
      </c>
    </row>
    <row r="38" spans="1:14" ht="16.5" hidden="1" customHeight="1" outlineLevel="1" x14ac:dyDescent="0.25">
      <c r="A38" s="29">
        <v>37</v>
      </c>
      <c r="B38" s="35" t="str">
        <v>SERVICE - 17BE358 - Site-single</v>
      </c>
      <c r="C38" s="37" t="str">
        <v>single</v>
      </c>
      <c r="D38" s="38">
        <v>97</v>
      </c>
      <c r="E38" s="52">
        <v>0</v>
      </c>
      <c r="F38" s="36">
        <v>97</v>
      </c>
      <c r="G38" s="39">
        <v>55.36</v>
      </c>
      <c r="H38" s="39">
        <v>0</v>
      </c>
      <c r="I38" s="40">
        <v>5369.92</v>
      </c>
      <c r="N38">
        <v>42</v>
      </c>
    </row>
    <row r="39" spans="1:14" ht="16.5" hidden="1" customHeight="1" outlineLevel="1" x14ac:dyDescent="0.25">
      <c r="A39" s="29">
        <v>38</v>
      </c>
      <c r="B39" s="35" t="str">
        <v>SERVICE - 21BF442 - Site-hour</v>
      </c>
      <c r="C39" s="37" t="str">
        <v>hour</v>
      </c>
      <c r="D39" s="38">
        <v>432</v>
      </c>
      <c r="E39" s="52">
        <v>0</v>
      </c>
      <c r="F39" s="36">
        <v>432</v>
      </c>
      <c r="G39" s="39">
        <v>5.5359999999999996</v>
      </c>
      <c r="H39" s="39">
        <v>0</v>
      </c>
      <c r="I39" s="40">
        <v>2391.5519999999997</v>
      </c>
      <c r="N39">
        <v>43</v>
      </c>
    </row>
    <row r="40" spans="1:14" ht="16.5" hidden="1" customHeight="1" outlineLevel="1" x14ac:dyDescent="0.25">
      <c r="A40" s="29">
        <v>39</v>
      </c>
      <c r="B40" s="35" t="str">
        <v>SERVICE - 21BF442 - Site-single</v>
      </c>
      <c r="C40" s="37" t="str">
        <v>single</v>
      </c>
      <c r="D40" s="38">
        <v>146</v>
      </c>
      <c r="E40" s="52">
        <v>0</v>
      </c>
      <c r="F40" s="36">
        <v>146</v>
      </c>
      <c r="G40" s="39">
        <v>55.36</v>
      </c>
      <c r="H40" s="39">
        <v>0</v>
      </c>
      <c r="I40" s="40">
        <v>8082.5599999999995</v>
      </c>
      <c r="N40">
        <v>44</v>
      </c>
    </row>
    <row r="41" spans="1:14" ht="16.5" hidden="1" customHeight="1" outlineLevel="1" x14ac:dyDescent="0.25">
      <c r="A41" s="29">
        <v>40</v>
      </c>
      <c r="B41" s="35" t="str">
        <v>SERVICE - 50BD165 - Site-hour</v>
      </c>
      <c r="C41" s="37" t="str">
        <v>hour</v>
      </c>
      <c r="D41" s="38">
        <v>385.49999999999989</v>
      </c>
      <c r="E41" s="52">
        <v>0</v>
      </c>
      <c r="F41" s="36">
        <v>385.49999999999989</v>
      </c>
      <c r="G41" s="39">
        <v>5.5359999999999996</v>
      </c>
      <c r="H41" s="39">
        <v>0</v>
      </c>
      <c r="I41" s="40">
        <v>2134.1279999999992</v>
      </c>
      <c r="N41">
        <v>45</v>
      </c>
    </row>
    <row r="42" spans="1:14" ht="16.5" hidden="1" customHeight="1" outlineLevel="1" x14ac:dyDescent="0.25">
      <c r="A42" s="29">
        <v>41</v>
      </c>
      <c r="B42" s="35" t="str">
        <v>SERVICE - 50BD165 - Site-single</v>
      </c>
      <c r="C42" s="37" t="str">
        <v>single</v>
      </c>
      <c r="D42" s="38">
        <v>216</v>
      </c>
      <c r="E42" s="52">
        <v>0</v>
      </c>
      <c r="F42" s="36">
        <v>216</v>
      </c>
      <c r="G42" s="39">
        <v>55.36</v>
      </c>
      <c r="H42" s="39">
        <v>0</v>
      </c>
      <c r="I42" s="40">
        <v>11957.76</v>
      </c>
      <c r="N42">
        <v>46</v>
      </c>
    </row>
    <row r="43" spans="1:14" ht="16.5" hidden="1" customHeight="1" outlineLevel="1" x14ac:dyDescent="0.25">
      <c r="A43" s="29">
        <v>42</v>
      </c>
      <c r="B43" s="35" t="str">
        <v>SERVICE - 50BN724 - Site-hour</v>
      </c>
      <c r="C43" s="37" t="str">
        <v>hour</v>
      </c>
      <c r="D43" s="38">
        <v>206.99999999999989</v>
      </c>
      <c r="E43" s="52">
        <v>0</v>
      </c>
      <c r="F43" s="36">
        <v>206.99999999999989</v>
      </c>
      <c r="G43" s="39">
        <v>6.6070000000000002</v>
      </c>
      <c r="H43" s="39">
        <v>0</v>
      </c>
      <c r="I43" s="40">
        <v>1367.6489999999992</v>
      </c>
      <c r="N43">
        <v>47</v>
      </c>
    </row>
    <row r="44" spans="1:14" ht="16.5" customHeight="1" collapsed="1" x14ac:dyDescent="0.25">
      <c r="A44" s="29">
        <v>43</v>
      </c>
      <c r="B44" s="35" t="str">
        <v>SERVICE - 50BN724 - Site-single</v>
      </c>
      <c r="C44" s="37" t="str">
        <v>single</v>
      </c>
      <c r="D44" s="38">
        <v>93</v>
      </c>
      <c r="E44" s="52">
        <v>0</v>
      </c>
      <c r="F44" s="36">
        <v>93</v>
      </c>
      <c r="G44" s="39">
        <v>66.069999999999993</v>
      </c>
      <c r="H44" s="39">
        <v>0</v>
      </c>
      <c r="I44" s="40">
        <v>6144.5099999999993</v>
      </c>
      <c r="N44">
        <v>48</v>
      </c>
    </row>
    <row r="45" spans="1:14" ht="16.5" customHeight="1" x14ac:dyDescent="0.25">
      <c r="A45" s="29">
        <v>44</v>
      </c>
      <c r="B45" s="35" t="str">
        <v>SERVICE - 50CN929 - Site-hour</v>
      </c>
      <c r="C45" s="37" t="str">
        <v>hour</v>
      </c>
      <c r="D45" s="38">
        <v>92</v>
      </c>
      <c r="E45" s="52">
        <v>0</v>
      </c>
      <c r="F45" s="36">
        <v>92</v>
      </c>
      <c r="G45" s="39">
        <v>5.5359999999999996</v>
      </c>
      <c r="H45" s="39">
        <v>0</v>
      </c>
      <c r="I45" s="40">
        <v>509.31199999999995</v>
      </c>
      <c r="N45">
        <v>49</v>
      </c>
    </row>
    <row r="46" spans="1:14" ht="16.5" hidden="1" customHeight="1" outlineLevel="1" x14ac:dyDescent="0.25">
      <c r="A46" s="29">
        <v>45</v>
      </c>
      <c r="B46" s="35" t="str">
        <v>SERVICE - 50CN929 - Site-single</v>
      </c>
      <c r="C46" s="37" t="str">
        <v>single</v>
      </c>
      <c r="D46" s="38">
        <v>79</v>
      </c>
      <c r="E46" s="52">
        <v>0</v>
      </c>
      <c r="F46" s="36">
        <v>79</v>
      </c>
      <c r="G46" s="39">
        <v>55.36</v>
      </c>
      <c r="H46" s="39">
        <v>0</v>
      </c>
      <c r="I46" s="40">
        <v>4373.4399999999996</v>
      </c>
      <c r="N46">
        <v>50</v>
      </c>
    </row>
    <row r="47" spans="1:14" ht="16.5" hidden="1" customHeight="1" outlineLevel="1" x14ac:dyDescent="0.25">
      <c r="A47" s="29">
        <v>46</v>
      </c>
      <c r="B47" s="35" t="str">
        <v>SERVICE - 50DK730 - Site-hour</v>
      </c>
      <c r="C47" s="37" t="str">
        <v>hour</v>
      </c>
      <c r="D47" s="38">
        <v>1101</v>
      </c>
      <c r="E47" s="52">
        <v>0</v>
      </c>
      <c r="F47" s="36">
        <v>1101</v>
      </c>
      <c r="G47" s="39">
        <v>5.5359999999999996</v>
      </c>
      <c r="H47" s="39">
        <v>0</v>
      </c>
      <c r="I47" s="40">
        <v>6095.1359999999995</v>
      </c>
      <c r="N47">
        <v>51</v>
      </c>
    </row>
    <row r="48" spans="1:14" ht="16.5" hidden="1" customHeight="1" outlineLevel="1" x14ac:dyDescent="0.25">
      <c r="A48" s="29">
        <v>47</v>
      </c>
      <c r="B48" s="35" t="str">
        <v>SERVICE - 50DK730 - Site-single</v>
      </c>
      <c r="C48" s="37" t="str">
        <v>single</v>
      </c>
      <c r="D48" s="38">
        <v>357</v>
      </c>
      <c r="E48" s="52">
        <v>0</v>
      </c>
      <c r="F48" s="36">
        <v>357</v>
      </c>
      <c r="G48" s="39">
        <v>55.36</v>
      </c>
      <c r="H48" s="39">
        <v>0</v>
      </c>
      <c r="I48" s="40">
        <v>19763.52</v>
      </c>
      <c r="N48">
        <v>52</v>
      </c>
    </row>
    <row r="49" spans="1:14" ht="16.5" hidden="1" customHeight="1" outlineLevel="1" x14ac:dyDescent="0.25">
      <c r="A49" s="29">
        <v>48</v>
      </c>
      <c r="B49" s="35" t="str">
        <v>SERVICE - 50EF902 - Site-hour</v>
      </c>
      <c r="C49" s="37" t="str">
        <v>hour</v>
      </c>
      <c r="D49" s="38">
        <v>215.99999999999983</v>
      </c>
      <c r="E49" s="52">
        <v>0</v>
      </c>
      <c r="F49" s="36">
        <v>215.99999999999983</v>
      </c>
      <c r="G49" s="39">
        <v>6.25</v>
      </c>
      <c r="H49" s="39">
        <v>0</v>
      </c>
      <c r="I49" s="40">
        <v>1349.9999999999989</v>
      </c>
      <c r="N49">
        <v>53</v>
      </c>
    </row>
    <row r="50" spans="1:14" ht="16.5" hidden="1" customHeight="1" outlineLevel="1" x14ac:dyDescent="0.25">
      <c r="A50" s="29">
        <v>49</v>
      </c>
      <c r="B50" s="35" t="str">
        <v>SERVICE - 50EF902 - Site-single</v>
      </c>
      <c r="C50" s="37" t="str">
        <v>single</v>
      </c>
      <c r="D50" s="38">
        <v>197</v>
      </c>
      <c r="E50" s="52">
        <v>0</v>
      </c>
      <c r="F50" s="36">
        <v>197</v>
      </c>
      <c r="G50" s="39">
        <v>62.5</v>
      </c>
      <c r="H50" s="39">
        <v>0</v>
      </c>
      <c r="I50" s="40">
        <v>12312.5</v>
      </c>
      <c r="N50">
        <v>54</v>
      </c>
    </row>
    <row r="51" spans="1:14" ht="16.5" hidden="1" customHeight="1" outlineLevel="1" x14ac:dyDescent="0.25">
      <c r="A51" s="29">
        <v>50</v>
      </c>
      <c r="B51" s="35" t="str">
        <v>SERVICE - 52BK688 - Site-hour</v>
      </c>
      <c r="C51" s="37" t="str">
        <v>hour</v>
      </c>
      <c r="D51" s="38">
        <v>64.5</v>
      </c>
      <c r="E51" s="52">
        <v>0</v>
      </c>
      <c r="F51" s="36">
        <v>64.5</v>
      </c>
      <c r="G51" s="39">
        <v>5.5359999999999996</v>
      </c>
      <c r="H51" s="39">
        <v>0</v>
      </c>
      <c r="I51" s="40">
        <v>357.07199999999995</v>
      </c>
      <c r="N51">
        <v>55</v>
      </c>
    </row>
    <row r="52" spans="1:14" ht="16.5" hidden="1" customHeight="1" outlineLevel="1" x14ac:dyDescent="0.25">
      <c r="A52" s="29">
        <v>51</v>
      </c>
      <c r="B52" s="35" t="str">
        <v>SERVICE - 52BK688 - Site-single</v>
      </c>
      <c r="C52" s="37" t="str">
        <v>single</v>
      </c>
      <c r="D52" s="38">
        <v>30</v>
      </c>
      <c r="E52" s="52">
        <v>0</v>
      </c>
      <c r="F52" s="36">
        <v>30</v>
      </c>
      <c r="G52" s="39">
        <v>55.36</v>
      </c>
      <c r="H52" s="39">
        <v>0</v>
      </c>
      <c r="I52" s="40">
        <v>1660.8</v>
      </c>
      <c r="N52">
        <v>56</v>
      </c>
    </row>
    <row r="53" spans="1:14" ht="16.5" hidden="1" customHeight="1" outlineLevel="1" x14ac:dyDescent="0.25">
      <c r="A53" s="29">
        <v>52</v>
      </c>
      <c r="B53" s="35" t="str">
        <v>SERVICE - 53BB774 - Site-hour</v>
      </c>
      <c r="C53" s="37" t="str">
        <v>hour</v>
      </c>
      <c r="D53" s="38">
        <v>168.99999999999994</v>
      </c>
      <c r="E53" s="52">
        <v>0</v>
      </c>
      <c r="F53" s="36">
        <v>168.99999999999994</v>
      </c>
      <c r="G53" s="39">
        <v>0</v>
      </c>
      <c r="H53" s="39">
        <v>0</v>
      </c>
      <c r="I53" s="40">
        <v>0</v>
      </c>
      <c r="N53">
        <v>57</v>
      </c>
    </row>
    <row r="54" spans="1:14" ht="16.5" hidden="1" customHeight="1" outlineLevel="1" x14ac:dyDescent="0.25">
      <c r="A54" s="29">
        <v>53</v>
      </c>
      <c r="B54" s="35" t="str">
        <v>SERVICE - 53BB774 - Site-single</v>
      </c>
      <c r="C54" s="37" t="str">
        <v>single</v>
      </c>
      <c r="D54" s="38">
        <v>72</v>
      </c>
      <c r="E54" s="52">
        <v>0</v>
      </c>
      <c r="F54" s="36">
        <v>72</v>
      </c>
      <c r="G54" s="39">
        <v>55.36</v>
      </c>
      <c r="H54" s="39">
        <v>0</v>
      </c>
      <c r="I54" s="40">
        <v>3985.92</v>
      </c>
      <c r="N54">
        <v>59</v>
      </c>
    </row>
    <row r="55" spans="1:14" ht="16.5" hidden="1" customHeight="1" outlineLevel="1" x14ac:dyDescent="0.25">
      <c r="A55" s="29">
        <v>54</v>
      </c>
      <c r="B55" s="35" t="str">
        <v>SERVICE - 53BD338 - Site-hour</v>
      </c>
      <c r="C55" s="37" t="str">
        <v>hour</v>
      </c>
      <c r="D55" s="38">
        <v>69.999999999999972</v>
      </c>
      <c r="E55" s="52">
        <v>0</v>
      </c>
      <c r="F55" s="36">
        <v>69.999999999999972</v>
      </c>
      <c r="G55" s="39">
        <v>5.5359999999999996</v>
      </c>
      <c r="H55" s="39">
        <v>0</v>
      </c>
      <c r="I55" s="40">
        <v>387.51999999999981</v>
      </c>
      <c r="N55">
        <v>60</v>
      </c>
    </row>
    <row r="56" spans="1:14" ht="16.5" hidden="1" customHeight="1" outlineLevel="1" x14ac:dyDescent="0.25">
      <c r="A56" s="29"/>
      <c r="B56" s="35"/>
      <c r="C56" s="37"/>
      <c r="D56" s="38"/>
      <c r="E56" s="52"/>
      <c r="F56" s="36"/>
      <c r="G56" s="39"/>
      <c r="H56" s="39"/>
      <c r="I56" s="40"/>
      <c r="N56">
        <v>61</v>
      </c>
    </row>
    <row r="57" spans="1:14" ht="34.15" hidden="1" customHeight="1" outlineLevel="1" x14ac:dyDescent="0.25">
      <c r="A57" s="255" t="str">
        <f>"PAGE TOTAL (AZN)"&amp;CHAR(10)&amp;"SƏHİFƏNİN CƏMİ (AZN)"</f>
        <v>PAGE TOTAL (AZN)
SƏHİFƏNİN CƏMİ (AZN)</v>
      </c>
      <c r="B57" s="256"/>
      <c r="C57" s="256"/>
      <c r="D57" s="256"/>
      <c r="E57" s="256"/>
      <c r="F57" s="256"/>
      <c r="G57" s="257"/>
      <c r="H57" s="41" cm="1">
        <f t="array" ref="H57">SUM(IFERROR(_xlfn._xlws.FILTER(H6:H56,H6:H56&gt;0),0))</f>
        <v>0</v>
      </c>
      <c r="I57" s="42" cm="1">
        <f t="array" ref="I57">SUM(_xlfn._xlws.FILTER(I6:I56,I6:I56&gt;0))</f>
        <v>247385.94576071025</v>
      </c>
      <c r="N57">
        <v>62</v>
      </c>
    </row>
    <row r="58" spans="1:14" ht="32.25" hidden="1" customHeight="1" outlineLevel="1" collapsed="1" x14ac:dyDescent="0.25">
      <c r="A58" s="43"/>
      <c r="B58" s="44"/>
      <c r="C58" s="21"/>
      <c r="D58" s="22"/>
      <c r="E58" s="22"/>
      <c r="F58" s="22"/>
      <c r="G58" s="22"/>
      <c r="H58" s="22"/>
      <c r="I58" s="45"/>
      <c r="N58">
        <v>63</v>
      </c>
    </row>
    <row r="59" spans="1:14" ht="30.75" hidden="1" customHeight="1" outlineLevel="1" x14ac:dyDescent="0.25">
      <c r="A59" s="258" t="str">
        <f>view__cover!A29</f>
        <v>NAR TRANSPORT SERVICES MMC</v>
      </c>
      <c r="B59" s="247"/>
      <c r="C59" s="247" t="str">
        <f>_xlfn.LET(_xlpm.r,_xlfn.XLOOKUP(contract_no,log_contracts!B:B,log_contracts!G:G),IF(_xlpm.r=0,"",_xlpm.r))</f>
        <v>İbrahim Kemik</v>
      </c>
      <c r="D59" s="247"/>
      <c r="E59" s="247" t="s">
        <v>66</v>
      </c>
      <c r="F59" s="247"/>
      <c r="G59" s="247"/>
      <c r="H59" s="247" t="s">
        <v>1133</v>
      </c>
      <c r="I59" s="248"/>
      <c r="N59">
        <v>65</v>
      </c>
    </row>
    <row r="60" spans="1:14" ht="34.15" hidden="1" customHeight="1" outlineLevel="1" thickBot="1" x14ac:dyDescent="0.3">
      <c r="A60" s="249" t="s">
        <v>10</v>
      </c>
      <c r="B60" s="250"/>
      <c r="C60" s="250" t="s">
        <v>49</v>
      </c>
      <c r="D60" s="250"/>
      <c r="E60" s="250" t="s">
        <v>65</v>
      </c>
      <c r="F60" s="250"/>
      <c r="G60" s="250"/>
      <c r="H60" s="250" t="s">
        <v>1134</v>
      </c>
      <c r="I60" s="251"/>
      <c r="N60">
        <v>67</v>
      </c>
    </row>
    <row r="61" spans="1:14" ht="34.15" hidden="1" customHeight="1" outlineLevel="1" thickTop="1" x14ac:dyDescent="0.25">
      <c r="A61" s="255" t="str">
        <f>IF(A62="","","PREVIOUS PAGE TOTAL (AZN)"&amp;CHAR(10)&amp;"ƏVVƏLKİ SƏHİFƏNİN CƏMİ (AZN)")</f>
        <v>PREVIOUS PAGE TOTAL (AZN)
ƏVVƏLKİ SƏHİFƏNİN CƏMİ (AZN)</v>
      </c>
      <c r="B61" s="256"/>
      <c r="C61" s="256"/>
      <c r="D61" s="256"/>
      <c r="E61" s="256"/>
      <c r="F61" s="256"/>
      <c r="G61" s="257"/>
      <c r="H61" s="41">
        <f>H57</f>
        <v>0</v>
      </c>
      <c r="I61" s="42">
        <f>I57</f>
        <v>247385.94576071025</v>
      </c>
      <c r="N61">
        <v>68</v>
      </c>
    </row>
    <row r="62" spans="1:14" ht="15.75" hidden="1" outlineLevel="1" x14ac:dyDescent="0.25">
      <c r="A62" s="29" cm="1">
        <f t="array" ref="A62:A111">IFERROR(_xlfn.TAKE(_xlfn.DROP(_xlfn.ANCHORARRAY(N1),50),50),"")</f>
        <v>55</v>
      </c>
      <c r="B62" s="30" t="str" cm="1">
        <f t="array" ref="B62:B111">IFERROR(_xlfn.XLOOKUP(contract_no&amp;"-"&amp;_xlfn.ANCHORARRAY(A62),log_prices!B:B,log_prices!F:F,,0),"")</f>
        <v>SERVICE - 53BD338 - Site-single</v>
      </c>
      <c r="C62" s="31" t="str" cm="1">
        <f t="array" ref="C62:C111">IFERROR(_xlfn.XLOOKUP(contract_no&amp;"-"&amp;_xlfn.ANCHORARRAY(A62),log_prices!B:B,log_prices!G:G,,0),"")</f>
        <v>single</v>
      </c>
      <c r="D62" s="32" cm="1">
        <f t="array" ref="D62:D111">IFERROR(SUMIFS(quantities!G:G,quantities!D:D,contract_no,quantities!E:E,"&lt;"&amp;ipc_no,quantities!J:J,_xlfn.ANCHORARRAY(A62)),"")</f>
        <v>60</v>
      </c>
      <c r="E62" s="52" cm="1">
        <f t="array" ref="E62:E111">_xlfn.ANCHORARRAY(F62)-_xlfn.ANCHORARRAY(D62)</f>
        <v>0</v>
      </c>
      <c r="F62" s="32" cm="1">
        <f t="array" ref="F62:F111">IFERROR(SUMIFS(quantities!G:G,quantities!D:D,contract_no,quantities!E:E,"&lt;="&amp;ipc_no,quantities!J:J,_xlfn.ANCHORARRAY(A62)),"")</f>
        <v>60</v>
      </c>
      <c r="G62" s="33" cm="1">
        <f t="array" ref="G62:G111">IFERROR(_xlfn.XLOOKUP(contract_no&amp;"-"&amp;_xlfn.ANCHORARRAY(A62),log_prices!B:B,log_prices!I:I,,0),"")</f>
        <v>55.36</v>
      </c>
      <c r="H62" s="33" cm="1">
        <f t="array" ref="H62:H111">IFERROR(_xlfn.ANCHORARRAY(E62)*_xlfn.ANCHORARRAY(G62),"")</f>
        <v>0</v>
      </c>
      <c r="I62" s="34" cm="1">
        <f t="array" ref="I62:I111">IFERROR(_xlfn.ANCHORARRAY(F62)*_xlfn.ANCHORARRAY(G62),"")</f>
        <v>3321.6</v>
      </c>
      <c r="N62">
        <v>69</v>
      </c>
    </row>
    <row r="63" spans="1:14" ht="15.75" hidden="1" outlineLevel="1" x14ac:dyDescent="0.25">
      <c r="A63" s="29">
        <v>56</v>
      </c>
      <c r="B63" s="30" t="str">
        <v>SERVICE - 55CB633 - Site-hour</v>
      </c>
      <c r="C63" s="31" t="str">
        <v>hour</v>
      </c>
      <c r="D63" s="32">
        <v>797.00000000122225</v>
      </c>
      <c r="E63" s="52">
        <v>0</v>
      </c>
      <c r="F63" s="32">
        <v>797.00000000122225</v>
      </c>
      <c r="G63" s="33">
        <v>5.5359999999999996</v>
      </c>
      <c r="H63" s="33">
        <v>0</v>
      </c>
      <c r="I63" s="34">
        <v>4412.1920000067657</v>
      </c>
      <c r="N63">
        <v>71</v>
      </c>
    </row>
    <row r="64" spans="1:14" ht="15.75" hidden="1" outlineLevel="1" x14ac:dyDescent="0.25">
      <c r="A64" s="29">
        <v>57</v>
      </c>
      <c r="B64" s="30" t="str">
        <v>SERVICE - 55CB633 - Site-single</v>
      </c>
      <c r="C64" s="31" t="str">
        <v>single</v>
      </c>
      <c r="D64" s="32">
        <v>345</v>
      </c>
      <c r="E64" s="52">
        <v>0</v>
      </c>
      <c r="F64" s="32">
        <v>345</v>
      </c>
      <c r="G64" s="33">
        <v>55.36</v>
      </c>
      <c r="H64" s="33">
        <v>0</v>
      </c>
      <c r="I64" s="34">
        <v>19099.2</v>
      </c>
      <c r="N64">
        <v>72</v>
      </c>
    </row>
    <row r="65" spans="1:14" ht="15.75" hidden="1" outlineLevel="1" x14ac:dyDescent="0.25">
      <c r="A65" s="29">
        <v>59</v>
      </c>
      <c r="B65" s="30" t="str">
        <v>SERVICE - 77ET143 - Site-single</v>
      </c>
      <c r="C65" s="31" t="str">
        <v>single</v>
      </c>
      <c r="D65" s="32">
        <v>85</v>
      </c>
      <c r="E65" s="52">
        <v>0</v>
      </c>
      <c r="F65" s="32">
        <v>85</v>
      </c>
      <c r="G65" s="33">
        <v>55.36</v>
      </c>
      <c r="H65" s="33">
        <v>0</v>
      </c>
      <c r="I65" s="34">
        <v>4705.6000000000004</v>
      </c>
      <c r="N65">
        <v>73</v>
      </c>
    </row>
    <row r="66" spans="1:14" ht="15.75" hidden="1" outlineLevel="1" x14ac:dyDescent="0.25">
      <c r="A66" s="29">
        <v>60</v>
      </c>
      <c r="B66" s="30" t="str">
        <v>SERVICE - 77GM723 - Site-hour</v>
      </c>
      <c r="C66" s="31" t="str">
        <v>hour</v>
      </c>
      <c r="D66" s="32">
        <v>80.999999999999986</v>
      </c>
      <c r="E66" s="52">
        <v>0</v>
      </c>
      <c r="F66" s="32">
        <v>80.999999999999986</v>
      </c>
      <c r="G66" s="33">
        <v>5.5359999999999996</v>
      </c>
      <c r="H66" s="33">
        <v>0</v>
      </c>
      <c r="I66" s="34">
        <v>448.41599999999988</v>
      </c>
      <c r="N66">
        <v>74</v>
      </c>
    </row>
    <row r="67" spans="1:14" ht="15.75" hidden="1" outlineLevel="1" x14ac:dyDescent="0.25">
      <c r="A67" s="29">
        <v>61</v>
      </c>
      <c r="B67" s="30" t="str">
        <v>SERVICE - 77GM723 - Site-single</v>
      </c>
      <c r="C67" s="31" t="str">
        <v>single</v>
      </c>
      <c r="D67" s="32">
        <v>28</v>
      </c>
      <c r="E67" s="52">
        <v>0</v>
      </c>
      <c r="F67" s="32">
        <v>28</v>
      </c>
      <c r="G67" s="33">
        <v>55.36</v>
      </c>
      <c r="H67" s="33">
        <v>0</v>
      </c>
      <c r="I67" s="34">
        <v>1550.08</v>
      </c>
      <c r="N67">
        <v>75</v>
      </c>
    </row>
    <row r="68" spans="1:14" ht="15.75" hidden="1" outlineLevel="1" x14ac:dyDescent="0.25">
      <c r="A68" s="29">
        <v>62</v>
      </c>
      <c r="B68" s="30" t="str">
        <v>SERVICE - 77GR998 - Site-double</v>
      </c>
      <c r="C68" s="31" t="str">
        <v>double</v>
      </c>
      <c r="D68" s="32">
        <v>17</v>
      </c>
      <c r="E68" s="52">
        <v>0</v>
      </c>
      <c r="F68" s="32">
        <v>17</v>
      </c>
      <c r="G68" s="33">
        <v>91.339285714285708</v>
      </c>
      <c r="H68" s="33">
        <v>0</v>
      </c>
      <c r="I68" s="34">
        <v>1552.7678571428571</v>
      </c>
      <c r="N68">
        <v>76</v>
      </c>
    </row>
    <row r="69" spans="1:14" ht="15.75" hidden="1" outlineLevel="1" x14ac:dyDescent="0.25">
      <c r="A69" s="29">
        <v>63</v>
      </c>
      <c r="B69" s="30" t="str">
        <v>SERVICE - 77GR998 - Site_v1-double</v>
      </c>
      <c r="C69" s="31" t="str">
        <v>double</v>
      </c>
      <c r="D69" s="32">
        <v>243.0000000001493</v>
      </c>
      <c r="E69" s="52">
        <v>0</v>
      </c>
      <c r="F69" s="32">
        <v>243.0000000001493</v>
      </c>
      <c r="G69" s="33">
        <v>99.642857142857139</v>
      </c>
      <c r="H69" s="33">
        <v>0</v>
      </c>
      <c r="I69" s="34">
        <v>24213.214285729162</v>
      </c>
      <c r="N69">
        <v>77</v>
      </c>
    </row>
    <row r="70" spans="1:14" ht="15.75" hidden="1" outlineLevel="1" x14ac:dyDescent="0.25">
      <c r="A70" s="29">
        <v>65</v>
      </c>
      <c r="B70" s="30" t="str">
        <v>SERVICE - 77GR998 - Site-single</v>
      </c>
      <c r="C70" s="31" t="str">
        <v>single</v>
      </c>
      <c r="D70" s="32">
        <v>3</v>
      </c>
      <c r="E70" s="52">
        <v>0</v>
      </c>
      <c r="F70" s="32">
        <v>3</v>
      </c>
      <c r="G70" s="33">
        <v>55.357142857142854</v>
      </c>
      <c r="H70" s="33">
        <v>0</v>
      </c>
      <c r="I70" s="34">
        <v>166.07142857142856</v>
      </c>
      <c r="N70">
        <v>78</v>
      </c>
    </row>
    <row r="71" spans="1:14" ht="15.75" hidden="1" outlineLevel="1" x14ac:dyDescent="0.25">
      <c r="A71" s="29">
        <v>67</v>
      </c>
      <c r="B71" s="30" t="str">
        <v>SERVICE - 77PV619 - Procurement-single</v>
      </c>
      <c r="C71" s="31" t="str">
        <v>single</v>
      </c>
      <c r="D71" s="32">
        <v>120</v>
      </c>
      <c r="E71" s="52">
        <v>0</v>
      </c>
      <c r="F71" s="32">
        <v>120</v>
      </c>
      <c r="G71" s="33">
        <v>40</v>
      </c>
      <c r="H71" s="33">
        <v>0</v>
      </c>
      <c r="I71" s="34">
        <v>4800</v>
      </c>
      <c r="N71">
        <v>79</v>
      </c>
    </row>
    <row r="72" spans="1:14" ht="15.75" hidden="1" outlineLevel="1" x14ac:dyDescent="0.25">
      <c r="A72" s="29">
        <v>68</v>
      </c>
      <c r="B72" s="30" t="str">
        <v>SERVICE - 77QE133 - Baku-hour</v>
      </c>
      <c r="C72" s="31" t="str">
        <v>hour</v>
      </c>
      <c r="D72" s="32">
        <v>40</v>
      </c>
      <c r="E72" s="52">
        <v>0</v>
      </c>
      <c r="F72" s="32">
        <v>40</v>
      </c>
      <c r="G72" s="33">
        <v>7.3330000000000002</v>
      </c>
      <c r="H72" s="33">
        <v>0</v>
      </c>
      <c r="I72" s="34">
        <v>293.32</v>
      </c>
      <c r="N72">
        <v>80</v>
      </c>
    </row>
    <row r="73" spans="1:14" ht="15.75" hidden="1" outlineLevel="1" x14ac:dyDescent="0.25">
      <c r="A73" s="29">
        <v>69</v>
      </c>
      <c r="B73" s="30" t="str">
        <v>SERVICE - 77QE133 - Baku-single</v>
      </c>
      <c r="C73" s="31" t="str">
        <v>single</v>
      </c>
      <c r="D73" s="32">
        <v>135</v>
      </c>
      <c r="E73" s="52">
        <v>0</v>
      </c>
      <c r="F73" s="32">
        <v>135</v>
      </c>
      <c r="G73" s="33">
        <v>73.33</v>
      </c>
      <c r="H73" s="33">
        <v>0</v>
      </c>
      <c r="I73" s="34">
        <v>9899.5499999999993</v>
      </c>
      <c r="N73">
        <v>81</v>
      </c>
    </row>
    <row r="74" spans="1:14" ht="15.75" hidden="1" outlineLevel="1" x14ac:dyDescent="0.25">
      <c r="A74" s="29">
        <v>71</v>
      </c>
      <c r="B74" s="30" t="str">
        <v>SERVICE - 77RN868 - Baku-single</v>
      </c>
      <c r="C74" s="31" t="str">
        <v>single</v>
      </c>
      <c r="D74" s="32">
        <v>41</v>
      </c>
      <c r="E74" s="52">
        <v>0</v>
      </c>
      <c r="F74" s="32">
        <v>41</v>
      </c>
      <c r="G74" s="33">
        <v>73.33</v>
      </c>
      <c r="H74" s="33">
        <v>0</v>
      </c>
      <c r="I74" s="34">
        <v>3006.5299999999997</v>
      </c>
      <c r="N74">
        <v>82</v>
      </c>
    </row>
    <row r="75" spans="1:14" ht="15.75" hidden="1" outlineLevel="1" x14ac:dyDescent="0.25">
      <c r="A75" s="29">
        <v>72</v>
      </c>
      <c r="B75" s="30" t="str">
        <v>SERVICE - 77SR538 - Baku-hour</v>
      </c>
      <c r="C75" s="31" t="str">
        <v>hour</v>
      </c>
      <c r="D75" s="32">
        <v>200</v>
      </c>
      <c r="E75" s="52">
        <v>0</v>
      </c>
      <c r="F75" s="32">
        <v>200</v>
      </c>
      <c r="G75" s="33">
        <v>7.3330000000000002</v>
      </c>
      <c r="H75" s="33">
        <v>0</v>
      </c>
      <c r="I75" s="34">
        <v>1466.6000000000001</v>
      </c>
      <c r="N75">
        <v>83</v>
      </c>
    </row>
    <row r="76" spans="1:14" ht="15.75" hidden="1" outlineLevel="1" x14ac:dyDescent="0.25">
      <c r="A76" s="29">
        <v>73</v>
      </c>
      <c r="B76" s="30" t="str">
        <v>SERVICE - 77SR538 - Baku-single</v>
      </c>
      <c r="C76" s="31" t="str">
        <v>single</v>
      </c>
      <c r="D76" s="32">
        <v>114</v>
      </c>
      <c r="E76" s="52">
        <v>0</v>
      </c>
      <c r="F76" s="32">
        <v>114</v>
      </c>
      <c r="G76" s="33">
        <v>73.33</v>
      </c>
      <c r="H76" s="33">
        <v>0</v>
      </c>
      <c r="I76" s="34">
        <v>8359.619999999999</v>
      </c>
      <c r="N76">
        <v>85</v>
      </c>
    </row>
    <row r="77" spans="1:14" ht="15.75" hidden="1" outlineLevel="1" x14ac:dyDescent="0.25">
      <c r="A77" s="29">
        <v>74</v>
      </c>
      <c r="B77" s="30" t="str">
        <v>SERVICE - 77TG971 - Site-hour</v>
      </c>
      <c r="C77" s="31" t="str">
        <v>hour</v>
      </c>
      <c r="D77" s="32">
        <v>15.999999999999984</v>
      </c>
      <c r="E77" s="52">
        <v>0</v>
      </c>
      <c r="F77" s="32">
        <v>15.999999999999984</v>
      </c>
      <c r="G77" s="33">
        <v>5.5359999999999996</v>
      </c>
      <c r="H77" s="33">
        <v>0</v>
      </c>
      <c r="I77" s="34">
        <v>88.575999999999908</v>
      </c>
      <c r="N77">
        <v>86</v>
      </c>
    </row>
    <row r="78" spans="1:14" ht="15.75" hidden="1" outlineLevel="1" x14ac:dyDescent="0.25">
      <c r="A78" s="29">
        <v>75</v>
      </c>
      <c r="B78" s="30" t="str">
        <v>SERVICE - 77TG971 - Site-single</v>
      </c>
      <c r="C78" s="31" t="str">
        <v>single</v>
      </c>
      <c r="D78" s="32">
        <v>197</v>
      </c>
      <c r="E78" s="52">
        <v>0</v>
      </c>
      <c r="F78" s="32">
        <v>197</v>
      </c>
      <c r="G78" s="33">
        <v>55.36</v>
      </c>
      <c r="H78" s="33">
        <v>0</v>
      </c>
      <c r="I78" s="34">
        <v>10905.92</v>
      </c>
      <c r="N78">
        <v>87</v>
      </c>
    </row>
    <row r="79" spans="1:14" ht="15.75" hidden="1" outlineLevel="1" x14ac:dyDescent="0.25">
      <c r="A79" s="29">
        <v>76</v>
      </c>
      <c r="B79" s="30" t="str">
        <v>SERVICE - 77UR032 - Site-hour</v>
      </c>
      <c r="C79" s="31" t="str">
        <v>hour</v>
      </c>
      <c r="D79" s="32">
        <v>208.99999999999994</v>
      </c>
      <c r="E79" s="52">
        <v>0</v>
      </c>
      <c r="F79" s="32">
        <v>208.99999999999994</v>
      </c>
      <c r="G79" s="33">
        <v>5.5359999999999996</v>
      </c>
      <c r="H79" s="33">
        <v>0</v>
      </c>
      <c r="I79" s="34">
        <v>1157.0239999999997</v>
      </c>
      <c r="N79">
        <v>89</v>
      </c>
    </row>
    <row r="80" spans="1:14" ht="15.75" hidden="1" outlineLevel="1" x14ac:dyDescent="0.25">
      <c r="A80" s="29">
        <v>77</v>
      </c>
      <c r="B80" s="30" t="str">
        <v>SERVICE - 77UR032 - Site-single</v>
      </c>
      <c r="C80" s="31" t="str">
        <v>single</v>
      </c>
      <c r="D80" s="32">
        <v>253</v>
      </c>
      <c r="E80" s="52">
        <v>0</v>
      </c>
      <c r="F80" s="32">
        <v>253</v>
      </c>
      <c r="G80" s="33">
        <v>55.36</v>
      </c>
      <c r="H80" s="33">
        <v>0</v>
      </c>
      <c r="I80" s="34">
        <v>14006.08</v>
      </c>
      <c r="N80">
        <v>90</v>
      </c>
    </row>
    <row r="81" spans="1:14" ht="15.75" hidden="1" outlineLevel="1" x14ac:dyDescent="0.25">
      <c r="A81" s="29">
        <v>78</v>
      </c>
      <c r="B81" s="30" t="str">
        <v>SERVICE - 90EC344 - Site-hour</v>
      </c>
      <c r="C81" s="31" t="str">
        <v>hour</v>
      </c>
      <c r="D81" s="32">
        <v>286.00000000069844</v>
      </c>
      <c r="E81" s="52">
        <v>0</v>
      </c>
      <c r="F81" s="32">
        <v>286.00000000069844</v>
      </c>
      <c r="G81" s="33">
        <v>6.25</v>
      </c>
      <c r="H81" s="33">
        <v>0</v>
      </c>
      <c r="I81" s="34">
        <v>1787.5000000043651</v>
      </c>
      <c r="N81">
        <v>91</v>
      </c>
    </row>
    <row r="82" spans="1:14" ht="15.75" hidden="1" outlineLevel="1" x14ac:dyDescent="0.25">
      <c r="A82" s="29">
        <v>79</v>
      </c>
      <c r="B82" s="30" t="str">
        <v>SERVICE - 90EC344 - Site-single</v>
      </c>
      <c r="C82" s="31" t="str">
        <v>single</v>
      </c>
      <c r="D82" s="32">
        <v>148</v>
      </c>
      <c r="E82" s="52">
        <v>0</v>
      </c>
      <c r="F82" s="32">
        <v>148</v>
      </c>
      <c r="G82" s="33">
        <v>62.5</v>
      </c>
      <c r="H82" s="33">
        <v>0</v>
      </c>
      <c r="I82" s="34">
        <v>9250</v>
      </c>
      <c r="N82">
        <v>92</v>
      </c>
    </row>
    <row r="83" spans="1:14" ht="15.75" hidden="1" outlineLevel="1" x14ac:dyDescent="0.25">
      <c r="A83" s="29">
        <v>80</v>
      </c>
      <c r="B83" s="30" t="str">
        <v>SERVICE - 90LS143 - Site-hour</v>
      </c>
      <c r="C83" s="31" t="str">
        <v>hour</v>
      </c>
      <c r="D83" s="32">
        <v>154.99999999999994</v>
      </c>
      <c r="E83" s="52">
        <v>0</v>
      </c>
      <c r="F83" s="32">
        <v>154.99999999999994</v>
      </c>
      <c r="G83" s="33">
        <v>5.5359999999999996</v>
      </c>
      <c r="H83" s="33">
        <v>0</v>
      </c>
      <c r="I83" s="34">
        <v>858.07999999999959</v>
      </c>
      <c r="N83">
        <v>93</v>
      </c>
    </row>
    <row r="84" spans="1:14" ht="15.75" hidden="1" outlineLevel="1" x14ac:dyDescent="0.25">
      <c r="A84" s="29">
        <v>81</v>
      </c>
      <c r="B84" s="30" t="str">
        <v>SERVICE - 90LS143 - Site-single</v>
      </c>
      <c r="C84" s="31" t="str">
        <v>single</v>
      </c>
      <c r="D84" s="32">
        <v>223</v>
      </c>
      <c r="E84" s="52">
        <v>0</v>
      </c>
      <c r="F84" s="32">
        <v>223</v>
      </c>
      <c r="G84" s="33">
        <v>55.36</v>
      </c>
      <c r="H84" s="33">
        <v>0</v>
      </c>
      <c r="I84" s="34">
        <v>12345.28</v>
      </c>
      <c r="N84">
        <v>94</v>
      </c>
    </row>
    <row r="85" spans="1:14" ht="15.75" hidden="1" outlineLevel="1" x14ac:dyDescent="0.25">
      <c r="A85" s="29">
        <v>82</v>
      </c>
      <c r="B85" s="30" t="str">
        <v>SERVICE - 90OE402 - Baku-hour</v>
      </c>
      <c r="C85" s="31" t="str">
        <v>hour</v>
      </c>
      <c r="D85" s="32">
        <v>315.99999999999989</v>
      </c>
      <c r="E85" s="52">
        <v>0</v>
      </c>
      <c r="F85" s="32">
        <v>315.99999999999989</v>
      </c>
      <c r="G85" s="33">
        <v>7.333333333333333</v>
      </c>
      <c r="H85" s="33">
        <v>0</v>
      </c>
      <c r="I85" s="34">
        <v>2317.3333333333326</v>
      </c>
      <c r="N85">
        <v>95</v>
      </c>
    </row>
    <row r="86" spans="1:14" ht="15.75" hidden="1" outlineLevel="1" x14ac:dyDescent="0.25">
      <c r="A86" s="29">
        <v>83</v>
      </c>
      <c r="B86" s="30" t="str">
        <v>SERVICE - 90OE402 - Baku-single</v>
      </c>
      <c r="C86" s="31" t="str">
        <v>single</v>
      </c>
      <c r="D86" s="32">
        <v>194</v>
      </c>
      <c r="E86" s="52">
        <v>0</v>
      </c>
      <c r="F86" s="32">
        <v>194</v>
      </c>
      <c r="G86" s="33">
        <v>73.333333333333329</v>
      </c>
      <c r="H86" s="33">
        <v>0</v>
      </c>
      <c r="I86" s="34">
        <v>14226.666666666666</v>
      </c>
      <c r="N86">
        <v>96</v>
      </c>
    </row>
    <row r="87" spans="1:14" hidden="1" outlineLevel="1" x14ac:dyDescent="0.25">
      <c r="A87" s="29">
        <v>85</v>
      </c>
      <c r="B87" s="35" t="str">
        <v>SERVICE - 90PY548 - Procurement-single</v>
      </c>
      <c r="C87" s="37" t="str">
        <v>single</v>
      </c>
      <c r="D87" s="38">
        <v>267</v>
      </c>
      <c r="E87" s="52">
        <v>0</v>
      </c>
      <c r="F87" s="36">
        <v>267</v>
      </c>
      <c r="G87" s="33">
        <v>40</v>
      </c>
      <c r="H87" s="33">
        <v>0</v>
      </c>
      <c r="I87" s="34">
        <v>10680</v>
      </c>
      <c r="N87">
        <v>97</v>
      </c>
    </row>
    <row r="88" spans="1:14" hidden="1" outlineLevel="1" x14ac:dyDescent="0.25">
      <c r="A88" s="29">
        <v>86</v>
      </c>
      <c r="B88" s="35" t="str">
        <v>SERVICE - 90VS316 - Site-hour</v>
      </c>
      <c r="C88" s="37" t="str">
        <v>hour</v>
      </c>
      <c r="D88" s="38">
        <v>485.99999999999989</v>
      </c>
      <c r="E88" s="52">
        <v>0</v>
      </c>
      <c r="F88" s="36">
        <v>485.99999999999989</v>
      </c>
      <c r="G88" s="33">
        <v>5.5359999999999996</v>
      </c>
      <c r="H88" s="33">
        <v>0</v>
      </c>
      <c r="I88" s="34">
        <v>2690.4959999999992</v>
      </c>
      <c r="N88">
        <v>98</v>
      </c>
    </row>
    <row r="89" spans="1:14" hidden="1" outlineLevel="1" x14ac:dyDescent="0.25">
      <c r="A89" s="29">
        <v>87</v>
      </c>
      <c r="B89" s="35" t="str">
        <v>SERVICE - 90VS316 - Site-single</v>
      </c>
      <c r="C89" s="37" t="str">
        <v>single</v>
      </c>
      <c r="D89" s="38">
        <v>190</v>
      </c>
      <c r="E89" s="52">
        <v>0</v>
      </c>
      <c r="F89" s="36">
        <v>190</v>
      </c>
      <c r="G89" s="33">
        <v>55.36</v>
      </c>
      <c r="H89" s="33">
        <v>0</v>
      </c>
      <c r="I89" s="34">
        <v>10518.4</v>
      </c>
      <c r="N89">
        <v>99</v>
      </c>
    </row>
    <row r="90" spans="1:14" hidden="1" outlineLevel="1" x14ac:dyDescent="0.25">
      <c r="A90" s="29">
        <v>89</v>
      </c>
      <c r="B90" s="35" t="str">
        <v>SERVICE - 90YN163 - Procurement-single</v>
      </c>
      <c r="C90" s="37" t="str">
        <v>single</v>
      </c>
      <c r="D90" s="38">
        <v>32</v>
      </c>
      <c r="E90" s="52">
        <v>0</v>
      </c>
      <c r="F90" s="36">
        <v>32</v>
      </c>
      <c r="G90" s="33">
        <v>40</v>
      </c>
      <c r="H90" s="33">
        <v>0</v>
      </c>
      <c r="I90" s="34">
        <v>1280</v>
      </c>
      <c r="N90">
        <v>100</v>
      </c>
    </row>
    <row r="91" spans="1:14" hidden="1" outlineLevel="1" x14ac:dyDescent="0.25">
      <c r="A91" s="29">
        <v>90</v>
      </c>
      <c r="B91" s="35" t="str">
        <v>SERVICE - 99BT339 - Site-double</v>
      </c>
      <c r="C91" s="37" t="str">
        <v>double</v>
      </c>
      <c r="D91" s="38">
        <v>35</v>
      </c>
      <c r="E91" s="52">
        <v>0</v>
      </c>
      <c r="F91" s="36">
        <v>35</v>
      </c>
      <c r="G91" s="33">
        <v>91.34</v>
      </c>
      <c r="H91" s="33">
        <v>0</v>
      </c>
      <c r="I91" s="34">
        <v>3196.9</v>
      </c>
      <c r="N91">
        <v>101</v>
      </c>
    </row>
    <row r="92" spans="1:14" hidden="1" outlineLevel="1" x14ac:dyDescent="0.25">
      <c r="A92" s="29">
        <v>91</v>
      </c>
      <c r="B92" s="35" t="str">
        <v>SERVICE - 99BT339 - Site_v1-double</v>
      </c>
      <c r="C92" s="37" t="str">
        <v>double</v>
      </c>
      <c r="D92" s="38">
        <v>29</v>
      </c>
      <c r="E92" s="52">
        <v>0</v>
      </c>
      <c r="F92" s="36">
        <v>29</v>
      </c>
      <c r="G92" s="39">
        <v>99.647999999999996</v>
      </c>
      <c r="H92" s="39">
        <v>0</v>
      </c>
      <c r="I92" s="40">
        <v>2889.7919999999999</v>
      </c>
      <c r="N92">
        <v>102</v>
      </c>
    </row>
    <row r="93" spans="1:14" hidden="1" outlineLevel="1" x14ac:dyDescent="0.25">
      <c r="A93" s="29">
        <v>92</v>
      </c>
      <c r="B93" s="35" t="str">
        <v>SERVICE - 99BT339 - Site-hour</v>
      </c>
      <c r="C93" s="37" t="str">
        <v>hour</v>
      </c>
      <c r="D93" s="38">
        <v>543.99999999999977</v>
      </c>
      <c r="E93" s="52">
        <v>0</v>
      </c>
      <c r="F93" s="36">
        <v>543.99999999999977</v>
      </c>
      <c r="G93" s="39">
        <v>5.5359999999999996</v>
      </c>
      <c r="H93" s="39">
        <v>0</v>
      </c>
      <c r="I93" s="40">
        <v>3011.5839999999985</v>
      </c>
      <c r="N93">
        <v>103</v>
      </c>
    </row>
    <row r="94" spans="1:14" hidden="1" outlineLevel="1" x14ac:dyDescent="0.25">
      <c r="A94" s="29">
        <v>93</v>
      </c>
      <c r="B94" s="35" t="str">
        <v>SERVICE - 99BT339 - Site-single</v>
      </c>
      <c r="C94" s="37" t="str">
        <v>single</v>
      </c>
      <c r="D94" s="38">
        <v>288</v>
      </c>
      <c r="E94" s="52">
        <v>0</v>
      </c>
      <c r="F94" s="36">
        <v>288</v>
      </c>
      <c r="G94" s="39">
        <v>55.36</v>
      </c>
      <c r="H94" s="39">
        <v>0</v>
      </c>
      <c r="I94" s="40">
        <v>15943.68</v>
      </c>
      <c r="N94">
        <v>104</v>
      </c>
    </row>
    <row r="95" spans="1:14" hidden="1" outlineLevel="1" x14ac:dyDescent="0.25">
      <c r="A95" s="29">
        <v>94</v>
      </c>
      <c r="B95" s="35" t="str">
        <v>SERVICE - 99CN447 - Site-single</v>
      </c>
      <c r="C95" s="37" t="str">
        <v>single</v>
      </c>
      <c r="D95" s="38">
        <v>168</v>
      </c>
      <c r="E95" s="52">
        <v>0</v>
      </c>
      <c r="F95" s="36">
        <v>168</v>
      </c>
      <c r="G95" s="39">
        <v>55.36</v>
      </c>
      <c r="H95" s="39">
        <v>0</v>
      </c>
      <c r="I95" s="40">
        <v>9300.48</v>
      </c>
      <c r="N95">
        <v>105</v>
      </c>
    </row>
    <row r="96" spans="1:14" hidden="1" outlineLevel="1" x14ac:dyDescent="0.25">
      <c r="A96" s="29">
        <v>95</v>
      </c>
      <c r="B96" s="35" t="str">
        <v>SERVICE - 99CN447 - Site-hour</v>
      </c>
      <c r="C96" s="37" t="str">
        <v>hour</v>
      </c>
      <c r="D96" s="38">
        <v>226.99999999999986</v>
      </c>
      <c r="E96" s="52">
        <v>0</v>
      </c>
      <c r="F96" s="36">
        <v>226.99999999999986</v>
      </c>
      <c r="G96" s="39">
        <v>5.5359999999999996</v>
      </c>
      <c r="H96" s="39">
        <v>0</v>
      </c>
      <c r="I96" s="40">
        <v>1256.6719999999991</v>
      </c>
      <c r="N96">
        <v>106</v>
      </c>
    </row>
    <row r="97" spans="1:14" hidden="1" outlineLevel="1" x14ac:dyDescent="0.25">
      <c r="A97" s="29">
        <v>96</v>
      </c>
      <c r="B97" s="35" t="str">
        <v>SERVICE - 99DX531 - Site-hour</v>
      </c>
      <c r="C97" s="37" t="str">
        <v>hour</v>
      </c>
      <c r="D97" s="38">
        <v>34.999999999999986</v>
      </c>
      <c r="E97" s="52">
        <v>0</v>
      </c>
      <c r="F97" s="36">
        <v>34.999999999999986</v>
      </c>
      <c r="G97" s="39">
        <v>5.5359999999999996</v>
      </c>
      <c r="H97" s="39">
        <v>0</v>
      </c>
      <c r="I97" s="40">
        <v>193.75999999999991</v>
      </c>
      <c r="N97">
        <v>107</v>
      </c>
    </row>
    <row r="98" spans="1:14" hidden="1" outlineLevel="1" x14ac:dyDescent="0.25">
      <c r="A98" s="29">
        <v>97</v>
      </c>
      <c r="B98" s="35" t="str">
        <v>SERVICE - 99DX531 - Site-single</v>
      </c>
      <c r="C98" s="37" t="str">
        <v>single</v>
      </c>
      <c r="D98" s="38">
        <v>27</v>
      </c>
      <c r="E98" s="52">
        <v>0</v>
      </c>
      <c r="F98" s="36">
        <v>27</v>
      </c>
      <c r="G98" s="39">
        <v>55.36</v>
      </c>
      <c r="H98" s="39">
        <v>0</v>
      </c>
      <c r="I98" s="40">
        <v>1494.72</v>
      </c>
      <c r="N98">
        <v>108</v>
      </c>
    </row>
    <row r="99" spans="1:14" hidden="1" outlineLevel="1" x14ac:dyDescent="0.25">
      <c r="A99" s="29">
        <v>98</v>
      </c>
      <c r="B99" s="35" t="str">
        <v>SERVICE - 99EM163 - Site-double</v>
      </c>
      <c r="C99" s="37" t="str">
        <v>double</v>
      </c>
      <c r="D99" s="38">
        <v>113</v>
      </c>
      <c r="E99" s="52">
        <v>0</v>
      </c>
      <c r="F99" s="36">
        <v>113</v>
      </c>
      <c r="G99" s="39">
        <v>99.65</v>
      </c>
      <c r="H99" s="39">
        <v>0</v>
      </c>
      <c r="I99" s="40">
        <v>11260.45</v>
      </c>
      <c r="N99">
        <v>109</v>
      </c>
    </row>
    <row r="100" spans="1:14" hidden="1" outlineLevel="1" x14ac:dyDescent="0.25">
      <c r="A100" s="29">
        <v>99</v>
      </c>
      <c r="B100" s="35" t="str">
        <v>SERVICE - 99EM163 - Site-hour</v>
      </c>
      <c r="C100" s="37" t="str">
        <v>hour</v>
      </c>
      <c r="D100" s="38">
        <v>280.99999999999994</v>
      </c>
      <c r="E100" s="52">
        <v>0</v>
      </c>
      <c r="F100" s="36">
        <v>280.99999999999994</v>
      </c>
      <c r="G100" s="39">
        <v>5.5359999999999996</v>
      </c>
      <c r="H100" s="39">
        <v>0</v>
      </c>
      <c r="I100" s="40">
        <v>1555.6159999999995</v>
      </c>
      <c r="N100">
        <v>110</v>
      </c>
    </row>
    <row r="101" spans="1:14" hidden="1" outlineLevel="1" x14ac:dyDescent="0.25">
      <c r="A101" s="29">
        <v>100</v>
      </c>
      <c r="B101" s="35" t="str">
        <v>SERVICE - 99EM163 - Site-single</v>
      </c>
      <c r="C101" s="37" t="str">
        <v>single</v>
      </c>
      <c r="D101" s="38">
        <v>149</v>
      </c>
      <c r="E101" s="52">
        <v>0</v>
      </c>
      <c r="F101" s="36">
        <v>149</v>
      </c>
      <c r="G101" s="39">
        <v>55.36</v>
      </c>
      <c r="H101" s="39">
        <v>0</v>
      </c>
      <c r="I101" s="40">
        <v>8248.64</v>
      </c>
      <c r="N101">
        <v>111</v>
      </c>
    </row>
    <row r="102" spans="1:14" hidden="1" outlineLevel="1" x14ac:dyDescent="0.25">
      <c r="A102" s="29">
        <v>101</v>
      </c>
      <c r="B102" s="35" t="str">
        <v>SERVICE - 99FO779 - Site-single</v>
      </c>
      <c r="C102" s="37" t="str">
        <v>single</v>
      </c>
      <c r="D102" s="38">
        <v>167</v>
      </c>
      <c r="E102" s="52">
        <v>0</v>
      </c>
      <c r="F102" s="36">
        <v>167</v>
      </c>
      <c r="G102" s="39">
        <v>66.071428571428569</v>
      </c>
      <c r="H102" s="39">
        <v>0</v>
      </c>
      <c r="I102" s="40">
        <v>11033.928571428571</v>
      </c>
      <c r="N102">
        <v>112</v>
      </c>
    </row>
    <row r="103" spans="1:14" hidden="1" outlineLevel="1" x14ac:dyDescent="0.25">
      <c r="A103" s="29">
        <v>102</v>
      </c>
      <c r="B103" s="35" t="str">
        <v>SERVICE - 99FO779 - Site-hour</v>
      </c>
      <c r="C103" s="37" t="str">
        <v>hour</v>
      </c>
      <c r="D103" s="38">
        <v>464</v>
      </c>
      <c r="E103" s="52">
        <v>0</v>
      </c>
      <c r="F103" s="36">
        <v>464</v>
      </c>
      <c r="G103" s="39">
        <v>6.6071428571428568</v>
      </c>
      <c r="H103" s="39">
        <v>0</v>
      </c>
      <c r="I103" s="40">
        <v>3065.7142857142853</v>
      </c>
      <c r="N103">
        <v>113</v>
      </c>
    </row>
    <row r="104" spans="1:14" hidden="1" outlineLevel="1" x14ac:dyDescent="0.25">
      <c r="A104" s="29">
        <v>103</v>
      </c>
      <c r="B104" s="35" t="str">
        <v>SERVICE - 99GZ612 - Site-hour</v>
      </c>
      <c r="C104" s="37" t="str">
        <v>hour</v>
      </c>
      <c r="D104" s="38">
        <v>39.499999999999993</v>
      </c>
      <c r="E104" s="52">
        <v>0</v>
      </c>
      <c r="F104" s="36">
        <v>39.499999999999993</v>
      </c>
      <c r="G104" s="39">
        <v>6.25</v>
      </c>
      <c r="H104" s="39">
        <v>0</v>
      </c>
      <c r="I104" s="40">
        <v>246.87499999999994</v>
      </c>
      <c r="N104">
        <v>114</v>
      </c>
    </row>
    <row r="105" spans="1:14" hidden="1" outlineLevel="1" x14ac:dyDescent="0.25">
      <c r="A105" s="29">
        <v>104</v>
      </c>
      <c r="B105" s="35" t="str">
        <v>SERVICE - 99GZ612 - Site-single</v>
      </c>
      <c r="C105" s="37" t="str">
        <v>single</v>
      </c>
      <c r="D105" s="38">
        <v>130</v>
      </c>
      <c r="E105" s="52">
        <v>0</v>
      </c>
      <c r="F105" s="36">
        <v>130</v>
      </c>
      <c r="G105" s="39">
        <v>62.5</v>
      </c>
      <c r="H105" s="39">
        <v>0</v>
      </c>
      <c r="I105" s="40">
        <v>8125</v>
      </c>
      <c r="N105">
        <v>115</v>
      </c>
    </row>
    <row r="106" spans="1:14" hidden="1" outlineLevel="1" x14ac:dyDescent="0.25">
      <c r="A106" s="29">
        <v>105</v>
      </c>
      <c r="B106" s="35" t="str">
        <v>SERVICE - 99KL663 - Site-hour</v>
      </c>
      <c r="C106" s="37" t="str">
        <v>hour</v>
      </c>
      <c r="D106" s="38">
        <v>412.99999999999989</v>
      </c>
      <c r="E106" s="52">
        <v>0</v>
      </c>
      <c r="F106" s="36">
        <v>412.99999999999989</v>
      </c>
      <c r="G106" s="39">
        <v>5.5359999999999996</v>
      </c>
      <c r="H106" s="39">
        <v>0</v>
      </c>
      <c r="I106" s="40">
        <v>2286.367999999999</v>
      </c>
      <c r="N106">
        <v>116</v>
      </c>
    </row>
    <row r="107" spans="1:14" hidden="1" outlineLevel="1" x14ac:dyDescent="0.25">
      <c r="A107" s="29">
        <v>106</v>
      </c>
      <c r="B107" s="35" t="str">
        <v>SERVICE - 99KL663 - Site-single</v>
      </c>
      <c r="C107" s="37" t="str">
        <v>single</v>
      </c>
      <c r="D107" s="38">
        <v>237</v>
      </c>
      <c r="E107" s="52">
        <v>0</v>
      </c>
      <c r="F107" s="36">
        <v>237</v>
      </c>
      <c r="G107" s="39">
        <v>55.36</v>
      </c>
      <c r="H107" s="39">
        <v>0</v>
      </c>
      <c r="I107" s="40">
        <v>13120.32</v>
      </c>
      <c r="N107">
        <v>118</v>
      </c>
    </row>
    <row r="108" spans="1:14" hidden="1" outlineLevel="1" x14ac:dyDescent="0.25">
      <c r="A108" s="29">
        <v>107</v>
      </c>
      <c r="B108" s="35" t="str">
        <v>SERVICE - 99MN472 - Site-hour</v>
      </c>
      <c r="C108" s="37" t="str">
        <v>hour</v>
      </c>
      <c r="D108" s="38">
        <v>938.99999999999977</v>
      </c>
      <c r="E108" s="52">
        <v>0</v>
      </c>
      <c r="F108" s="36">
        <v>938.99999999999977</v>
      </c>
      <c r="G108" s="39">
        <v>5.5359999999999996</v>
      </c>
      <c r="H108" s="39">
        <v>0</v>
      </c>
      <c r="I108" s="40">
        <v>5198.3039999999983</v>
      </c>
      <c r="N108">
        <v>119</v>
      </c>
    </row>
    <row r="109" spans="1:14" hidden="1" outlineLevel="1" x14ac:dyDescent="0.25">
      <c r="A109" s="29">
        <v>108</v>
      </c>
      <c r="B109" s="35" t="str">
        <v>SERVICE - 99MN472 - Site-single</v>
      </c>
      <c r="C109" s="37" t="str">
        <v>single</v>
      </c>
      <c r="D109" s="38">
        <v>358</v>
      </c>
      <c r="E109" s="52">
        <v>0</v>
      </c>
      <c r="F109" s="36">
        <v>358</v>
      </c>
      <c r="G109" s="39">
        <v>55.36</v>
      </c>
      <c r="H109" s="39">
        <v>0</v>
      </c>
      <c r="I109" s="40">
        <v>19818.88</v>
      </c>
      <c r="N109">
        <v>120</v>
      </c>
    </row>
    <row r="110" spans="1:14" hidden="1" outlineLevel="1" x14ac:dyDescent="0.25">
      <c r="A110" s="29">
        <v>109</v>
      </c>
      <c r="B110" s="35" t="str">
        <v>SERVICE - 99OR961 - Site-single</v>
      </c>
      <c r="C110" s="37" t="str">
        <v>single</v>
      </c>
      <c r="D110" s="38">
        <v>172</v>
      </c>
      <c r="E110" s="52">
        <v>0</v>
      </c>
      <c r="F110" s="36">
        <v>172</v>
      </c>
      <c r="G110" s="39">
        <v>55.36</v>
      </c>
      <c r="H110" s="39">
        <v>0</v>
      </c>
      <c r="I110" s="40">
        <v>9521.92</v>
      </c>
      <c r="N110">
        <v>121</v>
      </c>
    </row>
    <row r="111" spans="1:14" hidden="1" outlineLevel="1" x14ac:dyDescent="0.25">
      <c r="A111" s="29">
        <v>110</v>
      </c>
      <c r="B111" s="35" t="str">
        <v>SERVICE - 99OR961 - Site-hour</v>
      </c>
      <c r="C111" s="37" t="str">
        <v>hour</v>
      </c>
      <c r="D111" s="38">
        <v>294.99999999999989</v>
      </c>
      <c r="E111" s="52">
        <v>0</v>
      </c>
      <c r="F111" s="36">
        <v>294.99999999999989</v>
      </c>
      <c r="G111" s="39">
        <v>5.5359999999999996</v>
      </c>
      <c r="H111" s="39">
        <v>0</v>
      </c>
      <c r="I111" s="40">
        <v>1633.1199999999992</v>
      </c>
      <c r="N111">
        <v>122</v>
      </c>
    </row>
    <row r="112" spans="1:14" hidden="1" outlineLevel="1" x14ac:dyDescent="0.25">
      <c r="A112" s="29"/>
      <c r="B112" s="35"/>
      <c r="C112" s="37"/>
      <c r="D112" s="38"/>
      <c r="E112" s="52"/>
      <c r="F112" s="36"/>
      <c r="G112" s="39"/>
      <c r="H112" s="39"/>
      <c r="I112" s="40"/>
      <c r="N112">
        <v>123</v>
      </c>
    </row>
    <row r="113" spans="1:14" ht="31.5" hidden="1" customHeight="1" outlineLevel="1" x14ac:dyDescent="0.25">
      <c r="A113" s="255" t="str">
        <f>"PAGE TOTAL (AZN)"&amp;CHAR(10)&amp;"SƏHİFƏNİN CƏMİ (AZN)"</f>
        <v>PAGE TOTAL (AZN)
SƏHİFƏNİN CƏMİ (AZN)</v>
      </c>
      <c r="B113" s="256"/>
      <c r="C113" s="256"/>
      <c r="D113" s="256"/>
      <c r="E113" s="256"/>
      <c r="F113" s="256"/>
      <c r="G113" s="257"/>
      <c r="H113" s="41" t="e" cm="1" vm="2">
        <f t="array" ref="H113">SUM(_xlfn._xlws.FILTER(H61:H112,H61:H112&gt;0))</f>
        <v>#VALUE!</v>
      </c>
      <c r="I113" s="42" cm="1">
        <f t="array" ref="I113">SUM(_xlfn._xlws.FILTER(I61:I112,I61:I112&gt;0))</f>
        <v>559194.78718930774</v>
      </c>
      <c r="N113">
        <v>124</v>
      </c>
    </row>
    <row r="114" spans="1:14" ht="36.75" hidden="1" customHeight="1" outlineLevel="1" x14ac:dyDescent="0.25">
      <c r="A114" s="43"/>
      <c r="B114" s="44"/>
      <c r="C114" s="21"/>
      <c r="D114" s="22"/>
      <c r="E114" s="22"/>
      <c r="F114" s="22"/>
      <c r="G114" s="22"/>
      <c r="H114" s="22"/>
      <c r="I114" s="45"/>
      <c r="N114">
        <v>125</v>
      </c>
    </row>
    <row r="115" spans="1:14" ht="36.75" hidden="1" customHeight="1" outlineLevel="1" x14ac:dyDescent="0.25">
      <c r="A115" s="258" t="str">
        <f>A59</f>
        <v>NAR TRANSPORT SERVICES MMC</v>
      </c>
      <c r="B115" s="247"/>
      <c r="C115" s="247" t="str">
        <f>_xlfn.LET(_xlpm.r,_xlfn.XLOOKUP(contract_no,log_contracts!B:B,log_contracts!G:G),IF(_xlpm.r=0,"",_xlpm.r))</f>
        <v>İbrahim Kemik</v>
      </c>
      <c r="D115" s="247"/>
      <c r="E115" s="247" t="s">
        <v>66</v>
      </c>
      <c r="F115" s="247"/>
      <c r="G115" s="247"/>
      <c r="H115" s="247" t="str">
        <f>H59</f>
        <v>Mehmet Özgün DEDEKARGINOĞLU</v>
      </c>
      <c r="I115" s="248"/>
      <c r="N115">
        <v>180</v>
      </c>
    </row>
    <row r="116" spans="1:14" ht="36.75" hidden="1" customHeight="1" outlineLevel="1" thickBot="1" x14ac:dyDescent="0.3">
      <c r="A116" s="249" t="s">
        <v>10</v>
      </c>
      <c r="B116" s="250"/>
      <c r="C116" s="250" t="s">
        <v>49</v>
      </c>
      <c r="D116" s="250"/>
      <c r="E116" s="250" t="s">
        <v>65</v>
      </c>
      <c r="F116" s="250"/>
      <c r="G116" s="250"/>
      <c r="H116" s="250" t="str">
        <f>H60</f>
        <v>Technical Office Cheif 
Texniki Şöbə Şefi</v>
      </c>
      <c r="I116" s="251"/>
      <c r="N116">
        <v>181</v>
      </c>
    </row>
    <row r="117" spans="1:14" ht="31.5" hidden="1" customHeight="1" outlineLevel="1" thickTop="1" x14ac:dyDescent="0.25">
      <c r="A117" s="255" t="str">
        <f>IF(A118="","","PREVIOUS PAGE TOTAL (AZN)"&amp;CHAR(10)&amp;"ƏVVƏLKİ SƏHİFƏNİN CƏMİ (AZN)")</f>
        <v>PREVIOUS PAGE TOTAL (AZN)
ƏVVƏLKİ SƏHİFƏNİN CƏMİ (AZN)</v>
      </c>
      <c r="B117" s="256"/>
      <c r="C117" s="256"/>
      <c r="D117" s="256"/>
      <c r="E117" s="256"/>
      <c r="F117" s="256"/>
      <c r="G117" s="257"/>
      <c r="H117" s="41" t="e" vm="3">
        <f>H113</f>
        <v>#VALUE!</v>
      </c>
      <c r="I117" s="42">
        <f>I113</f>
        <v>559194.78718930774</v>
      </c>
      <c r="N117">
        <v>182</v>
      </c>
    </row>
    <row r="118" spans="1:14" ht="15.75" hidden="1" outlineLevel="1" x14ac:dyDescent="0.25">
      <c r="A118" s="29" cm="1">
        <f t="array" ref="A118:A160">IFERROR(_xlfn.DROP(_xlfn.ANCHORARRAY(N1),100),"")</f>
        <v>111</v>
      </c>
      <c r="B118" s="30" t="str" cm="1">
        <f t="array" ref="B118:B160">IFERROR(_xlfn.XLOOKUP(contract_no&amp;"-"&amp;_xlfn.ANCHORARRAY(A118),log_prices!B:B,log_prices!F:F,,0),"")</f>
        <v>SERVICE - 99TV366 - Site-hour</v>
      </c>
      <c r="C118" s="31" t="str" cm="1">
        <f t="array" ref="C118:C160">IFERROR(_xlfn.XLOOKUP(contract_no&amp;"-"&amp;_xlfn.ANCHORARRAY(A118),log_prices!B:B,log_prices!G:G,,0),"")</f>
        <v>hour</v>
      </c>
      <c r="D118" s="32" cm="1">
        <f t="array" ref="D118:D160">IFERROR(SUMIFS(quantities!G:G,quantities!D:D,contract_no,quantities!E:E,"&lt;"&amp;ipc_no,quantities!J:J,_xlfn.ANCHORARRAY(A118)),"")</f>
        <v>20.999999999999986</v>
      </c>
      <c r="E118" s="52" cm="1">
        <f t="array" ref="E118:E160">_xlfn.ANCHORARRAY(F118)-_xlfn.ANCHORARRAY(D118)</f>
        <v>0</v>
      </c>
      <c r="F118" s="32" cm="1">
        <f t="array" ref="F118:F160">IFERROR(SUMIFS(quantities!G:G,quantities!D:D,contract_no,quantities!E:E,"&lt;="&amp;ipc_no,quantities!J:J,_xlfn.ANCHORARRAY(A118)),"")</f>
        <v>20.999999999999986</v>
      </c>
      <c r="G118" s="33" cm="1">
        <f t="array" ref="G118:G160">IFERROR(_xlfn.XLOOKUP(contract_no&amp;"-"&amp;_xlfn.ANCHORARRAY(A118),log_prices!B:B,log_prices!I:I,,0),"")</f>
        <v>5.5359999999999996</v>
      </c>
      <c r="H118" s="33" cm="1">
        <f t="array" ref="H118:H160">IFERROR(_xlfn.ANCHORARRAY(E118)*_xlfn.ANCHORARRAY(G118),"")</f>
        <v>0</v>
      </c>
      <c r="I118" s="34" cm="1">
        <f t="array" ref="I118:I160">IFERROR(_xlfn.ANCHORARRAY(F118)*_xlfn.ANCHORARRAY(G118),"")</f>
        <v>116.25599999999991</v>
      </c>
      <c r="N118">
        <v>184</v>
      </c>
    </row>
    <row r="119" spans="1:14" hidden="1" outlineLevel="1" x14ac:dyDescent="0.25">
      <c r="A119" s="29">
        <v>112</v>
      </c>
      <c r="B119" s="35" t="str">
        <v>SERVICE - 99TV366 - Site-single</v>
      </c>
      <c r="C119" s="37" t="str">
        <v>single</v>
      </c>
      <c r="D119" s="38">
        <v>14</v>
      </c>
      <c r="E119" s="52">
        <v>0</v>
      </c>
      <c r="F119" s="36">
        <v>14</v>
      </c>
      <c r="G119" s="39">
        <v>55.36</v>
      </c>
      <c r="H119" s="39">
        <v>0</v>
      </c>
      <c r="I119" s="40">
        <v>775.04</v>
      </c>
      <c r="N119">
        <v>185</v>
      </c>
    </row>
    <row r="120" spans="1:14" hidden="1" outlineLevel="1" x14ac:dyDescent="0.25">
      <c r="A120" s="29">
        <v>113</v>
      </c>
      <c r="B120" s="35" t="str">
        <v>SERVICE - 99UK314 - Aeroport-hour</v>
      </c>
      <c r="C120" s="37" t="str">
        <v>hour</v>
      </c>
      <c r="D120" s="38">
        <v>593</v>
      </c>
      <c r="E120" s="52">
        <v>0</v>
      </c>
      <c r="F120" s="36">
        <v>593</v>
      </c>
      <c r="G120" s="39">
        <v>5.8929999999999998</v>
      </c>
      <c r="H120" s="39">
        <v>0</v>
      </c>
      <c r="I120" s="40">
        <v>3494.549</v>
      </c>
      <c r="N120">
        <v>186</v>
      </c>
    </row>
    <row r="121" spans="1:14" hidden="1" outlineLevel="1" x14ac:dyDescent="0.25">
      <c r="A121" s="29">
        <v>114</v>
      </c>
      <c r="B121" s="35" t="str">
        <v>SERVICE - 99UK314 - Aeroport-single</v>
      </c>
      <c r="C121" s="37" t="str">
        <v>single</v>
      </c>
      <c r="D121" s="38">
        <v>177</v>
      </c>
      <c r="E121" s="52">
        <v>0</v>
      </c>
      <c r="F121" s="36">
        <v>177</v>
      </c>
      <c r="G121" s="39">
        <v>58.93</v>
      </c>
      <c r="H121" s="39">
        <v>0</v>
      </c>
      <c r="I121" s="40">
        <v>10430.61</v>
      </c>
      <c r="N121">
        <v>188</v>
      </c>
    </row>
    <row r="122" spans="1:14" hidden="1" outlineLevel="1" x14ac:dyDescent="0.25">
      <c r="A122" s="29">
        <v>115</v>
      </c>
      <c r="B122" s="35" t="str">
        <v>WAGON - 99LM412 - Site-hour</v>
      </c>
      <c r="C122" s="37" t="str">
        <v>hour</v>
      </c>
      <c r="D122" s="38">
        <v>697.79999999999973</v>
      </c>
      <c r="E122" s="52">
        <v>0</v>
      </c>
      <c r="F122" s="36">
        <v>697.79999999999973</v>
      </c>
      <c r="G122" s="39">
        <v>5.5357142857142856</v>
      </c>
      <c r="H122" s="39">
        <v>0</v>
      </c>
      <c r="I122" s="40">
        <v>3862.8214285714271</v>
      </c>
      <c r="N122">
        <v>189</v>
      </c>
    </row>
    <row r="123" spans="1:14" hidden="1" outlineLevel="1" x14ac:dyDescent="0.25">
      <c r="A123" s="29">
        <v>116</v>
      </c>
      <c r="B123" s="35" t="str">
        <v>WAGON - 99LM412 - Site-single</v>
      </c>
      <c r="C123" s="37" t="str">
        <v>single</v>
      </c>
      <c r="D123" s="38">
        <v>336</v>
      </c>
      <c r="E123" s="52">
        <v>0</v>
      </c>
      <c r="F123" s="36">
        <v>336</v>
      </c>
      <c r="G123" s="39">
        <v>55.357142857142854</v>
      </c>
      <c r="H123" s="39">
        <v>0</v>
      </c>
      <c r="I123" s="40">
        <v>18600</v>
      </c>
      <c r="N123">
        <v>190</v>
      </c>
    </row>
    <row r="124" spans="1:14" hidden="1" outlineLevel="1" x14ac:dyDescent="0.25">
      <c r="A124" s="29">
        <v>118</v>
      </c>
      <c r="B124" s="35" t="str">
        <v>GARBAGE TRUCK - 77VL420 - Camp-single</v>
      </c>
      <c r="C124" s="37" t="str">
        <v>single</v>
      </c>
      <c r="D124" s="38">
        <v>180</v>
      </c>
      <c r="E124" s="52">
        <v>0</v>
      </c>
      <c r="F124" s="36">
        <v>180</v>
      </c>
      <c r="G124" s="39">
        <v>275</v>
      </c>
      <c r="H124" s="39">
        <v>0</v>
      </c>
      <c r="I124" s="40">
        <v>49500</v>
      </c>
      <c r="N124">
        <v>191</v>
      </c>
    </row>
    <row r="125" spans="1:14" hidden="1" outlineLevel="1" x14ac:dyDescent="0.25">
      <c r="A125" s="29">
        <v>119</v>
      </c>
      <c r="B125" s="35" t="str">
        <v>SERVICE - 57BV285 - Site-single</v>
      </c>
      <c r="C125" s="37" t="str">
        <v>single</v>
      </c>
      <c r="D125" s="38">
        <v>103</v>
      </c>
      <c r="E125" s="52">
        <v>0</v>
      </c>
      <c r="F125" s="36">
        <v>103</v>
      </c>
      <c r="G125" s="39">
        <v>62.5</v>
      </c>
      <c r="H125" s="39">
        <v>0</v>
      </c>
      <c r="I125" s="40">
        <v>6437.5</v>
      </c>
      <c r="N125">
        <v>192</v>
      </c>
    </row>
    <row r="126" spans="1:14" hidden="1" outlineLevel="1" x14ac:dyDescent="0.25">
      <c r="A126" s="29">
        <v>120</v>
      </c>
      <c r="B126" s="35" t="str">
        <v>SERVICE - 57BV285 - Site-hour</v>
      </c>
      <c r="C126" s="37" t="str">
        <v>hour</v>
      </c>
      <c r="D126" s="38">
        <v>115.99999999999993</v>
      </c>
      <c r="E126" s="52">
        <v>0</v>
      </c>
      <c r="F126" s="36">
        <v>115.99999999999993</v>
      </c>
      <c r="G126" s="39">
        <v>6.25</v>
      </c>
      <c r="H126" s="39">
        <v>0</v>
      </c>
      <c r="I126" s="40">
        <v>724.99999999999955</v>
      </c>
      <c r="N126">
        <v>193</v>
      </c>
    </row>
    <row r="127" spans="1:14" hidden="1" outlineLevel="1" x14ac:dyDescent="0.25">
      <c r="A127" s="29">
        <v>121</v>
      </c>
      <c r="B127" s="35" t="str">
        <v>SERVICE - 90UX686 - Site-single</v>
      </c>
      <c r="C127" s="37" t="str">
        <v>single</v>
      </c>
      <c r="D127" s="38">
        <v>104</v>
      </c>
      <c r="E127" s="52">
        <v>0</v>
      </c>
      <c r="F127" s="36">
        <v>104</v>
      </c>
      <c r="G127" s="39">
        <v>62.5</v>
      </c>
      <c r="H127" s="39">
        <v>0</v>
      </c>
      <c r="I127" s="40">
        <v>6500</v>
      </c>
      <c r="N127">
        <v>194</v>
      </c>
    </row>
    <row r="128" spans="1:14" hidden="1" outlineLevel="1" x14ac:dyDescent="0.25">
      <c r="A128" s="29">
        <v>122</v>
      </c>
      <c r="B128" s="35" t="str">
        <v>SERVICE - 90UX686 - Site-hour</v>
      </c>
      <c r="C128" s="37" t="str">
        <v>hour</v>
      </c>
      <c r="D128" s="38">
        <v>187.99999999999994</v>
      </c>
      <c r="E128" s="52">
        <v>0</v>
      </c>
      <c r="F128" s="36">
        <v>187.99999999999994</v>
      </c>
      <c r="G128" s="39">
        <v>6.25</v>
      </c>
      <c r="H128" s="39">
        <v>0</v>
      </c>
      <c r="I128" s="40">
        <v>1174.9999999999995</v>
      </c>
      <c r="N128">
        <v>196</v>
      </c>
    </row>
    <row r="129" spans="1:14" hidden="1" outlineLevel="1" x14ac:dyDescent="0.25">
      <c r="A129" s="29">
        <v>123</v>
      </c>
      <c r="B129" s="35" t="str">
        <v>SERVICE - 99DT131 - Site-single</v>
      </c>
      <c r="C129" s="37" t="str">
        <v>single</v>
      </c>
      <c r="D129" s="38">
        <v>110</v>
      </c>
      <c r="E129" s="52">
        <v>0</v>
      </c>
      <c r="F129" s="36">
        <v>110</v>
      </c>
      <c r="G129" s="39">
        <v>55.36</v>
      </c>
      <c r="H129" s="39">
        <v>0</v>
      </c>
      <c r="I129" s="40">
        <v>6089.6</v>
      </c>
      <c r="N129">
        <v>197</v>
      </c>
    </row>
    <row r="130" spans="1:14" hidden="1" outlineLevel="1" x14ac:dyDescent="0.25">
      <c r="A130" s="29">
        <v>124</v>
      </c>
      <c r="B130" s="35" t="str">
        <v>SERVICE - 99DT131 - Site-hour</v>
      </c>
      <c r="C130" s="37" t="str">
        <v>hour</v>
      </c>
      <c r="D130" s="38">
        <v>99.999999999999957</v>
      </c>
      <c r="E130" s="52">
        <v>0</v>
      </c>
      <c r="F130" s="36">
        <v>99.999999999999957</v>
      </c>
      <c r="G130" s="39">
        <v>5.5359999999999996</v>
      </c>
      <c r="H130" s="39">
        <v>0</v>
      </c>
      <c r="I130" s="40">
        <v>553.59999999999968</v>
      </c>
      <c r="N130">
        <v>198</v>
      </c>
    </row>
    <row r="131" spans="1:14" hidden="1" outlineLevel="1" x14ac:dyDescent="0.25">
      <c r="A131" s="29">
        <v>125</v>
      </c>
      <c r="B131" s="35" t="str">
        <v>Pickup - 90RC631 - Cesan crane-single</v>
      </c>
      <c r="C131" s="37" t="str">
        <v>single</v>
      </c>
      <c r="D131" s="38">
        <v>26</v>
      </c>
      <c r="E131" s="52">
        <v>0</v>
      </c>
      <c r="F131" s="36">
        <v>26</v>
      </c>
      <c r="G131" s="39">
        <v>96.43</v>
      </c>
      <c r="H131" s="39">
        <v>0</v>
      </c>
      <c r="I131" s="40">
        <v>2507.1800000000003</v>
      </c>
      <c r="N131">
        <v>200</v>
      </c>
    </row>
    <row r="132" spans="1:14" hidden="1" outlineLevel="1" x14ac:dyDescent="0.25">
      <c r="A132" s="29">
        <v>180</v>
      </c>
      <c r="B132" s="35" t="str">
        <v>SERVICE - 77MU119 - Site-single</v>
      </c>
      <c r="C132" s="37" t="str">
        <v>single</v>
      </c>
      <c r="D132" s="38">
        <v>72</v>
      </c>
      <c r="E132" s="52">
        <v>0</v>
      </c>
      <c r="F132" s="36">
        <v>72</v>
      </c>
      <c r="G132" s="39">
        <v>78.571428571428569</v>
      </c>
      <c r="H132" s="39">
        <v>0</v>
      </c>
      <c r="I132" s="40">
        <v>5657.1428571428569</v>
      </c>
      <c r="N132">
        <v>202</v>
      </c>
    </row>
    <row r="133" spans="1:14" hidden="1" outlineLevel="1" x14ac:dyDescent="0.25">
      <c r="A133" s="29">
        <v>181</v>
      </c>
      <c r="B133" s="35" t="str">
        <v>SERVICE - 77MU119 - Site-hour</v>
      </c>
      <c r="C133" s="37" t="str">
        <v>hour</v>
      </c>
      <c r="D133" s="38">
        <v>173.99999999999994</v>
      </c>
      <c r="E133" s="52">
        <v>0</v>
      </c>
      <c r="F133" s="36">
        <v>173.99999999999994</v>
      </c>
      <c r="G133" s="39">
        <v>7.8571428571428568</v>
      </c>
      <c r="H133" s="39">
        <v>0</v>
      </c>
      <c r="I133" s="40">
        <v>1367.1428571428567</v>
      </c>
      <c r="N133">
        <v>203</v>
      </c>
    </row>
    <row r="134" spans="1:14" hidden="1" outlineLevel="1" x14ac:dyDescent="0.25">
      <c r="A134" s="29">
        <v>182</v>
      </c>
      <c r="B134" s="35" t="str">
        <v>Pickup - 50EL608 - Kİ-single</v>
      </c>
      <c r="C134" s="37" t="str">
        <v>single</v>
      </c>
      <c r="D134" s="38">
        <v>14</v>
      </c>
      <c r="E134" s="52">
        <v>0</v>
      </c>
      <c r="F134" s="36">
        <v>14</v>
      </c>
      <c r="G134" s="39">
        <v>96.428571428571431</v>
      </c>
      <c r="H134" s="39">
        <v>0</v>
      </c>
      <c r="I134" s="40">
        <v>1350</v>
      </c>
      <c r="N134">
        <v>204</v>
      </c>
    </row>
    <row r="135" spans="1:14" hidden="1" outlineLevel="1" x14ac:dyDescent="0.25">
      <c r="A135" s="29">
        <v>184</v>
      </c>
      <c r="B135" s="35" t="str">
        <v>SERVICE - 10NG198 - hour</v>
      </c>
      <c r="C135" s="37" t="str">
        <v>single</v>
      </c>
      <c r="D135" s="38">
        <v>53</v>
      </c>
      <c r="E135" s="52">
        <v>0</v>
      </c>
      <c r="F135" s="36">
        <v>53</v>
      </c>
      <c r="G135" s="39">
        <v>62.5</v>
      </c>
      <c r="H135" s="39">
        <v>0</v>
      </c>
      <c r="I135" s="40">
        <v>3312.5</v>
      </c>
      <c r="N135">
        <v>205</v>
      </c>
    </row>
    <row r="136" spans="1:14" hidden="1" outlineLevel="1" x14ac:dyDescent="0.25">
      <c r="A136" s="29">
        <v>185</v>
      </c>
      <c r="B136" s="35" t="str">
        <v>SERVICE - 10NG198 - single</v>
      </c>
      <c r="C136" s="37" t="str">
        <v>hour</v>
      </c>
      <c r="D136" s="38">
        <v>54.999999999999979</v>
      </c>
      <c r="E136" s="52">
        <v>0</v>
      </c>
      <c r="F136" s="36">
        <v>54.999999999999979</v>
      </c>
      <c r="G136" s="39">
        <v>6.25</v>
      </c>
      <c r="H136" s="39">
        <v>0</v>
      </c>
      <c r="I136" s="40">
        <v>343.74999999999989</v>
      </c>
      <c r="N136">
        <v>206</v>
      </c>
    </row>
    <row r="137" spans="1:14" hidden="1" outlineLevel="1" x14ac:dyDescent="0.25">
      <c r="A137" s="29">
        <v>186</v>
      </c>
      <c r="B137" s="35" t="str">
        <v>SERVICE - 27BP916 - hour</v>
      </c>
      <c r="C137" s="37" t="str">
        <v>single</v>
      </c>
      <c r="D137" s="38">
        <v>19</v>
      </c>
      <c r="E137" s="52">
        <v>0</v>
      </c>
      <c r="F137" s="36">
        <v>19</v>
      </c>
      <c r="G137" s="39">
        <v>62.5</v>
      </c>
      <c r="H137" s="39">
        <v>0</v>
      </c>
      <c r="I137" s="40">
        <v>1187.5</v>
      </c>
      <c r="N137">
        <v>207</v>
      </c>
    </row>
    <row r="138" spans="1:14" hidden="1" outlineLevel="1" x14ac:dyDescent="0.25">
      <c r="A138" s="29">
        <v>188</v>
      </c>
      <c r="B138" s="35" t="str">
        <v>SERVICE - 10ON175 - hour</v>
      </c>
      <c r="C138" s="37" t="str">
        <v>single</v>
      </c>
      <c r="D138" s="38">
        <v>56</v>
      </c>
      <c r="E138" s="52">
        <v>0</v>
      </c>
      <c r="F138" s="36">
        <v>56</v>
      </c>
      <c r="G138" s="39">
        <v>62.5</v>
      </c>
      <c r="H138" s="39">
        <v>0</v>
      </c>
      <c r="I138" s="40">
        <v>3500</v>
      </c>
      <c r="N138">
        <v>208</v>
      </c>
    </row>
    <row r="139" spans="1:14" hidden="1" outlineLevel="1" x14ac:dyDescent="0.25">
      <c r="A139" s="29">
        <v>189</v>
      </c>
      <c r="B139" s="35" t="str">
        <v>SERVICE - 10ON175 - single</v>
      </c>
      <c r="C139" s="37" t="str">
        <v>hour</v>
      </c>
      <c r="D139" s="38">
        <v>39.99999999999995</v>
      </c>
      <c r="E139" s="52">
        <v>0</v>
      </c>
      <c r="F139" s="36">
        <v>39.99999999999995</v>
      </c>
      <c r="G139" s="39">
        <v>6.25</v>
      </c>
      <c r="H139" s="39">
        <v>0</v>
      </c>
      <c r="I139" s="40">
        <v>249.99999999999969</v>
      </c>
      <c r="N139" t="str">
        <v>M-1</v>
      </c>
    </row>
    <row r="140" spans="1:14" hidden="1" outlineLevel="1" x14ac:dyDescent="0.25">
      <c r="A140" s="29">
        <v>190</v>
      </c>
      <c r="B140" s="35" t="str">
        <v>SERVICE - 27BZ361 - hour</v>
      </c>
      <c r="C140" s="37" t="str">
        <v>single</v>
      </c>
      <c r="D140" s="38">
        <v>44</v>
      </c>
      <c r="E140" s="52">
        <v>0</v>
      </c>
      <c r="F140" s="36">
        <v>44</v>
      </c>
      <c r="G140" s="39">
        <v>55.357142857142854</v>
      </c>
      <c r="H140" s="39">
        <v>0</v>
      </c>
      <c r="I140" s="40">
        <v>2435.7142857142858</v>
      </c>
      <c r="N140" t="str">
        <v>R-1</v>
      </c>
    </row>
    <row r="141" spans="1:14" hidden="1" outlineLevel="1" x14ac:dyDescent="0.25">
      <c r="A141" s="29">
        <v>191</v>
      </c>
      <c r="B141" s="35" t="str">
        <v>SERVICE - 27BZ361 - single</v>
      </c>
      <c r="C141" s="37" t="str">
        <v>hour</v>
      </c>
      <c r="D141" s="38">
        <v>49.999999999999972</v>
      </c>
      <c r="E141" s="52">
        <v>0</v>
      </c>
      <c r="F141" s="36">
        <v>49.999999999999972</v>
      </c>
      <c r="G141" s="39">
        <v>5.5357142857142856</v>
      </c>
      <c r="H141" s="39">
        <v>0</v>
      </c>
      <c r="I141" s="40">
        <v>276.78571428571411</v>
      </c>
      <c r="N141" t="str">
        <v>R-2</v>
      </c>
    </row>
    <row r="142" spans="1:14" hidden="1" outlineLevel="1" x14ac:dyDescent="0.25">
      <c r="A142" s="29">
        <v>192</v>
      </c>
      <c r="B142" s="35" t="str">
        <v>SERVICE - 10ZU722 - hour</v>
      </c>
      <c r="C142" s="37" t="str">
        <v>single</v>
      </c>
      <c r="D142" s="38">
        <v>44</v>
      </c>
      <c r="E142" s="52">
        <v>0</v>
      </c>
      <c r="F142" s="36">
        <v>44</v>
      </c>
      <c r="G142" s="39">
        <v>62.5</v>
      </c>
      <c r="H142" s="39">
        <v>0</v>
      </c>
      <c r="I142" s="40">
        <v>2750</v>
      </c>
      <c r="N142" t="str">
        <v>R-3</v>
      </c>
    </row>
    <row r="143" spans="1:14" hidden="1" outlineLevel="1" x14ac:dyDescent="0.25">
      <c r="A143" s="29">
        <v>193</v>
      </c>
      <c r="B143" s="35" t="str">
        <v>SERVICE - 10ZU722 - single</v>
      </c>
      <c r="C143" s="37" t="str">
        <v>hour</v>
      </c>
      <c r="D143" s="38">
        <v>63.999999999999986</v>
      </c>
      <c r="E143" s="52">
        <v>0</v>
      </c>
      <c r="F143" s="36">
        <v>63.999999999999986</v>
      </c>
      <c r="G143" s="39">
        <v>6.25</v>
      </c>
      <c r="H143" s="39">
        <v>0</v>
      </c>
      <c r="I143" s="40">
        <v>399.99999999999989</v>
      </c>
      <c r="N143" t="str">
        <v>R-4</v>
      </c>
    </row>
    <row r="144" spans="1:14" hidden="1" outlineLevel="1" x14ac:dyDescent="0.25">
      <c r="A144" s="29">
        <v>194</v>
      </c>
      <c r="B144" s="35" t="str">
        <v>SERVICE - 77PV319 - single</v>
      </c>
      <c r="C144" s="37" t="str">
        <v>single</v>
      </c>
      <c r="D144" s="38">
        <v>45</v>
      </c>
      <c r="E144" s="52">
        <v>0</v>
      </c>
      <c r="F144" s="36">
        <v>45</v>
      </c>
      <c r="G144" s="39">
        <v>50</v>
      </c>
      <c r="H144" s="39">
        <v>0</v>
      </c>
      <c r="I144" s="40">
        <v>2250</v>
      </c>
    </row>
    <row r="145" spans="1:11" hidden="1" outlineLevel="1" x14ac:dyDescent="0.25">
      <c r="A145" s="29">
        <v>196</v>
      </c>
      <c r="B145" s="35" t="str">
        <v>SERVICE - 38BG860 - single</v>
      </c>
      <c r="C145" s="37" t="str">
        <v>single</v>
      </c>
      <c r="D145" s="38">
        <v>41</v>
      </c>
      <c r="E145" s="52">
        <v>0</v>
      </c>
      <c r="F145" s="36">
        <v>41</v>
      </c>
      <c r="G145" s="39">
        <v>55.357142857142854</v>
      </c>
      <c r="H145" s="39">
        <v>0</v>
      </c>
      <c r="I145" s="40">
        <v>2269.6428571428569</v>
      </c>
    </row>
    <row r="146" spans="1:11" hidden="1" outlineLevel="1" x14ac:dyDescent="0.25">
      <c r="A146" s="29">
        <v>197</v>
      </c>
      <c r="B146" s="35" t="str">
        <v>SERVICE - 38BG860 - hour</v>
      </c>
      <c r="C146" s="37" t="str">
        <v>hour</v>
      </c>
      <c r="D146" s="38">
        <v>19.999999999999979</v>
      </c>
      <c r="E146" s="52">
        <v>0</v>
      </c>
      <c r="F146" s="36">
        <v>19.999999999999979</v>
      </c>
      <c r="G146" s="39">
        <v>5.5357142857142856</v>
      </c>
      <c r="H146" s="39">
        <v>0</v>
      </c>
      <c r="I146" s="40">
        <v>110.71428571428559</v>
      </c>
    </row>
    <row r="147" spans="1:11" hidden="1" outlineLevel="1" x14ac:dyDescent="0.25">
      <c r="A147" s="29">
        <v>198</v>
      </c>
      <c r="B147" s="35" t="str">
        <v>SERVICE - 77PV659 - hour</v>
      </c>
      <c r="C147" s="37" t="str">
        <v>single</v>
      </c>
      <c r="D147" s="38">
        <v>35</v>
      </c>
      <c r="E147" s="52">
        <v>0</v>
      </c>
      <c r="F147" s="36">
        <v>35</v>
      </c>
      <c r="G147" s="39">
        <v>85</v>
      </c>
      <c r="H147" s="39">
        <v>0</v>
      </c>
      <c r="I147" s="40">
        <v>2975</v>
      </c>
      <c r="K147" s="135" t="e" vm="3">
        <f>SUM(H117:H155)</f>
        <v>#VALUE!</v>
      </c>
    </row>
    <row r="148" spans="1:11" hidden="1" outlineLevel="1" x14ac:dyDescent="0.25">
      <c r="A148" s="29">
        <v>200</v>
      </c>
      <c r="B148" s="35" t="str">
        <v>SERVICE - Pickup - 77DK884 - hour</v>
      </c>
      <c r="C148" s="37" t="str">
        <v>single</v>
      </c>
      <c r="D148" s="38">
        <v>40</v>
      </c>
      <c r="E148" s="52">
        <v>0</v>
      </c>
      <c r="F148" s="36">
        <v>40</v>
      </c>
      <c r="G148" s="39">
        <v>89.285714285714292</v>
      </c>
      <c r="H148" s="39">
        <v>0</v>
      </c>
      <c r="I148" s="40">
        <v>3571.4285714285716</v>
      </c>
      <c r="K148" s="135" cm="1">
        <f t="array" ref="K148:K149">H149:H150</f>
        <v>4660.7142857142862</v>
      </c>
    </row>
    <row r="149" spans="1:11" hidden="1" outlineLevel="1" x14ac:dyDescent="0.25">
      <c r="A149" s="29">
        <v>202</v>
      </c>
      <c r="B149" s="35" t="str">
        <v>Aerial Platform - ISUZU -90GG153 - single</v>
      </c>
      <c r="C149" s="37" t="str">
        <v>single</v>
      </c>
      <c r="D149" s="38">
        <v>29</v>
      </c>
      <c r="E149" s="52">
        <v>29</v>
      </c>
      <c r="F149" s="36">
        <v>58</v>
      </c>
      <c r="G149" s="39">
        <v>160.71428571428572</v>
      </c>
      <c r="H149" s="39">
        <v>4660.7142857142862</v>
      </c>
      <c r="I149" s="40">
        <v>9321.4285714285725</v>
      </c>
      <c r="K149">
        <v>241.07142857142856</v>
      </c>
    </row>
    <row r="150" spans="1:11" hidden="1" outlineLevel="1" x14ac:dyDescent="0.25">
      <c r="A150" s="29">
        <v>203</v>
      </c>
      <c r="B150" s="35" t="str">
        <v>Aerial Platform - ISUZU -90GG153 - hour</v>
      </c>
      <c r="C150" s="37" t="str">
        <v>hour</v>
      </c>
      <c r="D150" s="38">
        <v>3.0000000000000018</v>
      </c>
      <c r="E150" s="52">
        <v>14.999999999999998</v>
      </c>
      <c r="F150" s="36">
        <v>18</v>
      </c>
      <c r="G150" s="39">
        <v>16.071428571428573</v>
      </c>
      <c r="H150" s="39">
        <v>241.07142857142856</v>
      </c>
      <c r="I150" s="40">
        <v>289.28571428571433</v>
      </c>
      <c r="K150" s="135" t="e" vm="3">
        <f>K147-SUM(_xlfn.ANCHORARRAY(K148))</f>
        <v>#VALUE!</v>
      </c>
    </row>
    <row r="151" spans="1:11" hidden="1" outlineLevel="1" x14ac:dyDescent="0.25">
      <c r="A151" s="29">
        <v>204</v>
      </c>
      <c r="B151" s="35" t="str">
        <v>SERVICE - 53BD239 - single</v>
      </c>
      <c r="C151" s="37" t="str">
        <v>single</v>
      </c>
      <c r="D151" s="38">
        <v>20</v>
      </c>
      <c r="E151" s="52">
        <v>0</v>
      </c>
      <c r="F151" s="36">
        <v>20</v>
      </c>
      <c r="G151" s="39">
        <v>62.5</v>
      </c>
      <c r="H151" s="39">
        <v>0</v>
      </c>
      <c r="I151" s="40">
        <v>1250</v>
      </c>
    </row>
    <row r="152" spans="1:11" hidden="1" outlineLevel="1" x14ac:dyDescent="0.25">
      <c r="A152" s="29">
        <v>205</v>
      </c>
      <c r="B152" s="35" t="str">
        <v>SERVICE - 53BD239 - hour</v>
      </c>
      <c r="C152" s="37" t="str">
        <v>hour</v>
      </c>
      <c r="D152" s="38">
        <v>15.999999999999989</v>
      </c>
      <c r="E152" s="52">
        <v>0</v>
      </c>
      <c r="F152" s="36">
        <v>15.999999999999989</v>
      </c>
      <c r="G152" s="39">
        <v>6.25</v>
      </c>
      <c r="H152" s="39">
        <v>0</v>
      </c>
      <c r="I152" s="40">
        <v>99.999999999999929</v>
      </c>
    </row>
    <row r="153" spans="1:11" hidden="1" outlineLevel="1" x14ac:dyDescent="0.25">
      <c r="A153" s="29">
        <v>206</v>
      </c>
      <c r="B153" s="35" t="str">
        <v>SERVICE - 99GN495 - single</v>
      </c>
      <c r="C153" s="37" t="str">
        <v>single</v>
      </c>
      <c r="D153" s="38">
        <v>14</v>
      </c>
      <c r="E153" s="52">
        <v>0</v>
      </c>
      <c r="F153" s="36">
        <v>14</v>
      </c>
      <c r="G153" s="39">
        <v>62.5</v>
      </c>
      <c r="H153" s="39">
        <v>0</v>
      </c>
      <c r="I153" s="40">
        <v>875</v>
      </c>
    </row>
    <row r="154" spans="1:11" hidden="1" outlineLevel="1" x14ac:dyDescent="0.25">
      <c r="A154" s="29">
        <v>207</v>
      </c>
      <c r="B154" s="35" t="str">
        <v>SERVICE - 99GN495 - hour</v>
      </c>
      <c r="C154" s="37" t="str">
        <v>hour</v>
      </c>
      <c r="D154" s="38">
        <v>2</v>
      </c>
      <c r="E154" s="52">
        <v>0</v>
      </c>
      <c r="F154" s="36">
        <v>2</v>
      </c>
      <c r="G154" s="39">
        <v>6.25</v>
      </c>
      <c r="H154" s="39">
        <v>0</v>
      </c>
      <c r="I154" s="40">
        <v>12.5</v>
      </c>
    </row>
    <row r="155" spans="1:11" hidden="1" outlineLevel="1" x14ac:dyDescent="0.25">
      <c r="A155" s="29">
        <v>208</v>
      </c>
      <c r="B155" s="35" t="str">
        <v>SERVICE - 10OG142 - single</v>
      </c>
      <c r="C155" s="37" t="str">
        <v>single</v>
      </c>
      <c r="D155" s="38">
        <v>14</v>
      </c>
      <c r="E155" s="52">
        <v>0</v>
      </c>
      <c r="F155" s="36">
        <v>14</v>
      </c>
      <c r="G155" s="39">
        <v>62.5</v>
      </c>
      <c r="H155" s="39">
        <v>0</v>
      </c>
      <c r="I155" s="40">
        <v>875</v>
      </c>
      <c r="K155" s="135"/>
    </row>
    <row r="156" spans="1:11" hidden="1" outlineLevel="1" x14ac:dyDescent="0.25">
      <c r="A156" s="29" t="str">
        <v>M-1</v>
      </c>
      <c r="B156" s="35" t="str">
        <v>Diesel Payment (15 lt - 18 lt / 100 km)-lt</v>
      </c>
      <c r="C156" s="37" t="str">
        <v>lt</v>
      </c>
      <c r="D156" s="38">
        <v>142405.8899262</v>
      </c>
      <c r="E156" s="52">
        <v>0.10000000000582077</v>
      </c>
      <c r="F156" s="36">
        <v>142405.98992620001</v>
      </c>
      <c r="G156" s="39">
        <v>1</v>
      </c>
      <c r="H156" s="39">
        <v>0.10000000000582077</v>
      </c>
      <c r="I156" s="40">
        <v>142405.98992620001</v>
      </c>
      <c r="K156" s="135"/>
    </row>
    <row r="157" spans="1:11" hidden="1" outlineLevel="1" x14ac:dyDescent="0.25">
      <c r="A157" s="29" t="str">
        <v>R-1</v>
      </c>
      <c r="B157" s="35" t="str">
        <v>Retention - Fuel Reduction</v>
      </c>
      <c r="C157" s="37" t="str">
        <v>lt</v>
      </c>
      <c r="D157" s="38">
        <v>120279.55499999999</v>
      </c>
      <c r="E157" s="52">
        <v>0.10000000000582077</v>
      </c>
      <c r="F157" s="36">
        <v>120279.655</v>
      </c>
      <c r="G157" s="39">
        <v>-1</v>
      </c>
      <c r="H157" s="39">
        <v>-0.10000000000582077</v>
      </c>
      <c r="I157" s="40">
        <v>-120279.655</v>
      </c>
      <c r="K157" s="135"/>
    </row>
    <row r="158" spans="1:11" hidden="1" outlineLevel="1" x14ac:dyDescent="0.25">
      <c r="A158" s="29" t="str">
        <v>R-2</v>
      </c>
      <c r="B158" s="35" t="str">
        <v>Retention - HSE Penalty Deduction (OHS)</v>
      </c>
      <c r="C158" s="37" t="str">
        <v>AZN</v>
      </c>
      <c r="D158" s="38">
        <v>100</v>
      </c>
      <c r="E158" s="52">
        <v>0</v>
      </c>
      <c r="F158" s="36">
        <v>100</v>
      </c>
      <c r="G158" s="39">
        <v>-1</v>
      </c>
      <c r="H158" s="39">
        <v>0</v>
      </c>
      <c r="I158" s="40">
        <v>-100</v>
      </c>
    </row>
    <row r="159" spans="1:11" hidden="1" outlineLevel="1" x14ac:dyDescent="0.25">
      <c r="A159" s="29" t="str">
        <v>R-3</v>
      </c>
      <c r="B159" s="35" t="str">
        <v>Retention - Mistakes for 8&amp;9&amp;10-25-single day</v>
      </c>
      <c r="C159" s="37" t="str">
        <v>single</v>
      </c>
      <c r="D159" s="38">
        <v>58</v>
      </c>
      <c r="E159" s="52">
        <v>0</v>
      </c>
      <c r="F159" s="36">
        <v>58</v>
      </c>
      <c r="G159" s="39">
        <v>-55.36</v>
      </c>
      <c r="H159" s="39">
        <v>0</v>
      </c>
      <c r="I159" s="40">
        <v>-3210.88</v>
      </c>
    </row>
    <row r="160" spans="1:11" hidden="1" outlineLevel="1" x14ac:dyDescent="0.25">
      <c r="A160" s="29" t="str">
        <v>R-4</v>
      </c>
      <c r="B160" s="35" t="str">
        <v>Retention - Mistakes for 8&amp;9&amp;10-25 - hour</v>
      </c>
      <c r="C160" s="37" t="str">
        <v>hour</v>
      </c>
      <c r="D160" s="38">
        <v>150.999</v>
      </c>
      <c r="E160" s="52">
        <v>0</v>
      </c>
      <c r="F160" s="36">
        <v>150.999</v>
      </c>
      <c r="G160" s="39">
        <v>-5.5359999999999996</v>
      </c>
      <c r="H160" s="39">
        <v>0</v>
      </c>
      <c r="I160" s="40">
        <v>-835.93046399999992</v>
      </c>
    </row>
    <row r="161" spans="1:9" hidden="1" outlineLevel="1" x14ac:dyDescent="0.25">
      <c r="A161" s="29"/>
      <c r="B161" s="35"/>
      <c r="C161" s="37"/>
      <c r="D161" s="38"/>
      <c r="E161" s="52"/>
      <c r="F161" s="36"/>
      <c r="G161" s="39"/>
      <c r="H161" s="39"/>
      <c r="I161" s="40"/>
    </row>
    <row r="162" spans="1:9" hidden="1" outlineLevel="1" x14ac:dyDescent="0.25">
      <c r="A162" s="29"/>
      <c r="B162" s="35"/>
      <c r="C162" s="37"/>
      <c r="D162" s="38"/>
      <c r="E162" s="52"/>
      <c r="F162" s="36"/>
      <c r="G162" s="39"/>
      <c r="H162" s="39"/>
      <c r="I162" s="40"/>
    </row>
    <row r="163" spans="1:9" ht="34.15" customHeight="1" collapsed="1" x14ac:dyDescent="0.25">
      <c r="A163" s="255" t="str">
        <f>"TOTAL PAYMENT (AZN)"&amp;CHAR(10)&amp;"CƏMİ ÖDƏMƏ (AZN)"</f>
        <v>TOTAL PAYMENT (AZN)
CƏMİ ÖDƏMƏ (AZN)</v>
      </c>
      <c r="B163" s="256"/>
      <c r="C163" s="256"/>
      <c r="D163" s="256"/>
      <c r="E163" s="256"/>
      <c r="F163" s="256"/>
      <c r="G163" s="257"/>
      <c r="H163" s="41" t="e" cm="1" vm="3">
        <f t="array" ref="H163">SUM(_xlfn._xlws.FILTER(H117:H162,H117:H162&gt;0))</f>
        <v>#VALUE!</v>
      </c>
      <c r="I163" s="42" cm="1">
        <f t="array" ref="I163">SUM(_xlfn._xlws.FILTER(I117:I162,I117:I162&gt;0))</f>
        <v>859098.46925836487</v>
      </c>
    </row>
    <row r="164" spans="1:9" ht="35.25" customHeight="1" x14ac:dyDescent="0.25">
      <c r="A164" s="259" t="str">
        <f>"TOTAL RETENTION (AZN)"&amp;CHAR(10)&amp;"CƏMİ ÇIXILMA (AZN)"</f>
        <v>TOTAL RETENTION (AZN)
CƏMİ ÇIXILMA (AZN)</v>
      </c>
      <c r="B164" s="260"/>
      <c r="C164" s="260"/>
      <c r="D164" s="260"/>
      <c r="E164" s="260"/>
      <c r="F164" s="260"/>
      <c r="G164" s="261"/>
      <c r="H164" s="118" cm="1">
        <f t="array" ref="H164">SUM(IFERROR(_xlfn._xlws.FILTER(H6:H56,H6:H56&lt;0),0),IFERROR(_xlfn._xlws.FILTER(H62:H112,H62:H112&lt;0),0),IFERROR(_xlfn._xlws.FILTER(H118:H162,H118:H162&lt;0),0))</f>
        <v>-0.10000000000582077</v>
      </c>
      <c r="I164" s="119" cm="1">
        <f t="array" ref="I164">SUM(IFERROR(_xlfn._xlws.FILTER(I6:I56,I6:I56&lt;0),0),IFERROR(_xlfn._xlws.FILTER(I62:I112,I62:I112&lt;0),0),IFERROR(_xlfn._xlws.FILTER(I118:I162,I118:I162&lt;0),0))</f>
        <v>-124426.46546400001</v>
      </c>
    </row>
    <row r="165" spans="1:9" ht="34.15" customHeight="1" x14ac:dyDescent="0.25">
      <c r="A165" s="255" t="str">
        <f>"TOTAL (AZN)"&amp;CHAR(10)&amp;"CƏMİ (AZN)"</f>
        <v>TOTAL (AZN)
CƏMİ (AZN)</v>
      </c>
      <c r="B165" s="256"/>
      <c r="C165" s="256"/>
      <c r="D165" s="256"/>
      <c r="E165" s="256"/>
      <c r="F165" s="256"/>
      <c r="G165" s="257"/>
      <c r="H165" s="41" t="e" vm="3">
        <f>SUM(H163:H164)</f>
        <v>#VALUE!</v>
      </c>
      <c r="I165" s="42">
        <f>SUM(I163:I164)</f>
        <v>734672.00379436486</v>
      </c>
    </row>
    <row r="166" spans="1:9" ht="34.15" customHeight="1" x14ac:dyDescent="0.25">
      <c r="A166" s="43"/>
      <c r="B166" s="44"/>
      <c r="C166" s="21"/>
      <c r="D166" s="22"/>
      <c r="E166" s="22"/>
      <c r="F166" s="22"/>
      <c r="G166" s="22"/>
      <c r="H166" s="22"/>
      <c r="I166" s="45"/>
    </row>
    <row r="167" spans="1:9" ht="34.15" customHeight="1" x14ac:dyDescent="0.25">
      <c r="A167" s="258" t="str">
        <f>A59</f>
        <v>NAR TRANSPORT SERVICES MMC</v>
      </c>
      <c r="B167" s="247"/>
      <c r="C167" s="247" t="str">
        <f>_xlfn.LET(_xlpm.r,_xlfn.XLOOKUP(contract_no,log_contracts!B:B,log_contracts!G:G),IF(_xlpm.r=0,"",_xlpm.r))</f>
        <v>İbrahim Kemik</v>
      </c>
      <c r="D167" s="247"/>
      <c r="E167" s="247" t="str">
        <f>E59</f>
        <v>MEHMET TEVFİK ÇELİKKOL</v>
      </c>
      <c r="F167" s="247"/>
      <c r="G167" s="247"/>
      <c r="H167" s="247" t="str">
        <f>H59</f>
        <v>Mehmet Özgün DEDEKARGINOĞLU</v>
      </c>
      <c r="I167" s="248"/>
    </row>
    <row r="168" spans="1:9" ht="40.5" customHeight="1" thickBot="1" x14ac:dyDescent="0.3">
      <c r="A168" s="249" t="str">
        <f>A60</f>
        <v>Subcontractor
Subpodratçı</v>
      </c>
      <c r="B168" s="250"/>
      <c r="C168" s="250" t="str">
        <f>C60</f>
        <v>Department Chief
Bölmə Şefi</v>
      </c>
      <c r="D168" s="250"/>
      <c r="E168" s="250" t="str">
        <f>E60</f>
        <v>Contract and Progress Payment Chief 
Ödəniş Sertifikatı Üzrə Məsul şəxs</v>
      </c>
      <c r="F168" s="250"/>
      <c r="G168" s="250"/>
      <c r="H168" s="250" t="str">
        <f>H60</f>
        <v>Technical Office Cheif 
Texniki Şöbə Şefi</v>
      </c>
      <c r="I168" s="251"/>
    </row>
  </sheetData>
  <mergeCells count="34">
    <mergeCell ref="A57:G57"/>
    <mergeCell ref="A60:B60"/>
    <mergeCell ref="C60:D60"/>
    <mergeCell ref="E60:G60"/>
    <mergeCell ref="A168:B168"/>
    <mergeCell ref="C168:D168"/>
    <mergeCell ref="E168:G168"/>
    <mergeCell ref="A165:G165"/>
    <mergeCell ref="A113:G113"/>
    <mergeCell ref="A115:B115"/>
    <mergeCell ref="C115:D115"/>
    <mergeCell ref="E115:G115"/>
    <mergeCell ref="A117:G117"/>
    <mergeCell ref="H168:I168"/>
    <mergeCell ref="C167:D167"/>
    <mergeCell ref="C1:G2"/>
    <mergeCell ref="A1:B2"/>
    <mergeCell ref="A163:G163"/>
    <mergeCell ref="A167:B167"/>
    <mergeCell ref="E167:G167"/>
    <mergeCell ref="C59:D59"/>
    <mergeCell ref="A61:G61"/>
    <mergeCell ref="A3:I3"/>
    <mergeCell ref="A59:B59"/>
    <mergeCell ref="E59:G59"/>
    <mergeCell ref="H59:I59"/>
    <mergeCell ref="H60:I60"/>
    <mergeCell ref="H167:I167"/>
    <mergeCell ref="A164:G164"/>
    <mergeCell ref="H115:I115"/>
    <mergeCell ref="A116:B116"/>
    <mergeCell ref="C116:D116"/>
    <mergeCell ref="E116:G116"/>
    <mergeCell ref="H116:I116"/>
  </mergeCells>
  <conditionalFormatting sqref="A1 C1 H1:I2 A3:I58 A59:C59 E59:I59 A60:I114 A115:C115 E115:I115 A116:I166 A167:C167 E167:I167 A168:I168">
    <cfRule type="expression" dxfId="20" priority="1">
      <formula>$G1&lt;0</formula>
    </cfRule>
  </conditionalFormatting>
  <printOptions horizontalCentered="1"/>
  <pageMargins left="0.25" right="0.25" top="0.75" bottom="0.75" header="0.3" footer="0.3"/>
  <pageSetup scale="74" orientation="portrait" r:id="rId1"/>
  <headerFooter scaleWithDoc="0"/>
  <rowBreaks count="2" manualBreakCount="2">
    <brk id="60" max="8" man="1"/>
    <brk id="116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FE82-DD03-47EF-8EB5-3203D3534271}">
  <sheetPr codeName="Sheet3"/>
  <dimension ref="A1:I125"/>
  <sheetViews>
    <sheetView view="pageBreakPreview" zoomScaleNormal="85" zoomScaleSheetLayoutView="100" zoomScalePageLayoutView="40" workbookViewId="0"/>
  </sheetViews>
  <sheetFormatPr defaultRowHeight="15.75" x14ac:dyDescent="0.25"/>
  <cols>
    <col min="1" max="1" width="19.28515625" style="71" customWidth="1"/>
    <col min="2" max="2" width="18.140625" style="69" customWidth="1"/>
    <col min="3" max="3" width="13.7109375" style="69" customWidth="1"/>
    <col min="4" max="4" width="15.5703125" style="70" bestFit="1" customWidth="1"/>
    <col min="5" max="5" width="19.5703125" style="70" customWidth="1"/>
    <col min="6" max="6" width="9.85546875" style="70" bestFit="1" customWidth="1"/>
    <col min="7" max="7" width="10" style="70" bestFit="1" customWidth="1"/>
    <col min="11" max="11" width="17.85546875" customWidth="1"/>
  </cols>
  <sheetData>
    <row r="1" spans="1:9" ht="39.950000000000003" customHeight="1" x14ac:dyDescent="0.25">
      <c r="A1" s="68" t="e" cm="1" vm="4">
        <f t="array" ref="A1:G42">_xlfn.LET(
  _xlpm.ipcData,_xlfn._xlws.SORT(_xlfn._xlws.FILTER(log_daily_records!B:AR,(log_daily_records!E:E=contract_no)*(log_daily_records!F:F=ipc_no)),3),
  _xlpm.plateNos,_xlfn.LET(_xlpm.r, _xlfn.UNIQUE(_xlfn.TAKE(_xlpm.ipcData,,3)),_xlfn.HSTACK(INDEX(_xlpm.r,,3), DATE(INDEX(_xlpm.r,,1), INDEX(_xlpm.r,,2), 1))),
  _xlpm.ph,_xlfn.LAMBDA(_xlpm.r,_xlpm.c,_xlfn.MAKEARRAY(_xlpm.r,_xlpm.c,_xlfn.LAMBDA(_xlpm.rl,_xlpm.cl,""))),
  _xlpm.makeBlock, _xlfn.LAMBDA(_xlpm.plateNo,_xlpm.monthYear,
    _xlfn.LET(
      _xlpm.data, _xlfn._xlws.FILTER(_xlpm.ipcData,(INDEX(_xlpm.ipcData,,3)=_xlpm.plateNo)*(INDEX(_xlpm.ipcData,,1)=YEAR(_xlpm.monthYear))*(INDEX(_xlpm.ipcData,,2)=MONTH(_xlpm.monthYear))),
        _xlfn.VSTACK(
          _xlfn.HSTACK(_xlfn.IMAGE("https://www.kolin.com.tr/Templates/Default/assets/img/logo.png","LOGO",1),_xlpm.ph(1,5),ipc_no),
          _xlfn.HSTACK("Plate number:",_xlpm.plateNo,"","Contract no: ","KLN-SPP2-"&amp;_xlfn.XLOOKUP(contract_no,log_contracts!B:B,log_contracts!C:C)&amp;"-"&amp;TEXT(contract_no,"000"),"Date:",TEXT(_xlpm.monthYear,"mmm yy")),
          _xlfn.HSTACK(_xlpm.ph(1,7)),
          _xlfn.HSTACK("Date        ","Start time","End time    ","Time diff.","Start km","End km","Km diff."),
          _xlfn.IFNA(_xlfn.LET(
            _xlpm.getDataByType, _xlfn.LAMBDA(_xlpm.type,
              _xlfn.LET(_xlpm.r,IFERROR(_xlfn.TAKE(_xlfn.DROP(TRANSPOSE(_xlfn._xlws.FILTER(_xlpm.data, INDEX(_xlpm.data,,6)=_xlpm.type)),6),31),""),IF(_xlpm.r=0,"",_xlpm.r))
            ),
            _xlpm.timeStart,_xlpm.getDataByType("time-start"),
            _xlpm.timeEnd,_xlpm.getDataByType("time-end"),
            _xlpm.kmStart,_xlpm.getDataByType("km-start"),
            _xlpm.kmEnd,_xlpm.getDataByType("km-end"),
            _xlfn.HSTACK(
              TEXT(_xlpm.monthYear-1+_xlfn.SEQUENCE(DAY(EOMONTH(_xlpm.monthYear,0))),"dd-mm-yyyy"),
              _xlpm.timeStart,
              _xlpm.timeEnd,
              _xlfn.LET(_xlpm.r, IFERROR((_xlpm.timeEnd-_xlpm.timeStart)*24-11,0), IF(_xlpm.r&lt;=0,"",ROUND(_xlpm.r,0))),
              _xlpm.kmStart,
              _xlpm.kmEnd,
              _xlfn.LET(_xlpm.r, IFERROR((_xlpm.kmEnd-_xlpm.kmStart),0), IF(_xlpm.r=0,"",_xlpm.r))
            )
          ),""),
          _xlfn.LET(
            _xlpm.getTotal, _xlfn.LAMBDA(_xlpm.type,_xlpm.index,
              _xlfn.LET(
                _xlpm.r,
                IFERROR(INDEX(_xlfn._xlws.FILTER(_xlpm.data, INDEX(_xlpm.data,,6)=_xlpm.type),_xlpm.index),""),
                IF(_xlpm.r=0,"",_xlpm.r)
              )
            ),
            _xlpm.single, _xlpm.getTotal("time-end",38),
            _xlpm.double, _xlpm.getTotal("time-end",39),
            _xlpm.hour,_xlpm.getTotal("time-end",40),
            _xlpm.km,_xlpm.getTotal("km-end",41),
            _xlfn.VSTACK(
              _xlfn.HSTACK("",IF(_xlpm.single="","","Total single"),IF(_xlpm.double="","","Total double"),IF(_xlpm.hour="","","Total hour"),IF(_xlpm.km="","","Total fuel"),"",""),
              _xlfn.HSTACK("",ROUND(_xlpm.single,1),_xlpm.double,_xlpm.hour,_xlpm.km,"",""),
              _xlpm.ph(1,7)
            )
          ),
          _xlfn.HSTACK("","Subcontractor","","","Confirmed by","",""),
          _xlfn.HSTACK("",_xlfn.XLOOKUP(contract_no,log_contracts!B:B,log_contracts!E:E,,0),"","",_xlfn.TEXTJOIN(CHAR(10),TRUE,_xlfn.XLOOKUP(_xlpm.plateNo,log_prices!M:M,log_prices!O:O,,0)),"",""),
          _xlfn.HSTACK("","______________","","","______________","",""),
          _xlfn.HSTACK(_xlpm.ph(1,7))
      )
    )
  ),
  _xlfn.REDUCE(
    "",
    _xlfn.SEQUENCE(ROWS(_xlpm.plateNos)),
    _xlfn.LAMBDA(_xlpm.acc,_xlpm.idx,
      _xlfn.LET(
        _xlpm.p, INDEX(_xlpm.plateNos, _xlpm.idx, 1),
        _xlpm.m, INDEX(_xlpm.plateNos, _xlpm.idx, 2),
        _xlpm.blk, _xlpm.makeBlock(_xlpm.p,_xlpm.m),
        IF(_xlpm.idx=1, _xlpm.blk, _xlfn.VSTACK(_xlpm.acc, _xlpm.blk))
      )
    )
  )
)</f>
        <v>#VALUE!</v>
      </c>
      <c r="B1" s="69" t="str">
        <v/>
      </c>
      <c r="C1" s="69" t="str">
        <v/>
      </c>
      <c r="D1" s="70" t="str">
        <v/>
      </c>
      <c r="E1" s="70" t="str">
        <v/>
      </c>
      <c r="F1" s="70" t="str">
        <v/>
      </c>
      <c r="G1" s="80">
        <v>14</v>
      </c>
      <c r="I1" cm="1">
        <f t="array" ref="I1">ROWS(_xlfn.UNIQUE(_xlfn._xlws.FILTER(log_daily_records!B:D,(log_daily_records!E:E=contract_no)*(log_daily_records!F:F=ipc_no))))</f>
        <v>1</v>
      </c>
    </row>
    <row r="2" spans="1:9" ht="15" customHeight="1" x14ac:dyDescent="0.25">
      <c r="A2" s="71" t="str">
        <v>Plate number:</v>
      </c>
      <c r="B2" s="72" t="str">
        <v>90GG153</v>
      </c>
      <c r="C2" s="69" t="str">
        <v/>
      </c>
      <c r="D2" s="70" t="str">
        <v xml:space="preserve">Contract no: </v>
      </c>
      <c r="E2" s="73" t="str">
        <v>KLN-SPP2-AA-031</v>
      </c>
      <c r="F2" s="70" t="str">
        <v>Date:</v>
      </c>
      <c r="G2" s="70" t="str">
        <v>Mar 26</v>
      </c>
    </row>
    <row r="3" spans="1:9" ht="15" customHeight="1" x14ac:dyDescent="0.25">
      <c r="A3" s="74" t="str">
        <v/>
      </c>
      <c r="B3" s="75" t="str">
        <v/>
      </c>
      <c r="C3" s="75" t="str">
        <v/>
      </c>
      <c r="D3" s="74" t="str">
        <v/>
      </c>
      <c r="E3" s="74" t="str">
        <v/>
      </c>
      <c r="F3" s="74" t="str">
        <v/>
      </c>
      <c r="G3" s="74" t="str">
        <v/>
      </c>
    </row>
    <row r="4" spans="1:9" ht="15" customHeight="1" x14ac:dyDescent="0.25">
      <c r="A4" s="80" t="str">
        <v xml:space="preserve">Date        </v>
      </c>
      <c r="B4" s="79" t="str">
        <v>Start time</v>
      </c>
      <c r="C4" s="79" t="str">
        <v xml:space="preserve">End time    </v>
      </c>
      <c r="D4" s="80" t="str">
        <v>Time diff.</v>
      </c>
      <c r="E4" s="80" t="str">
        <v>Start km</v>
      </c>
      <c r="F4" s="80" t="str">
        <v>End km</v>
      </c>
      <c r="G4" s="80" t="str">
        <v>Km diff.</v>
      </c>
    </row>
    <row r="5" spans="1:9" ht="15" customHeight="1" x14ac:dyDescent="0.25">
      <c r="A5" s="71" t="str">
        <v>01-03-2026</v>
      </c>
      <c r="B5" s="105">
        <v>0.33333333333333331</v>
      </c>
      <c r="C5" s="105">
        <v>0.75</v>
      </c>
      <c r="D5" s="106" t="str">
        <v/>
      </c>
      <c r="E5" s="70" t="str">
        <v/>
      </c>
      <c r="F5" s="70" t="str">
        <v/>
      </c>
      <c r="G5" s="70" t="str">
        <v/>
      </c>
    </row>
    <row r="6" spans="1:9" ht="15" customHeight="1" x14ac:dyDescent="0.25">
      <c r="A6" s="71" t="str">
        <v>02-03-2026</v>
      </c>
      <c r="B6" s="105">
        <v>0.33333333333333331</v>
      </c>
      <c r="C6" s="105">
        <v>0.75</v>
      </c>
      <c r="D6" s="106" t="str">
        <v/>
      </c>
      <c r="E6" s="70" t="str">
        <v/>
      </c>
      <c r="F6" s="70" t="str">
        <v/>
      </c>
      <c r="G6" s="70" t="str">
        <v/>
      </c>
    </row>
    <row r="7" spans="1:9" ht="15" customHeight="1" x14ac:dyDescent="0.25">
      <c r="A7" s="71" t="str">
        <v>03-03-2026</v>
      </c>
      <c r="B7" s="105">
        <v>0.33333333333333331</v>
      </c>
      <c r="C7" s="105">
        <v>0.875</v>
      </c>
      <c r="D7" s="106">
        <v>2</v>
      </c>
      <c r="E7" s="70" t="str">
        <v/>
      </c>
      <c r="F7" s="70" t="str">
        <v/>
      </c>
      <c r="G7" s="70" t="str">
        <v/>
      </c>
    </row>
    <row r="8" spans="1:9" ht="15" customHeight="1" x14ac:dyDescent="0.25">
      <c r="A8" s="71" t="str">
        <v>04-03-2026</v>
      </c>
      <c r="B8" s="105">
        <v>0.33333333333333331</v>
      </c>
      <c r="C8" s="105">
        <v>0.75</v>
      </c>
      <c r="D8" s="106" t="str">
        <v/>
      </c>
      <c r="E8" s="70" t="str">
        <v/>
      </c>
      <c r="F8" s="70" t="str">
        <v/>
      </c>
      <c r="G8" s="70" t="str">
        <v/>
      </c>
    </row>
    <row r="9" spans="1:9" ht="15" customHeight="1" x14ac:dyDescent="0.25">
      <c r="A9" s="71" t="str">
        <v>05-03-2026</v>
      </c>
      <c r="B9" s="105">
        <v>0.33333333333333331</v>
      </c>
      <c r="C9" s="105">
        <v>0.75</v>
      </c>
      <c r="D9" s="106" t="str">
        <v/>
      </c>
      <c r="E9" s="70" t="str">
        <v/>
      </c>
      <c r="F9" s="70" t="str">
        <v/>
      </c>
      <c r="G9" s="70" t="str">
        <v/>
      </c>
    </row>
    <row r="10" spans="1:9" ht="15" customHeight="1" x14ac:dyDescent="0.25">
      <c r="A10" s="71" t="str">
        <v>06-03-2026</v>
      </c>
      <c r="B10" s="105">
        <v>0.33333333333333331</v>
      </c>
      <c r="C10" s="105">
        <v>0.875</v>
      </c>
      <c r="D10" s="106">
        <v>2</v>
      </c>
      <c r="E10" s="70" t="str">
        <v/>
      </c>
      <c r="F10" s="70" t="str">
        <v/>
      </c>
      <c r="G10" s="70" t="str">
        <v/>
      </c>
    </row>
    <row r="11" spans="1:9" ht="15" customHeight="1" x14ac:dyDescent="0.25">
      <c r="A11" s="71" t="str">
        <v>07-03-2026</v>
      </c>
      <c r="B11" s="105">
        <v>0.33333333333333331</v>
      </c>
      <c r="C11" s="105">
        <v>0.75</v>
      </c>
      <c r="D11" s="106" t="str">
        <v/>
      </c>
      <c r="E11" s="70" t="str">
        <v/>
      </c>
      <c r="F11" s="70" t="str">
        <v/>
      </c>
      <c r="G11" s="70" t="str">
        <v/>
      </c>
    </row>
    <row r="12" spans="1:9" ht="15" customHeight="1" x14ac:dyDescent="0.25">
      <c r="A12" s="71" t="str">
        <v>08-03-2026</v>
      </c>
      <c r="B12" s="105">
        <v>0.33333333333333331</v>
      </c>
      <c r="C12" s="105">
        <v>0.75</v>
      </c>
      <c r="D12" s="106" t="str">
        <v/>
      </c>
      <c r="E12" s="70" t="str">
        <v/>
      </c>
      <c r="F12" s="70" t="str">
        <v/>
      </c>
      <c r="G12" s="70" t="str">
        <v/>
      </c>
    </row>
    <row r="13" spans="1:9" ht="15" customHeight="1" x14ac:dyDescent="0.25">
      <c r="A13" s="71" t="str">
        <v>09-03-2026</v>
      </c>
      <c r="B13" s="105">
        <v>0.33333333333333331</v>
      </c>
      <c r="C13" s="105">
        <v>0.75</v>
      </c>
      <c r="D13" s="106" t="str">
        <v/>
      </c>
      <c r="E13" s="70" t="str">
        <v/>
      </c>
      <c r="F13" s="70" t="str">
        <v/>
      </c>
      <c r="G13" s="70" t="str">
        <v/>
      </c>
    </row>
    <row r="14" spans="1:9" ht="15" customHeight="1" x14ac:dyDescent="0.25">
      <c r="A14" s="71" t="str">
        <v>10-03-2026</v>
      </c>
      <c r="B14" s="105">
        <v>0.33333333333333331</v>
      </c>
      <c r="C14" s="105">
        <v>0.875</v>
      </c>
      <c r="D14" s="106">
        <v>2</v>
      </c>
      <c r="E14" s="70" t="str">
        <v/>
      </c>
      <c r="F14" s="70" t="str">
        <v/>
      </c>
      <c r="G14" s="70" t="str">
        <v/>
      </c>
    </row>
    <row r="15" spans="1:9" ht="15" customHeight="1" x14ac:dyDescent="0.25">
      <c r="A15" s="71" t="str">
        <v>11-03-2026</v>
      </c>
      <c r="B15" s="105">
        <v>0.33333333333333331</v>
      </c>
      <c r="C15" s="105">
        <v>0.75</v>
      </c>
      <c r="D15" s="106" t="str">
        <v/>
      </c>
      <c r="E15" s="70" t="str">
        <v/>
      </c>
      <c r="F15" s="70" t="str">
        <v/>
      </c>
      <c r="G15" s="70" t="str">
        <v/>
      </c>
    </row>
    <row r="16" spans="1:9" ht="15" customHeight="1" x14ac:dyDescent="0.25">
      <c r="A16" s="71" t="str">
        <v>12-03-2026</v>
      </c>
      <c r="B16" s="105">
        <v>0.33333333333333331</v>
      </c>
      <c r="C16" s="105">
        <v>0.75</v>
      </c>
      <c r="D16" s="106" t="str">
        <v/>
      </c>
      <c r="E16" s="70" t="str">
        <v/>
      </c>
      <c r="F16" s="70" t="str">
        <v/>
      </c>
      <c r="G16" s="70" t="str">
        <v/>
      </c>
    </row>
    <row r="17" spans="1:7" ht="15" customHeight="1" x14ac:dyDescent="0.25">
      <c r="A17" s="71" t="str">
        <v>13-03-2026</v>
      </c>
      <c r="B17" s="105">
        <v>0.33333333333333331</v>
      </c>
      <c r="C17" s="105">
        <v>0.875</v>
      </c>
      <c r="D17" s="106">
        <v>2</v>
      </c>
      <c r="E17" s="70" t="str">
        <v/>
      </c>
      <c r="F17" s="70" t="str">
        <v/>
      </c>
      <c r="G17" s="70" t="str">
        <v/>
      </c>
    </row>
    <row r="18" spans="1:7" ht="15" customHeight="1" x14ac:dyDescent="0.25">
      <c r="A18" s="71" t="str">
        <v>14-03-2026</v>
      </c>
      <c r="B18" s="105">
        <v>0.33333333333333331</v>
      </c>
      <c r="C18" s="105">
        <v>0.75</v>
      </c>
      <c r="D18" s="106" t="str">
        <v/>
      </c>
      <c r="E18" s="70" t="str">
        <v/>
      </c>
      <c r="F18" s="70" t="str">
        <v/>
      </c>
      <c r="G18" s="70" t="str">
        <v/>
      </c>
    </row>
    <row r="19" spans="1:7" ht="15" customHeight="1" x14ac:dyDescent="0.25">
      <c r="A19" s="71" t="str">
        <v>15-03-2026</v>
      </c>
      <c r="B19" s="105">
        <v>0.33333333333333331</v>
      </c>
      <c r="C19" s="105">
        <v>0.75</v>
      </c>
      <c r="D19" s="106" t="str">
        <v/>
      </c>
      <c r="E19" s="70" t="str">
        <v/>
      </c>
      <c r="F19" s="70" t="str">
        <v/>
      </c>
      <c r="G19" s="70" t="str">
        <v/>
      </c>
    </row>
    <row r="20" spans="1:7" ht="15" customHeight="1" x14ac:dyDescent="0.25">
      <c r="A20" s="71" t="str">
        <v>16-03-2026</v>
      </c>
      <c r="B20" s="105">
        <v>0.33333333333333331</v>
      </c>
      <c r="C20" s="105">
        <v>0.75</v>
      </c>
      <c r="D20" s="106" t="str">
        <v/>
      </c>
      <c r="E20" s="70" t="str">
        <v/>
      </c>
      <c r="F20" s="70" t="str">
        <v/>
      </c>
      <c r="G20" s="70" t="str">
        <v/>
      </c>
    </row>
    <row r="21" spans="1:7" ht="15" customHeight="1" x14ac:dyDescent="0.25">
      <c r="A21" s="71" t="str">
        <v>17-03-2026</v>
      </c>
      <c r="B21" s="105">
        <v>0.33333333333333331</v>
      </c>
      <c r="C21" s="105">
        <v>0.75</v>
      </c>
      <c r="D21" s="106" t="str">
        <v/>
      </c>
      <c r="E21" s="70" t="str">
        <v/>
      </c>
      <c r="F21" s="70" t="str">
        <v/>
      </c>
      <c r="G21" s="70" t="str">
        <v/>
      </c>
    </row>
    <row r="22" spans="1:7" ht="15" customHeight="1" x14ac:dyDescent="0.25">
      <c r="A22" s="71" t="str">
        <v>18-03-2026</v>
      </c>
      <c r="B22" s="105">
        <v>0.33333333333333331</v>
      </c>
      <c r="C22" s="105">
        <v>0.75</v>
      </c>
      <c r="D22" s="106" t="str">
        <v/>
      </c>
      <c r="E22" s="70" t="str">
        <v/>
      </c>
      <c r="F22" s="70" t="str">
        <v/>
      </c>
      <c r="G22" s="70" t="str">
        <v/>
      </c>
    </row>
    <row r="23" spans="1:7" ht="15" customHeight="1" x14ac:dyDescent="0.25">
      <c r="A23" s="71" t="str">
        <v>19-03-2026</v>
      </c>
      <c r="B23" s="105">
        <v>0.33333333333333331</v>
      </c>
      <c r="C23" s="105">
        <v>0.75</v>
      </c>
      <c r="D23" s="106" t="str">
        <v/>
      </c>
      <c r="E23" s="70" t="str">
        <v/>
      </c>
      <c r="F23" s="70" t="str">
        <v/>
      </c>
      <c r="G23" s="70" t="str">
        <v/>
      </c>
    </row>
    <row r="24" spans="1:7" ht="15" customHeight="1" x14ac:dyDescent="0.25">
      <c r="A24" s="71" t="str">
        <v>20-03-2026</v>
      </c>
      <c r="B24" s="105" t="str">
        <v/>
      </c>
      <c r="C24" s="105" t="str">
        <v/>
      </c>
      <c r="D24" s="106" t="str">
        <v/>
      </c>
      <c r="E24" s="70" t="str">
        <v/>
      </c>
      <c r="F24" s="70" t="str">
        <v/>
      </c>
      <c r="G24" s="70" t="str">
        <v/>
      </c>
    </row>
    <row r="25" spans="1:7" ht="15" customHeight="1" x14ac:dyDescent="0.25">
      <c r="A25" s="71" t="str">
        <v>21-03-2026</v>
      </c>
      <c r="B25" s="105" t="str">
        <v/>
      </c>
      <c r="C25" s="105" t="str">
        <v/>
      </c>
      <c r="D25" s="106" t="str">
        <v/>
      </c>
      <c r="E25" s="70" t="str">
        <v/>
      </c>
      <c r="F25" s="70" t="str">
        <v/>
      </c>
      <c r="G25" s="70" t="str">
        <v/>
      </c>
    </row>
    <row r="26" spans="1:7" ht="15" customHeight="1" x14ac:dyDescent="0.25">
      <c r="A26" s="71" t="str">
        <v>22-03-2026</v>
      </c>
      <c r="B26" s="105" t="str">
        <v/>
      </c>
      <c r="C26" s="105" t="str">
        <v/>
      </c>
      <c r="D26" s="106" t="str">
        <v/>
      </c>
      <c r="E26" s="70" t="str">
        <v/>
      </c>
      <c r="F26" s="70" t="str">
        <v/>
      </c>
      <c r="G26" s="70" t="str">
        <v/>
      </c>
    </row>
    <row r="27" spans="1:7" ht="15" customHeight="1" x14ac:dyDescent="0.25">
      <c r="A27" s="71" t="str">
        <v>23-03-2026</v>
      </c>
      <c r="B27" s="105" t="str">
        <v/>
      </c>
      <c r="C27" s="105" t="str">
        <v/>
      </c>
      <c r="D27" s="106" t="str">
        <v/>
      </c>
      <c r="E27" s="70" t="str">
        <v/>
      </c>
      <c r="F27" s="70" t="str">
        <v/>
      </c>
      <c r="G27" s="70" t="str">
        <v/>
      </c>
    </row>
    <row r="28" spans="1:7" ht="15" customHeight="1" x14ac:dyDescent="0.25">
      <c r="A28" s="71" t="str">
        <v>24-03-2026</v>
      </c>
      <c r="B28" s="105">
        <v>0.33333333333333331</v>
      </c>
      <c r="C28" s="105">
        <v>0.75</v>
      </c>
      <c r="D28" s="106" t="str">
        <v/>
      </c>
      <c r="E28" s="70" t="str">
        <v/>
      </c>
      <c r="F28" s="70" t="str">
        <v/>
      </c>
      <c r="G28" s="70" t="str">
        <v/>
      </c>
    </row>
    <row r="29" spans="1:7" ht="15" customHeight="1" x14ac:dyDescent="0.25">
      <c r="A29" s="71" t="str">
        <v>25-03-2026</v>
      </c>
      <c r="B29" s="105">
        <v>0.33333333333333331</v>
      </c>
      <c r="C29" s="105">
        <v>0.75</v>
      </c>
      <c r="D29" s="106" t="str">
        <v/>
      </c>
      <c r="E29" s="70" t="str">
        <v/>
      </c>
      <c r="F29" s="70" t="str">
        <v/>
      </c>
      <c r="G29" s="70" t="str">
        <v/>
      </c>
    </row>
    <row r="30" spans="1:7" ht="15" customHeight="1" x14ac:dyDescent="0.25">
      <c r="A30" s="71" t="str">
        <v>26-03-2026</v>
      </c>
      <c r="B30" s="105">
        <v>0.33333333333333331</v>
      </c>
      <c r="C30" s="105">
        <v>0.75</v>
      </c>
      <c r="D30" s="106" t="str">
        <v/>
      </c>
      <c r="E30" s="70" t="str">
        <v/>
      </c>
      <c r="F30" s="70" t="str">
        <v/>
      </c>
      <c r="G30" s="70" t="str">
        <v/>
      </c>
    </row>
    <row r="31" spans="1:7" ht="15" customHeight="1" x14ac:dyDescent="0.25">
      <c r="A31" s="71" t="str">
        <v>27-03-2026</v>
      </c>
      <c r="B31" s="105">
        <v>0.33333333333333331</v>
      </c>
      <c r="C31" s="105">
        <v>0.75</v>
      </c>
      <c r="D31" s="106" t="str">
        <v/>
      </c>
      <c r="E31" s="70" t="str">
        <v/>
      </c>
      <c r="F31" s="70" t="str">
        <v/>
      </c>
      <c r="G31" s="70" t="str">
        <v/>
      </c>
    </row>
    <row r="32" spans="1:7" ht="15" customHeight="1" x14ac:dyDescent="0.25">
      <c r="A32" s="71" t="str">
        <v>28-03-2026</v>
      </c>
      <c r="B32" s="105">
        <v>0.33333333333333331</v>
      </c>
      <c r="C32" s="105">
        <v>0.75</v>
      </c>
      <c r="D32" s="106" t="str">
        <v/>
      </c>
      <c r="E32" s="70" t="str">
        <v/>
      </c>
      <c r="F32" s="70" t="str">
        <v/>
      </c>
      <c r="G32" s="70" t="str">
        <v/>
      </c>
    </row>
    <row r="33" spans="1:7" ht="15" customHeight="1" x14ac:dyDescent="0.25">
      <c r="A33" s="71" t="str">
        <v>29-03-2026</v>
      </c>
      <c r="B33" s="105">
        <v>0.33333333333333331</v>
      </c>
      <c r="C33" s="105">
        <v>0.75</v>
      </c>
      <c r="D33" s="106" t="str">
        <v/>
      </c>
      <c r="E33" s="70" t="str">
        <v/>
      </c>
      <c r="F33" s="70" t="str">
        <v/>
      </c>
      <c r="G33" s="70" t="str">
        <v/>
      </c>
    </row>
    <row r="34" spans="1:7" ht="15" customHeight="1" x14ac:dyDescent="0.25">
      <c r="A34" s="71" t="str">
        <v>30-03-2026</v>
      </c>
      <c r="B34" s="105">
        <v>0.33333333333333331</v>
      </c>
      <c r="C34" s="105">
        <v>0.875</v>
      </c>
      <c r="D34" s="106">
        <v>2</v>
      </c>
      <c r="E34" s="70" t="str">
        <v/>
      </c>
      <c r="F34" s="70" t="str">
        <v/>
      </c>
      <c r="G34" s="70" t="str">
        <v/>
      </c>
    </row>
    <row r="35" spans="1:7" ht="15" customHeight="1" x14ac:dyDescent="0.25">
      <c r="A35" s="71" t="str">
        <v>31-03-2026</v>
      </c>
      <c r="B35" s="105">
        <v>0.33333333333333331</v>
      </c>
      <c r="C35" s="105">
        <v>0.75</v>
      </c>
      <c r="D35" s="106" t="str">
        <v/>
      </c>
      <c r="E35" s="74" t="str">
        <v/>
      </c>
      <c r="F35" s="70" t="str">
        <v/>
      </c>
      <c r="G35" s="70" t="str">
        <v/>
      </c>
    </row>
    <row r="36" spans="1:7" ht="15" customHeight="1" x14ac:dyDescent="0.25">
      <c r="A36" s="71" t="str">
        <v/>
      </c>
      <c r="B36" s="74" t="str">
        <v>Total single</v>
      </c>
      <c r="C36" s="75" t="str">
        <v/>
      </c>
      <c r="D36" s="74" t="str">
        <v>Total hour</v>
      </c>
      <c r="E36" s="74" t="str">
        <v/>
      </c>
      <c r="F36" s="70" t="str">
        <v/>
      </c>
      <c r="G36" s="70" t="str">
        <v/>
      </c>
    </row>
    <row r="37" spans="1:7" ht="15" customHeight="1" x14ac:dyDescent="0.25">
      <c r="A37" s="71" t="str">
        <v/>
      </c>
      <c r="B37" s="136">
        <v>29</v>
      </c>
      <c r="C37" s="69" t="str">
        <v/>
      </c>
      <c r="D37" s="70">
        <v>15</v>
      </c>
      <c r="E37" s="70" t="str">
        <v/>
      </c>
      <c r="F37" s="70" t="str">
        <v/>
      </c>
      <c r="G37" s="70" t="str">
        <v/>
      </c>
    </row>
    <row r="38" spans="1:7" ht="15" customHeight="1" x14ac:dyDescent="0.25">
      <c r="A38" s="71" t="str">
        <v/>
      </c>
      <c r="B38" s="75" t="str">
        <v/>
      </c>
      <c r="C38" s="75" t="str">
        <v/>
      </c>
      <c r="D38" s="74" t="str">
        <v/>
      </c>
      <c r="E38" s="74" t="str">
        <v/>
      </c>
      <c r="F38" s="70" t="str">
        <v/>
      </c>
      <c r="G38" s="70" t="str">
        <v/>
      </c>
    </row>
    <row r="39" spans="1:7" ht="15" customHeight="1" x14ac:dyDescent="0.25">
      <c r="A39" s="71" t="str">
        <v/>
      </c>
      <c r="B39" s="79" t="str">
        <v>Subcontractor</v>
      </c>
      <c r="C39" s="69" t="str">
        <v/>
      </c>
      <c r="D39" s="70" t="str">
        <v/>
      </c>
      <c r="E39" s="80" t="str">
        <v>Confirmed by</v>
      </c>
      <c r="F39" s="70" t="str">
        <v/>
      </c>
      <c r="G39" s="70" t="str">
        <v/>
      </c>
    </row>
    <row r="40" spans="1:7" ht="54.95" customHeight="1" x14ac:dyDescent="0.25">
      <c r="A40" s="71" t="str">
        <v/>
      </c>
      <c r="B40" s="86" t="str">
        <v>NAR TRANSPORT SERVICES MMC</v>
      </c>
      <c r="C40" s="83" t="str">
        <v/>
      </c>
      <c r="D40" s="84" t="str">
        <v/>
      </c>
      <c r="E40" s="85" t="str">
        <v>İrfan Karakaya</v>
      </c>
      <c r="F40" s="78" t="str">
        <v/>
      </c>
      <c r="G40" s="70" t="str">
        <v/>
      </c>
    </row>
    <row r="41" spans="1:7" ht="30" customHeight="1" x14ac:dyDescent="0.25">
      <c r="A41" s="71" t="str">
        <v/>
      </c>
      <c r="B41" s="82" t="str">
        <v>______________</v>
      </c>
      <c r="C41" s="69" t="str">
        <v/>
      </c>
      <c r="D41" s="70" t="str">
        <v/>
      </c>
      <c r="E41" s="68" t="str">
        <v>______________</v>
      </c>
      <c r="F41" s="70" t="str">
        <v/>
      </c>
      <c r="G41" s="70" t="str">
        <v/>
      </c>
    </row>
    <row r="42" spans="1:7" ht="15" customHeight="1" x14ac:dyDescent="0.25">
      <c r="A42" s="71" t="str">
        <v/>
      </c>
      <c r="B42" s="69" t="str">
        <v/>
      </c>
      <c r="C42" s="69" t="str">
        <v/>
      </c>
      <c r="D42" s="70" t="str">
        <v/>
      </c>
      <c r="E42" s="70" t="str">
        <v/>
      </c>
      <c r="F42" s="70" t="str">
        <v/>
      </c>
      <c r="G42" s="70" t="str">
        <v/>
      </c>
    </row>
    <row r="43" spans="1:7" ht="39.950000000000003" customHeight="1" x14ac:dyDescent="0.25">
      <c r="G43" s="80"/>
    </row>
    <row r="44" spans="1:7" ht="15" customHeight="1" x14ac:dyDescent="0.25">
      <c r="B44" s="72"/>
    </row>
    <row r="45" spans="1:7" ht="15" customHeight="1" x14ac:dyDescent="0.25"/>
    <row r="46" spans="1:7" ht="15" customHeight="1" x14ac:dyDescent="0.25">
      <c r="A46" s="80"/>
      <c r="B46" s="79"/>
      <c r="C46" s="79"/>
      <c r="D46" s="80"/>
      <c r="E46" s="80"/>
      <c r="F46" s="80"/>
      <c r="G46" s="80"/>
    </row>
    <row r="47" spans="1:7" ht="15" customHeight="1" x14ac:dyDescent="0.25">
      <c r="B47" s="105"/>
      <c r="C47" s="105"/>
      <c r="D47" s="106"/>
    </row>
    <row r="48" spans="1:7" ht="15" customHeight="1" x14ac:dyDescent="0.25">
      <c r="B48" s="105"/>
      <c r="C48" s="105"/>
      <c r="D48" s="106"/>
    </row>
    <row r="49" spans="2:4" ht="15" customHeight="1" x14ac:dyDescent="0.25">
      <c r="B49" s="105"/>
      <c r="C49" s="105"/>
      <c r="D49" s="106"/>
    </row>
    <row r="50" spans="2:4" ht="15" customHeight="1" x14ac:dyDescent="0.25">
      <c r="B50" s="105"/>
      <c r="C50" s="105"/>
      <c r="D50" s="106"/>
    </row>
    <row r="51" spans="2:4" ht="15" customHeight="1" x14ac:dyDescent="0.25">
      <c r="B51" s="105"/>
      <c r="C51" s="105"/>
      <c r="D51" s="106"/>
    </row>
    <row r="52" spans="2:4" ht="15" customHeight="1" x14ac:dyDescent="0.25">
      <c r="B52" s="105"/>
      <c r="C52" s="105"/>
      <c r="D52" s="106"/>
    </row>
    <row r="53" spans="2:4" ht="15" customHeight="1" x14ac:dyDescent="0.25">
      <c r="B53" s="105"/>
      <c r="C53" s="105"/>
      <c r="D53" s="106"/>
    </row>
    <row r="54" spans="2:4" ht="15" customHeight="1" x14ac:dyDescent="0.25">
      <c r="B54" s="105"/>
      <c r="C54" s="105"/>
      <c r="D54" s="106"/>
    </row>
    <row r="55" spans="2:4" ht="15" customHeight="1" x14ac:dyDescent="0.25">
      <c r="B55" s="105"/>
      <c r="C55" s="105"/>
      <c r="D55" s="106"/>
    </row>
    <row r="56" spans="2:4" ht="15" customHeight="1" x14ac:dyDescent="0.25">
      <c r="B56" s="105"/>
      <c r="C56" s="105"/>
      <c r="D56" s="106"/>
    </row>
    <row r="57" spans="2:4" ht="15" customHeight="1" x14ac:dyDescent="0.25">
      <c r="B57" s="105"/>
      <c r="C57" s="105"/>
      <c r="D57" s="106"/>
    </row>
    <row r="58" spans="2:4" ht="15" customHeight="1" x14ac:dyDescent="0.25">
      <c r="B58" s="105"/>
      <c r="C58" s="105"/>
      <c r="D58" s="106"/>
    </row>
    <row r="59" spans="2:4" ht="15" customHeight="1" x14ac:dyDescent="0.25">
      <c r="B59" s="105"/>
      <c r="C59" s="105"/>
      <c r="D59" s="106"/>
    </row>
    <row r="60" spans="2:4" ht="15" customHeight="1" x14ac:dyDescent="0.25">
      <c r="B60" s="105"/>
      <c r="C60" s="105"/>
      <c r="D60" s="106"/>
    </row>
    <row r="61" spans="2:4" ht="15" customHeight="1" x14ac:dyDescent="0.25">
      <c r="B61" s="105"/>
      <c r="C61" s="105"/>
      <c r="D61" s="106"/>
    </row>
    <row r="62" spans="2:4" ht="15" customHeight="1" x14ac:dyDescent="0.25">
      <c r="B62" s="105"/>
      <c r="C62" s="105"/>
      <c r="D62" s="106"/>
    </row>
    <row r="63" spans="2:4" ht="15" customHeight="1" x14ac:dyDescent="0.25">
      <c r="B63" s="105"/>
      <c r="C63" s="105"/>
      <c r="D63" s="106"/>
    </row>
    <row r="64" spans="2:4" ht="15" customHeight="1" x14ac:dyDescent="0.25">
      <c r="B64" s="105"/>
      <c r="C64" s="105"/>
      <c r="D64" s="106"/>
    </row>
    <row r="65" spans="2:5" ht="15" customHeight="1" x14ac:dyDescent="0.25">
      <c r="B65" s="105"/>
      <c r="C65" s="105"/>
      <c r="D65" s="106"/>
    </row>
    <row r="66" spans="2:5" ht="15" customHeight="1" x14ac:dyDescent="0.25">
      <c r="B66" s="105"/>
      <c r="C66" s="105"/>
      <c r="D66" s="106"/>
    </row>
    <row r="67" spans="2:5" ht="15" customHeight="1" x14ac:dyDescent="0.25">
      <c r="B67" s="105"/>
      <c r="C67" s="105"/>
      <c r="D67" s="106"/>
    </row>
    <row r="68" spans="2:5" ht="15" customHeight="1" x14ac:dyDescent="0.25">
      <c r="B68" s="105"/>
      <c r="C68" s="105"/>
      <c r="D68" s="106"/>
    </row>
    <row r="69" spans="2:5" ht="15" customHeight="1" x14ac:dyDescent="0.25">
      <c r="B69" s="105"/>
      <c r="C69" s="105"/>
      <c r="D69" s="106"/>
    </row>
    <row r="70" spans="2:5" ht="15" customHeight="1" x14ac:dyDescent="0.25">
      <c r="B70" s="105"/>
      <c r="C70" s="105"/>
      <c r="D70" s="106"/>
    </row>
    <row r="71" spans="2:5" ht="15" customHeight="1" x14ac:dyDescent="0.25">
      <c r="B71" s="105"/>
      <c r="C71" s="105"/>
      <c r="D71" s="106"/>
    </row>
    <row r="72" spans="2:5" ht="15" customHeight="1" x14ac:dyDescent="0.25">
      <c r="B72" s="105"/>
      <c r="C72" s="105"/>
      <c r="D72" s="106"/>
    </row>
    <row r="73" spans="2:5" ht="15" customHeight="1" x14ac:dyDescent="0.25">
      <c r="B73" s="105"/>
      <c r="C73" s="105"/>
      <c r="D73" s="106"/>
    </row>
    <row r="74" spans="2:5" ht="15" customHeight="1" x14ac:dyDescent="0.25">
      <c r="B74" s="105"/>
      <c r="C74" s="105"/>
      <c r="D74" s="106"/>
    </row>
    <row r="75" spans="2:5" ht="15" customHeight="1" x14ac:dyDescent="0.25">
      <c r="B75" s="105"/>
      <c r="C75" s="105"/>
      <c r="D75" s="106"/>
    </row>
    <row r="76" spans="2:5" ht="15" customHeight="1" x14ac:dyDescent="0.25">
      <c r="B76" s="105"/>
      <c r="C76" s="105"/>
      <c r="D76" s="106"/>
    </row>
    <row r="77" spans="2:5" ht="15" customHeight="1" x14ac:dyDescent="0.25">
      <c r="B77" s="105"/>
      <c r="C77" s="105"/>
      <c r="D77" s="106"/>
    </row>
    <row r="78" spans="2:5" ht="15" customHeight="1" x14ac:dyDescent="0.25"/>
    <row r="79" spans="2:5" ht="15" customHeight="1" x14ac:dyDescent="0.25">
      <c r="B79" s="75"/>
      <c r="C79" s="75"/>
      <c r="D79" s="74"/>
      <c r="E79" s="74"/>
    </row>
    <row r="80" spans="2:5" ht="15" customHeight="1" x14ac:dyDescent="0.25">
      <c r="B80" s="76"/>
      <c r="E80" s="77"/>
    </row>
    <row r="81" spans="1:7" ht="15" customHeight="1" x14ac:dyDescent="0.25">
      <c r="B81" s="79"/>
      <c r="E81" s="80"/>
    </row>
    <row r="82" spans="1:7" ht="54.95" customHeight="1" x14ac:dyDescent="0.25">
      <c r="B82" s="86"/>
      <c r="E82" s="85"/>
    </row>
    <row r="83" spans="1:7" ht="30" customHeight="1" x14ac:dyDescent="0.25">
      <c r="B83" s="87"/>
      <c r="C83" s="75"/>
      <c r="D83" s="74"/>
      <c r="E83" s="88"/>
    </row>
    <row r="84" spans="1:7" ht="15" customHeight="1" x14ac:dyDescent="0.25">
      <c r="B84" s="76"/>
      <c r="E84" s="77"/>
    </row>
    <row r="85" spans="1:7" ht="39.950000000000003" customHeight="1" x14ac:dyDescent="0.25">
      <c r="G85" s="80"/>
    </row>
    <row r="86" spans="1:7" ht="15" customHeight="1" x14ac:dyDescent="0.25"/>
    <row r="87" spans="1:7" ht="15" customHeight="1" x14ac:dyDescent="0.25"/>
    <row r="88" spans="1:7" ht="15" customHeight="1" x14ac:dyDescent="0.25">
      <c r="A88" s="80"/>
      <c r="B88" s="79"/>
      <c r="C88" s="79"/>
      <c r="D88" s="80"/>
      <c r="E88" s="80"/>
      <c r="F88" s="80"/>
      <c r="G88" s="80"/>
    </row>
    <row r="89" spans="1:7" ht="15" customHeight="1" x14ac:dyDescent="0.25">
      <c r="B89" s="105"/>
      <c r="C89" s="105"/>
      <c r="D89" s="106"/>
    </row>
    <row r="90" spans="1:7" ht="15" customHeight="1" x14ac:dyDescent="0.25">
      <c r="B90" s="105"/>
      <c r="C90" s="105"/>
      <c r="D90" s="106"/>
    </row>
    <row r="91" spans="1:7" ht="15" customHeight="1" x14ac:dyDescent="0.25">
      <c r="B91" s="105"/>
      <c r="C91" s="105"/>
      <c r="D91" s="106"/>
    </row>
    <row r="92" spans="1:7" ht="15" customHeight="1" x14ac:dyDescent="0.25">
      <c r="B92" s="105"/>
      <c r="C92" s="105"/>
      <c r="D92" s="106"/>
    </row>
    <row r="93" spans="1:7" ht="15" customHeight="1" x14ac:dyDescent="0.25">
      <c r="B93" s="105"/>
      <c r="C93" s="105"/>
      <c r="D93" s="106"/>
    </row>
    <row r="94" spans="1:7" ht="15" customHeight="1" x14ac:dyDescent="0.25">
      <c r="B94" s="105"/>
      <c r="C94" s="105"/>
      <c r="D94" s="106"/>
    </row>
    <row r="95" spans="1:7" ht="15" customHeight="1" x14ac:dyDescent="0.25">
      <c r="B95" s="105"/>
      <c r="C95" s="105"/>
      <c r="D95" s="106"/>
    </row>
    <row r="96" spans="1:7" ht="15" customHeight="1" x14ac:dyDescent="0.25">
      <c r="B96" s="105"/>
      <c r="C96" s="105"/>
      <c r="D96" s="106"/>
    </row>
    <row r="97" spans="2:4" ht="15" customHeight="1" x14ac:dyDescent="0.25">
      <c r="B97" s="105"/>
      <c r="C97" s="105"/>
      <c r="D97" s="106"/>
    </row>
    <row r="98" spans="2:4" ht="15" customHeight="1" x14ac:dyDescent="0.25">
      <c r="B98" s="105"/>
      <c r="C98" s="105"/>
      <c r="D98" s="106"/>
    </row>
    <row r="99" spans="2:4" ht="15" customHeight="1" x14ac:dyDescent="0.25">
      <c r="B99" s="105"/>
      <c r="C99" s="105"/>
      <c r="D99" s="106"/>
    </row>
    <row r="100" spans="2:4" ht="15" customHeight="1" x14ac:dyDescent="0.25">
      <c r="B100" s="105"/>
      <c r="C100" s="105"/>
      <c r="D100" s="106"/>
    </row>
    <row r="101" spans="2:4" ht="15" customHeight="1" x14ac:dyDescent="0.25">
      <c r="B101" s="105"/>
      <c r="C101" s="105"/>
      <c r="D101" s="106"/>
    </row>
    <row r="102" spans="2:4" ht="15" customHeight="1" x14ac:dyDescent="0.25">
      <c r="B102" s="105"/>
      <c r="C102" s="105"/>
      <c r="D102" s="106"/>
    </row>
    <row r="103" spans="2:4" ht="15" customHeight="1" x14ac:dyDescent="0.25">
      <c r="B103" s="105"/>
      <c r="C103" s="105"/>
      <c r="D103" s="106"/>
    </row>
    <row r="104" spans="2:4" ht="15" customHeight="1" x14ac:dyDescent="0.25">
      <c r="B104" s="105"/>
      <c r="C104" s="105"/>
      <c r="D104" s="106"/>
    </row>
    <row r="105" spans="2:4" ht="15" customHeight="1" x14ac:dyDescent="0.25">
      <c r="B105" s="105"/>
      <c r="C105" s="105"/>
      <c r="D105" s="106"/>
    </row>
    <row r="106" spans="2:4" ht="15" customHeight="1" x14ac:dyDescent="0.25">
      <c r="B106" s="105"/>
      <c r="C106" s="105"/>
      <c r="D106" s="106"/>
    </row>
    <row r="107" spans="2:4" ht="15" customHeight="1" x14ac:dyDescent="0.25">
      <c r="B107" s="105"/>
      <c r="C107" s="105"/>
      <c r="D107" s="106"/>
    </row>
    <row r="108" spans="2:4" ht="15" customHeight="1" x14ac:dyDescent="0.25">
      <c r="B108" s="105"/>
      <c r="C108" s="105"/>
      <c r="D108" s="106"/>
    </row>
    <row r="109" spans="2:4" ht="15" customHeight="1" x14ac:dyDescent="0.25">
      <c r="B109" s="105"/>
      <c r="C109" s="105"/>
      <c r="D109" s="106"/>
    </row>
    <row r="110" spans="2:4" ht="15" customHeight="1" x14ac:dyDescent="0.25">
      <c r="B110" s="105"/>
      <c r="C110" s="105"/>
      <c r="D110" s="106"/>
    </row>
    <row r="111" spans="2:4" ht="15" customHeight="1" x14ac:dyDescent="0.25">
      <c r="B111" s="105"/>
      <c r="C111" s="105"/>
      <c r="D111" s="106"/>
    </row>
    <row r="112" spans="2:4" ht="15" customHeight="1" x14ac:dyDescent="0.25">
      <c r="B112" s="105"/>
      <c r="C112" s="105"/>
      <c r="D112" s="106"/>
    </row>
    <row r="113" spans="2:5" ht="15" customHeight="1" x14ac:dyDescent="0.25">
      <c r="B113" s="105"/>
      <c r="C113" s="105"/>
      <c r="D113" s="106"/>
    </row>
    <row r="114" spans="2:5" ht="15" customHeight="1" x14ac:dyDescent="0.25">
      <c r="B114" s="105"/>
      <c r="C114" s="105"/>
      <c r="D114" s="106"/>
    </row>
    <row r="115" spans="2:5" ht="15" customHeight="1" x14ac:dyDescent="0.25">
      <c r="B115" s="105"/>
      <c r="C115" s="105"/>
      <c r="D115" s="106"/>
    </row>
    <row r="116" spans="2:5" ht="15" customHeight="1" x14ac:dyDescent="0.25">
      <c r="B116" s="105"/>
      <c r="C116" s="105"/>
      <c r="D116" s="106"/>
    </row>
    <row r="117" spans="2:5" ht="15" customHeight="1" x14ac:dyDescent="0.25">
      <c r="B117" s="105"/>
      <c r="C117" s="105"/>
      <c r="D117" s="106"/>
      <c r="E117" s="89"/>
    </row>
    <row r="118" spans="2:5" ht="15" customHeight="1" x14ac:dyDescent="0.25">
      <c r="B118" s="105"/>
      <c r="C118" s="105"/>
      <c r="D118" s="106"/>
      <c r="E118" s="89"/>
    </row>
    <row r="119" spans="2:5" ht="15" customHeight="1" x14ac:dyDescent="0.25">
      <c r="B119" s="105"/>
      <c r="C119" s="105"/>
      <c r="D119" s="106"/>
    </row>
    <row r="120" spans="2:5" ht="15" customHeight="1" x14ac:dyDescent="0.25">
      <c r="B120" s="75"/>
      <c r="C120" s="75"/>
      <c r="D120" s="74"/>
      <c r="E120" s="74"/>
    </row>
    <row r="121" spans="2:5" ht="15" customHeight="1" x14ac:dyDescent="0.25">
      <c r="B121" s="76"/>
      <c r="E121" s="77"/>
    </row>
    <row r="122" spans="2:5" ht="15" customHeight="1" x14ac:dyDescent="0.25">
      <c r="B122" s="81"/>
      <c r="C122" s="81"/>
      <c r="D122" s="71"/>
      <c r="E122" s="71"/>
    </row>
    <row r="123" spans="2:5" ht="15" customHeight="1" x14ac:dyDescent="0.25">
      <c r="B123" s="79"/>
      <c r="E123" s="80"/>
    </row>
    <row r="124" spans="2:5" ht="54.95" customHeight="1" x14ac:dyDescent="0.25">
      <c r="B124" s="86"/>
      <c r="E124" s="85"/>
    </row>
    <row r="125" spans="2:5" ht="30" customHeight="1" x14ac:dyDescent="0.25">
      <c r="B125" s="81"/>
      <c r="E125" s="71"/>
    </row>
  </sheetData>
  <conditionalFormatting sqref="A1:G1048576">
    <cfRule type="expression" dxfId="19" priority="2">
      <formula>$A1&lt;&gt;""</formula>
    </cfRule>
  </conditionalFormatting>
  <conditionalFormatting sqref="B1:B1048576 E1:E1048576">
    <cfRule type="expression" dxfId="18" priority="3">
      <formula>_xlfn.LET(_xlpm.x,MOD(ROW(),42),AND(_xlpm.x&gt;35,_xlpm.x&lt;42,B1&lt;&gt;""))</formula>
    </cfRule>
  </conditionalFormatting>
  <conditionalFormatting sqref="B1:E1048576">
    <cfRule type="expression" dxfId="17" priority="1">
      <formula>_xlfn.LET(_xlpm.x,MOD(ROW(),42),AND(_xlpm.x&gt;=36,_xlpm.x&lt;=37,ROW()&lt;1600,B1&lt;&gt;""))</formula>
    </cfRule>
  </conditionalFormatting>
  <pageMargins left="0.7" right="0.7" top="0.75" bottom="0.75" header="0.3" footer="0.3"/>
  <pageSetup paperSize="9" scale="80" fitToWidth="0" fitToHeight="0" orientation="portrait" r:id="rId1"/>
  <headerFooter>
    <oddHeader xml:space="preserve">&amp;L
</oddHeader>
  </headerFooter>
  <rowBreaks count="44" manualBreakCount="44">
    <brk id="42" max="6" man="1"/>
    <brk id="84" max="6" man="1"/>
    <brk id="126" max="6" man="1"/>
    <brk id="168" max="6" man="1"/>
    <brk id="210" max="6" man="1"/>
    <brk id="252" max="6" man="1"/>
    <brk id="294" max="6" man="1"/>
    <brk id="336" max="6" man="1"/>
    <brk id="378" max="6" man="1"/>
    <brk id="420" max="6" man="1"/>
    <brk id="462" max="6" man="1"/>
    <brk id="504" max="6" man="1"/>
    <brk id="546" max="6" man="1"/>
    <brk id="588" max="6" man="1"/>
    <brk id="630" max="6" man="1"/>
    <brk id="672" max="6" man="1"/>
    <brk id="714" max="6" man="1"/>
    <brk id="756" max="6" man="1"/>
    <brk id="798" max="6" man="1"/>
    <brk id="840" max="6" man="1"/>
    <brk id="882" max="6" man="1"/>
    <brk id="924" max="6" man="1"/>
    <brk id="966" max="6" man="1"/>
    <brk id="1008" max="6" man="1"/>
    <brk id="1050" max="6" man="1"/>
    <brk id="1092" max="6" man="1"/>
    <brk id="1134" max="6" man="1"/>
    <brk id="1176" max="6" man="1"/>
    <brk id="1218" max="6" man="1"/>
    <brk id="1260" max="6" man="1"/>
    <brk id="1302" max="6" man="1"/>
    <brk id="1344" max="6" man="1"/>
    <brk id="1386" max="6" man="1"/>
    <brk id="1428" max="6" man="1"/>
    <brk id="1470" max="6" man="1"/>
    <brk id="1512" max="6" man="1"/>
    <brk id="1554" max="6" man="1"/>
    <brk id="1596" max="6" man="1"/>
    <brk id="1638" max="6" man="1"/>
    <brk id="1680" max="6" man="1"/>
    <brk id="1722" max="6" man="1"/>
    <brk id="1764" max="6" man="1"/>
    <brk id="1806" max="6" man="1"/>
    <brk id="1848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C5D7-6732-48F3-BFC9-28BE41D729BA}">
  <sheetPr codeName="Sheet7"/>
  <dimension ref="A1:E95"/>
  <sheetViews>
    <sheetView view="pageBreakPreview" topLeftCell="A17" zoomScale="70" zoomScaleNormal="85" zoomScaleSheetLayoutView="70" workbookViewId="0">
      <selection activeCell="O1" sqref="O1"/>
    </sheetView>
  </sheetViews>
  <sheetFormatPr defaultRowHeight="15" x14ac:dyDescent="0.25"/>
  <cols>
    <col min="1" max="1" width="4.85546875" customWidth="1"/>
    <col min="2" max="2" width="28.28515625" style="104" customWidth="1"/>
    <col min="3" max="3" width="13.28515625" customWidth="1"/>
    <col min="4" max="4" width="12" bestFit="1" customWidth="1"/>
    <col min="5" max="5" width="18.7109375" style="61" customWidth="1"/>
    <col min="12" max="12" width="14.42578125" bestFit="1" customWidth="1"/>
    <col min="13" max="13" width="17.5703125" customWidth="1"/>
  </cols>
  <sheetData>
    <row r="1" spans="1:5" ht="39" customHeight="1" x14ac:dyDescent="0.25">
      <c r="A1" s="262"/>
      <c r="B1" s="262"/>
      <c r="C1" s="121"/>
      <c r="D1" s="263" t="str">
        <f>view__cover!K1</f>
        <v>KLN-SPP2-AA-031</v>
      </c>
      <c r="E1" s="263"/>
    </row>
    <row r="2" spans="1:5" x14ac:dyDescent="0.25">
      <c r="A2" s="141" t="s">
        <v>69</v>
      </c>
      <c r="B2" s="142" t="s">
        <v>618</v>
      </c>
      <c r="C2" s="141" t="s">
        <v>74</v>
      </c>
      <c r="D2" s="141" t="s">
        <v>323</v>
      </c>
      <c r="E2" s="144" t="s">
        <v>610</v>
      </c>
    </row>
    <row r="3" spans="1:5" x14ac:dyDescent="0.25">
      <c r="A3" s="121" t="str" cm="1">
        <f t="array" ref="A3:E43">_xlfn.LET(
    _xlpm.data,
    _xlfn._xlws.SORT(
      _xlfn.LET(
        _xlpm.d,
        _xlfn._xlws.FILTER(
          log_monthly_records!B:M,
          (log_monthly_records!D:D=contract_no)*(log_monthly_records!E:E&lt;=ipc_no)*(log_monthly_records!G:G&lt;&gt;0)
        ),
        _xlfn.HSTACK(
          DATE(INDEX(_xlpm.d,,1),INDEX(_xlpm.d,,2),1),
          INDEX(_xlpm.d,,4),
          INDEX(_xlpm.d,,6),
          INDEX(_xlpm.d,,12)*INDEX(_xlpm.d,,6),
          _xlfn.IFNA(
            SUBSTITUTE(
              INDEX(_xlpm.d,,11),
              " Hiz"&amp;_xlfn.TEXTAFTER(INDEX(_xlpm.d,,11),
              " Hiz"
            ),
            ""
          ),
          INDEX(_xlpm.d,,11)
        )
      )
      ),
      5
    ),
    _xlfn.DROP(
      _xlfn.IFNA(
        _xlfn.REDUCE(
          "",
          _xlfn.LET(
            _xlpm.descs,
            _xlfn.UNIQUE(INDEX(_xlpm.data,,5)),
            _xlfn.VSTACK(
              _xlfn._xlws.FILTER(
                _xlpm.descs,
                LEFT(_xlpm.descs,9)&lt;&gt;"Retention"
              ),
              "Retention"
            )
          ),
          _xlfn.LAMBDA(_xlpm.acc,_xlpm.cur,
            _xlfn.LET(_xlpm.x,_xlfn.TAKE(
                _xlfn._xlws.FILTER(
                  _xlpm.data,
                  LEFT(INDEX(_xlpm.data,,5),LEN(_xlpm.cur))=_xlpm.cur
                ),,
                4
              ),_xlfn.VSTACK(
              _xlpm.acc,
              _xlfn.HSTACK("",_xlpm.cur,"","",SUM(INDEX(_xlpm.x,,4))),
              _xlfn.HSTACK(_xlfn.SEQUENCE(ROWS(_xlpm.x)),_xlpm.x)
            ))
          )
        ),
        ""
      ),
      1
    )
  )</f>
        <v/>
      </c>
      <c r="B3" s="143" t="str">
        <v>Mazot Ödemesi (15 lt - 18 lt / 100 km)-lt</v>
      </c>
      <c r="C3" s="121" t="str">
        <v/>
      </c>
      <c r="D3" s="121" t="str">
        <v/>
      </c>
      <c r="E3" s="128">
        <v>142405.98992620001</v>
      </c>
    </row>
    <row r="4" spans="1:5" x14ac:dyDescent="0.25">
      <c r="A4" s="121">
        <v>1</v>
      </c>
      <c r="B4" s="143">
        <v>45689</v>
      </c>
      <c r="C4" s="121">
        <v>1</v>
      </c>
      <c r="D4" s="121">
        <v>2956</v>
      </c>
      <c r="E4" s="128">
        <v>2956</v>
      </c>
    </row>
    <row r="5" spans="1:5" x14ac:dyDescent="0.25">
      <c r="A5" s="121">
        <v>2</v>
      </c>
      <c r="B5" s="143">
        <v>45717</v>
      </c>
      <c r="C5" s="121">
        <v>2</v>
      </c>
      <c r="D5" s="121">
        <v>11129.910000000002</v>
      </c>
      <c r="E5" s="128">
        <v>11129.910000000002</v>
      </c>
    </row>
    <row r="6" spans="1:5" x14ac:dyDescent="0.25">
      <c r="A6" s="121">
        <v>3</v>
      </c>
      <c r="B6" s="143">
        <v>45748</v>
      </c>
      <c r="C6" s="121">
        <v>3</v>
      </c>
      <c r="D6" s="121">
        <v>7666.7399999999989</v>
      </c>
      <c r="E6" s="128">
        <v>7666.7399999999989</v>
      </c>
    </row>
    <row r="7" spans="1:5" x14ac:dyDescent="0.25">
      <c r="A7" s="121">
        <v>4</v>
      </c>
      <c r="B7" s="143">
        <v>45778</v>
      </c>
      <c r="C7" s="121">
        <v>4</v>
      </c>
      <c r="D7" s="121">
        <v>7701.45</v>
      </c>
      <c r="E7" s="128">
        <v>7701.45</v>
      </c>
    </row>
    <row r="8" spans="1:5" x14ac:dyDescent="0.25">
      <c r="A8" s="121">
        <v>5</v>
      </c>
      <c r="B8" s="143">
        <v>45809</v>
      </c>
      <c r="C8" s="121">
        <v>5</v>
      </c>
      <c r="D8" s="121">
        <v>8670.24</v>
      </c>
      <c r="E8" s="128">
        <v>8670.24</v>
      </c>
    </row>
    <row r="9" spans="1:5" x14ac:dyDescent="0.25">
      <c r="A9" s="121">
        <v>6</v>
      </c>
      <c r="B9" s="143">
        <v>45839</v>
      </c>
      <c r="C9" s="121">
        <v>6</v>
      </c>
      <c r="D9" s="121">
        <v>7430.7399999999989</v>
      </c>
      <c r="E9" s="128">
        <v>7430.7399999999989</v>
      </c>
    </row>
    <row r="10" spans="1:5" x14ac:dyDescent="0.25">
      <c r="A10" s="121">
        <v>7</v>
      </c>
      <c r="B10" s="143">
        <v>45870</v>
      </c>
      <c r="C10" s="121">
        <v>7</v>
      </c>
      <c r="D10" s="121">
        <v>10262.759999999998</v>
      </c>
      <c r="E10" s="128">
        <v>10262.759999999998</v>
      </c>
    </row>
    <row r="11" spans="1:5" x14ac:dyDescent="0.25">
      <c r="A11" s="121">
        <v>8</v>
      </c>
      <c r="B11" s="143">
        <v>45901</v>
      </c>
      <c r="C11" s="121">
        <v>8</v>
      </c>
      <c r="D11" s="121">
        <v>11888.04</v>
      </c>
      <c r="E11" s="128">
        <v>11888.04</v>
      </c>
    </row>
    <row r="12" spans="1:5" x14ac:dyDescent="0.25">
      <c r="A12" s="121">
        <v>9</v>
      </c>
      <c r="B12" s="143">
        <v>45931</v>
      </c>
      <c r="C12" s="121">
        <v>9</v>
      </c>
      <c r="D12" s="121">
        <v>12646.799928500002</v>
      </c>
      <c r="E12" s="128">
        <v>12646.799928500002</v>
      </c>
    </row>
    <row r="13" spans="1:5" x14ac:dyDescent="0.25">
      <c r="A13" s="121">
        <v>10</v>
      </c>
      <c r="B13" s="143">
        <v>45962</v>
      </c>
      <c r="C13" s="121">
        <v>10</v>
      </c>
      <c r="D13" s="121">
        <v>12886.4409977</v>
      </c>
      <c r="E13" s="128">
        <v>12886.4409977</v>
      </c>
    </row>
    <row r="14" spans="1:5" x14ac:dyDescent="0.25">
      <c r="A14" s="121">
        <v>11</v>
      </c>
      <c r="B14" s="143">
        <v>45992</v>
      </c>
      <c r="C14" s="121">
        <v>11</v>
      </c>
      <c r="D14" s="121">
        <v>15693.779999999999</v>
      </c>
      <c r="E14" s="128">
        <v>15693.779999999999</v>
      </c>
    </row>
    <row r="15" spans="1:5" x14ac:dyDescent="0.25">
      <c r="A15" s="121">
        <v>12</v>
      </c>
      <c r="B15" s="143">
        <v>46023</v>
      </c>
      <c r="C15" s="121">
        <v>12</v>
      </c>
      <c r="D15" s="121">
        <v>16631.703000000001</v>
      </c>
      <c r="E15" s="128">
        <v>16631.703000000001</v>
      </c>
    </row>
    <row r="16" spans="1:5" x14ac:dyDescent="0.25">
      <c r="A16" s="121">
        <v>13</v>
      </c>
      <c r="B16" s="143">
        <v>46054</v>
      </c>
      <c r="C16" s="121">
        <v>13</v>
      </c>
      <c r="D16" s="121">
        <v>16841.285999999996</v>
      </c>
      <c r="E16" s="128">
        <v>16841.285999999996</v>
      </c>
    </row>
    <row r="17" spans="1:5" x14ac:dyDescent="0.25">
      <c r="A17" s="121">
        <v>14</v>
      </c>
      <c r="B17" s="143">
        <v>46082</v>
      </c>
      <c r="C17" s="121">
        <v>14</v>
      </c>
      <c r="D17" s="121">
        <v>0.1</v>
      </c>
      <c r="E17" s="128">
        <v>0.1</v>
      </c>
    </row>
    <row r="18" spans="1:5" x14ac:dyDescent="0.25">
      <c r="A18" s="121" t="str">
        <v/>
      </c>
      <c r="B18" s="143" t="str">
        <v>SERVIS - 10RN527 - Sahə-saat</v>
      </c>
      <c r="C18" s="121" t="str">
        <v/>
      </c>
      <c r="D18" s="121" t="str">
        <v/>
      </c>
      <c r="E18" s="128">
        <v>835.93599999999992</v>
      </c>
    </row>
    <row r="19" spans="1:5" x14ac:dyDescent="0.25">
      <c r="A19" s="121">
        <v>1</v>
      </c>
      <c r="B19" s="143">
        <v>45870</v>
      </c>
      <c r="C19" s="121">
        <v>7</v>
      </c>
      <c r="D19" s="121">
        <v>64</v>
      </c>
      <c r="E19" s="128">
        <v>354.30399999999997</v>
      </c>
    </row>
    <row r="20" spans="1:5" x14ac:dyDescent="0.25">
      <c r="A20" s="121">
        <v>2</v>
      </c>
      <c r="B20" s="143">
        <v>45901</v>
      </c>
      <c r="C20" s="121">
        <v>8</v>
      </c>
      <c r="D20" s="121">
        <v>67</v>
      </c>
      <c r="E20" s="128">
        <v>370.91199999999998</v>
      </c>
    </row>
    <row r="21" spans="1:5" x14ac:dyDescent="0.25">
      <c r="A21" s="121">
        <v>3</v>
      </c>
      <c r="B21" s="143">
        <v>45931</v>
      </c>
      <c r="C21" s="121">
        <v>9</v>
      </c>
      <c r="D21" s="121">
        <v>20</v>
      </c>
      <c r="E21" s="128">
        <v>110.72</v>
      </c>
    </row>
    <row r="22" spans="1:5" x14ac:dyDescent="0.25">
      <c r="A22" s="121" t="str">
        <v/>
      </c>
      <c r="B22" s="143" t="str">
        <v>SERVIS - 10RN527 - Sahə-tək</v>
      </c>
      <c r="C22" s="121" t="str">
        <v/>
      </c>
      <c r="D22" s="121" t="str">
        <v/>
      </c>
      <c r="E22" s="128">
        <v>3210.88</v>
      </c>
    </row>
    <row r="23" spans="1:5" x14ac:dyDescent="0.25">
      <c r="A23" s="121">
        <v>1</v>
      </c>
      <c r="B23" s="143">
        <v>45870</v>
      </c>
      <c r="C23" s="121">
        <v>7</v>
      </c>
      <c r="D23" s="121">
        <v>27</v>
      </c>
      <c r="E23" s="128">
        <v>1494.72</v>
      </c>
    </row>
    <row r="24" spans="1:5" x14ac:dyDescent="0.25">
      <c r="A24" s="121">
        <v>2</v>
      </c>
      <c r="B24" s="143">
        <v>45901</v>
      </c>
      <c r="C24" s="121">
        <v>8</v>
      </c>
      <c r="D24" s="121">
        <v>30</v>
      </c>
      <c r="E24" s="128">
        <v>1660.8</v>
      </c>
    </row>
    <row r="25" spans="1:5" x14ac:dyDescent="0.25">
      <c r="A25" s="121">
        <v>3</v>
      </c>
      <c r="B25" s="143">
        <v>45931</v>
      </c>
      <c r="C25" s="121">
        <v>9</v>
      </c>
      <c r="D25" s="121">
        <v>1</v>
      </c>
      <c r="E25" s="128">
        <v>55.36</v>
      </c>
    </row>
    <row r="26" spans="1:5" x14ac:dyDescent="0.25">
      <c r="A26" s="121" t="str">
        <v/>
      </c>
      <c r="B26" s="143" t="str">
        <v>Retention</v>
      </c>
      <c r="C26" s="121" t="str">
        <v/>
      </c>
      <c r="D26" s="121" t="str">
        <v/>
      </c>
      <c r="E26" s="128">
        <v>-124426.46546400001</v>
      </c>
    </row>
    <row r="27" spans="1:5" x14ac:dyDescent="0.25">
      <c r="A27" s="121">
        <v>1</v>
      </c>
      <c r="B27" s="143">
        <v>45689</v>
      </c>
      <c r="C27" s="121">
        <v>1</v>
      </c>
      <c r="D27" s="121">
        <v>2956</v>
      </c>
      <c r="E27" s="128">
        <v>-2956</v>
      </c>
    </row>
    <row r="28" spans="1:5" x14ac:dyDescent="0.25">
      <c r="A28" s="121">
        <v>2</v>
      </c>
      <c r="B28" s="143">
        <v>45717</v>
      </c>
      <c r="C28" s="121">
        <v>2</v>
      </c>
      <c r="D28" s="121">
        <v>9319</v>
      </c>
      <c r="E28" s="128">
        <v>-9319</v>
      </c>
    </row>
    <row r="29" spans="1:5" x14ac:dyDescent="0.25">
      <c r="A29" s="121">
        <v>3</v>
      </c>
      <c r="B29" s="143">
        <v>45748</v>
      </c>
      <c r="C29" s="121">
        <v>3</v>
      </c>
      <c r="D29" s="121">
        <v>6009</v>
      </c>
      <c r="E29" s="128">
        <v>-6009</v>
      </c>
    </row>
    <row r="30" spans="1:5" x14ac:dyDescent="0.25">
      <c r="A30" s="121">
        <v>4</v>
      </c>
      <c r="B30" s="143">
        <v>45778</v>
      </c>
      <c r="C30" s="121">
        <v>4</v>
      </c>
      <c r="D30" s="121">
        <v>6357</v>
      </c>
      <c r="E30" s="128">
        <v>-6357</v>
      </c>
    </row>
    <row r="31" spans="1:5" x14ac:dyDescent="0.25">
      <c r="A31" s="121">
        <v>5</v>
      </c>
      <c r="B31" s="143">
        <v>45809</v>
      </c>
      <c r="C31" s="121">
        <v>5</v>
      </c>
      <c r="D31" s="121">
        <v>6873.2350000000006</v>
      </c>
      <c r="E31" s="128">
        <v>-6873.2350000000006</v>
      </c>
    </row>
    <row r="32" spans="1:5" x14ac:dyDescent="0.25">
      <c r="A32" s="121">
        <v>6</v>
      </c>
      <c r="B32" s="143">
        <v>45839</v>
      </c>
      <c r="C32" s="121">
        <v>6</v>
      </c>
      <c r="D32" s="121">
        <v>7221</v>
      </c>
      <c r="E32" s="128">
        <v>-7221</v>
      </c>
    </row>
    <row r="33" spans="1:5" x14ac:dyDescent="0.25">
      <c r="A33" s="121">
        <v>7</v>
      </c>
      <c r="B33" s="143">
        <v>45870</v>
      </c>
      <c r="C33" s="121">
        <v>7</v>
      </c>
      <c r="D33" s="121">
        <v>8379.42</v>
      </c>
      <c r="E33" s="128">
        <v>-8379.42</v>
      </c>
    </row>
    <row r="34" spans="1:5" x14ac:dyDescent="0.25">
      <c r="A34" s="121">
        <v>8</v>
      </c>
      <c r="B34" s="143">
        <v>45901</v>
      </c>
      <c r="C34" s="121">
        <v>8</v>
      </c>
      <c r="D34" s="121">
        <v>9645</v>
      </c>
      <c r="E34" s="128">
        <v>-9645</v>
      </c>
    </row>
    <row r="35" spans="1:5" x14ac:dyDescent="0.25">
      <c r="A35" s="121">
        <v>9</v>
      </c>
      <c r="B35" s="143">
        <v>45931</v>
      </c>
      <c r="C35" s="121">
        <v>9</v>
      </c>
      <c r="D35" s="121">
        <v>10987</v>
      </c>
      <c r="E35" s="128">
        <v>-10987</v>
      </c>
    </row>
    <row r="36" spans="1:5" x14ac:dyDescent="0.25">
      <c r="A36" s="121">
        <v>10</v>
      </c>
      <c r="B36" s="143">
        <v>45962</v>
      </c>
      <c r="C36" s="121">
        <v>10</v>
      </c>
      <c r="D36" s="121">
        <v>11358</v>
      </c>
      <c r="E36" s="128">
        <v>-11358</v>
      </c>
    </row>
    <row r="37" spans="1:5" x14ac:dyDescent="0.25">
      <c r="A37" s="121">
        <v>11</v>
      </c>
      <c r="B37" s="143">
        <v>45992</v>
      </c>
      <c r="C37" s="121">
        <v>11</v>
      </c>
      <c r="D37" s="121">
        <v>13674.9</v>
      </c>
      <c r="E37" s="128">
        <v>-13674.9</v>
      </c>
    </row>
    <row r="38" spans="1:5" x14ac:dyDescent="0.25">
      <c r="A38" s="121">
        <v>12</v>
      </c>
      <c r="B38" s="143">
        <v>46023</v>
      </c>
      <c r="C38" s="121">
        <v>12</v>
      </c>
      <c r="D38" s="121">
        <v>14029.1</v>
      </c>
      <c r="E38" s="128">
        <v>-14029.1</v>
      </c>
    </row>
    <row r="39" spans="1:5" x14ac:dyDescent="0.25">
      <c r="A39" s="121">
        <v>13</v>
      </c>
      <c r="B39" s="143">
        <v>46054</v>
      </c>
      <c r="C39" s="121">
        <v>13</v>
      </c>
      <c r="D39" s="121">
        <v>13470.9</v>
      </c>
      <c r="E39" s="128">
        <v>-13470.9</v>
      </c>
    </row>
    <row r="40" spans="1:5" x14ac:dyDescent="0.25">
      <c r="A40" s="121">
        <v>14</v>
      </c>
      <c r="B40" s="143">
        <v>46082</v>
      </c>
      <c r="C40" s="121">
        <v>14</v>
      </c>
      <c r="D40" s="121">
        <v>0.1</v>
      </c>
      <c r="E40" s="128">
        <v>-0.1</v>
      </c>
    </row>
    <row r="41" spans="1:5" x14ac:dyDescent="0.25">
      <c r="A41" s="121">
        <v>15</v>
      </c>
      <c r="B41" s="143">
        <v>45962</v>
      </c>
      <c r="C41" s="121">
        <v>10</v>
      </c>
      <c r="D41" s="121">
        <v>150.999</v>
      </c>
      <c r="E41" s="128">
        <v>-835.93046399999992</v>
      </c>
    </row>
    <row r="42" spans="1:5" x14ac:dyDescent="0.25">
      <c r="A42" s="121">
        <v>16</v>
      </c>
      <c r="B42" s="143">
        <v>45962</v>
      </c>
      <c r="C42" s="121">
        <v>10</v>
      </c>
      <c r="D42" s="121">
        <v>58</v>
      </c>
      <c r="E42" s="128">
        <v>-3210.88</v>
      </c>
    </row>
    <row r="43" spans="1:5" x14ac:dyDescent="0.25">
      <c r="A43" s="121">
        <v>17</v>
      </c>
      <c r="B43" s="143">
        <v>45717</v>
      </c>
      <c r="C43" s="121">
        <v>2</v>
      </c>
      <c r="D43" s="121">
        <v>100</v>
      </c>
      <c r="E43" s="128">
        <v>-100</v>
      </c>
    </row>
    <row r="44" spans="1:5" x14ac:dyDescent="0.25">
      <c r="A44" s="121"/>
      <c r="B44" s="143"/>
      <c r="C44" s="121"/>
      <c r="D44" s="121"/>
      <c r="E44" s="128"/>
    </row>
    <row r="45" spans="1:5" x14ac:dyDescent="0.25">
      <c r="A45" s="121"/>
      <c r="B45" s="143"/>
      <c r="C45" s="121"/>
      <c r="D45" s="121"/>
      <c r="E45" s="128"/>
    </row>
    <row r="46" spans="1:5" x14ac:dyDescent="0.25">
      <c r="A46" s="121"/>
      <c r="B46" s="143"/>
      <c r="C46" s="121"/>
      <c r="D46" s="121"/>
      <c r="E46" s="128"/>
    </row>
    <row r="47" spans="1:5" x14ac:dyDescent="0.25">
      <c r="A47" s="121"/>
      <c r="B47" s="143"/>
      <c r="C47" s="121"/>
      <c r="D47" s="121"/>
      <c r="E47" s="128"/>
    </row>
    <row r="48" spans="1:5" x14ac:dyDescent="0.25">
      <c r="A48" s="121"/>
      <c r="B48" s="143"/>
      <c r="C48" s="121"/>
      <c r="D48" s="121"/>
      <c r="E48" s="128"/>
    </row>
    <row r="49" spans="1:5" x14ac:dyDescent="0.25">
      <c r="A49" s="121"/>
      <c r="B49" s="143"/>
      <c r="C49" s="121"/>
      <c r="D49" s="121"/>
      <c r="E49" s="128"/>
    </row>
    <row r="50" spans="1:5" x14ac:dyDescent="0.25">
      <c r="A50" s="121"/>
      <c r="B50" s="143"/>
      <c r="C50" s="121"/>
      <c r="D50" s="121"/>
      <c r="E50" s="128"/>
    </row>
    <row r="51" spans="1:5" x14ac:dyDescent="0.25">
      <c r="A51" s="121"/>
      <c r="B51" s="143"/>
      <c r="C51" s="121"/>
      <c r="D51" s="121"/>
      <c r="E51" s="128"/>
    </row>
    <row r="52" spans="1:5" x14ac:dyDescent="0.25">
      <c r="A52" s="121"/>
      <c r="B52" s="143"/>
      <c r="C52" s="121"/>
      <c r="D52" s="121"/>
      <c r="E52" s="128"/>
    </row>
    <row r="53" spans="1:5" x14ac:dyDescent="0.25">
      <c r="A53" s="121"/>
      <c r="B53" s="143"/>
      <c r="C53" s="121"/>
      <c r="D53" s="121"/>
      <c r="E53" s="128"/>
    </row>
    <row r="54" spans="1:5" x14ac:dyDescent="0.25">
      <c r="A54" s="121"/>
      <c r="B54" s="143"/>
      <c r="C54" s="121"/>
      <c r="D54" s="121"/>
      <c r="E54" s="128"/>
    </row>
    <row r="55" spans="1:5" x14ac:dyDescent="0.25">
      <c r="A55" s="121"/>
      <c r="B55" s="143"/>
      <c r="C55" s="121"/>
      <c r="D55" s="121"/>
      <c r="E55" s="128"/>
    </row>
    <row r="56" spans="1:5" x14ac:dyDescent="0.25">
      <c r="A56" s="121"/>
      <c r="B56" s="143"/>
      <c r="C56" s="121"/>
      <c r="D56" s="121"/>
      <c r="E56" s="128"/>
    </row>
    <row r="57" spans="1:5" x14ac:dyDescent="0.25">
      <c r="A57" s="121"/>
      <c r="B57" s="143"/>
      <c r="C57" s="121"/>
      <c r="D57" s="121"/>
      <c r="E57" s="128"/>
    </row>
    <row r="58" spans="1:5" x14ac:dyDescent="0.25">
      <c r="A58" s="121"/>
      <c r="B58" s="143"/>
      <c r="C58" s="121"/>
      <c r="D58" s="121"/>
      <c r="E58" s="128"/>
    </row>
    <row r="59" spans="1:5" x14ac:dyDescent="0.25">
      <c r="A59" s="121"/>
      <c r="B59" s="143"/>
      <c r="C59" s="121"/>
      <c r="D59" s="121"/>
      <c r="E59" s="128"/>
    </row>
    <row r="60" spans="1:5" x14ac:dyDescent="0.25">
      <c r="A60" s="121"/>
      <c r="B60" s="143"/>
      <c r="C60" s="121"/>
      <c r="D60" s="121"/>
      <c r="E60" s="128"/>
    </row>
    <row r="61" spans="1:5" x14ac:dyDescent="0.25">
      <c r="A61" s="121"/>
      <c r="B61" s="143"/>
      <c r="C61" s="121"/>
      <c r="D61" s="121"/>
      <c r="E61" s="128"/>
    </row>
    <row r="62" spans="1:5" x14ac:dyDescent="0.25">
      <c r="A62" s="121"/>
      <c r="B62" s="143"/>
      <c r="C62" s="121"/>
      <c r="D62" s="121"/>
      <c r="E62" s="128"/>
    </row>
    <row r="63" spans="1:5" x14ac:dyDescent="0.25">
      <c r="A63" s="121"/>
      <c r="B63" s="143"/>
      <c r="C63" s="121"/>
      <c r="D63" s="121"/>
      <c r="E63" s="128"/>
    </row>
    <row r="64" spans="1:5" x14ac:dyDescent="0.25">
      <c r="A64" s="121"/>
      <c r="B64" s="143"/>
      <c r="C64" s="121"/>
      <c r="D64" s="121"/>
      <c r="E64" s="128"/>
    </row>
    <row r="65" spans="1:5" x14ac:dyDescent="0.25">
      <c r="A65" s="121"/>
      <c r="B65" s="143"/>
      <c r="C65" s="121"/>
      <c r="D65" s="121"/>
      <c r="E65" s="128"/>
    </row>
    <row r="66" spans="1:5" x14ac:dyDescent="0.25">
      <c r="A66" s="121"/>
      <c r="B66" s="143"/>
      <c r="C66" s="121"/>
      <c r="D66" s="121"/>
      <c r="E66" s="128"/>
    </row>
    <row r="67" spans="1:5" x14ac:dyDescent="0.25">
      <c r="A67" s="121"/>
      <c r="B67" s="143"/>
      <c r="C67" s="121"/>
      <c r="D67" s="121"/>
      <c r="E67" s="128"/>
    </row>
    <row r="68" spans="1:5" x14ac:dyDescent="0.25">
      <c r="A68" s="121"/>
      <c r="B68" s="143"/>
      <c r="C68" s="121"/>
      <c r="D68" s="121"/>
      <c r="E68" s="128"/>
    </row>
    <row r="69" spans="1:5" x14ac:dyDescent="0.25">
      <c r="A69" s="121"/>
      <c r="B69" s="143"/>
      <c r="C69" s="121"/>
      <c r="D69" s="121"/>
      <c r="E69" s="128"/>
    </row>
    <row r="70" spans="1:5" x14ac:dyDescent="0.25">
      <c r="A70" s="121"/>
      <c r="B70" s="143"/>
      <c r="C70" s="121"/>
      <c r="D70" s="121"/>
      <c r="E70" s="128"/>
    </row>
    <row r="71" spans="1:5" x14ac:dyDescent="0.25">
      <c r="A71" s="121"/>
      <c r="B71" s="143"/>
      <c r="C71" s="121"/>
      <c r="D71" s="121"/>
      <c r="E71" s="128"/>
    </row>
    <row r="72" spans="1:5" x14ac:dyDescent="0.25">
      <c r="A72" s="121"/>
      <c r="B72" s="143"/>
      <c r="C72" s="121"/>
      <c r="D72" s="121"/>
      <c r="E72" s="128"/>
    </row>
    <row r="73" spans="1:5" x14ac:dyDescent="0.25">
      <c r="A73" s="121"/>
      <c r="B73" s="143"/>
      <c r="C73" s="121"/>
      <c r="D73" s="121"/>
      <c r="E73" s="128"/>
    </row>
    <row r="74" spans="1:5" x14ac:dyDescent="0.25">
      <c r="A74" s="121"/>
      <c r="B74" s="143"/>
      <c r="C74" s="121"/>
      <c r="D74" s="121"/>
      <c r="E74" s="128"/>
    </row>
    <row r="75" spans="1:5" x14ac:dyDescent="0.25">
      <c r="A75" s="121"/>
      <c r="B75" s="143"/>
      <c r="C75" s="121"/>
      <c r="D75" s="121"/>
      <c r="E75" s="128"/>
    </row>
    <row r="76" spans="1:5" x14ac:dyDescent="0.25">
      <c r="A76" s="121"/>
      <c r="B76" s="143"/>
      <c r="C76" s="121"/>
      <c r="D76" s="121"/>
      <c r="E76" s="128"/>
    </row>
    <row r="77" spans="1:5" x14ac:dyDescent="0.25">
      <c r="A77" s="121"/>
      <c r="B77" s="143"/>
      <c r="C77" s="121"/>
      <c r="D77" s="121"/>
      <c r="E77" s="128"/>
    </row>
    <row r="78" spans="1:5" x14ac:dyDescent="0.25">
      <c r="A78" s="121"/>
      <c r="B78" s="143"/>
      <c r="C78" s="121"/>
      <c r="D78" s="121"/>
      <c r="E78" s="128"/>
    </row>
    <row r="79" spans="1:5" x14ac:dyDescent="0.25">
      <c r="A79" s="121"/>
      <c r="B79" s="143"/>
      <c r="C79" s="121"/>
      <c r="D79" s="121"/>
      <c r="E79" s="128"/>
    </row>
    <row r="80" spans="1:5" x14ac:dyDescent="0.25">
      <c r="A80" s="121"/>
      <c r="B80" s="143"/>
      <c r="C80" s="121"/>
      <c r="D80" s="121"/>
      <c r="E80" s="128"/>
    </row>
    <row r="81" spans="1:5" x14ac:dyDescent="0.25">
      <c r="A81" s="121"/>
      <c r="B81" s="143"/>
      <c r="C81" s="121"/>
      <c r="D81" s="121"/>
      <c r="E81" s="128"/>
    </row>
    <row r="82" spans="1:5" x14ac:dyDescent="0.25">
      <c r="A82" s="121"/>
      <c r="B82" s="143"/>
      <c r="C82" s="121"/>
      <c r="D82" s="121"/>
      <c r="E82" s="128"/>
    </row>
    <row r="83" spans="1:5" x14ac:dyDescent="0.25">
      <c r="A83" s="121"/>
      <c r="B83" s="143"/>
      <c r="C83" s="121"/>
      <c r="D83" s="121"/>
      <c r="E83" s="128"/>
    </row>
    <row r="84" spans="1:5" x14ac:dyDescent="0.25">
      <c r="A84" s="121"/>
      <c r="B84" s="143"/>
      <c r="C84" s="121"/>
      <c r="D84" s="121"/>
      <c r="E84" s="128"/>
    </row>
    <row r="85" spans="1:5" x14ac:dyDescent="0.25">
      <c r="A85" s="121"/>
      <c r="B85" s="143"/>
      <c r="C85" s="121"/>
      <c r="D85" s="121"/>
      <c r="E85" s="128"/>
    </row>
    <row r="86" spans="1:5" x14ac:dyDescent="0.25">
      <c r="A86" s="121"/>
      <c r="B86" s="143"/>
      <c r="C86" s="121"/>
      <c r="D86" s="121"/>
      <c r="E86" s="128"/>
    </row>
    <row r="87" spans="1:5" x14ac:dyDescent="0.25">
      <c r="A87" s="121"/>
      <c r="B87" s="143"/>
      <c r="C87" s="121"/>
      <c r="D87" s="121"/>
      <c r="E87" s="128"/>
    </row>
    <row r="88" spans="1:5" x14ac:dyDescent="0.25">
      <c r="A88" s="121"/>
      <c r="B88" s="143"/>
      <c r="C88" s="121"/>
      <c r="D88" s="121"/>
      <c r="E88" s="128"/>
    </row>
    <row r="89" spans="1:5" x14ac:dyDescent="0.25">
      <c r="A89" s="121"/>
      <c r="B89" s="143"/>
      <c r="C89" s="121"/>
      <c r="D89" s="121"/>
      <c r="E89" s="128"/>
    </row>
    <row r="90" spans="1:5" x14ac:dyDescent="0.25">
      <c r="A90" s="121"/>
      <c r="B90" s="143"/>
      <c r="C90" s="121"/>
      <c r="D90" s="121"/>
      <c r="E90" s="128"/>
    </row>
    <row r="91" spans="1:5" x14ac:dyDescent="0.25">
      <c r="A91" s="121"/>
      <c r="B91" s="143"/>
      <c r="C91" s="121"/>
      <c r="D91" s="121"/>
      <c r="E91" s="128"/>
    </row>
    <row r="92" spans="1:5" x14ac:dyDescent="0.25">
      <c r="A92" s="121"/>
      <c r="B92" s="143"/>
      <c r="C92" s="121"/>
      <c r="D92" s="121"/>
      <c r="E92" s="128"/>
    </row>
    <row r="93" spans="1:5" x14ac:dyDescent="0.25">
      <c r="A93" s="121"/>
      <c r="B93" s="143"/>
      <c r="C93" s="121"/>
      <c r="D93" s="121"/>
      <c r="E93" s="128"/>
    </row>
    <row r="94" spans="1:5" x14ac:dyDescent="0.25">
      <c r="A94" s="121"/>
      <c r="B94" s="143"/>
      <c r="C94" s="121"/>
      <c r="D94" s="121"/>
      <c r="E94" s="128"/>
    </row>
    <row r="95" spans="1:5" x14ac:dyDescent="0.25">
      <c r="A95" s="121"/>
      <c r="B95" s="143"/>
      <c r="C95" s="121"/>
      <c r="D95" s="121"/>
      <c r="E95" s="128"/>
    </row>
  </sheetData>
  <mergeCells count="2">
    <mergeCell ref="A1:B1"/>
    <mergeCell ref="D1:E1"/>
  </mergeCells>
  <conditionalFormatting sqref="A1:E1048576">
    <cfRule type="expression" dxfId="16" priority="1">
      <formula>$E1&lt;0</formula>
    </cfRule>
  </conditionalFormatting>
  <conditionalFormatting sqref="B1:E1048576">
    <cfRule type="expression" dxfId="15" priority="4">
      <formula>$A1=""</formula>
    </cfRule>
  </conditionalFormatting>
  <pageMargins left="0.7" right="0.7" top="0.75" bottom="0.75" header="0.3" footer="0.3"/>
  <pageSetup scale="112" orientation="portrait" r:id="rId1"/>
  <headerFooter>
    <oddFooter>&amp;L&amp;G&amp;R&amp;G</oddFooter>
  </headerFooter>
  <rowBreaks count="2" manualBreakCount="2">
    <brk id="33" max="4" man="1"/>
    <brk id="66" max="4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5990-64D2-4986-9741-7D4BCDE60CBC}">
  <sheetPr codeName="Sheet17"/>
  <dimension ref="A1:K45"/>
  <sheetViews>
    <sheetView view="pageBreakPreview" zoomScale="85" zoomScaleNormal="100" zoomScaleSheetLayoutView="85" workbookViewId="0">
      <pane ySplit="2" topLeftCell="A3" activePane="bottomLeft" state="frozen"/>
      <selection activeCell="O1" sqref="O1"/>
      <selection pane="bottomLeft" activeCell="O1" sqref="O1"/>
    </sheetView>
  </sheetViews>
  <sheetFormatPr defaultRowHeight="15" x14ac:dyDescent="0.25"/>
  <cols>
    <col min="1" max="1" width="7.140625" bestFit="1" customWidth="1"/>
    <col min="2" max="2" width="18.85546875" customWidth="1"/>
    <col min="3" max="3" width="8.140625" customWidth="1"/>
    <col min="4" max="4" width="9" style="100" bestFit="1" customWidth="1"/>
    <col min="5" max="5" width="13.42578125" style="100" customWidth="1"/>
    <col min="6" max="6" width="16.28515625" style="61" customWidth="1"/>
    <col min="7" max="7" width="18.140625" customWidth="1"/>
    <col min="8" max="8" width="12.5703125" style="61" customWidth="1"/>
    <col min="9" max="9" width="15.5703125" style="61" bestFit="1" customWidth="1"/>
  </cols>
  <sheetData>
    <row r="1" spans="1:11" ht="52.5" customHeight="1" x14ac:dyDescent="0.25">
      <c r="A1" s="121"/>
      <c r="B1" s="121"/>
      <c r="C1" s="121"/>
      <c r="D1" s="126"/>
      <c r="E1" s="126"/>
      <c r="F1" s="264" t="str">
        <f>view__cover!K1</f>
        <v>KLN-SPP2-AA-031</v>
      </c>
      <c r="G1" s="264"/>
      <c r="H1" s="127">
        <f>view__cover!K2</f>
        <v>14</v>
      </c>
      <c r="I1" s="128"/>
    </row>
    <row r="2" spans="1:11" ht="66" customHeight="1" x14ac:dyDescent="0.25">
      <c r="A2" s="46" t="s">
        <v>69</v>
      </c>
      <c r="B2" s="46" t="s">
        <v>1142</v>
      </c>
      <c r="C2" s="46" t="s">
        <v>1141</v>
      </c>
      <c r="D2" s="123" t="s">
        <v>611</v>
      </c>
      <c r="E2" s="123" t="s">
        <v>656</v>
      </c>
      <c r="F2" s="124" t="s">
        <v>655</v>
      </c>
      <c r="G2" s="46" t="s">
        <v>782</v>
      </c>
      <c r="H2" s="124" t="s">
        <v>783</v>
      </c>
      <c r="I2" s="124" t="s">
        <v>654</v>
      </c>
    </row>
    <row r="3" spans="1:11" x14ac:dyDescent="0.25">
      <c r="A3" t="e" cm="1" vm="2">
        <f t="array" ref="A3">_xlfn.LET(
  _xlpm.pnos,_xlfn._xlws.SORT(_xlfn.UNIQUE(_xlfn._xlws.FILTER(log_daily_records!D:D,(log_daily_records!E:E=contract_no)*(log_daily_records!F:F=ipc_no)))),
  _xlpm.distance,SUMIFS(log_daily_records!AS:AS,log_daily_records!D:D,_xlpm.pnos,log_daily_records!E:E,contract_no,log_daily_records!F:F,ipc_no),
  _xlpm.qs,SUMIFS(log_daily_records!AP:AP,log_daily_records!D:D,_xlpm.pnos,log_daily_records!E:E,contract_no,log_daily_records!F:F,ipc_no),
  _xlpm.provided,SUMIFS(log_fuel_provision!D:D,log_fuel_provision!C:C,_xlpm.pnos,log_fuel_provision!A:A,"&gt;="&amp;ipc_date_start,log_fuel_provision!A:A,"&lt;="&amp;ipc_date_end),
  _xlpm.providedAmount,SUMIFS(log_fuel_provision!E:E,log_fuel_provision!C:C,_xlpm.pnos,log_fuel_provision!A:A,"&gt;="&amp;ipc_date_start,log_fuel_provision!A:A,"&lt;="&amp;ipc_date_end),
  _xlfn.VSTACK(
    _xlfn.LET(
      _xlpm.d,
      _xlfn.HSTACK(
        _xlfn.SEQUENCE(ROWS(_xlpm.pnos)),
        _xlpm.pnos,
        _xlpm.distance,
        _xlfn.LET(
          _xlpm.r, MATCH(2,1/(log_daily_records!D:D&lt;&gt;""),1),
          _xlpm.d, log_daily_records!D2:INDEX(log_daily_records!D:D,_xlpm.r),
          _xlpm.e, log_daily_records!E2:INDEX(log_daily_records!E:E,_xlpm.r),
          _xlpm.F, log_daily_records!F2:INDEX(log_daily_records!F:F,_xlpm.r),
          _xlpm.G, log_daily_records!G2:INDEX(log_daily_records!G:G,_xlpm.r),
          _xlpm.AQ,log_daily_records!AQ2:INDEX(log_daily_records!AQ:AQ,_xlpm.r),
          _xlfn.MAP(_xlpm.pnos,_xlfn.LAMBDA(_xlpm.pn,_xlfn.XLOOKUP(1,(_xlpm.d=_xlpm.pn)*(_xlpm.e=contract_no)*(_xlpm.F=ipc_no)*(_xlpm.G="km-end"),_xlpm.AQ,"",0)))
        ),
        _xlpm.qs,
        _xlpm.qs*1.1,
        IF(_xlpm.qs=0,"",_xlpm.provided),
        IF(_xlpm.qs=0,"",_xlpm.providedAmount),
        _xlpm.qs-_xlpm.provided
      ),
      _xlfn.VSTACK(
        _xlfn._xlws.FILTER(_xlpm.d,INDEX(_xlpm.d,,4)&lt;&gt;""),
        _xlfn.HSTACK("","","","","",SUM(INDEX(_xlpm.d,,6)),"",SUM(INDEX(_xlpm.d,,8)),"")
      )
    ),
    _xlfn.HSTACK("","","","","","","","",""),
    _xlfn.HSTACK("","Subcontractor","","","","","Confirmed by","",""),
    _xlfn.HSTACK("",_xlfn.XLOOKUP(contract_no,log_contracts!B:B,log_contracts!E:E,,0),"","","","",_xlfn.TEXTJOIN(CHAR(10),TRUE,_xlfn.XLOOKUP(contract_no,log_contracts!B:B,log_contracts!G:G)),"",""),
    _xlfn.HSTACK("","______________","","","","","______________","","")
  )
)</f>
        <v>#VALUE!</v>
      </c>
    </row>
    <row r="4" spans="1:11" x14ac:dyDescent="0.25">
      <c r="K4" s="101">
        <f>F4-H4</f>
        <v>0</v>
      </c>
    </row>
    <row r="38" spans="2:9" x14ac:dyDescent="0.25">
      <c r="C38" s="112"/>
      <c r="D38" s="113"/>
      <c r="E38" s="113"/>
      <c r="F38" s="114"/>
    </row>
    <row r="39" spans="2:9" x14ac:dyDescent="0.25">
      <c r="C39" s="112"/>
      <c r="D39" s="113"/>
      <c r="E39" s="113"/>
      <c r="F39" s="114"/>
    </row>
    <row r="40" spans="2:9" x14ac:dyDescent="0.25">
      <c r="C40" s="112"/>
      <c r="D40" s="113"/>
      <c r="E40" s="113"/>
      <c r="F40" s="114"/>
    </row>
    <row r="41" spans="2:9" x14ac:dyDescent="0.25">
      <c r="C41" s="67"/>
      <c r="D41" s="67"/>
      <c r="E41" s="67"/>
      <c r="F41" s="138"/>
      <c r="G41" s="139"/>
      <c r="H41" s="60"/>
      <c r="I41" s="137"/>
    </row>
    <row r="42" spans="2:9" ht="26.25" customHeight="1" x14ac:dyDescent="0.25">
      <c r="D42"/>
      <c r="E42"/>
      <c r="F42"/>
      <c r="G42" s="140"/>
      <c r="H42"/>
      <c r="I42"/>
    </row>
    <row r="43" spans="2:9" ht="42.75" customHeight="1" x14ac:dyDescent="0.25">
      <c r="B43" s="125"/>
      <c r="D43"/>
      <c r="E43"/>
      <c r="F43" s="111"/>
      <c r="G43" s="129"/>
    </row>
    <row r="44" spans="2:9" ht="54.75" customHeight="1" x14ac:dyDescent="0.25">
      <c r="B44" s="125"/>
      <c r="C44" s="67"/>
      <c r="D44" s="67"/>
      <c r="E44" s="67"/>
      <c r="F44" s="46"/>
      <c r="G44" s="132"/>
    </row>
    <row r="45" spans="2:9" ht="46.5" customHeight="1" x14ac:dyDescent="0.25">
      <c r="B45" s="130"/>
      <c r="D45"/>
      <c r="E45"/>
      <c r="F45" s="93"/>
      <c r="G45" s="131"/>
    </row>
  </sheetData>
  <mergeCells count="1">
    <mergeCell ref="F1:G1"/>
  </mergeCells>
  <conditionalFormatting sqref="A1:F1 H1:I1 A2:I40 G40:I41 G43:I45 A46:I1048576">
    <cfRule type="expression" dxfId="14" priority="31">
      <formula>$H1&lt;&gt;""</formula>
    </cfRule>
  </conditionalFormatting>
  <pageMargins left="0.7" right="0.7" top="0.75" bottom="0.75" header="0.3" footer="0.3"/>
  <pageSetup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4C2A-39A7-4F71-AFAB-6AF917615096}">
  <sheetPr codeName="Sheet18" filterMode="1"/>
  <dimension ref="A1:M299"/>
  <sheetViews>
    <sheetView workbookViewId="0">
      <pane ySplit="1" topLeftCell="A272" activePane="bottomLeft" state="frozen"/>
      <selection activeCell="O1" sqref="O1"/>
      <selection pane="bottomLeft" activeCell="O1" sqref="O1"/>
    </sheetView>
  </sheetViews>
  <sheetFormatPr defaultRowHeight="15" x14ac:dyDescent="0.25"/>
  <cols>
    <col min="11" max="11" width="14" bestFit="1" customWidth="1"/>
    <col min="12" max="12" width="79.140625" bestFit="1" customWidth="1"/>
  </cols>
  <sheetData>
    <row r="1" spans="1:13" x14ac:dyDescent="0.25">
      <c r="A1" t="s">
        <v>69</v>
      </c>
      <c r="B1" t="s">
        <v>187</v>
      </c>
      <c r="C1" t="s">
        <v>84</v>
      </c>
      <c r="D1" s="20" t="s">
        <v>76</v>
      </c>
      <c r="E1" s="20" t="s">
        <v>82</v>
      </c>
      <c r="F1" s="20" t="s">
        <v>86</v>
      </c>
      <c r="G1" s="20" t="s">
        <v>85</v>
      </c>
      <c r="H1" s="20" t="s">
        <v>603</v>
      </c>
      <c r="I1" s="20" t="s">
        <v>344</v>
      </c>
      <c r="J1" s="20" t="s">
        <v>600</v>
      </c>
      <c r="K1" s="20" t="s">
        <v>601</v>
      </c>
      <c r="L1" s="20" t="s">
        <v>83</v>
      </c>
      <c r="M1" s="20" t="s">
        <v>614</v>
      </c>
    </row>
    <row r="2" spans="1:13" hidden="1" x14ac:dyDescent="0.25">
      <c r="A2" cm="1">
        <f t="array" ref="A2:A298">_xlfn.SEQUENCE(ROWS(_xlfn._TRO_TRAILING(C:C))-1)</f>
        <v>1</v>
      </c>
      <c r="B2">
        <v>2024</v>
      </c>
      <c r="C2">
        <v>12</v>
      </c>
      <c r="D2">
        <v>11</v>
      </c>
      <c r="E2">
        <v>1</v>
      </c>
      <c r="G2">
        <v>1</v>
      </c>
      <c r="J2" s="48">
        <v>1</v>
      </c>
      <c r="K2">
        <v>1</v>
      </c>
      <c r="L2" t="s">
        <v>51</v>
      </c>
      <c r="M2">
        <v>5500</v>
      </c>
    </row>
    <row r="3" spans="1:13" hidden="1" x14ac:dyDescent="0.25">
      <c r="A3">
        <v>2</v>
      </c>
      <c r="B3">
        <v>2024</v>
      </c>
      <c r="C3">
        <v>12</v>
      </c>
      <c r="D3">
        <v>11</v>
      </c>
      <c r="E3">
        <v>1</v>
      </c>
      <c r="G3">
        <v>8</v>
      </c>
      <c r="J3" s="48">
        <v>2</v>
      </c>
      <c r="K3">
        <v>2</v>
      </c>
      <c r="L3" t="s">
        <v>52</v>
      </c>
      <c r="M3">
        <v>200</v>
      </c>
    </row>
    <row r="4" spans="1:13" hidden="1" x14ac:dyDescent="0.25">
      <c r="A4">
        <v>3</v>
      </c>
      <c r="B4">
        <v>2024</v>
      </c>
      <c r="C4">
        <v>12</v>
      </c>
      <c r="D4">
        <v>11</v>
      </c>
      <c r="E4">
        <v>1</v>
      </c>
      <c r="G4">
        <v>12</v>
      </c>
      <c r="J4" s="48">
        <v>3</v>
      </c>
      <c r="K4">
        <v>3</v>
      </c>
      <c r="L4" t="s">
        <v>58</v>
      </c>
      <c r="M4">
        <v>100</v>
      </c>
    </row>
    <row r="5" spans="1:13" hidden="1" x14ac:dyDescent="0.25">
      <c r="A5">
        <v>4</v>
      </c>
      <c r="B5">
        <v>2025</v>
      </c>
      <c r="C5">
        <v>2</v>
      </c>
      <c r="D5">
        <v>11</v>
      </c>
      <c r="E5">
        <v>2</v>
      </c>
      <c r="G5">
        <v>1</v>
      </c>
      <c r="J5" s="48">
        <v>1</v>
      </c>
      <c r="K5">
        <v>1</v>
      </c>
      <c r="L5" t="s">
        <v>51</v>
      </c>
      <c r="M5">
        <v>5500</v>
      </c>
    </row>
    <row r="6" spans="1:13" hidden="1" x14ac:dyDescent="0.25">
      <c r="A6">
        <v>5</v>
      </c>
      <c r="B6">
        <v>2025</v>
      </c>
      <c r="C6">
        <v>2</v>
      </c>
      <c r="D6">
        <v>11</v>
      </c>
      <c r="E6">
        <v>2</v>
      </c>
      <c r="G6">
        <v>3.0999999999999996</v>
      </c>
      <c r="J6" s="48">
        <v>2</v>
      </c>
      <c r="K6">
        <v>2</v>
      </c>
      <c r="L6" t="s">
        <v>52</v>
      </c>
      <c r="M6">
        <v>200</v>
      </c>
    </row>
    <row r="7" spans="1:13" hidden="1" x14ac:dyDescent="0.25">
      <c r="A7">
        <v>6</v>
      </c>
      <c r="B7">
        <v>2025</v>
      </c>
      <c r="C7">
        <v>2</v>
      </c>
      <c r="D7">
        <v>11</v>
      </c>
      <c r="E7">
        <v>2</v>
      </c>
      <c r="G7">
        <v>18</v>
      </c>
      <c r="J7" s="48">
        <v>3</v>
      </c>
      <c r="K7">
        <v>3</v>
      </c>
      <c r="L7" t="s">
        <v>58</v>
      </c>
      <c r="M7">
        <v>100</v>
      </c>
    </row>
    <row r="8" spans="1:13" hidden="1" x14ac:dyDescent="0.25">
      <c r="A8">
        <v>7</v>
      </c>
      <c r="B8">
        <v>2025</v>
      </c>
      <c r="C8">
        <v>2</v>
      </c>
      <c r="D8">
        <v>11</v>
      </c>
      <c r="E8">
        <v>2</v>
      </c>
      <c r="G8">
        <v>1</v>
      </c>
      <c r="J8" s="48">
        <v>4</v>
      </c>
      <c r="K8">
        <v>4</v>
      </c>
      <c r="L8" t="s">
        <v>56</v>
      </c>
      <c r="M8">
        <v>300</v>
      </c>
    </row>
    <row r="9" spans="1:13" hidden="1" x14ac:dyDescent="0.25">
      <c r="A9">
        <v>8</v>
      </c>
      <c r="B9">
        <v>2025</v>
      </c>
      <c r="C9">
        <v>2</v>
      </c>
      <c r="D9">
        <v>11</v>
      </c>
      <c r="E9">
        <v>2</v>
      </c>
      <c r="G9">
        <v>1</v>
      </c>
      <c r="J9" s="48">
        <v>5</v>
      </c>
      <c r="K9">
        <v>5</v>
      </c>
      <c r="L9" t="s">
        <v>57</v>
      </c>
      <c r="M9">
        <v>540</v>
      </c>
    </row>
    <row r="10" spans="1:13" hidden="1" x14ac:dyDescent="0.25">
      <c r="A10">
        <v>9</v>
      </c>
      <c r="B10">
        <v>2025</v>
      </c>
      <c r="C10">
        <v>3</v>
      </c>
      <c r="D10">
        <v>11</v>
      </c>
      <c r="E10">
        <v>3</v>
      </c>
      <c r="G10">
        <v>1</v>
      </c>
      <c r="J10" s="48">
        <v>1</v>
      </c>
      <c r="K10">
        <v>1</v>
      </c>
      <c r="L10" t="s">
        <v>51</v>
      </c>
      <c r="M10">
        <v>5500</v>
      </c>
    </row>
    <row r="11" spans="1:13" hidden="1" x14ac:dyDescent="0.25">
      <c r="A11">
        <v>10</v>
      </c>
      <c r="B11">
        <v>2025</v>
      </c>
      <c r="C11">
        <v>3</v>
      </c>
      <c r="D11">
        <v>11</v>
      </c>
      <c r="E11">
        <v>3</v>
      </c>
      <c r="G11">
        <v>13</v>
      </c>
      <c r="J11" s="48">
        <v>2</v>
      </c>
      <c r="K11">
        <v>2</v>
      </c>
      <c r="L11" t="s">
        <v>52</v>
      </c>
      <c r="M11">
        <v>200</v>
      </c>
    </row>
    <row r="12" spans="1:13" hidden="1" x14ac:dyDescent="0.25">
      <c r="A12">
        <v>11</v>
      </c>
      <c r="B12">
        <v>2025</v>
      </c>
      <c r="C12">
        <v>3</v>
      </c>
      <c r="D12">
        <v>11</v>
      </c>
      <c r="E12">
        <v>3</v>
      </c>
      <c r="G12">
        <v>14</v>
      </c>
      <c r="J12" s="48">
        <v>3</v>
      </c>
      <c r="K12">
        <v>3</v>
      </c>
      <c r="L12" t="s">
        <v>58</v>
      </c>
      <c r="M12">
        <v>100</v>
      </c>
    </row>
    <row r="13" spans="1:13" hidden="1" x14ac:dyDescent="0.25">
      <c r="A13">
        <v>12</v>
      </c>
      <c r="B13">
        <v>2025</v>
      </c>
      <c r="C13">
        <v>3</v>
      </c>
      <c r="D13">
        <v>11</v>
      </c>
      <c r="E13">
        <v>3</v>
      </c>
      <c r="G13">
        <v>1</v>
      </c>
      <c r="J13" s="48">
        <v>6</v>
      </c>
      <c r="K13">
        <v>6</v>
      </c>
      <c r="L13" t="s">
        <v>59</v>
      </c>
      <c r="M13">
        <v>1000</v>
      </c>
    </row>
    <row r="14" spans="1:13" hidden="1" x14ac:dyDescent="0.25">
      <c r="A14">
        <v>13</v>
      </c>
      <c r="B14">
        <v>2025</v>
      </c>
      <c r="C14">
        <v>3</v>
      </c>
      <c r="D14">
        <v>11</v>
      </c>
      <c r="E14">
        <v>3</v>
      </c>
      <c r="G14">
        <v>4</v>
      </c>
      <c r="J14" s="48">
        <v>7</v>
      </c>
      <c r="K14">
        <v>7</v>
      </c>
      <c r="L14" t="s">
        <v>60</v>
      </c>
      <c r="M14">
        <v>110</v>
      </c>
    </row>
    <row r="15" spans="1:13" hidden="1" x14ac:dyDescent="0.25">
      <c r="A15">
        <v>14</v>
      </c>
      <c r="B15">
        <v>2025</v>
      </c>
      <c r="C15">
        <v>4</v>
      </c>
      <c r="D15">
        <v>11</v>
      </c>
      <c r="E15">
        <v>4</v>
      </c>
      <c r="G15">
        <v>1</v>
      </c>
      <c r="J15" s="48">
        <v>1</v>
      </c>
      <c r="K15">
        <v>1</v>
      </c>
      <c r="L15" t="s">
        <v>51</v>
      </c>
      <c r="M15">
        <v>5500</v>
      </c>
    </row>
    <row r="16" spans="1:13" hidden="1" x14ac:dyDescent="0.25">
      <c r="A16">
        <v>15</v>
      </c>
      <c r="B16">
        <v>2025</v>
      </c>
      <c r="C16">
        <v>4</v>
      </c>
      <c r="D16">
        <v>11</v>
      </c>
      <c r="E16">
        <v>4</v>
      </c>
      <c r="G16">
        <v>6</v>
      </c>
      <c r="J16" s="48">
        <v>2</v>
      </c>
      <c r="K16">
        <v>2</v>
      </c>
      <c r="L16" t="s">
        <v>52</v>
      </c>
      <c r="M16">
        <v>200</v>
      </c>
    </row>
    <row r="17" spans="1:13" hidden="1" x14ac:dyDescent="0.25">
      <c r="A17">
        <v>16</v>
      </c>
      <c r="B17">
        <v>2025</v>
      </c>
      <c r="C17">
        <v>4</v>
      </c>
      <c r="D17">
        <v>11</v>
      </c>
      <c r="E17">
        <v>4</v>
      </c>
      <c r="G17">
        <v>8</v>
      </c>
      <c r="J17" s="48">
        <v>3</v>
      </c>
      <c r="K17">
        <v>3</v>
      </c>
      <c r="L17" t="s">
        <v>58</v>
      </c>
      <c r="M17">
        <v>100</v>
      </c>
    </row>
    <row r="18" spans="1:13" hidden="1" x14ac:dyDescent="0.25">
      <c r="A18">
        <v>17</v>
      </c>
      <c r="B18">
        <v>2025</v>
      </c>
      <c r="C18">
        <v>5</v>
      </c>
      <c r="D18">
        <v>11</v>
      </c>
      <c r="E18">
        <v>5</v>
      </c>
      <c r="G18">
        <v>1</v>
      </c>
      <c r="J18" s="48">
        <v>1</v>
      </c>
      <c r="K18">
        <v>1</v>
      </c>
      <c r="L18" t="s">
        <v>51</v>
      </c>
      <c r="M18">
        <v>5500</v>
      </c>
    </row>
    <row r="19" spans="1:13" hidden="1" x14ac:dyDescent="0.25">
      <c r="A19">
        <v>18</v>
      </c>
      <c r="B19">
        <v>2025</v>
      </c>
      <c r="C19">
        <v>5</v>
      </c>
      <c r="D19">
        <v>11</v>
      </c>
      <c r="E19">
        <v>5</v>
      </c>
      <c r="G19">
        <v>8</v>
      </c>
      <c r="J19" s="48">
        <v>2</v>
      </c>
      <c r="K19">
        <v>2</v>
      </c>
      <c r="L19" t="s">
        <v>52</v>
      </c>
      <c r="M19">
        <v>200</v>
      </c>
    </row>
    <row r="20" spans="1:13" hidden="1" x14ac:dyDescent="0.25">
      <c r="A20">
        <v>19</v>
      </c>
      <c r="B20">
        <v>2025</v>
      </c>
      <c r="C20">
        <v>5</v>
      </c>
      <c r="D20">
        <v>11</v>
      </c>
      <c r="E20">
        <v>5</v>
      </c>
      <c r="G20">
        <v>12</v>
      </c>
      <c r="J20" s="48">
        <v>3</v>
      </c>
      <c r="K20">
        <v>3</v>
      </c>
      <c r="L20" t="s">
        <v>58</v>
      </c>
      <c r="M20">
        <v>100</v>
      </c>
    </row>
    <row r="21" spans="1:13" hidden="1" x14ac:dyDescent="0.25">
      <c r="A21">
        <v>20</v>
      </c>
      <c r="B21">
        <v>2025</v>
      </c>
      <c r="C21">
        <v>5</v>
      </c>
      <c r="D21">
        <v>11</v>
      </c>
      <c r="E21">
        <v>5</v>
      </c>
      <c r="G21">
        <v>1</v>
      </c>
      <c r="J21" s="48">
        <v>6</v>
      </c>
      <c r="K21">
        <v>6</v>
      </c>
      <c r="L21" t="s">
        <v>59</v>
      </c>
      <c r="M21">
        <v>1000</v>
      </c>
    </row>
    <row r="22" spans="1:13" hidden="1" x14ac:dyDescent="0.25">
      <c r="A22">
        <v>21</v>
      </c>
      <c r="B22">
        <v>2025</v>
      </c>
      <c r="C22">
        <v>5</v>
      </c>
      <c r="D22">
        <v>11</v>
      </c>
      <c r="E22">
        <v>5</v>
      </c>
      <c r="G22">
        <v>2</v>
      </c>
      <c r="J22" s="48">
        <v>8</v>
      </c>
      <c r="K22">
        <v>8</v>
      </c>
      <c r="L22" t="s">
        <v>62</v>
      </c>
      <c r="M22">
        <v>357</v>
      </c>
    </row>
    <row r="23" spans="1:13" hidden="1" x14ac:dyDescent="0.25">
      <c r="A23">
        <v>22</v>
      </c>
      <c r="B23">
        <v>2025</v>
      </c>
      <c r="C23">
        <v>6</v>
      </c>
      <c r="D23">
        <v>11</v>
      </c>
      <c r="E23">
        <v>6</v>
      </c>
      <c r="G23">
        <v>1</v>
      </c>
      <c r="J23" s="48">
        <v>1</v>
      </c>
      <c r="K23">
        <v>1</v>
      </c>
      <c r="L23" t="s">
        <v>51</v>
      </c>
      <c r="M23">
        <v>5500</v>
      </c>
    </row>
    <row r="24" spans="1:13" hidden="1" x14ac:dyDescent="0.25">
      <c r="A24">
        <v>23</v>
      </c>
      <c r="B24">
        <v>2025</v>
      </c>
      <c r="C24">
        <v>6</v>
      </c>
      <c r="D24">
        <v>11</v>
      </c>
      <c r="E24">
        <v>6</v>
      </c>
      <c r="G24">
        <v>8</v>
      </c>
      <c r="J24" s="48">
        <v>2</v>
      </c>
      <c r="K24">
        <v>2</v>
      </c>
      <c r="L24" t="s">
        <v>52</v>
      </c>
      <c r="M24">
        <v>200</v>
      </c>
    </row>
    <row r="25" spans="1:13" hidden="1" x14ac:dyDescent="0.25">
      <c r="A25">
        <v>24</v>
      </c>
      <c r="B25">
        <v>2025</v>
      </c>
      <c r="C25">
        <v>6</v>
      </c>
      <c r="D25">
        <v>11</v>
      </c>
      <c r="E25">
        <v>6</v>
      </c>
      <c r="G25">
        <v>12</v>
      </c>
      <c r="J25" s="48">
        <v>3</v>
      </c>
      <c r="K25">
        <v>3</v>
      </c>
      <c r="L25" t="s">
        <v>58</v>
      </c>
      <c r="M25">
        <v>100</v>
      </c>
    </row>
    <row r="26" spans="1:13" hidden="1" x14ac:dyDescent="0.25">
      <c r="A26">
        <v>25</v>
      </c>
      <c r="B26">
        <v>2025</v>
      </c>
      <c r="C26">
        <v>6</v>
      </c>
      <c r="D26">
        <v>11</v>
      </c>
      <c r="E26">
        <v>6</v>
      </c>
      <c r="G26">
        <v>1</v>
      </c>
      <c r="J26" s="48">
        <v>4</v>
      </c>
      <c r="K26">
        <v>4</v>
      </c>
      <c r="L26" t="s">
        <v>56</v>
      </c>
      <c r="M26">
        <v>300</v>
      </c>
    </row>
    <row r="27" spans="1:13" hidden="1" x14ac:dyDescent="0.25">
      <c r="A27">
        <v>26</v>
      </c>
      <c r="B27">
        <v>2025</v>
      </c>
      <c r="C27">
        <v>6</v>
      </c>
      <c r="D27">
        <v>11</v>
      </c>
      <c r="E27">
        <v>6</v>
      </c>
      <c r="G27">
        <v>3</v>
      </c>
      <c r="J27" s="48">
        <v>9</v>
      </c>
      <c r="K27">
        <v>9</v>
      </c>
      <c r="L27" t="s">
        <v>63</v>
      </c>
      <c r="M27">
        <v>215</v>
      </c>
    </row>
    <row r="28" spans="1:13" hidden="1" x14ac:dyDescent="0.25">
      <c r="A28">
        <v>27</v>
      </c>
      <c r="B28">
        <v>2025</v>
      </c>
      <c r="C28">
        <v>7</v>
      </c>
      <c r="D28">
        <v>11</v>
      </c>
      <c r="E28">
        <v>7</v>
      </c>
      <c r="G28">
        <v>2</v>
      </c>
      <c r="J28" s="48">
        <v>1</v>
      </c>
      <c r="K28">
        <v>1</v>
      </c>
      <c r="L28" t="s">
        <v>51</v>
      </c>
      <c r="M28">
        <v>5500</v>
      </c>
    </row>
    <row r="29" spans="1:13" hidden="1" x14ac:dyDescent="0.25">
      <c r="A29">
        <v>28</v>
      </c>
      <c r="B29">
        <v>2025</v>
      </c>
      <c r="C29">
        <v>7</v>
      </c>
      <c r="D29">
        <v>11</v>
      </c>
      <c r="E29">
        <v>7</v>
      </c>
      <c r="G29">
        <v>10</v>
      </c>
      <c r="J29" s="48">
        <v>2</v>
      </c>
      <c r="K29">
        <v>2</v>
      </c>
      <c r="L29" t="s">
        <v>52</v>
      </c>
      <c r="M29">
        <v>200</v>
      </c>
    </row>
    <row r="30" spans="1:13" hidden="1" x14ac:dyDescent="0.25">
      <c r="A30">
        <v>29</v>
      </c>
      <c r="B30">
        <v>2025</v>
      </c>
      <c r="C30">
        <v>8</v>
      </c>
      <c r="D30">
        <v>11</v>
      </c>
      <c r="E30">
        <v>8</v>
      </c>
      <c r="G30">
        <v>2</v>
      </c>
      <c r="J30" s="48">
        <v>1</v>
      </c>
      <c r="K30">
        <v>1</v>
      </c>
      <c r="L30" t="s">
        <v>51</v>
      </c>
      <c r="M30">
        <v>5500</v>
      </c>
    </row>
    <row r="31" spans="1:13" hidden="1" x14ac:dyDescent="0.25">
      <c r="A31">
        <v>30</v>
      </c>
      <c r="B31">
        <v>2025</v>
      </c>
      <c r="C31">
        <v>8</v>
      </c>
      <c r="D31">
        <v>11</v>
      </c>
      <c r="E31">
        <v>8</v>
      </c>
      <c r="G31">
        <v>14</v>
      </c>
      <c r="J31" s="48">
        <v>2</v>
      </c>
      <c r="K31">
        <v>2</v>
      </c>
      <c r="L31" t="s">
        <v>52</v>
      </c>
      <c r="M31">
        <v>200</v>
      </c>
    </row>
    <row r="32" spans="1:13" hidden="1" x14ac:dyDescent="0.25">
      <c r="A32">
        <v>31</v>
      </c>
      <c r="B32">
        <v>2025</v>
      </c>
      <c r="C32">
        <v>8</v>
      </c>
      <c r="D32">
        <v>11</v>
      </c>
      <c r="E32">
        <v>8</v>
      </c>
      <c r="G32">
        <v>12</v>
      </c>
      <c r="J32" s="48">
        <v>3</v>
      </c>
      <c r="K32">
        <v>3</v>
      </c>
      <c r="L32" t="s">
        <v>58</v>
      </c>
      <c r="M32">
        <v>100</v>
      </c>
    </row>
    <row r="33" spans="1:13" hidden="1" x14ac:dyDescent="0.25">
      <c r="A33">
        <v>32</v>
      </c>
      <c r="B33">
        <v>2025</v>
      </c>
      <c r="C33">
        <v>8</v>
      </c>
      <c r="D33">
        <v>11</v>
      </c>
      <c r="E33">
        <v>8</v>
      </c>
      <c r="G33">
        <v>1</v>
      </c>
      <c r="J33" s="48">
        <v>6</v>
      </c>
      <c r="K33">
        <v>6</v>
      </c>
      <c r="L33" t="s">
        <v>59</v>
      </c>
      <c r="M33">
        <v>1000</v>
      </c>
    </row>
    <row r="34" spans="1:13" hidden="1" x14ac:dyDescent="0.25">
      <c r="A34">
        <v>33</v>
      </c>
      <c r="B34">
        <v>2025</v>
      </c>
      <c r="C34">
        <v>9</v>
      </c>
      <c r="D34">
        <v>11</v>
      </c>
      <c r="E34">
        <v>9</v>
      </c>
      <c r="G34">
        <v>2</v>
      </c>
      <c r="J34" s="48">
        <v>1</v>
      </c>
      <c r="K34">
        <v>1</v>
      </c>
      <c r="L34" t="s">
        <v>51</v>
      </c>
      <c r="M34">
        <v>5500</v>
      </c>
    </row>
    <row r="35" spans="1:13" hidden="1" x14ac:dyDescent="0.25">
      <c r="A35">
        <v>34</v>
      </c>
      <c r="B35">
        <v>2025</v>
      </c>
      <c r="C35">
        <v>9</v>
      </c>
      <c r="D35">
        <v>11</v>
      </c>
      <c r="E35">
        <v>9</v>
      </c>
      <c r="G35">
        <v>10</v>
      </c>
      <c r="J35" s="48">
        <v>2</v>
      </c>
      <c r="K35">
        <v>2</v>
      </c>
      <c r="L35" t="s">
        <v>52</v>
      </c>
      <c r="M35">
        <v>200</v>
      </c>
    </row>
    <row r="36" spans="1:13" hidden="1" x14ac:dyDescent="0.25">
      <c r="A36">
        <v>35</v>
      </c>
      <c r="B36">
        <v>2025</v>
      </c>
      <c r="C36">
        <v>10</v>
      </c>
      <c r="D36">
        <v>11</v>
      </c>
      <c r="E36">
        <v>10</v>
      </c>
      <c r="G36">
        <v>2</v>
      </c>
      <c r="J36" s="48">
        <v>1</v>
      </c>
      <c r="K36">
        <v>1</v>
      </c>
      <c r="L36" t="s">
        <v>51</v>
      </c>
      <c r="M36">
        <v>5500</v>
      </c>
    </row>
    <row r="37" spans="1:13" hidden="1" x14ac:dyDescent="0.25">
      <c r="A37">
        <v>36</v>
      </c>
      <c r="B37">
        <v>2025</v>
      </c>
      <c r="C37">
        <v>10</v>
      </c>
      <c r="D37">
        <v>11</v>
      </c>
      <c r="E37">
        <v>10</v>
      </c>
      <c r="G37">
        <v>12</v>
      </c>
      <c r="J37" s="48">
        <v>2</v>
      </c>
      <c r="K37">
        <v>2</v>
      </c>
      <c r="L37" t="s">
        <v>52</v>
      </c>
      <c r="M37">
        <v>200</v>
      </c>
    </row>
    <row r="38" spans="1:13" hidden="1" x14ac:dyDescent="0.25">
      <c r="A38">
        <v>37</v>
      </c>
      <c r="B38">
        <v>2025</v>
      </c>
      <c r="C38">
        <v>10</v>
      </c>
      <c r="D38">
        <v>11</v>
      </c>
      <c r="E38">
        <v>10</v>
      </c>
      <c r="G38">
        <v>24</v>
      </c>
      <c r="J38" s="48">
        <v>3</v>
      </c>
      <c r="K38">
        <v>3</v>
      </c>
      <c r="L38" t="s">
        <v>58</v>
      </c>
      <c r="M38">
        <v>100</v>
      </c>
    </row>
    <row r="39" spans="1:13" hidden="1" x14ac:dyDescent="0.25">
      <c r="A39">
        <v>38</v>
      </c>
      <c r="B39">
        <v>2025</v>
      </c>
      <c r="C39">
        <v>11</v>
      </c>
      <c r="D39">
        <v>11</v>
      </c>
      <c r="E39">
        <v>11</v>
      </c>
      <c r="G39">
        <v>1</v>
      </c>
      <c r="J39" s="48">
        <v>1</v>
      </c>
      <c r="K39">
        <v>1</v>
      </c>
      <c r="L39" t="s">
        <v>51</v>
      </c>
      <c r="M39">
        <v>5500</v>
      </c>
    </row>
    <row r="40" spans="1:13" hidden="1" x14ac:dyDescent="0.25">
      <c r="A40">
        <v>39</v>
      </c>
      <c r="B40">
        <v>2025</v>
      </c>
      <c r="C40">
        <v>11</v>
      </c>
      <c r="D40">
        <v>11</v>
      </c>
      <c r="E40">
        <v>11</v>
      </c>
      <c r="G40">
        <v>15.363636363636401</v>
      </c>
      <c r="J40" s="48">
        <v>2</v>
      </c>
      <c r="K40">
        <v>2</v>
      </c>
      <c r="L40" t="s">
        <v>52</v>
      </c>
      <c r="M40">
        <v>200</v>
      </c>
    </row>
    <row r="41" spans="1:13" hidden="1" x14ac:dyDescent="0.25">
      <c r="A41">
        <v>40</v>
      </c>
      <c r="B41">
        <v>2025</v>
      </c>
      <c r="C41">
        <v>11</v>
      </c>
      <c r="D41">
        <v>11</v>
      </c>
      <c r="E41">
        <v>11</v>
      </c>
      <c r="G41">
        <v>2</v>
      </c>
      <c r="J41" s="48">
        <v>8</v>
      </c>
      <c r="K41">
        <v>8</v>
      </c>
      <c r="L41" t="s">
        <v>62</v>
      </c>
      <c r="M41">
        <v>357</v>
      </c>
    </row>
    <row r="42" spans="1:13" hidden="1" x14ac:dyDescent="0.25">
      <c r="A42">
        <v>41</v>
      </c>
      <c r="B42">
        <v>2024</v>
      </c>
      <c r="C42">
        <v>12</v>
      </c>
      <c r="D42">
        <v>14</v>
      </c>
      <c r="E42">
        <v>1</v>
      </c>
      <c r="G42">
        <v>1.1666666666666667</v>
      </c>
      <c r="J42" s="48">
        <v>1</v>
      </c>
      <c r="K42">
        <v>1</v>
      </c>
      <c r="L42" t="s">
        <v>91</v>
      </c>
      <c r="M42">
        <v>730</v>
      </c>
    </row>
    <row r="43" spans="1:13" hidden="1" x14ac:dyDescent="0.25">
      <c r="A43">
        <v>42</v>
      </c>
      <c r="B43">
        <v>2024</v>
      </c>
      <c r="C43">
        <v>12</v>
      </c>
      <c r="D43">
        <v>14</v>
      </c>
      <c r="E43">
        <v>1</v>
      </c>
      <c r="G43">
        <v>1.1666666666666667</v>
      </c>
      <c r="J43" s="48">
        <v>2</v>
      </c>
      <c r="K43">
        <v>2</v>
      </c>
      <c r="L43" t="s">
        <v>92</v>
      </c>
      <c r="M43">
        <v>1100</v>
      </c>
    </row>
    <row r="44" spans="1:13" hidden="1" x14ac:dyDescent="0.25">
      <c r="A44">
        <v>43</v>
      </c>
      <c r="B44">
        <v>2024</v>
      </c>
      <c r="C44">
        <v>12</v>
      </c>
      <c r="D44">
        <v>14</v>
      </c>
      <c r="E44">
        <v>1</v>
      </c>
      <c r="G44">
        <v>1.1666666666666667</v>
      </c>
      <c r="J44" s="48">
        <v>3</v>
      </c>
      <c r="K44">
        <v>3</v>
      </c>
      <c r="L44" t="s">
        <v>93</v>
      </c>
      <c r="M44">
        <v>900</v>
      </c>
    </row>
    <row r="45" spans="1:13" hidden="1" x14ac:dyDescent="0.25">
      <c r="A45">
        <v>44</v>
      </c>
      <c r="B45">
        <v>2024</v>
      </c>
      <c r="C45">
        <v>12</v>
      </c>
      <c r="D45">
        <v>14</v>
      </c>
      <c r="E45">
        <v>1</v>
      </c>
      <c r="G45">
        <v>1.1666666666666667</v>
      </c>
      <c r="J45" s="48">
        <v>4</v>
      </c>
      <c r="K45">
        <v>4</v>
      </c>
      <c r="L45" t="s">
        <v>94</v>
      </c>
      <c r="M45">
        <v>800</v>
      </c>
    </row>
    <row r="46" spans="1:13" hidden="1" x14ac:dyDescent="0.25">
      <c r="A46">
        <v>45</v>
      </c>
      <c r="B46">
        <v>2024</v>
      </c>
      <c r="C46">
        <v>12</v>
      </c>
      <c r="D46">
        <v>14</v>
      </c>
      <c r="E46">
        <v>1</v>
      </c>
      <c r="G46">
        <v>1.1666666666666667</v>
      </c>
      <c r="J46" s="48">
        <v>5</v>
      </c>
      <c r="K46">
        <v>5</v>
      </c>
      <c r="L46" t="s">
        <v>95</v>
      </c>
      <c r="M46">
        <v>900</v>
      </c>
    </row>
    <row r="47" spans="1:13" hidden="1" x14ac:dyDescent="0.25">
      <c r="A47">
        <v>46</v>
      </c>
      <c r="B47">
        <v>2024</v>
      </c>
      <c r="C47">
        <v>12</v>
      </c>
      <c r="D47">
        <v>14</v>
      </c>
      <c r="E47">
        <v>1</v>
      </c>
      <c r="G47">
        <v>144</v>
      </c>
      <c r="J47" s="48">
        <v>8</v>
      </c>
      <c r="K47">
        <v>8</v>
      </c>
      <c r="L47" t="s">
        <v>98</v>
      </c>
      <c r="M47">
        <v>2</v>
      </c>
    </row>
    <row r="48" spans="1:13" hidden="1" x14ac:dyDescent="0.25">
      <c r="A48">
        <v>47</v>
      </c>
      <c r="B48">
        <v>2024</v>
      </c>
      <c r="C48">
        <v>12</v>
      </c>
      <c r="D48">
        <v>14</v>
      </c>
      <c r="E48">
        <v>1</v>
      </c>
      <c r="G48">
        <v>297</v>
      </c>
      <c r="J48" s="48">
        <v>9</v>
      </c>
      <c r="K48">
        <v>9</v>
      </c>
      <c r="L48" t="s">
        <v>99</v>
      </c>
      <c r="M48">
        <v>2.5</v>
      </c>
    </row>
    <row r="49" spans="1:13" hidden="1" x14ac:dyDescent="0.25">
      <c r="A49">
        <v>48</v>
      </c>
      <c r="B49">
        <v>2024</v>
      </c>
      <c r="C49">
        <v>12</v>
      </c>
      <c r="D49">
        <v>14</v>
      </c>
      <c r="E49">
        <v>1</v>
      </c>
      <c r="G49">
        <v>105</v>
      </c>
      <c r="J49" s="48">
        <v>10</v>
      </c>
      <c r="K49">
        <v>10</v>
      </c>
      <c r="L49" t="s">
        <v>819</v>
      </c>
      <c r="M49">
        <v>2</v>
      </c>
    </row>
    <row r="50" spans="1:13" hidden="1" x14ac:dyDescent="0.25">
      <c r="A50">
        <v>49</v>
      </c>
      <c r="B50">
        <v>2024</v>
      </c>
      <c r="C50">
        <v>12</v>
      </c>
      <c r="D50">
        <v>14</v>
      </c>
      <c r="E50">
        <v>1</v>
      </c>
      <c r="G50">
        <v>125</v>
      </c>
      <c r="J50" s="48">
        <v>12</v>
      </c>
      <c r="K50">
        <v>12</v>
      </c>
      <c r="L50" t="s">
        <v>101</v>
      </c>
      <c r="M50">
        <v>2</v>
      </c>
    </row>
    <row r="51" spans="1:13" hidden="1" x14ac:dyDescent="0.25">
      <c r="A51">
        <v>50</v>
      </c>
      <c r="B51">
        <v>2025</v>
      </c>
      <c r="C51">
        <v>2</v>
      </c>
      <c r="D51">
        <v>14</v>
      </c>
      <c r="E51">
        <v>2</v>
      </c>
      <c r="G51">
        <v>1.0000000000000002</v>
      </c>
      <c r="J51" s="48">
        <v>1</v>
      </c>
      <c r="K51">
        <v>1</v>
      </c>
      <c r="L51" t="s">
        <v>91</v>
      </c>
      <c r="M51">
        <v>730</v>
      </c>
    </row>
    <row r="52" spans="1:13" hidden="1" x14ac:dyDescent="0.25">
      <c r="A52">
        <v>51</v>
      </c>
      <c r="B52">
        <v>2025</v>
      </c>
      <c r="C52">
        <v>2</v>
      </c>
      <c r="D52">
        <v>14</v>
      </c>
      <c r="E52">
        <v>2</v>
      </c>
      <c r="G52">
        <v>1.0000000000000002</v>
      </c>
      <c r="J52" s="48">
        <v>2</v>
      </c>
      <c r="K52">
        <v>2</v>
      </c>
      <c r="L52" t="s">
        <v>92</v>
      </c>
      <c r="M52">
        <v>1100</v>
      </c>
    </row>
    <row r="53" spans="1:13" hidden="1" x14ac:dyDescent="0.25">
      <c r="A53">
        <v>52</v>
      </c>
      <c r="B53">
        <v>2025</v>
      </c>
      <c r="C53">
        <v>2</v>
      </c>
      <c r="D53">
        <v>14</v>
      </c>
      <c r="E53">
        <v>2</v>
      </c>
      <c r="G53">
        <v>1.0000000000000002</v>
      </c>
      <c r="J53" s="48">
        <v>3</v>
      </c>
      <c r="K53">
        <v>3</v>
      </c>
      <c r="L53" t="s">
        <v>93</v>
      </c>
      <c r="M53">
        <v>900</v>
      </c>
    </row>
    <row r="54" spans="1:13" hidden="1" x14ac:dyDescent="0.25">
      <c r="A54">
        <v>53</v>
      </c>
      <c r="B54">
        <v>2025</v>
      </c>
      <c r="C54">
        <v>2</v>
      </c>
      <c r="D54">
        <v>14</v>
      </c>
      <c r="E54">
        <v>2</v>
      </c>
      <c r="G54">
        <v>1.0000000000000002</v>
      </c>
      <c r="J54" s="48">
        <v>4</v>
      </c>
      <c r="K54">
        <v>4</v>
      </c>
      <c r="L54" t="s">
        <v>94</v>
      </c>
      <c r="M54">
        <v>800</v>
      </c>
    </row>
    <row r="55" spans="1:13" hidden="1" x14ac:dyDescent="0.25">
      <c r="A55">
        <v>54</v>
      </c>
      <c r="B55">
        <v>2025</v>
      </c>
      <c r="C55">
        <v>2</v>
      </c>
      <c r="D55">
        <v>14</v>
      </c>
      <c r="E55">
        <v>2</v>
      </c>
      <c r="G55">
        <v>1.0000000000000002</v>
      </c>
      <c r="J55" s="48">
        <v>5</v>
      </c>
      <c r="K55">
        <v>5</v>
      </c>
      <c r="L55" t="s">
        <v>95</v>
      </c>
      <c r="M55">
        <v>900</v>
      </c>
    </row>
    <row r="56" spans="1:13" hidden="1" x14ac:dyDescent="0.25">
      <c r="A56">
        <v>55</v>
      </c>
      <c r="B56">
        <v>2025</v>
      </c>
      <c r="C56">
        <v>2</v>
      </c>
      <c r="D56">
        <v>14</v>
      </c>
      <c r="E56">
        <v>2</v>
      </c>
      <c r="G56">
        <v>234</v>
      </c>
      <c r="J56" s="48">
        <v>8</v>
      </c>
      <c r="K56">
        <v>8</v>
      </c>
      <c r="L56" t="s">
        <v>98</v>
      </c>
      <c r="M56">
        <v>2</v>
      </c>
    </row>
    <row r="57" spans="1:13" hidden="1" x14ac:dyDescent="0.25">
      <c r="A57">
        <v>56</v>
      </c>
      <c r="B57">
        <v>2025</v>
      </c>
      <c r="C57">
        <v>2</v>
      </c>
      <c r="D57">
        <v>14</v>
      </c>
      <c r="E57">
        <v>2</v>
      </c>
      <c r="G57">
        <v>604</v>
      </c>
      <c r="J57" s="48">
        <v>10</v>
      </c>
      <c r="K57">
        <v>10</v>
      </c>
      <c r="L57" t="s">
        <v>819</v>
      </c>
      <c r="M57">
        <v>2</v>
      </c>
    </row>
    <row r="58" spans="1:13" hidden="1" x14ac:dyDescent="0.25">
      <c r="A58">
        <v>57</v>
      </c>
      <c r="B58">
        <v>2025</v>
      </c>
      <c r="C58">
        <v>3</v>
      </c>
      <c r="D58">
        <v>14</v>
      </c>
      <c r="E58">
        <v>3</v>
      </c>
      <c r="G58">
        <v>1</v>
      </c>
      <c r="J58" s="48">
        <v>1</v>
      </c>
      <c r="K58">
        <v>1</v>
      </c>
      <c r="L58" t="s">
        <v>91</v>
      </c>
      <c r="M58">
        <v>730</v>
      </c>
    </row>
    <row r="59" spans="1:13" hidden="1" x14ac:dyDescent="0.25">
      <c r="A59">
        <v>58</v>
      </c>
      <c r="B59">
        <v>2025</v>
      </c>
      <c r="C59">
        <v>3</v>
      </c>
      <c r="D59">
        <v>14</v>
      </c>
      <c r="E59">
        <v>3</v>
      </c>
      <c r="G59">
        <v>1</v>
      </c>
      <c r="J59" s="48">
        <v>2</v>
      </c>
      <c r="K59">
        <v>2</v>
      </c>
      <c r="L59" t="s">
        <v>92</v>
      </c>
      <c r="M59">
        <v>1100</v>
      </c>
    </row>
    <row r="60" spans="1:13" hidden="1" x14ac:dyDescent="0.25">
      <c r="A60">
        <v>59</v>
      </c>
      <c r="B60">
        <v>2025</v>
      </c>
      <c r="C60">
        <v>3</v>
      </c>
      <c r="D60">
        <v>14</v>
      </c>
      <c r="E60">
        <v>3</v>
      </c>
      <c r="G60">
        <v>1</v>
      </c>
      <c r="J60" s="48">
        <v>3</v>
      </c>
      <c r="K60">
        <v>3</v>
      </c>
      <c r="L60" t="s">
        <v>93</v>
      </c>
      <c r="M60">
        <v>900</v>
      </c>
    </row>
    <row r="61" spans="1:13" hidden="1" x14ac:dyDescent="0.25">
      <c r="A61">
        <v>60</v>
      </c>
      <c r="B61">
        <v>2025</v>
      </c>
      <c r="C61">
        <v>3</v>
      </c>
      <c r="D61">
        <v>14</v>
      </c>
      <c r="E61">
        <v>3</v>
      </c>
      <c r="G61">
        <v>1</v>
      </c>
      <c r="J61" s="48">
        <v>4</v>
      </c>
      <c r="K61">
        <v>4</v>
      </c>
      <c r="L61" t="s">
        <v>94</v>
      </c>
      <c r="M61">
        <v>800</v>
      </c>
    </row>
    <row r="62" spans="1:13" hidden="1" x14ac:dyDescent="0.25">
      <c r="A62">
        <v>61</v>
      </c>
      <c r="B62">
        <v>2025</v>
      </c>
      <c r="C62">
        <v>3</v>
      </c>
      <c r="D62">
        <v>14</v>
      </c>
      <c r="E62">
        <v>3</v>
      </c>
      <c r="G62">
        <v>0.61</v>
      </c>
      <c r="J62" s="48">
        <v>6</v>
      </c>
      <c r="K62">
        <v>6</v>
      </c>
      <c r="L62" t="s">
        <v>96</v>
      </c>
      <c r="M62">
        <v>4000</v>
      </c>
    </row>
    <row r="63" spans="1:13" hidden="1" x14ac:dyDescent="0.25">
      <c r="A63">
        <v>62</v>
      </c>
      <c r="B63">
        <v>2025</v>
      </c>
      <c r="C63">
        <v>3</v>
      </c>
      <c r="D63">
        <v>14</v>
      </c>
      <c r="E63">
        <v>3</v>
      </c>
      <c r="G63">
        <v>1</v>
      </c>
      <c r="J63" s="48">
        <v>7</v>
      </c>
      <c r="K63">
        <v>7</v>
      </c>
      <c r="L63" t="s">
        <v>97</v>
      </c>
      <c r="M63">
        <v>900</v>
      </c>
    </row>
    <row r="64" spans="1:13" hidden="1" x14ac:dyDescent="0.25">
      <c r="A64">
        <v>63</v>
      </c>
      <c r="B64">
        <v>2025</v>
      </c>
      <c r="C64">
        <v>3</v>
      </c>
      <c r="D64">
        <v>14</v>
      </c>
      <c r="E64">
        <v>3</v>
      </c>
      <c r="G64">
        <v>228</v>
      </c>
      <c r="J64" s="48">
        <v>8</v>
      </c>
      <c r="K64">
        <v>8</v>
      </c>
      <c r="L64" t="s">
        <v>98</v>
      </c>
      <c r="M64">
        <v>2</v>
      </c>
    </row>
    <row r="65" spans="1:13" hidden="1" x14ac:dyDescent="0.25">
      <c r="A65">
        <v>64</v>
      </c>
      <c r="B65">
        <v>2025</v>
      </c>
      <c r="C65">
        <v>3</v>
      </c>
      <c r="D65">
        <v>14</v>
      </c>
      <c r="E65">
        <v>3</v>
      </c>
      <c r="G65">
        <v>263</v>
      </c>
      <c r="J65" s="48">
        <v>9</v>
      </c>
      <c r="K65">
        <v>9</v>
      </c>
      <c r="L65" t="s">
        <v>99</v>
      </c>
      <c r="M65">
        <v>2.5</v>
      </c>
    </row>
    <row r="66" spans="1:13" hidden="1" x14ac:dyDescent="0.25">
      <c r="A66">
        <v>65</v>
      </c>
      <c r="B66">
        <v>2025</v>
      </c>
      <c r="C66">
        <v>3</v>
      </c>
      <c r="D66">
        <v>14</v>
      </c>
      <c r="E66">
        <v>3</v>
      </c>
      <c r="G66">
        <v>233</v>
      </c>
      <c r="J66" s="48">
        <v>10</v>
      </c>
      <c r="K66">
        <v>10</v>
      </c>
      <c r="L66" t="s">
        <v>819</v>
      </c>
      <c r="M66">
        <v>2</v>
      </c>
    </row>
    <row r="67" spans="1:13" hidden="1" x14ac:dyDescent="0.25">
      <c r="A67">
        <v>66</v>
      </c>
      <c r="B67">
        <v>2025</v>
      </c>
      <c r="C67">
        <v>3</v>
      </c>
      <c r="D67">
        <v>14</v>
      </c>
      <c r="E67">
        <v>3</v>
      </c>
      <c r="G67">
        <v>205</v>
      </c>
      <c r="J67" s="48">
        <v>11</v>
      </c>
      <c r="K67">
        <v>11</v>
      </c>
      <c r="L67" t="s">
        <v>100</v>
      </c>
      <c r="M67">
        <v>2</v>
      </c>
    </row>
    <row r="68" spans="1:13" hidden="1" x14ac:dyDescent="0.25">
      <c r="A68">
        <v>67</v>
      </c>
      <c r="B68">
        <v>2025</v>
      </c>
      <c r="C68">
        <v>3</v>
      </c>
      <c r="D68">
        <v>14</v>
      </c>
      <c r="E68">
        <v>3</v>
      </c>
      <c r="G68">
        <v>216</v>
      </c>
      <c r="J68" s="48">
        <v>13</v>
      </c>
      <c r="K68">
        <v>13</v>
      </c>
      <c r="L68" t="s">
        <v>102</v>
      </c>
      <c r="M68">
        <v>4</v>
      </c>
    </row>
    <row r="69" spans="1:13" hidden="1" x14ac:dyDescent="0.25">
      <c r="A69">
        <v>68</v>
      </c>
      <c r="B69">
        <v>2025</v>
      </c>
      <c r="C69">
        <v>3</v>
      </c>
      <c r="D69">
        <v>14</v>
      </c>
      <c r="E69">
        <v>3</v>
      </c>
      <c r="G69">
        <v>250</v>
      </c>
      <c r="J69" s="48">
        <v>14</v>
      </c>
      <c r="K69">
        <v>10</v>
      </c>
      <c r="L69" t="s">
        <v>819</v>
      </c>
      <c r="M69">
        <v>2</v>
      </c>
    </row>
    <row r="70" spans="1:13" hidden="1" x14ac:dyDescent="0.25">
      <c r="A70">
        <v>69</v>
      </c>
      <c r="B70">
        <v>2025</v>
      </c>
      <c r="C70">
        <v>4</v>
      </c>
      <c r="D70">
        <v>14</v>
      </c>
      <c r="E70">
        <v>4</v>
      </c>
      <c r="G70">
        <v>1</v>
      </c>
      <c r="J70" s="48">
        <v>1</v>
      </c>
      <c r="K70">
        <v>1</v>
      </c>
      <c r="L70" t="s">
        <v>91</v>
      </c>
      <c r="M70">
        <v>730</v>
      </c>
    </row>
    <row r="71" spans="1:13" hidden="1" x14ac:dyDescent="0.25">
      <c r="A71">
        <v>70</v>
      </c>
      <c r="B71">
        <v>2025</v>
      </c>
      <c r="C71">
        <v>4</v>
      </c>
      <c r="D71">
        <v>14</v>
      </c>
      <c r="E71">
        <v>4</v>
      </c>
      <c r="G71">
        <v>1</v>
      </c>
      <c r="J71" s="48">
        <v>2</v>
      </c>
      <c r="K71">
        <v>2</v>
      </c>
      <c r="L71" t="s">
        <v>92</v>
      </c>
      <c r="M71">
        <v>1100</v>
      </c>
    </row>
    <row r="72" spans="1:13" hidden="1" x14ac:dyDescent="0.25">
      <c r="A72">
        <v>71</v>
      </c>
      <c r="B72">
        <v>2025</v>
      </c>
      <c r="C72">
        <v>4</v>
      </c>
      <c r="D72">
        <v>14</v>
      </c>
      <c r="E72">
        <v>4</v>
      </c>
      <c r="G72">
        <v>1</v>
      </c>
      <c r="J72" s="48">
        <v>3</v>
      </c>
      <c r="K72">
        <v>3</v>
      </c>
      <c r="L72" t="s">
        <v>93</v>
      </c>
      <c r="M72">
        <v>900</v>
      </c>
    </row>
    <row r="73" spans="1:13" hidden="1" x14ac:dyDescent="0.25">
      <c r="A73">
        <v>72</v>
      </c>
      <c r="B73">
        <v>2025</v>
      </c>
      <c r="C73">
        <v>4</v>
      </c>
      <c r="D73">
        <v>14</v>
      </c>
      <c r="E73">
        <v>4</v>
      </c>
      <c r="G73">
        <v>1</v>
      </c>
      <c r="J73" s="48">
        <v>4</v>
      </c>
      <c r="K73">
        <v>4</v>
      </c>
      <c r="L73" t="s">
        <v>94</v>
      </c>
      <c r="M73">
        <v>800</v>
      </c>
    </row>
    <row r="74" spans="1:13" hidden="1" x14ac:dyDescent="0.25">
      <c r="A74">
        <v>73</v>
      </c>
      <c r="B74">
        <v>2025</v>
      </c>
      <c r="C74">
        <v>4</v>
      </c>
      <c r="D74">
        <v>14</v>
      </c>
      <c r="E74">
        <v>4</v>
      </c>
      <c r="G74">
        <v>0.99999999999999989</v>
      </c>
      <c r="J74" s="48">
        <v>6</v>
      </c>
      <c r="K74">
        <v>6</v>
      </c>
      <c r="L74" t="s">
        <v>96</v>
      </c>
      <c r="M74">
        <v>4000</v>
      </c>
    </row>
    <row r="75" spans="1:13" hidden="1" x14ac:dyDescent="0.25">
      <c r="A75">
        <v>74</v>
      </c>
      <c r="B75">
        <v>2025</v>
      </c>
      <c r="C75">
        <v>4</v>
      </c>
      <c r="D75">
        <v>14</v>
      </c>
      <c r="E75">
        <v>4</v>
      </c>
      <c r="G75">
        <v>1</v>
      </c>
      <c r="J75" s="48">
        <v>7</v>
      </c>
      <c r="K75">
        <v>7</v>
      </c>
      <c r="L75" t="s">
        <v>97</v>
      </c>
      <c r="M75">
        <v>900</v>
      </c>
    </row>
    <row r="76" spans="1:13" hidden="1" x14ac:dyDescent="0.25">
      <c r="A76">
        <v>75</v>
      </c>
      <c r="B76">
        <v>2025</v>
      </c>
      <c r="C76">
        <v>4</v>
      </c>
      <c r="D76">
        <v>14</v>
      </c>
      <c r="E76">
        <v>4</v>
      </c>
      <c r="G76">
        <v>167</v>
      </c>
      <c r="J76" s="48">
        <v>8</v>
      </c>
      <c r="K76">
        <v>8</v>
      </c>
      <c r="L76" t="s">
        <v>98</v>
      </c>
      <c r="M76">
        <v>2</v>
      </c>
    </row>
    <row r="77" spans="1:13" hidden="1" x14ac:dyDescent="0.25">
      <c r="A77">
        <v>76</v>
      </c>
      <c r="B77">
        <v>2025</v>
      </c>
      <c r="C77">
        <v>4</v>
      </c>
      <c r="D77">
        <v>14</v>
      </c>
      <c r="E77">
        <v>4</v>
      </c>
      <c r="G77">
        <v>208</v>
      </c>
      <c r="J77" s="48">
        <v>9</v>
      </c>
      <c r="K77">
        <v>9</v>
      </c>
      <c r="L77" t="s">
        <v>99</v>
      </c>
      <c r="M77">
        <v>2.5</v>
      </c>
    </row>
    <row r="78" spans="1:13" hidden="1" x14ac:dyDescent="0.25">
      <c r="A78">
        <v>77</v>
      </c>
      <c r="B78">
        <v>2025</v>
      </c>
      <c r="C78">
        <v>4</v>
      </c>
      <c r="D78">
        <v>14</v>
      </c>
      <c r="E78">
        <v>4</v>
      </c>
      <c r="G78">
        <v>450</v>
      </c>
      <c r="J78" s="48">
        <v>10</v>
      </c>
      <c r="K78">
        <v>10</v>
      </c>
      <c r="L78" t="s">
        <v>819</v>
      </c>
      <c r="M78">
        <v>2</v>
      </c>
    </row>
    <row r="79" spans="1:13" hidden="1" x14ac:dyDescent="0.25">
      <c r="A79">
        <v>78</v>
      </c>
      <c r="B79">
        <v>2025</v>
      </c>
      <c r="C79">
        <v>4</v>
      </c>
      <c r="D79">
        <v>14</v>
      </c>
      <c r="E79">
        <v>4</v>
      </c>
      <c r="G79">
        <v>481</v>
      </c>
      <c r="J79" s="48">
        <v>11</v>
      </c>
      <c r="K79">
        <v>11</v>
      </c>
      <c r="L79" t="s">
        <v>100</v>
      </c>
      <c r="M79">
        <v>2</v>
      </c>
    </row>
    <row r="80" spans="1:13" hidden="1" x14ac:dyDescent="0.25">
      <c r="A80">
        <v>79</v>
      </c>
      <c r="B80">
        <v>2025</v>
      </c>
      <c r="C80">
        <v>4</v>
      </c>
      <c r="D80">
        <v>14</v>
      </c>
      <c r="E80">
        <v>4</v>
      </c>
      <c r="G80">
        <v>711</v>
      </c>
      <c r="J80" s="48">
        <v>13</v>
      </c>
      <c r="K80">
        <v>13</v>
      </c>
      <c r="L80" t="s">
        <v>102</v>
      </c>
      <c r="M80">
        <v>4</v>
      </c>
    </row>
    <row r="81" spans="1:13" hidden="1" x14ac:dyDescent="0.25">
      <c r="A81">
        <v>80</v>
      </c>
      <c r="B81">
        <v>2025</v>
      </c>
      <c r="C81">
        <v>4</v>
      </c>
      <c r="D81">
        <v>14</v>
      </c>
      <c r="E81">
        <v>4</v>
      </c>
      <c r="G81">
        <v>173</v>
      </c>
      <c r="J81" s="48">
        <v>14</v>
      </c>
      <c r="K81">
        <v>10</v>
      </c>
      <c r="L81" t="s">
        <v>819</v>
      </c>
      <c r="M81">
        <v>2</v>
      </c>
    </row>
    <row r="82" spans="1:13" hidden="1" x14ac:dyDescent="0.25">
      <c r="A82">
        <v>81</v>
      </c>
      <c r="B82">
        <v>2025</v>
      </c>
      <c r="C82">
        <v>8</v>
      </c>
      <c r="D82">
        <v>14</v>
      </c>
      <c r="E82">
        <v>5</v>
      </c>
      <c r="G82">
        <v>0.68</v>
      </c>
      <c r="J82" s="48">
        <v>15</v>
      </c>
      <c r="K82">
        <v>15</v>
      </c>
      <c r="L82" t="s">
        <v>103</v>
      </c>
      <c r="M82">
        <v>4000</v>
      </c>
    </row>
    <row r="83" spans="1:13" hidden="1" x14ac:dyDescent="0.25">
      <c r="A83">
        <v>82</v>
      </c>
      <c r="B83">
        <v>2025</v>
      </c>
      <c r="C83">
        <v>8</v>
      </c>
      <c r="D83">
        <v>14</v>
      </c>
      <c r="E83">
        <v>5</v>
      </c>
      <c r="G83">
        <v>54</v>
      </c>
      <c r="J83" s="48">
        <v>16</v>
      </c>
      <c r="K83">
        <v>16</v>
      </c>
      <c r="L83" t="s">
        <v>104</v>
      </c>
      <c r="M83">
        <v>3.5</v>
      </c>
    </row>
    <row r="84" spans="1:13" hidden="1" x14ac:dyDescent="0.25">
      <c r="A84">
        <v>83</v>
      </c>
      <c r="B84">
        <v>2025</v>
      </c>
      <c r="C84">
        <v>9</v>
      </c>
      <c r="D84">
        <v>14</v>
      </c>
      <c r="E84">
        <v>6</v>
      </c>
      <c r="G84">
        <v>1</v>
      </c>
      <c r="J84" s="48">
        <v>15</v>
      </c>
      <c r="K84">
        <v>15</v>
      </c>
      <c r="L84" t="s">
        <v>103</v>
      </c>
      <c r="M84">
        <v>4000</v>
      </c>
    </row>
    <row r="85" spans="1:13" hidden="1" x14ac:dyDescent="0.25">
      <c r="A85">
        <v>84</v>
      </c>
      <c r="B85">
        <v>2025</v>
      </c>
      <c r="C85">
        <v>9</v>
      </c>
      <c r="D85">
        <v>14</v>
      </c>
      <c r="E85">
        <v>6</v>
      </c>
      <c r="G85">
        <v>177</v>
      </c>
      <c r="J85" s="48">
        <v>16</v>
      </c>
      <c r="K85">
        <v>16</v>
      </c>
      <c r="L85" t="s">
        <v>104</v>
      </c>
      <c r="M85">
        <v>3.5</v>
      </c>
    </row>
    <row r="86" spans="1:13" hidden="1" x14ac:dyDescent="0.25">
      <c r="A86">
        <v>85</v>
      </c>
      <c r="B86">
        <v>2025</v>
      </c>
      <c r="C86">
        <v>10</v>
      </c>
      <c r="D86">
        <v>14</v>
      </c>
      <c r="E86">
        <v>7</v>
      </c>
      <c r="G86">
        <v>1</v>
      </c>
      <c r="J86" s="48">
        <v>15</v>
      </c>
      <c r="K86">
        <v>15</v>
      </c>
      <c r="L86" t="s">
        <v>103</v>
      </c>
      <c r="M86">
        <v>4000</v>
      </c>
    </row>
    <row r="87" spans="1:13" hidden="1" x14ac:dyDescent="0.25">
      <c r="A87">
        <v>86</v>
      </c>
      <c r="B87">
        <v>2025</v>
      </c>
      <c r="C87">
        <v>11</v>
      </c>
      <c r="D87">
        <v>14</v>
      </c>
      <c r="E87">
        <v>8</v>
      </c>
      <c r="G87">
        <v>1</v>
      </c>
      <c r="J87" s="48">
        <v>15</v>
      </c>
      <c r="K87">
        <v>15</v>
      </c>
      <c r="L87" t="s">
        <v>103</v>
      </c>
      <c r="M87">
        <v>4000</v>
      </c>
    </row>
    <row r="88" spans="1:13" hidden="1" x14ac:dyDescent="0.25">
      <c r="A88">
        <v>87</v>
      </c>
      <c r="B88">
        <v>2025</v>
      </c>
      <c r="C88">
        <v>11</v>
      </c>
      <c r="D88">
        <v>14</v>
      </c>
      <c r="E88">
        <v>8</v>
      </c>
      <c r="G88">
        <v>198</v>
      </c>
      <c r="J88" s="48">
        <v>16</v>
      </c>
      <c r="K88">
        <v>16</v>
      </c>
      <c r="L88" t="s">
        <v>104</v>
      </c>
      <c r="M88">
        <v>3.5</v>
      </c>
    </row>
    <row r="89" spans="1:13" hidden="1" x14ac:dyDescent="0.25">
      <c r="A89">
        <v>88</v>
      </c>
      <c r="B89">
        <v>2025</v>
      </c>
      <c r="C89">
        <v>3</v>
      </c>
      <c r="D89">
        <v>30</v>
      </c>
      <c r="E89">
        <v>3</v>
      </c>
      <c r="G89">
        <v>1</v>
      </c>
      <c r="J89" s="48">
        <v>3</v>
      </c>
      <c r="K89">
        <v>3</v>
      </c>
      <c r="L89" t="s">
        <v>311</v>
      </c>
      <c r="M89">
        <v>5500</v>
      </c>
    </row>
    <row r="90" spans="1:13" hidden="1" x14ac:dyDescent="0.25">
      <c r="A90">
        <v>89</v>
      </c>
      <c r="B90">
        <v>2025</v>
      </c>
      <c r="C90">
        <v>3</v>
      </c>
      <c r="D90">
        <v>30</v>
      </c>
      <c r="E90">
        <v>3</v>
      </c>
      <c r="G90">
        <v>1</v>
      </c>
      <c r="J90" s="48">
        <v>4</v>
      </c>
      <c r="K90">
        <v>4</v>
      </c>
      <c r="L90" t="s">
        <v>312</v>
      </c>
      <c r="M90">
        <v>5500</v>
      </c>
    </row>
    <row r="91" spans="1:13" hidden="1" x14ac:dyDescent="0.25">
      <c r="A91">
        <v>90</v>
      </c>
      <c r="B91">
        <v>2025</v>
      </c>
      <c r="C91">
        <v>4</v>
      </c>
      <c r="D91">
        <v>30</v>
      </c>
      <c r="E91">
        <v>4</v>
      </c>
      <c r="G91">
        <v>1</v>
      </c>
      <c r="J91" s="48">
        <v>3</v>
      </c>
      <c r="K91">
        <v>3</v>
      </c>
      <c r="L91" t="s">
        <v>311</v>
      </c>
      <c r="M91">
        <v>5500</v>
      </c>
    </row>
    <row r="92" spans="1:13" hidden="1" x14ac:dyDescent="0.25">
      <c r="A92">
        <v>91</v>
      </c>
      <c r="B92">
        <v>2025</v>
      </c>
      <c r="C92">
        <v>4</v>
      </c>
      <c r="D92">
        <v>30</v>
      </c>
      <c r="E92">
        <v>4</v>
      </c>
      <c r="G92">
        <v>1</v>
      </c>
      <c r="J92" s="48">
        <v>4</v>
      </c>
      <c r="K92">
        <v>4</v>
      </c>
      <c r="L92" t="s">
        <v>312</v>
      </c>
      <c r="M92">
        <v>5500</v>
      </c>
    </row>
    <row r="93" spans="1:13" hidden="1" x14ac:dyDescent="0.25">
      <c r="A93">
        <v>92</v>
      </c>
      <c r="B93">
        <v>2025</v>
      </c>
      <c r="C93">
        <v>5</v>
      </c>
      <c r="D93">
        <v>30</v>
      </c>
      <c r="E93">
        <v>5</v>
      </c>
      <c r="G93">
        <v>1</v>
      </c>
      <c r="J93" s="48">
        <v>4</v>
      </c>
      <c r="K93">
        <v>4</v>
      </c>
      <c r="L93" t="s">
        <v>312</v>
      </c>
      <c r="M93">
        <v>5500</v>
      </c>
    </row>
    <row r="94" spans="1:13" hidden="1" x14ac:dyDescent="0.25">
      <c r="A94">
        <v>93</v>
      </c>
      <c r="B94">
        <v>2025</v>
      </c>
      <c r="C94">
        <v>6</v>
      </c>
      <c r="D94">
        <v>30</v>
      </c>
      <c r="E94">
        <v>6</v>
      </c>
      <c r="G94">
        <v>1</v>
      </c>
      <c r="J94" s="48">
        <v>4</v>
      </c>
      <c r="K94">
        <v>4</v>
      </c>
      <c r="L94" t="s">
        <v>312</v>
      </c>
      <c r="M94">
        <v>5500</v>
      </c>
    </row>
    <row r="95" spans="1:13" hidden="1" x14ac:dyDescent="0.25">
      <c r="A95">
        <v>94</v>
      </c>
      <c r="B95">
        <v>2025</v>
      </c>
      <c r="C95">
        <v>7</v>
      </c>
      <c r="D95">
        <v>30</v>
      </c>
      <c r="E95">
        <v>7</v>
      </c>
      <c r="G95">
        <v>1</v>
      </c>
      <c r="J95" s="48">
        <v>4</v>
      </c>
      <c r="K95">
        <v>4</v>
      </c>
      <c r="L95" t="s">
        <v>312</v>
      </c>
      <c r="M95">
        <v>5500</v>
      </c>
    </row>
    <row r="96" spans="1:13" hidden="1" x14ac:dyDescent="0.25">
      <c r="A96">
        <v>95</v>
      </c>
      <c r="B96">
        <v>2025</v>
      </c>
      <c r="C96">
        <v>8</v>
      </c>
      <c r="D96">
        <v>30</v>
      </c>
      <c r="E96">
        <v>8</v>
      </c>
      <c r="G96">
        <v>1</v>
      </c>
      <c r="J96" s="48">
        <v>4</v>
      </c>
      <c r="K96">
        <v>4</v>
      </c>
      <c r="L96" t="s">
        <v>312</v>
      </c>
      <c r="M96">
        <v>5500</v>
      </c>
    </row>
    <row r="97" spans="1:13" hidden="1" x14ac:dyDescent="0.25">
      <c r="A97">
        <v>96</v>
      </c>
      <c r="B97">
        <v>2025</v>
      </c>
      <c r="C97">
        <v>9</v>
      </c>
      <c r="D97">
        <v>30</v>
      </c>
      <c r="E97">
        <v>9</v>
      </c>
      <c r="G97">
        <v>1</v>
      </c>
      <c r="J97" s="48">
        <v>4</v>
      </c>
      <c r="K97">
        <v>4</v>
      </c>
      <c r="L97" t="s">
        <v>312</v>
      </c>
      <c r="M97">
        <v>5500</v>
      </c>
    </row>
    <row r="98" spans="1:13" hidden="1" x14ac:dyDescent="0.25">
      <c r="A98">
        <v>97</v>
      </c>
      <c r="B98">
        <v>2025</v>
      </c>
      <c r="C98">
        <v>10</v>
      </c>
      <c r="D98">
        <v>30</v>
      </c>
      <c r="E98">
        <v>10</v>
      </c>
      <c r="G98">
        <v>1</v>
      </c>
      <c r="J98" s="48">
        <v>4</v>
      </c>
      <c r="K98">
        <v>4</v>
      </c>
      <c r="L98" t="s">
        <v>312</v>
      </c>
      <c r="M98">
        <v>5500</v>
      </c>
    </row>
    <row r="99" spans="1:13" hidden="1" x14ac:dyDescent="0.25">
      <c r="A99">
        <v>98</v>
      </c>
      <c r="B99">
        <v>2025</v>
      </c>
      <c r="C99">
        <v>11</v>
      </c>
      <c r="D99">
        <v>30</v>
      </c>
      <c r="E99">
        <v>11</v>
      </c>
      <c r="G99">
        <v>1</v>
      </c>
      <c r="J99" s="48">
        <v>4</v>
      </c>
      <c r="K99">
        <v>4</v>
      </c>
      <c r="L99" t="s">
        <v>312</v>
      </c>
      <c r="M99">
        <v>5500</v>
      </c>
    </row>
    <row r="100" spans="1:13" hidden="1" x14ac:dyDescent="0.25">
      <c r="A100">
        <v>99</v>
      </c>
      <c r="B100">
        <v>2025</v>
      </c>
      <c r="C100">
        <v>2</v>
      </c>
      <c r="D100">
        <v>31</v>
      </c>
      <c r="E100">
        <v>1</v>
      </c>
      <c r="G100">
        <v>2956</v>
      </c>
      <c r="J100" s="48" t="s">
        <v>319</v>
      </c>
      <c r="K100" t="s">
        <v>319</v>
      </c>
      <c r="L100" t="s">
        <v>132</v>
      </c>
      <c r="M100">
        <v>1</v>
      </c>
    </row>
    <row r="101" spans="1:13" hidden="1" x14ac:dyDescent="0.25">
      <c r="A101">
        <v>100</v>
      </c>
      <c r="B101">
        <v>2025</v>
      </c>
      <c r="C101">
        <v>2</v>
      </c>
      <c r="D101">
        <v>31</v>
      </c>
      <c r="E101">
        <v>1</v>
      </c>
      <c r="G101">
        <v>2956</v>
      </c>
      <c r="J101" s="48" t="s">
        <v>315</v>
      </c>
      <c r="K101" t="s">
        <v>315</v>
      </c>
      <c r="L101" t="s">
        <v>623</v>
      </c>
      <c r="M101">
        <v>-1</v>
      </c>
    </row>
    <row r="102" spans="1:13" hidden="1" x14ac:dyDescent="0.25">
      <c r="A102">
        <v>101</v>
      </c>
      <c r="B102">
        <v>2025</v>
      </c>
      <c r="C102">
        <v>3</v>
      </c>
      <c r="D102">
        <v>31</v>
      </c>
      <c r="E102">
        <v>2</v>
      </c>
      <c r="G102">
        <f>SUMIFS(log_daily_records!AP:AP,log_daily_records!E:E,D102,log_daily_records!F:F,E102)</f>
        <v>11129.910000000002</v>
      </c>
      <c r="J102" t="s">
        <v>319</v>
      </c>
      <c r="K102" t="s">
        <v>319</v>
      </c>
      <c r="L102" t="s">
        <v>132</v>
      </c>
      <c r="M102">
        <v>1</v>
      </c>
    </row>
    <row r="103" spans="1:13" hidden="1" x14ac:dyDescent="0.25">
      <c r="A103">
        <v>102</v>
      </c>
      <c r="B103">
        <v>2025</v>
      </c>
      <c r="C103">
        <v>3</v>
      </c>
      <c r="D103">
        <v>31</v>
      </c>
      <c r="E103">
        <v>2</v>
      </c>
      <c r="G103">
        <v>9319</v>
      </c>
      <c r="J103" t="s">
        <v>315</v>
      </c>
      <c r="K103" t="s">
        <v>315</v>
      </c>
      <c r="L103" t="s">
        <v>623</v>
      </c>
      <c r="M103">
        <v>-1</v>
      </c>
    </row>
    <row r="104" spans="1:13" hidden="1" x14ac:dyDescent="0.25">
      <c r="A104">
        <v>103</v>
      </c>
      <c r="B104">
        <v>2025</v>
      </c>
      <c r="C104">
        <v>3</v>
      </c>
      <c r="D104">
        <v>31</v>
      </c>
      <c r="E104">
        <v>2</v>
      </c>
      <c r="G104">
        <v>100</v>
      </c>
      <c r="J104" t="s">
        <v>324</v>
      </c>
      <c r="K104" t="s">
        <v>324</v>
      </c>
      <c r="L104" t="s">
        <v>626</v>
      </c>
      <c r="M104">
        <v>-1</v>
      </c>
    </row>
    <row r="105" spans="1:13" hidden="1" x14ac:dyDescent="0.25">
      <c r="A105">
        <v>104</v>
      </c>
      <c r="B105">
        <v>2025</v>
      </c>
      <c r="C105">
        <v>4</v>
      </c>
      <c r="D105">
        <v>31</v>
      </c>
      <c r="E105">
        <v>3</v>
      </c>
      <c r="G105">
        <f>SUMIFS(log_daily_records!AP:AP,log_daily_records!E:E,D105,log_daily_records!F:F,E105)</f>
        <v>7666.7399999999989</v>
      </c>
      <c r="J105" t="s">
        <v>319</v>
      </c>
      <c r="K105" t="s">
        <v>319</v>
      </c>
      <c r="L105" t="s">
        <v>132</v>
      </c>
      <c r="M105">
        <v>1</v>
      </c>
    </row>
    <row r="106" spans="1:13" hidden="1" x14ac:dyDescent="0.25">
      <c r="A106">
        <v>105</v>
      </c>
      <c r="B106">
        <v>2025</v>
      </c>
      <c r="C106">
        <v>4</v>
      </c>
      <c r="D106">
        <v>31</v>
      </c>
      <c r="E106">
        <v>3</v>
      </c>
      <c r="G106">
        <v>6009</v>
      </c>
      <c r="J106" t="s">
        <v>315</v>
      </c>
      <c r="K106" t="s">
        <v>315</v>
      </c>
      <c r="L106" t="s">
        <v>623</v>
      </c>
      <c r="M106">
        <v>-1</v>
      </c>
    </row>
    <row r="107" spans="1:13" hidden="1" x14ac:dyDescent="0.25">
      <c r="A107">
        <v>106</v>
      </c>
      <c r="B107">
        <v>2025</v>
      </c>
      <c r="C107">
        <v>5</v>
      </c>
      <c r="D107">
        <v>31</v>
      </c>
      <c r="E107">
        <v>4</v>
      </c>
      <c r="G107">
        <f>SUMIFS(log_daily_records!AP:AP,log_daily_records!E:E,D107,log_daily_records!F:F,E107)</f>
        <v>7701.45</v>
      </c>
      <c r="J107" t="s">
        <v>319</v>
      </c>
      <c r="K107" t="s">
        <v>319</v>
      </c>
      <c r="L107" t="s">
        <v>132</v>
      </c>
      <c r="M107">
        <v>1</v>
      </c>
    </row>
    <row r="108" spans="1:13" hidden="1" x14ac:dyDescent="0.25">
      <c r="A108">
        <v>107</v>
      </c>
      <c r="B108">
        <v>2025</v>
      </c>
      <c r="C108">
        <v>5</v>
      </c>
      <c r="D108">
        <v>31</v>
      </c>
      <c r="E108">
        <v>4</v>
      </c>
      <c r="G108">
        <v>6357</v>
      </c>
      <c r="J108" t="s">
        <v>315</v>
      </c>
      <c r="K108" t="s">
        <v>315</v>
      </c>
      <c r="L108" t="s">
        <v>623</v>
      </c>
      <c r="M108">
        <v>-1</v>
      </c>
    </row>
    <row r="109" spans="1:13" hidden="1" x14ac:dyDescent="0.25">
      <c r="A109">
        <v>108</v>
      </c>
      <c r="B109">
        <v>2025</v>
      </c>
      <c r="C109">
        <v>6</v>
      </c>
      <c r="D109">
        <v>31</v>
      </c>
      <c r="E109">
        <v>5</v>
      </c>
      <c r="G109">
        <f>SUMIFS(log_daily_records!AP:AP,log_daily_records!E:E,D109,log_daily_records!F:F,E109)</f>
        <v>8670.24</v>
      </c>
      <c r="J109" t="s">
        <v>319</v>
      </c>
      <c r="K109" t="s">
        <v>319</v>
      </c>
      <c r="L109" t="s">
        <v>132</v>
      </c>
      <c r="M109">
        <v>1</v>
      </c>
    </row>
    <row r="110" spans="1:13" hidden="1" x14ac:dyDescent="0.25">
      <c r="A110">
        <v>109</v>
      </c>
      <c r="B110">
        <v>2025</v>
      </c>
      <c r="C110">
        <v>6</v>
      </c>
      <c r="D110">
        <v>31</v>
      </c>
      <c r="E110">
        <v>5</v>
      </c>
      <c r="G110">
        <v>6873.2350000000006</v>
      </c>
      <c r="J110" t="s">
        <v>315</v>
      </c>
      <c r="K110" t="s">
        <v>315</v>
      </c>
      <c r="L110" t="s">
        <v>623</v>
      </c>
      <c r="M110">
        <v>-1</v>
      </c>
    </row>
    <row r="111" spans="1:13" hidden="1" x14ac:dyDescent="0.25">
      <c r="A111">
        <v>110</v>
      </c>
      <c r="B111">
        <v>2025</v>
      </c>
      <c r="C111">
        <v>7</v>
      </c>
      <c r="D111">
        <v>31</v>
      </c>
      <c r="E111">
        <v>6</v>
      </c>
      <c r="G111">
        <f>SUMIFS(log_daily_records!AP:AP,log_daily_records!E:E,D111,log_daily_records!F:F,E111)-751.13</f>
        <v>7430.7399999999989</v>
      </c>
      <c r="I111" s="57" t="s">
        <v>348</v>
      </c>
      <c r="J111" t="s">
        <v>319</v>
      </c>
      <c r="K111" t="s">
        <v>319</v>
      </c>
      <c r="L111" t="s">
        <v>132</v>
      </c>
      <c r="M111">
        <v>1</v>
      </c>
    </row>
    <row r="112" spans="1:13" hidden="1" x14ac:dyDescent="0.25">
      <c r="A112">
        <v>111</v>
      </c>
      <c r="B112">
        <v>2025</v>
      </c>
      <c r="C112">
        <v>7</v>
      </c>
      <c r="D112">
        <v>31</v>
      </c>
      <c r="E112">
        <v>6</v>
      </c>
      <c r="G112">
        <v>7221</v>
      </c>
      <c r="J112" t="s">
        <v>315</v>
      </c>
      <c r="K112" t="s">
        <v>315</v>
      </c>
      <c r="L112" t="s">
        <v>623</v>
      </c>
      <c r="M112">
        <v>-1</v>
      </c>
    </row>
    <row r="113" spans="1:13" hidden="1" x14ac:dyDescent="0.25">
      <c r="A113">
        <v>112</v>
      </c>
      <c r="B113">
        <v>2025</v>
      </c>
      <c r="C113">
        <v>8</v>
      </c>
      <c r="D113">
        <v>31</v>
      </c>
      <c r="E113">
        <v>7</v>
      </c>
      <c r="F113" t="s">
        <v>155</v>
      </c>
      <c r="G113">
        <v>27</v>
      </c>
      <c r="J113">
        <v>31</v>
      </c>
      <c r="K113">
        <v>31</v>
      </c>
      <c r="L113" t="s">
        <v>194</v>
      </c>
      <c r="M113">
        <v>55.36</v>
      </c>
    </row>
    <row r="114" spans="1:13" hidden="1" x14ac:dyDescent="0.25">
      <c r="A114">
        <v>113</v>
      </c>
      <c r="B114">
        <v>2025</v>
      </c>
      <c r="C114">
        <v>8</v>
      </c>
      <c r="D114">
        <v>31</v>
      </c>
      <c r="E114">
        <v>7</v>
      </c>
      <c r="F114" t="s">
        <v>155</v>
      </c>
      <c r="G114">
        <v>64</v>
      </c>
      <c r="J114">
        <v>29</v>
      </c>
      <c r="K114">
        <v>29</v>
      </c>
      <c r="L114" t="s">
        <v>192</v>
      </c>
      <c r="M114">
        <v>5.5359999999999996</v>
      </c>
    </row>
    <row r="115" spans="1:13" hidden="1" x14ac:dyDescent="0.25">
      <c r="A115">
        <v>114</v>
      </c>
      <c r="B115">
        <v>2025</v>
      </c>
      <c r="C115">
        <v>8</v>
      </c>
      <c r="D115">
        <v>31</v>
      </c>
      <c r="E115">
        <v>7</v>
      </c>
      <c r="G115">
        <f>SUMIFS(log_daily_records!AP:AP,log_daily_records!E:E,D115,log_daily_records!F:F,E115)+140</f>
        <v>10262.759999999998</v>
      </c>
      <c r="I115" s="57" t="s">
        <v>349</v>
      </c>
      <c r="J115" t="s">
        <v>319</v>
      </c>
      <c r="K115" t="s">
        <v>319</v>
      </c>
      <c r="L115" t="s">
        <v>132</v>
      </c>
      <c r="M115">
        <v>1</v>
      </c>
    </row>
    <row r="116" spans="1:13" hidden="1" x14ac:dyDescent="0.25">
      <c r="A116">
        <v>115</v>
      </c>
      <c r="B116">
        <v>2025</v>
      </c>
      <c r="C116">
        <v>8</v>
      </c>
      <c r="D116">
        <v>31</v>
      </c>
      <c r="E116">
        <v>7</v>
      </c>
      <c r="G116">
        <v>8379.42</v>
      </c>
      <c r="J116" t="s">
        <v>315</v>
      </c>
      <c r="K116" t="s">
        <v>315</v>
      </c>
      <c r="L116" t="s">
        <v>623</v>
      </c>
      <c r="M116">
        <v>-1</v>
      </c>
    </row>
    <row r="117" spans="1:13" hidden="1" x14ac:dyDescent="0.25">
      <c r="A117">
        <v>116</v>
      </c>
      <c r="B117">
        <v>2025</v>
      </c>
      <c r="C117">
        <v>9</v>
      </c>
      <c r="D117">
        <v>31</v>
      </c>
      <c r="E117">
        <v>8</v>
      </c>
      <c r="F117" t="s">
        <v>155</v>
      </c>
      <c r="G117">
        <v>30</v>
      </c>
      <c r="H117" t="s">
        <v>543</v>
      </c>
      <c r="J117">
        <v>31</v>
      </c>
      <c r="K117">
        <v>31</v>
      </c>
      <c r="L117" t="s">
        <v>194</v>
      </c>
      <c r="M117">
        <v>55.36</v>
      </c>
    </row>
    <row r="118" spans="1:13" hidden="1" x14ac:dyDescent="0.25">
      <c r="A118">
        <v>117</v>
      </c>
      <c r="B118">
        <v>2025</v>
      </c>
      <c r="C118">
        <v>9</v>
      </c>
      <c r="D118">
        <v>31</v>
      </c>
      <c r="E118">
        <v>8</v>
      </c>
      <c r="F118" t="s">
        <v>155</v>
      </c>
      <c r="G118">
        <v>67</v>
      </c>
      <c r="H118" t="s">
        <v>544</v>
      </c>
      <c r="J118">
        <v>29</v>
      </c>
      <c r="K118">
        <v>29</v>
      </c>
      <c r="L118" t="s">
        <v>192</v>
      </c>
      <c r="M118">
        <v>5.5359999999999996</v>
      </c>
    </row>
    <row r="119" spans="1:13" hidden="1" x14ac:dyDescent="0.25">
      <c r="A119">
        <v>118</v>
      </c>
      <c r="B119">
        <v>2025</v>
      </c>
      <c r="C119">
        <v>9</v>
      </c>
      <c r="D119">
        <v>31</v>
      </c>
      <c r="E119">
        <v>8</v>
      </c>
      <c r="G119">
        <f>SUMIFS(log_daily_records!AP:AP,log_daily_records!E:E,D119,log_daily_records!F:F,E119)</f>
        <v>11888.04</v>
      </c>
      <c r="J119" t="s">
        <v>319</v>
      </c>
      <c r="K119" t="s">
        <v>319</v>
      </c>
      <c r="L119" t="s">
        <v>132</v>
      </c>
      <c r="M119">
        <v>1</v>
      </c>
    </row>
    <row r="120" spans="1:13" hidden="1" x14ac:dyDescent="0.25">
      <c r="A120">
        <v>119</v>
      </c>
      <c r="B120">
        <v>2025</v>
      </c>
      <c r="C120">
        <v>9</v>
      </c>
      <c r="D120">
        <v>31</v>
      </c>
      <c r="E120">
        <v>8</v>
      </c>
      <c r="G120">
        <v>9645</v>
      </c>
      <c r="J120" t="s">
        <v>315</v>
      </c>
      <c r="K120" t="s">
        <v>315</v>
      </c>
      <c r="L120" t="s">
        <v>623</v>
      </c>
      <c r="M120">
        <v>-1</v>
      </c>
    </row>
    <row r="121" spans="1:13" hidden="1" x14ac:dyDescent="0.25">
      <c r="A121">
        <v>120</v>
      </c>
      <c r="B121">
        <v>2025</v>
      </c>
      <c r="C121">
        <v>10</v>
      </c>
      <c r="D121">
        <v>31</v>
      </c>
      <c r="E121">
        <v>9</v>
      </c>
      <c r="F121" t="s">
        <v>155</v>
      </c>
      <c r="G121">
        <v>1</v>
      </c>
      <c r="H121" t="s">
        <v>543</v>
      </c>
      <c r="J121">
        <v>31</v>
      </c>
      <c r="K121">
        <v>31</v>
      </c>
      <c r="L121" t="s">
        <v>194</v>
      </c>
      <c r="M121">
        <v>55.36</v>
      </c>
    </row>
    <row r="122" spans="1:13" hidden="1" x14ac:dyDescent="0.25">
      <c r="A122">
        <v>121</v>
      </c>
      <c r="B122">
        <v>2025</v>
      </c>
      <c r="C122">
        <v>10</v>
      </c>
      <c r="D122">
        <v>31</v>
      </c>
      <c r="E122">
        <v>9</v>
      </c>
      <c r="F122" t="s">
        <v>155</v>
      </c>
      <c r="G122">
        <v>20</v>
      </c>
      <c r="H122" t="s">
        <v>544</v>
      </c>
      <c r="I122" t="s">
        <v>347</v>
      </c>
      <c r="J122">
        <v>29</v>
      </c>
      <c r="K122">
        <v>29</v>
      </c>
      <c r="L122" t="s">
        <v>192</v>
      </c>
      <c r="M122">
        <v>5.5359999999999996</v>
      </c>
    </row>
    <row r="123" spans="1:13" hidden="1" x14ac:dyDescent="0.25">
      <c r="A123">
        <v>122</v>
      </c>
      <c r="B123">
        <v>2025</v>
      </c>
      <c r="C123">
        <v>10</v>
      </c>
      <c r="D123">
        <v>31</v>
      </c>
      <c r="E123">
        <v>9</v>
      </c>
      <c r="G123">
        <f>SUMIFS(log_daily_records!AP:AP,log_daily_records!E:E,D123,log_daily_records!F:F,E123)</f>
        <v>12646.799928500002</v>
      </c>
      <c r="J123" t="s">
        <v>319</v>
      </c>
      <c r="K123" t="s">
        <v>319</v>
      </c>
      <c r="L123" t="s">
        <v>132</v>
      </c>
      <c r="M123">
        <v>1</v>
      </c>
    </row>
    <row r="124" spans="1:13" hidden="1" x14ac:dyDescent="0.25">
      <c r="A124">
        <v>123</v>
      </c>
      <c r="B124">
        <v>2025</v>
      </c>
      <c r="C124">
        <v>10</v>
      </c>
      <c r="D124">
        <v>31</v>
      </c>
      <c r="E124">
        <v>9</v>
      </c>
      <c r="G124">
        <v>10987</v>
      </c>
      <c r="J124" t="s">
        <v>315</v>
      </c>
      <c r="K124" t="s">
        <v>315</v>
      </c>
      <c r="L124" t="s">
        <v>623</v>
      </c>
      <c r="M124">
        <v>-1</v>
      </c>
    </row>
    <row r="125" spans="1:13" hidden="1" x14ac:dyDescent="0.25">
      <c r="A125">
        <v>124</v>
      </c>
      <c r="B125">
        <v>2025</v>
      </c>
      <c r="C125">
        <v>11</v>
      </c>
      <c r="D125">
        <v>31</v>
      </c>
      <c r="E125">
        <v>10</v>
      </c>
      <c r="G125">
        <f>SUMIFS(log_daily_records!AP:AP,log_daily_records!E:E,D125,log_daily_records!F:F,E125)</f>
        <v>12886.4409977</v>
      </c>
      <c r="J125" t="s">
        <v>319</v>
      </c>
      <c r="K125" t="s">
        <v>319</v>
      </c>
      <c r="L125" t="s">
        <v>132</v>
      </c>
      <c r="M125">
        <v>1</v>
      </c>
    </row>
    <row r="126" spans="1:13" hidden="1" x14ac:dyDescent="0.25">
      <c r="A126">
        <v>125</v>
      </c>
      <c r="B126">
        <v>2025</v>
      </c>
      <c r="C126">
        <v>11</v>
      </c>
      <c r="D126">
        <v>31</v>
      </c>
      <c r="E126">
        <v>10</v>
      </c>
      <c r="G126">
        <v>11358</v>
      </c>
      <c r="J126" t="s">
        <v>315</v>
      </c>
      <c r="K126" t="s">
        <v>315</v>
      </c>
      <c r="L126" t="s">
        <v>623</v>
      </c>
      <c r="M126">
        <v>-1</v>
      </c>
    </row>
    <row r="127" spans="1:13" hidden="1" x14ac:dyDescent="0.25">
      <c r="A127">
        <v>126</v>
      </c>
      <c r="B127">
        <v>2025</v>
      </c>
      <c r="C127">
        <v>11</v>
      </c>
      <c r="D127">
        <v>31</v>
      </c>
      <c r="E127">
        <v>10</v>
      </c>
      <c r="G127">
        <v>58</v>
      </c>
      <c r="J127" t="s">
        <v>362</v>
      </c>
      <c r="K127" t="s">
        <v>362</v>
      </c>
      <c r="L127" t="s">
        <v>624</v>
      </c>
      <c r="M127">
        <v>-55.36</v>
      </c>
    </row>
    <row r="128" spans="1:13" hidden="1" x14ac:dyDescent="0.25">
      <c r="A128">
        <v>127</v>
      </c>
      <c r="B128">
        <v>2025</v>
      </c>
      <c r="C128">
        <v>11</v>
      </c>
      <c r="D128">
        <v>31</v>
      </c>
      <c r="E128">
        <v>10</v>
      </c>
      <c r="G128">
        <v>150.999</v>
      </c>
      <c r="J128" t="s">
        <v>363</v>
      </c>
      <c r="K128" t="s">
        <v>363</v>
      </c>
      <c r="L128" t="s">
        <v>625</v>
      </c>
      <c r="M128">
        <v>-5.5359999999999996</v>
      </c>
    </row>
    <row r="129" spans="1:13" hidden="1" x14ac:dyDescent="0.25">
      <c r="A129">
        <v>128</v>
      </c>
      <c r="B129">
        <v>2024</v>
      </c>
      <c r="C129">
        <v>9</v>
      </c>
      <c r="D129">
        <v>33</v>
      </c>
      <c r="E129">
        <v>4</v>
      </c>
      <c r="G129">
        <v>19225</v>
      </c>
      <c r="J129" s="48">
        <v>1</v>
      </c>
      <c r="K129">
        <v>1</v>
      </c>
      <c r="L129" t="s">
        <v>441</v>
      </c>
      <c r="M129">
        <v>1.5</v>
      </c>
    </row>
    <row r="130" spans="1:13" hidden="1" x14ac:dyDescent="0.25">
      <c r="A130">
        <v>129</v>
      </c>
      <c r="B130">
        <v>2024</v>
      </c>
      <c r="C130">
        <v>9</v>
      </c>
      <c r="D130">
        <v>33</v>
      </c>
      <c r="E130">
        <v>4</v>
      </c>
      <c r="G130">
        <v>25773</v>
      </c>
      <c r="J130">
        <v>2</v>
      </c>
      <c r="K130">
        <v>2</v>
      </c>
      <c r="L130" t="s">
        <v>442</v>
      </c>
      <c r="M130">
        <v>4.7</v>
      </c>
    </row>
    <row r="131" spans="1:13" hidden="1" x14ac:dyDescent="0.25">
      <c r="A131">
        <v>130</v>
      </c>
      <c r="B131">
        <v>2024</v>
      </c>
      <c r="C131">
        <v>9</v>
      </c>
      <c r="D131">
        <v>33</v>
      </c>
      <c r="E131">
        <v>4</v>
      </c>
      <c r="G131">
        <v>21414</v>
      </c>
      <c r="J131">
        <v>3</v>
      </c>
      <c r="K131">
        <v>3</v>
      </c>
      <c r="L131" t="s">
        <v>443</v>
      </c>
      <c r="M131">
        <v>4.7</v>
      </c>
    </row>
    <row r="132" spans="1:13" hidden="1" x14ac:dyDescent="0.25">
      <c r="A132">
        <v>131</v>
      </c>
      <c r="B132">
        <v>2024</v>
      </c>
      <c r="C132">
        <v>9</v>
      </c>
      <c r="D132">
        <v>33</v>
      </c>
      <c r="E132">
        <v>4</v>
      </c>
      <c r="G132">
        <v>3363</v>
      </c>
      <c r="J132">
        <v>5</v>
      </c>
      <c r="K132">
        <v>5</v>
      </c>
      <c r="L132" t="s">
        <v>444</v>
      </c>
      <c r="M132">
        <v>3.85</v>
      </c>
    </row>
    <row r="133" spans="1:13" hidden="1" x14ac:dyDescent="0.25">
      <c r="A133">
        <v>132</v>
      </c>
      <c r="B133">
        <v>2025</v>
      </c>
      <c r="C133">
        <v>1</v>
      </c>
      <c r="D133">
        <v>33</v>
      </c>
      <c r="E133">
        <v>5</v>
      </c>
      <c r="G133">
        <v>13344</v>
      </c>
      <c r="J133" s="48">
        <v>1</v>
      </c>
      <c r="K133">
        <v>1</v>
      </c>
      <c r="L133" t="s">
        <v>441</v>
      </c>
      <c r="M133">
        <v>1.5</v>
      </c>
    </row>
    <row r="134" spans="1:13" hidden="1" x14ac:dyDescent="0.25">
      <c r="A134">
        <v>133</v>
      </c>
      <c r="B134">
        <v>2025</v>
      </c>
      <c r="C134">
        <v>1</v>
      </c>
      <c r="D134">
        <v>33</v>
      </c>
      <c r="E134">
        <v>5</v>
      </c>
      <c r="G134">
        <v>18963</v>
      </c>
      <c r="J134">
        <v>2</v>
      </c>
      <c r="K134">
        <v>2</v>
      </c>
      <c r="L134" t="s">
        <v>442</v>
      </c>
      <c r="M134">
        <v>4.7</v>
      </c>
    </row>
    <row r="135" spans="1:13" hidden="1" x14ac:dyDescent="0.25">
      <c r="A135">
        <v>134</v>
      </c>
      <c r="B135">
        <v>2025</v>
      </c>
      <c r="C135">
        <v>1</v>
      </c>
      <c r="D135">
        <v>33</v>
      </c>
      <c r="E135">
        <v>5</v>
      </c>
      <c r="G135">
        <v>15716</v>
      </c>
      <c r="J135">
        <v>3</v>
      </c>
      <c r="K135">
        <v>3</v>
      </c>
      <c r="L135" t="s">
        <v>443</v>
      </c>
      <c r="M135">
        <v>4.7</v>
      </c>
    </row>
    <row r="136" spans="1:13" hidden="1" x14ac:dyDescent="0.25">
      <c r="A136">
        <v>135</v>
      </c>
      <c r="B136">
        <v>2025</v>
      </c>
      <c r="C136">
        <v>1</v>
      </c>
      <c r="D136">
        <v>33</v>
      </c>
      <c r="E136">
        <v>5</v>
      </c>
      <c r="G136">
        <v>1736</v>
      </c>
      <c r="J136">
        <v>5</v>
      </c>
      <c r="K136">
        <v>5</v>
      </c>
      <c r="L136" t="s">
        <v>444</v>
      </c>
      <c r="M136">
        <v>3.85</v>
      </c>
    </row>
    <row r="137" spans="1:13" hidden="1" x14ac:dyDescent="0.25">
      <c r="A137">
        <v>136</v>
      </c>
      <c r="B137">
        <v>2025</v>
      </c>
      <c r="C137">
        <v>2</v>
      </c>
      <c r="D137">
        <v>33</v>
      </c>
      <c r="E137">
        <v>6</v>
      </c>
      <c r="G137">
        <v>-13344</v>
      </c>
      <c r="J137">
        <v>1</v>
      </c>
      <c r="K137">
        <v>1</v>
      </c>
      <c r="L137" t="s">
        <v>441</v>
      </c>
      <c r="M137">
        <v>1.5</v>
      </c>
    </row>
    <row r="138" spans="1:13" hidden="1" x14ac:dyDescent="0.25">
      <c r="A138">
        <v>137</v>
      </c>
      <c r="B138">
        <v>2025</v>
      </c>
      <c r="C138">
        <v>2</v>
      </c>
      <c r="D138">
        <v>33</v>
      </c>
      <c r="E138">
        <v>6</v>
      </c>
      <c r="G138">
        <v>-18963</v>
      </c>
      <c r="J138">
        <v>2</v>
      </c>
      <c r="K138">
        <v>2</v>
      </c>
      <c r="L138" t="s">
        <v>442</v>
      </c>
      <c r="M138">
        <v>4.7</v>
      </c>
    </row>
    <row r="139" spans="1:13" hidden="1" x14ac:dyDescent="0.25">
      <c r="A139">
        <v>138</v>
      </c>
      <c r="B139">
        <v>2025</v>
      </c>
      <c r="C139">
        <v>2</v>
      </c>
      <c r="D139">
        <v>33</v>
      </c>
      <c r="E139">
        <v>6</v>
      </c>
      <c r="G139">
        <v>-15716</v>
      </c>
      <c r="J139">
        <v>3</v>
      </c>
      <c r="K139">
        <v>3</v>
      </c>
      <c r="L139" t="s">
        <v>443</v>
      </c>
      <c r="M139">
        <v>4.7</v>
      </c>
    </row>
    <row r="140" spans="1:13" hidden="1" x14ac:dyDescent="0.25">
      <c r="A140">
        <v>139</v>
      </c>
      <c r="B140">
        <v>2025</v>
      </c>
      <c r="C140">
        <v>2</v>
      </c>
      <c r="D140">
        <v>33</v>
      </c>
      <c r="E140">
        <v>6</v>
      </c>
      <c r="G140">
        <v>-1736</v>
      </c>
      <c r="J140">
        <v>5</v>
      </c>
      <c r="K140">
        <v>5</v>
      </c>
      <c r="L140" t="s">
        <v>444</v>
      </c>
      <c r="M140">
        <v>3.85</v>
      </c>
    </row>
    <row r="141" spans="1:13" hidden="1" x14ac:dyDescent="0.25">
      <c r="A141">
        <v>140</v>
      </c>
      <c r="B141">
        <v>2025</v>
      </c>
      <c r="C141">
        <v>2</v>
      </c>
      <c r="D141">
        <v>33</v>
      </c>
      <c r="E141">
        <v>6</v>
      </c>
      <c r="G141">
        <v>31353</v>
      </c>
      <c r="J141">
        <v>7</v>
      </c>
      <c r="K141">
        <v>7</v>
      </c>
      <c r="L141" t="s">
        <v>446</v>
      </c>
      <c r="M141">
        <v>1.45</v>
      </c>
    </row>
    <row r="142" spans="1:13" hidden="1" x14ac:dyDescent="0.25">
      <c r="A142">
        <v>141</v>
      </c>
      <c r="B142">
        <v>2025</v>
      </c>
      <c r="C142">
        <v>2</v>
      </c>
      <c r="D142">
        <v>33</v>
      </c>
      <c r="E142">
        <v>6</v>
      </c>
      <c r="G142">
        <v>42009</v>
      </c>
      <c r="J142">
        <v>8</v>
      </c>
      <c r="K142">
        <v>8</v>
      </c>
      <c r="L142" t="s">
        <v>447</v>
      </c>
      <c r="M142">
        <v>4.2</v>
      </c>
    </row>
    <row r="143" spans="1:13" hidden="1" x14ac:dyDescent="0.25">
      <c r="A143">
        <v>142</v>
      </c>
      <c r="B143">
        <v>2025</v>
      </c>
      <c r="C143">
        <v>2</v>
      </c>
      <c r="D143">
        <v>33</v>
      </c>
      <c r="E143">
        <v>6</v>
      </c>
      <c r="G143">
        <v>34740</v>
      </c>
      <c r="J143">
        <v>9</v>
      </c>
      <c r="K143">
        <v>9</v>
      </c>
      <c r="L143" t="s">
        <v>448</v>
      </c>
      <c r="M143">
        <v>4.2</v>
      </c>
    </row>
    <row r="144" spans="1:13" hidden="1" x14ac:dyDescent="0.25">
      <c r="A144">
        <v>143</v>
      </c>
      <c r="B144">
        <v>2025</v>
      </c>
      <c r="C144">
        <v>2</v>
      </c>
      <c r="D144">
        <v>33</v>
      </c>
      <c r="E144">
        <v>6</v>
      </c>
      <c r="G144">
        <v>3252</v>
      </c>
      <c r="J144">
        <v>11</v>
      </c>
      <c r="K144">
        <v>11</v>
      </c>
      <c r="L144" t="s">
        <v>449</v>
      </c>
      <c r="M144">
        <v>3.5</v>
      </c>
    </row>
    <row r="145" spans="1:13" hidden="1" x14ac:dyDescent="0.25">
      <c r="A145">
        <v>144</v>
      </c>
      <c r="B145">
        <v>2025</v>
      </c>
      <c r="C145">
        <v>3</v>
      </c>
      <c r="D145">
        <v>33</v>
      </c>
      <c r="E145">
        <v>7</v>
      </c>
      <c r="G145">
        <v>17722</v>
      </c>
      <c r="J145">
        <v>7</v>
      </c>
      <c r="K145">
        <v>7</v>
      </c>
      <c r="L145" t="s">
        <v>446</v>
      </c>
      <c r="M145">
        <v>1.45</v>
      </c>
    </row>
    <row r="146" spans="1:13" hidden="1" x14ac:dyDescent="0.25">
      <c r="A146">
        <v>145</v>
      </c>
      <c r="B146">
        <v>2025</v>
      </c>
      <c r="C146">
        <v>3</v>
      </c>
      <c r="D146">
        <v>33</v>
      </c>
      <c r="E146">
        <v>7</v>
      </c>
      <c r="G146">
        <v>27701</v>
      </c>
      <c r="J146">
        <v>8</v>
      </c>
      <c r="K146">
        <v>8</v>
      </c>
      <c r="L146" t="s">
        <v>447</v>
      </c>
      <c r="M146">
        <v>4.2</v>
      </c>
    </row>
    <row r="147" spans="1:13" hidden="1" x14ac:dyDescent="0.25">
      <c r="A147">
        <v>146</v>
      </c>
      <c r="B147">
        <v>2025</v>
      </c>
      <c r="C147">
        <v>3</v>
      </c>
      <c r="D147">
        <v>33</v>
      </c>
      <c r="E147">
        <v>7</v>
      </c>
      <c r="G147">
        <v>22028</v>
      </c>
      <c r="J147">
        <v>9</v>
      </c>
      <c r="K147">
        <v>9</v>
      </c>
      <c r="L147" t="s">
        <v>448</v>
      </c>
      <c r="M147">
        <v>4.2</v>
      </c>
    </row>
    <row r="148" spans="1:13" hidden="1" x14ac:dyDescent="0.25">
      <c r="A148">
        <v>147</v>
      </c>
      <c r="B148">
        <v>2025</v>
      </c>
      <c r="C148">
        <v>3</v>
      </c>
      <c r="D148">
        <v>33</v>
      </c>
      <c r="E148">
        <v>7</v>
      </c>
      <c r="G148">
        <v>2671</v>
      </c>
      <c r="J148">
        <v>11</v>
      </c>
      <c r="K148">
        <v>11</v>
      </c>
      <c r="L148" t="s">
        <v>449</v>
      </c>
      <c r="M148">
        <v>3.5</v>
      </c>
    </row>
    <row r="149" spans="1:13" hidden="1" x14ac:dyDescent="0.25">
      <c r="A149">
        <v>148</v>
      </c>
      <c r="B149">
        <v>2025</v>
      </c>
      <c r="C149">
        <v>4</v>
      </c>
      <c r="D149">
        <v>33</v>
      </c>
      <c r="E149">
        <v>8</v>
      </c>
      <c r="G149">
        <v>22797</v>
      </c>
      <c r="J149">
        <v>7</v>
      </c>
      <c r="K149">
        <v>7</v>
      </c>
      <c r="L149" t="s">
        <v>446</v>
      </c>
      <c r="M149">
        <v>1.45</v>
      </c>
    </row>
    <row r="150" spans="1:13" hidden="1" x14ac:dyDescent="0.25">
      <c r="A150">
        <v>149</v>
      </c>
      <c r="B150">
        <v>2025</v>
      </c>
      <c r="C150">
        <v>4</v>
      </c>
      <c r="D150">
        <v>33</v>
      </c>
      <c r="E150">
        <v>8</v>
      </c>
      <c r="G150">
        <v>32920</v>
      </c>
      <c r="J150">
        <v>8</v>
      </c>
      <c r="K150">
        <v>8</v>
      </c>
      <c r="L150" t="s">
        <v>447</v>
      </c>
      <c r="M150">
        <v>4.2</v>
      </c>
    </row>
    <row r="151" spans="1:13" hidden="1" x14ac:dyDescent="0.25">
      <c r="A151">
        <v>150</v>
      </c>
      <c r="B151">
        <v>2025</v>
      </c>
      <c r="C151">
        <v>4</v>
      </c>
      <c r="D151">
        <v>33</v>
      </c>
      <c r="E151">
        <v>8</v>
      </c>
      <c r="G151">
        <v>33855</v>
      </c>
      <c r="J151">
        <v>9</v>
      </c>
      <c r="K151">
        <v>9</v>
      </c>
      <c r="L151" t="s">
        <v>448</v>
      </c>
      <c r="M151">
        <v>4.2</v>
      </c>
    </row>
    <row r="152" spans="1:13" hidden="1" x14ac:dyDescent="0.25">
      <c r="A152">
        <v>151</v>
      </c>
      <c r="B152">
        <v>2025</v>
      </c>
      <c r="C152">
        <v>4</v>
      </c>
      <c r="D152">
        <v>33</v>
      </c>
      <c r="E152">
        <v>8</v>
      </c>
      <c r="G152">
        <v>5637</v>
      </c>
      <c r="J152">
        <v>11</v>
      </c>
      <c r="K152">
        <v>11</v>
      </c>
      <c r="L152" t="s">
        <v>449</v>
      </c>
      <c r="M152">
        <v>3.5</v>
      </c>
    </row>
    <row r="153" spans="1:13" hidden="1" x14ac:dyDescent="0.25">
      <c r="A153">
        <v>152</v>
      </c>
      <c r="B153">
        <v>2025</v>
      </c>
      <c r="C153">
        <v>4</v>
      </c>
      <c r="D153">
        <v>33</v>
      </c>
      <c r="E153">
        <v>8</v>
      </c>
      <c r="G153">
        <v>4</v>
      </c>
      <c r="J153" t="s">
        <v>315</v>
      </c>
      <c r="K153" t="s">
        <v>315</v>
      </c>
      <c r="L153" t="s">
        <v>619</v>
      </c>
      <c r="M153">
        <v>-80</v>
      </c>
    </row>
    <row r="154" spans="1:13" hidden="1" x14ac:dyDescent="0.25">
      <c r="A154">
        <v>153</v>
      </c>
      <c r="B154">
        <v>2025</v>
      </c>
      <c r="C154">
        <v>4</v>
      </c>
      <c r="D154">
        <v>33</v>
      </c>
      <c r="E154">
        <v>8</v>
      </c>
      <c r="G154">
        <v>4</v>
      </c>
      <c r="J154" t="s">
        <v>324</v>
      </c>
      <c r="K154" t="s">
        <v>324</v>
      </c>
      <c r="L154" t="s">
        <v>620</v>
      </c>
      <c r="M154">
        <v>-80</v>
      </c>
    </row>
    <row r="155" spans="1:13" hidden="1" x14ac:dyDescent="0.25">
      <c r="A155">
        <v>154</v>
      </c>
      <c r="B155">
        <v>2025</v>
      </c>
      <c r="C155">
        <v>5</v>
      </c>
      <c r="D155">
        <v>33</v>
      </c>
      <c r="E155">
        <v>9</v>
      </c>
      <c r="G155">
        <v>-71872</v>
      </c>
      <c r="J155">
        <v>7</v>
      </c>
      <c r="K155">
        <v>7</v>
      </c>
      <c r="L155" t="s">
        <v>446</v>
      </c>
      <c r="M155">
        <v>1.45</v>
      </c>
    </row>
    <row r="156" spans="1:13" hidden="1" x14ac:dyDescent="0.25">
      <c r="A156">
        <v>155</v>
      </c>
      <c r="B156">
        <v>2025</v>
      </c>
      <c r="C156">
        <v>5</v>
      </c>
      <c r="D156">
        <v>33</v>
      </c>
      <c r="E156">
        <v>9</v>
      </c>
      <c r="G156">
        <v>-102630</v>
      </c>
      <c r="J156">
        <v>8</v>
      </c>
      <c r="K156">
        <v>8</v>
      </c>
      <c r="L156" t="s">
        <v>447</v>
      </c>
      <c r="M156">
        <v>4.2</v>
      </c>
    </row>
    <row r="157" spans="1:13" hidden="1" x14ac:dyDescent="0.25">
      <c r="A157">
        <v>156</v>
      </c>
      <c r="B157">
        <v>2025</v>
      </c>
      <c r="C157">
        <v>5</v>
      </c>
      <c r="D157">
        <v>33</v>
      </c>
      <c r="E157">
        <v>9</v>
      </c>
      <c r="G157">
        <v>-90623</v>
      </c>
      <c r="J157">
        <v>9</v>
      </c>
      <c r="K157">
        <v>9</v>
      </c>
      <c r="L157" t="s">
        <v>448</v>
      </c>
      <c r="M157">
        <v>4.2</v>
      </c>
    </row>
    <row r="158" spans="1:13" hidden="1" x14ac:dyDescent="0.25">
      <c r="A158">
        <v>157</v>
      </c>
      <c r="B158">
        <v>2025</v>
      </c>
      <c r="C158">
        <v>5</v>
      </c>
      <c r="D158">
        <v>33</v>
      </c>
      <c r="E158">
        <v>9</v>
      </c>
      <c r="G158">
        <v>-11560</v>
      </c>
      <c r="J158">
        <v>11</v>
      </c>
      <c r="K158">
        <v>11</v>
      </c>
      <c r="L158" t="s">
        <v>449</v>
      </c>
      <c r="M158">
        <v>3.5</v>
      </c>
    </row>
    <row r="159" spans="1:13" hidden="1" x14ac:dyDescent="0.25">
      <c r="A159">
        <v>158</v>
      </c>
      <c r="B159">
        <v>2025</v>
      </c>
      <c r="C159">
        <v>5</v>
      </c>
      <c r="D159">
        <v>33</v>
      </c>
      <c r="E159">
        <v>9</v>
      </c>
      <c r="G159">
        <v>101270</v>
      </c>
      <c r="J159">
        <v>12</v>
      </c>
      <c r="K159">
        <v>12</v>
      </c>
      <c r="L159" t="s">
        <v>451</v>
      </c>
      <c r="M159">
        <v>1.56</v>
      </c>
    </row>
    <row r="160" spans="1:13" hidden="1" x14ac:dyDescent="0.25">
      <c r="A160">
        <v>159</v>
      </c>
      <c r="B160">
        <v>2025</v>
      </c>
      <c r="C160">
        <v>5</v>
      </c>
      <c r="D160">
        <v>33</v>
      </c>
      <c r="E160">
        <v>9</v>
      </c>
      <c r="G160">
        <v>137486</v>
      </c>
      <c r="J160">
        <v>13</v>
      </c>
      <c r="K160">
        <v>13</v>
      </c>
      <c r="L160" t="s">
        <v>452</v>
      </c>
      <c r="M160">
        <v>4.53</v>
      </c>
    </row>
    <row r="161" spans="1:13" hidden="1" x14ac:dyDescent="0.25">
      <c r="A161">
        <v>160</v>
      </c>
      <c r="B161">
        <v>2025</v>
      </c>
      <c r="C161">
        <v>5</v>
      </c>
      <c r="D161">
        <v>33</v>
      </c>
      <c r="E161">
        <v>9</v>
      </c>
      <c r="G161">
        <v>118849</v>
      </c>
      <c r="J161">
        <v>14</v>
      </c>
      <c r="K161">
        <v>14</v>
      </c>
      <c r="L161" t="s">
        <v>453</v>
      </c>
      <c r="M161">
        <v>4.53</v>
      </c>
    </row>
    <row r="162" spans="1:13" hidden="1" x14ac:dyDescent="0.25">
      <c r="A162">
        <v>161</v>
      </c>
      <c r="B162">
        <v>2025</v>
      </c>
      <c r="C162">
        <v>5</v>
      </c>
      <c r="D162">
        <v>33</v>
      </c>
      <c r="E162">
        <v>9</v>
      </c>
      <c r="G162">
        <v>3311</v>
      </c>
      <c r="J162">
        <v>15</v>
      </c>
      <c r="K162">
        <v>15</v>
      </c>
      <c r="L162" t="s">
        <v>454</v>
      </c>
      <c r="M162">
        <v>4.53</v>
      </c>
    </row>
    <row r="163" spans="1:13" hidden="1" x14ac:dyDescent="0.25">
      <c r="A163">
        <v>162</v>
      </c>
      <c r="B163">
        <v>2025</v>
      </c>
      <c r="C163">
        <v>5</v>
      </c>
      <c r="D163">
        <v>33</v>
      </c>
      <c r="E163">
        <v>9</v>
      </c>
      <c r="G163">
        <v>13886</v>
      </c>
      <c r="J163">
        <v>16</v>
      </c>
      <c r="K163">
        <v>16</v>
      </c>
      <c r="L163" t="s">
        <v>455</v>
      </c>
      <c r="M163">
        <v>3.77</v>
      </c>
    </row>
    <row r="164" spans="1:13" hidden="1" x14ac:dyDescent="0.25">
      <c r="A164">
        <v>163</v>
      </c>
      <c r="B164">
        <v>2025</v>
      </c>
      <c r="C164">
        <v>5</v>
      </c>
      <c r="D164">
        <v>33</v>
      </c>
      <c r="E164">
        <v>9</v>
      </c>
      <c r="G164">
        <v>1</v>
      </c>
      <c r="J164" t="s">
        <v>362</v>
      </c>
      <c r="K164" t="s">
        <v>362</v>
      </c>
      <c r="L164" t="s">
        <v>621</v>
      </c>
      <c r="M164">
        <v>-680</v>
      </c>
    </row>
    <row r="165" spans="1:13" hidden="1" x14ac:dyDescent="0.25">
      <c r="A165">
        <v>164</v>
      </c>
      <c r="B165">
        <v>2025</v>
      </c>
      <c r="C165">
        <v>6</v>
      </c>
      <c r="D165">
        <v>33</v>
      </c>
      <c r="E165">
        <v>10</v>
      </c>
      <c r="G165">
        <v>28551</v>
      </c>
      <c r="J165">
        <v>12</v>
      </c>
      <c r="K165">
        <v>12</v>
      </c>
      <c r="L165" t="s">
        <v>451</v>
      </c>
      <c r="M165">
        <v>1.56</v>
      </c>
    </row>
    <row r="166" spans="1:13" hidden="1" x14ac:dyDescent="0.25">
      <c r="A166">
        <v>165</v>
      </c>
      <c r="B166">
        <v>2025</v>
      </c>
      <c r="C166">
        <v>6</v>
      </c>
      <c r="D166">
        <v>33</v>
      </c>
      <c r="E166">
        <v>10</v>
      </c>
      <c r="G166">
        <v>33698</v>
      </c>
      <c r="J166">
        <v>13</v>
      </c>
      <c r="K166">
        <v>13</v>
      </c>
      <c r="L166" t="s">
        <v>452</v>
      </c>
      <c r="M166">
        <v>4.53</v>
      </c>
    </row>
    <row r="167" spans="1:13" hidden="1" x14ac:dyDescent="0.25">
      <c r="A167">
        <v>166</v>
      </c>
      <c r="B167">
        <v>2025</v>
      </c>
      <c r="C167">
        <v>6</v>
      </c>
      <c r="D167">
        <v>33</v>
      </c>
      <c r="E167">
        <v>10</v>
      </c>
      <c r="G167">
        <v>30708</v>
      </c>
      <c r="J167">
        <v>14</v>
      </c>
      <c r="K167">
        <v>14</v>
      </c>
      <c r="L167" t="s">
        <v>453</v>
      </c>
      <c r="M167">
        <v>4.53</v>
      </c>
    </row>
    <row r="168" spans="1:13" hidden="1" x14ac:dyDescent="0.25">
      <c r="A168">
        <v>167</v>
      </c>
      <c r="B168">
        <v>2025</v>
      </c>
      <c r="C168">
        <v>6</v>
      </c>
      <c r="D168">
        <v>33</v>
      </c>
      <c r="E168">
        <v>10</v>
      </c>
      <c r="G168">
        <v>3422</v>
      </c>
      <c r="J168">
        <v>15</v>
      </c>
      <c r="K168">
        <v>15</v>
      </c>
      <c r="L168" t="s">
        <v>454</v>
      </c>
      <c r="M168">
        <v>4.53</v>
      </c>
    </row>
    <row r="169" spans="1:13" hidden="1" x14ac:dyDescent="0.25">
      <c r="A169">
        <v>168</v>
      </c>
      <c r="B169">
        <v>2025</v>
      </c>
      <c r="C169">
        <v>6</v>
      </c>
      <c r="D169">
        <v>33</v>
      </c>
      <c r="E169">
        <v>10</v>
      </c>
      <c r="G169">
        <v>1781</v>
      </c>
      <c r="J169">
        <v>16</v>
      </c>
      <c r="K169">
        <v>16</v>
      </c>
      <c r="L169" t="s">
        <v>455</v>
      </c>
      <c r="M169">
        <v>3.77</v>
      </c>
    </row>
    <row r="170" spans="1:13" hidden="1" x14ac:dyDescent="0.25">
      <c r="A170">
        <v>169</v>
      </c>
      <c r="B170">
        <v>2025</v>
      </c>
      <c r="C170">
        <v>7</v>
      </c>
      <c r="D170">
        <v>33</v>
      </c>
      <c r="E170">
        <v>11</v>
      </c>
      <c r="G170">
        <v>35230</v>
      </c>
      <c r="J170">
        <v>12</v>
      </c>
      <c r="K170">
        <v>12</v>
      </c>
      <c r="L170" t="s">
        <v>451</v>
      </c>
      <c r="M170">
        <v>1.56</v>
      </c>
    </row>
    <row r="171" spans="1:13" hidden="1" x14ac:dyDescent="0.25">
      <c r="A171">
        <v>170</v>
      </c>
      <c r="B171">
        <v>2025</v>
      </c>
      <c r="C171">
        <v>7</v>
      </c>
      <c r="D171">
        <v>33</v>
      </c>
      <c r="E171">
        <v>11</v>
      </c>
      <c r="G171">
        <v>40659</v>
      </c>
      <c r="J171">
        <v>13</v>
      </c>
      <c r="K171">
        <v>13</v>
      </c>
      <c r="L171" t="s">
        <v>452</v>
      </c>
      <c r="M171">
        <v>4.53</v>
      </c>
    </row>
    <row r="172" spans="1:13" hidden="1" x14ac:dyDescent="0.25">
      <c r="A172">
        <v>171</v>
      </c>
      <c r="B172">
        <v>2025</v>
      </c>
      <c r="C172">
        <v>7</v>
      </c>
      <c r="D172">
        <v>33</v>
      </c>
      <c r="E172">
        <v>11</v>
      </c>
      <c r="G172">
        <v>37822</v>
      </c>
      <c r="J172">
        <v>14</v>
      </c>
      <c r="K172">
        <v>14</v>
      </c>
      <c r="L172" t="s">
        <v>453</v>
      </c>
      <c r="M172">
        <v>4.53</v>
      </c>
    </row>
    <row r="173" spans="1:13" hidden="1" x14ac:dyDescent="0.25">
      <c r="A173">
        <v>172</v>
      </c>
      <c r="B173">
        <v>2025</v>
      </c>
      <c r="C173">
        <v>7</v>
      </c>
      <c r="D173">
        <v>33</v>
      </c>
      <c r="E173">
        <v>11</v>
      </c>
      <c r="G173">
        <v>3943</v>
      </c>
      <c r="J173">
        <v>15</v>
      </c>
      <c r="K173">
        <v>15</v>
      </c>
      <c r="L173" t="s">
        <v>454</v>
      </c>
      <c r="M173">
        <v>4.53</v>
      </c>
    </row>
    <row r="174" spans="1:13" hidden="1" x14ac:dyDescent="0.25">
      <c r="A174">
        <v>173</v>
      </c>
      <c r="B174">
        <v>2025</v>
      </c>
      <c r="C174">
        <v>7</v>
      </c>
      <c r="D174">
        <v>33</v>
      </c>
      <c r="E174">
        <v>11</v>
      </c>
      <c r="G174">
        <v>2485</v>
      </c>
      <c r="J174">
        <v>16</v>
      </c>
      <c r="K174">
        <v>16</v>
      </c>
      <c r="L174" t="s">
        <v>455</v>
      </c>
      <c r="M174">
        <v>3.77</v>
      </c>
    </row>
    <row r="175" spans="1:13" hidden="1" x14ac:dyDescent="0.25">
      <c r="A175">
        <v>174</v>
      </c>
      <c r="B175">
        <v>2025</v>
      </c>
      <c r="C175">
        <v>8</v>
      </c>
      <c r="D175">
        <v>33</v>
      </c>
      <c r="E175">
        <v>12</v>
      </c>
      <c r="G175">
        <v>43128</v>
      </c>
      <c r="J175">
        <v>12</v>
      </c>
      <c r="K175">
        <v>12</v>
      </c>
      <c r="L175" t="s">
        <v>451</v>
      </c>
      <c r="M175">
        <v>1.56</v>
      </c>
    </row>
    <row r="176" spans="1:13" hidden="1" x14ac:dyDescent="0.25">
      <c r="A176">
        <v>175</v>
      </c>
      <c r="B176">
        <v>2025</v>
      </c>
      <c r="C176">
        <v>8</v>
      </c>
      <c r="D176">
        <v>33</v>
      </c>
      <c r="E176">
        <v>12</v>
      </c>
      <c r="G176">
        <v>46474</v>
      </c>
      <c r="J176">
        <v>13</v>
      </c>
      <c r="K176">
        <v>13</v>
      </c>
      <c r="L176" t="s">
        <v>452</v>
      </c>
      <c r="M176">
        <v>4.53</v>
      </c>
    </row>
    <row r="177" spans="1:13" hidden="1" x14ac:dyDescent="0.25">
      <c r="A177">
        <v>176</v>
      </c>
      <c r="B177">
        <v>2025</v>
      </c>
      <c r="C177">
        <v>8</v>
      </c>
      <c r="D177">
        <v>33</v>
      </c>
      <c r="E177">
        <v>12</v>
      </c>
      <c r="G177">
        <v>44377</v>
      </c>
      <c r="J177">
        <v>14</v>
      </c>
      <c r="K177">
        <v>14</v>
      </c>
      <c r="L177" t="s">
        <v>453</v>
      </c>
      <c r="M177">
        <v>4.53</v>
      </c>
    </row>
    <row r="178" spans="1:13" hidden="1" x14ac:dyDescent="0.25">
      <c r="A178">
        <v>177</v>
      </c>
      <c r="B178">
        <v>2025</v>
      </c>
      <c r="C178">
        <v>8</v>
      </c>
      <c r="D178">
        <v>33</v>
      </c>
      <c r="E178">
        <v>12</v>
      </c>
      <c r="G178">
        <v>4173</v>
      </c>
      <c r="J178">
        <v>15</v>
      </c>
      <c r="K178">
        <v>15</v>
      </c>
      <c r="L178" t="s">
        <v>454</v>
      </c>
      <c r="M178">
        <v>4.53</v>
      </c>
    </row>
    <row r="179" spans="1:13" hidden="1" x14ac:dyDescent="0.25">
      <c r="A179">
        <v>178</v>
      </c>
      <c r="B179">
        <v>2025</v>
      </c>
      <c r="C179">
        <v>8</v>
      </c>
      <c r="D179">
        <v>33</v>
      </c>
      <c r="E179">
        <v>12</v>
      </c>
      <c r="G179">
        <v>4475</v>
      </c>
      <c r="J179">
        <v>16</v>
      </c>
      <c r="K179">
        <v>16</v>
      </c>
      <c r="L179" t="s">
        <v>455</v>
      </c>
      <c r="M179">
        <v>3.77</v>
      </c>
    </row>
    <row r="180" spans="1:13" hidden="1" x14ac:dyDescent="0.25">
      <c r="A180">
        <v>179</v>
      </c>
      <c r="B180">
        <v>2025</v>
      </c>
      <c r="C180">
        <v>9</v>
      </c>
      <c r="D180">
        <v>33</v>
      </c>
      <c r="E180">
        <v>13</v>
      </c>
      <c r="G180">
        <v>48388</v>
      </c>
      <c r="J180">
        <v>12</v>
      </c>
      <c r="K180">
        <v>12</v>
      </c>
      <c r="L180" t="s">
        <v>451</v>
      </c>
      <c r="M180">
        <v>1.56</v>
      </c>
    </row>
    <row r="181" spans="1:13" hidden="1" x14ac:dyDescent="0.25">
      <c r="A181">
        <v>180</v>
      </c>
      <c r="B181">
        <v>2025</v>
      </c>
      <c r="C181">
        <v>9</v>
      </c>
      <c r="D181">
        <v>33</v>
      </c>
      <c r="E181">
        <v>13</v>
      </c>
      <c r="G181">
        <v>52355</v>
      </c>
      <c r="J181">
        <v>13</v>
      </c>
      <c r="K181">
        <v>13</v>
      </c>
      <c r="L181" t="s">
        <v>452</v>
      </c>
      <c r="M181">
        <v>4.53</v>
      </c>
    </row>
    <row r="182" spans="1:13" hidden="1" x14ac:dyDescent="0.25">
      <c r="A182">
        <v>181</v>
      </c>
      <c r="B182">
        <v>2025</v>
      </c>
      <c r="C182">
        <v>9</v>
      </c>
      <c r="D182">
        <v>33</v>
      </c>
      <c r="E182">
        <v>13</v>
      </c>
      <c r="G182">
        <v>49596</v>
      </c>
      <c r="J182">
        <v>14</v>
      </c>
      <c r="K182">
        <v>14</v>
      </c>
      <c r="L182" t="s">
        <v>453</v>
      </c>
      <c r="M182">
        <v>4.53</v>
      </c>
    </row>
    <row r="183" spans="1:13" hidden="1" x14ac:dyDescent="0.25">
      <c r="A183">
        <v>182</v>
      </c>
      <c r="B183">
        <v>2025</v>
      </c>
      <c r="C183">
        <v>9</v>
      </c>
      <c r="D183">
        <v>33</v>
      </c>
      <c r="E183">
        <v>13</v>
      </c>
      <c r="G183">
        <v>3873</v>
      </c>
      <c r="J183">
        <v>15</v>
      </c>
      <c r="K183">
        <v>15</v>
      </c>
      <c r="L183" t="s">
        <v>454</v>
      </c>
      <c r="M183">
        <v>4.53</v>
      </c>
    </row>
    <row r="184" spans="1:13" hidden="1" x14ac:dyDescent="0.25">
      <c r="A184">
        <v>183</v>
      </c>
      <c r="B184">
        <v>2025</v>
      </c>
      <c r="C184">
        <v>9</v>
      </c>
      <c r="D184">
        <v>33</v>
      </c>
      <c r="E184">
        <v>13</v>
      </c>
      <c r="G184">
        <v>4971</v>
      </c>
      <c r="J184">
        <v>16</v>
      </c>
      <c r="K184">
        <v>16</v>
      </c>
      <c r="L184" t="s">
        <v>455</v>
      </c>
      <c r="M184">
        <v>3.77</v>
      </c>
    </row>
    <row r="185" spans="1:13" hidden="1" x14ac:dyDescent="0.25">
      <c r="A185">
        <v>184</v>
      </c>
      <c r="B185">
        <v>2025</v>
      </c>
      <c r="C185">
        <v>9</v>
      </c>
      <c r="D185">
        <v>33</v>
      </c>
      <c r="E185">
        <v>13</v>
      </c>
      <c r="G185">
        <v>5.15</v>
      </c>
      <c r="J185" t="s">
        <v>363</v>
      </c>
      <c r="K185" t="s">
        <v>363</v>
      </c>
      <c r="L185" t="s">
        <v>622</v>
      </c>
      <c r="M185">
        <v>-1</v>
      </c>
    </row>
    <row r="186" spans="1:13" hidden="1" x14ac:dyDescent="0.25">
      <c r="A186">
        <v>185</v>
      </c>
      <c r="B186">
        <v>2025</v>
      </c>
      <c r="C186">
        <v>10</v>
      </c>
      <c r="D186">
        <v>33</v>
      </c>
      <c r="E186">
        <v>14</v>
      </c>
      <c r="G186">
        <v>51154</v>
      </c>
      <c r="J186">
        <v>12</v>
      </c>
      <c r="K186">
        <v>12</v>
      </c>
      <c r="L186" t="s">
        <v>451</v>
      </c>
      <c r="M186">
        <v>1.56</v>
      </c>
    </row>
    <row r="187" spans="1:13" hidden="1" x14ac:dyDescent="0.25">
      <c r="A187">
        <v>186</v>
      </c>
      <c r="B187">
        <v>2025</v>
      </c>
      <c r="C187">
        <v>10</v>
      </c>
      <c r="D187">
        <v>33</v>
      </c>
      <c r="E187">
        <v>14</v>
      </c>
      <c r="G187">
        <v>56012</v>
      </c>
      <c r="J187">
        <v>13</v>
      </c>
      <c r="K187">
        <v>13</v>
      </c>
      <c r="L187" t="s">
        <v>452</v>
      </c>
      <c r="M187">
        <v>4.53</v>
      </c>
    </row>
    <row r="188" spans="1:13" hidden="1" x14ac:dyDescent="0.25">
      <c r="A188">
        <v>187</v>
      </c>
      <c r="B188">
        <v>2025</v>
      </c>
      <c r="C188">
        <v>10</v>
      </c>
      <c r="D188">
        <v>33</v>
      </c>
      <c r="E188">
        <v>14</v>
      </c>
      <c r="G188">
        <v>52993</v>
      </c>
      <c r="J188">
        <v>14</v>
      </c>
      <c r="K188">
        <v>14</v>
      </c>
      <c r="L188" t="s">
        <v>453</v>
      </c>
      <c r="M188">
        <v>4.53</v>
      </c>
    </row>
    <row r="189" spans="1:13" hidden="1" x14ac:dyDescent="0.25">
      <c r="A189">
        <v>188</v>
      </c>
      <c r="B189">
        <v>2025</v>
      </c>
      <c r="C189">
        <v>10</v>
      </c>
      <c r="D189">
        <v>33</v>
      </c>
      <c r="E189">
        <v>14</v>
      </c>
      <c r="G189">
        <v>3837</v>
      </c>
      <c r="J189">
        <v>15</v>
      </c>
      <c r="K189">
        <v>15</v>
      </c>
      <c r="L189" t="s">
        <v>454</v>
      </c>
      <c r="M189">
        <v>4.53</v>
      </c>
    </row>
    <row r="190" spans="1:13" hidden="1" x14ac:dyDescent="0.25">
      <c r="A190">
        <v>189</v>
      </c>
      <c r="B190">
        <v>2025</v>
      </c>
      <c r="C190">
        <v>10</v>
      </c>
      <c r="D190">
        <v>33</v>
      </c>
      <c r="E190">
        <v>14</v>
      </c>
      <c r="G190">
        <v>4454</v>
      </c>
      <c r="J190">
        <v>16</v>
      </c>
      <c r="K190">
        <v>16</v>
      </c>
      <c r="L190" t="s">
        <v>455</v>
      </c>
      <c r="M190">
        <v>3.77</v>
      </c>
    </row>
    <row r="191" spans="1:13" hidden="1" x14ac:dyDescent="0.25">
      <c r="A191">
        <v>190</v>
      </c>
      <c r="B191">
        <v>2025</v>
      </c>
      <c r="C191">
        <v>11</v>
      </c>
      <c r="D191">
        <v>33</v>
      </c>
      <c r="E191">
        <v>15</v>
      </c>
      <c r="G191">
        <v>49730</v>
      </c>
      <c r="J191">
        <v>12</v>
      </c>
      <c r="K191">
        <v>12</v>
      </c>
      <c r="L191" t="s">
        <v>451</v>
      </c>
      <c r="M191">
        <v>1.56</v>
      </c>
    </row>
    <row r="192" spans="1:13" hidden="1" x14ac:dyDescent="0.25">
      <c r="A192">
        <v>191</v>
      </c>
      <c r="B192">
        <v>2025</v>
      </c>
      <c r="C192">
        <v>11</v>
      </c>
      <c r="D192">
        <v>33</v>
      </c>
      <c r="E192">
        <v>15</v>
      </c>
      <c r="G192">
        <v>56306</v>
      </c>
      <c r="J192">
        <v>13</v>
      </c>
      <c r="K192">
        <v>13</v>
      </c>
      <c r="L192" t="s">
        <v>452</v>
      </c>
      <c r="M192">
        <v>4.53</v>
      </c>
    </row>
    <row r="193" spans="1:13" hidden="1" x14ac:dyDescent="0.25">
      <c r="A193">
        <v>192</v>
      </c>
      <c r="B193">
        <v>2025</v>
      </c>
      <c r="C193">
        <v>11</v>
      </c>
      <c r="D193">
        <v>33</v>
      </c>
      <c r="E193">
        <v>15</v>
      </c>
      <c r="G193">
        <v>52246</v>
      </c>
      <c r="J193">
        <v>14</v>
      </c>
      <c r="K193">
        <v>14</v>
      </c>
      <c r="L193" t="s">
        <v>453</v>
      </c>
      <c r="M193">
        <v>4.53</v>
      </c>
    </row>
    <row r="194" spans="1:13" hidden="1" x14ac:dyDescent="0.25">
      <c r="A194">
        <v>193</v>
      </c>
      <c r="B194">
        <v>2025</v>
      </c>
      <c r="C194">
        <v>11</v>
      </c>
      <c r="D194">
        <v>33</v>
      </c>
      <c r="E194">
        <v>15</v>
      </c>
      <c r="G194">
        <v>3707</v>
      </c>
      <c r="J194">
        <v>15</v>
      </c>
      <c r="K194">
        <v>15</v>
      </c>
      <c r="L194" t="s">
        <v>454</v>
      </c>
      <c r="M194">
        <v>4.53</v>
      </c>
    </row>
    <row r="195" spans="1:13" hidden="1" x14ac:dyDescent="0.25">
      <c r="A195">
        <v>194</v>
      </c>
      <c r="B195">
        <v>2025</v>
      </c>
      <c r="C195">
        <v>11</v>
      </c>
      <c r="D195">
        <v>33</v>
      </c>
      <c r="E195">
        <v>15</v>
      </c>
      <c r="G195">
        <v>3149</v>
      </c>
      <c r="J195">
        <v>16</v>
      </c>
      <c r="K195">
        <v>16</v>
      </c>
      <c r="L195" t="s">
        <v>455</v>
      </c>
      <c r="M195">
        <v>3.77</v>
      </c>
    </row>
    <row r="196" spans="1:13" hidden="1" x14ac:dyDescent="0.25">
      <c r="A196">
        <v>195</v>
      </c>
      <c r="B196">
        <v>2025</v>
      </c>
      <c r="C196">
        <v>6</v>
      </c>
      <c r="D196">
        <v>91</v>
      </c>
      <c r="E196">
        <v>1</v>
      </c>
      <c r="F196" s="62" t="s">
        <v>483</v>
      </c>
      <c r="G196">
        <f>1+5/30</f>
        <v>1.1666666666666667</v>
      </c>
      <c r="I196" t="s">
        <v>484</v>
      </c>
      <c r="J196">
        <v>1</v>
      </c>
      <c r="K196">
        <v>1</v>
      </c>
      <c r="L196" t="s">
        <v>482</v>
      </c>
      <c r="M196">
        <v>3500</v>
      </c>
    </row>
    <row r="197" spans="1:13" hidden="1" x14ac:dyDescent="0.25">
      <c r="A197">
        <v>196</v>
      </c>
      <c r="B197">
        <v>2025</v>
      </c>
      <c r="C197">
        <v>8</v>
      </c>
      <c r="D197">
        <v>91</v>
      </c>
      <c r="E197">
        <v>2</v>
      </c>
      <c r="F197" s="62" t="s">
        <v>483</v>
      </c>
      <c r="G197">
        <v>1</v>
      </c>
      <c r="J197">
        <v>1</v>
      </c>
      <c r="K197">
        <v>1</v>
      </c>
      <c r="L197" t="s">
        <v>482</v>
      </c>
      <c r="M197">
        <v>3500</v>
      </c>
    </row>
    <row r="198" spans="1:13" hidden="1" x14ac:dyDescent="0.25">
      <c r="A198">
        <v>197</v>
      </c>
      <c r="B198">
        <v>2025</v>
      </c>
      <c r="C198">
        <v>9</v>
      </c>
      <c r="D198">
        <v>91</v>
      </c>
      <c r="E198">
        <v>3</v>
      </c>
      <c r="F198" s="62" t="s">
        <v>483</v>
      </c>
      <c r="G198">
        <v>1</v>
      </c>
      <c r="J198">
        <v>1</v>
      </c>
      <c r="K198">
        <v>1</v>
      </c>
      <c r="L198" t="s">
        <v>482</v>
      </c>
      <c r="M198">
        <v>3500</v>
      </c>
    </row>
    <row r="199" spans="1:13" hidden="1" x14ac:dyDescent="0.25">
      <c r="A199">
        <v>198</v>
      </c>
      <c r="B199">
        <v>2025</v>
      </c>
      <c r="C199">
        <v>10</v>
      </c>
      <c r="D199">
        <v>91</v>
      </c>
      <c r="E199">
        <v>4</v>
      </c>
      <c r="F199" s="62" t="s">
        <v>483</v>
      </c>
      <c r="G199">
        <v>1</v>
      </c>
      <c r="J199">
        <v>1</v>
      </c>
      <c r="K199">
        <v>1</v>
      </c>
      <c r="L199" t="s">
        <v>482</v>
      </c>
      <c r="M199">
        <v>3500</v>
      </c>
    </row>
    <row r="200" spans="1:13" hidden="1" x14ac:dyDescent="0.25">
      <c r="A200">
        <v>199</v>
      </c>
      <c r="B200">
        <v>2025</v>
      </c>
      <c r="C200">
        <v>11</v>
      </c>
      <c r="D200">
        <v>91</v>
      </c>
      <c r="E200">
        <v>5</v>
      </c>
      <c r="F200" s="62" t="s">
        <v>483</v>
      </c>
      <c r="G200">
        <v>1</v>
      </c>
      <c r="J200">
        <v>1</v>
      </c>
      <c r="K200">
        <v>1</v>
      </c>
      <c r="L200" t="s">
        <v>482</v>
      </c>
      <c r="M200">
        <v>3500</v>
      </c>
    </row>
    <row r="201" spans="1:13" hidden="1" x14ac:dyDescent="0.25">
      <c r="A201">
        <v>200</v>
      </c>
      <c r="B201">
        <v>2025</v>
      </c>
      <c r="C201">
        <v>9</v>
      </c>
      <c r="D201">
        <v>98</v>
      </c>
      <c r="E201">
        <v>3</v>
      </c>
      <c r="F201" t="s">
        <v>501</v>
      </c>
      <c r="G201">
        <v>250</v>
      </c>
      <c r="J201" t="s">
        <v>315</v>
      </c>
      <c r="K201" t="s">
        <v>315</v>
      </c>
      <c r="L201" t="s">
        <v>623</v>
      </c>
      <c r="M201">
        <v>-1</v>
      </c>
    </row>
    <row r="202" spans="1:13" hidden="1" x14ac:dyDescent="0.25">
      <c r="A202">
        <v>201</v>
      </c>
      <c r="B202">
        <v>2025</v>
      </c>
      <c r="C202">
        <v>10</v>
      </c>
      <c r="D202">
        <v>98</v>
      </c>
      <c r="E202">
        <v>4</v>
      </c>
      <c r="F202" t="s">
        <v>501</v>
      </c>
      <c r="G202">
        <v>-250</v>
      </c>
      <c r="J202" t="s">
        <v>324</v>
      </c>
      <c r="K202" t="s">
        <v>324</v>
      </c>
      <c r="L202" t="s">
        <v>705</v>
      </c>
      <c r="M202">
        <v>-1</v>
      </c>
    </row>
    <row r="203" spans="1:13" hidden="1" x14ac:dyDescent="0.25">
      <c r="A203">
        <v>202</v>
      </c>
      <c r="B203">
        <v>2025</v>
      </c>
      <c r="C203">
        <v>8</v>
      </c>
      <c r="D203">
        <v>103</v>
      </c>
      <c r="E203">
        <v>1</v>
      </c>
      <c r="G203">
        <v>1</v>
      </c>
      <c r="J203">
        <v>1</v>
      </c>
      <c r="K203">
        <v>1</v>
      </c>
      <c r="L203" t="s">
        <v>511</v>
      </c>
      <c r="M203">
        <v>3400</v>
      </c>
    </row>
    <row r="204" spans="1:13" hidden="1" x14ac:dyDescent="0.25">
      <c r="A204">
        <v>203</v>
      </c>
      <c r="B204">
        <v>2025</v>
      </c>
      <c r="C204">
        <v>7</v>
      </c>
      <c r="D204">
        <v>107</v>
      </c>
      <c r="E204">
        <v>1</v>
      </c>
      <c r="G204">
        <v>1</v>
      </c>
      <c r="J204">
        <v>1</v>
      </c>
      <c r="K204">
        <v>1</v>
      </c>
      <c r="L204" t="s">
        <v>516</v>
      </c>
      <c r="M204">
        <v>3300</v>
      </c>
    </row>
    <row r="205" spans="1:13" hidden="1" x14ac:dyDescent="0.25">
      <c r="A205">
        <v>204</v>
      </c>
      <c r="B205">
        <v>2025</v>
      </c>
      <c r="C205">
        <v>7</v>
      </c>
      <c r="D205">
        <v>107</v>
      </c>
      <c r="E205">
        <v>1</v>
      </c>
      <c r="G205">
        <v>1</v>
      </c>
      <c r="J205">
        <v>2</v>
      </c>
      <c r="K205">
        <v>2</v>
      </c>
      <c r="L205" t="s">
        <v>518</v>
      </c>
      <c r="M205">
        <v>3300</v>
      </c>
    </row>
    <row r="206" spans="1:13" hidden="1" x14ac:dyDescent="0.25">
      <c r="A206">
        <v>205</v>
      </c>
      <c r="B206">
        <v>2025</v>
      </c>
      <c r="C206">
        <v>7</v>
      </c>
      <c r="D206">
        <v>107</v>
      </c>
      <c r="E206">
        <v>1</v>
      </c>
      <c r="G206">
        <v>1</v>
      </c>
      <c r="J206">
        <v>3</v>
      </c>
      <c r="K206">
        <v>3</v>
      </c>
      <c r="L206" t="s">
        <v>519</v>
      </c>
      <c r="M206">
        <v>3300</v>
      </c>
    </row>
    <row r="207" spans="1:13" hidden="1" x14ac:dyDescent="0.25">
      <c r="A207">
        <v>206</v>
      </c>
      <c r="B207">
        <v>2025</v>
      </c>
      <c r="C207">
        <v>10</v>
      </c>
      <c r="D207">
        <v>107</v>
      </c>
      <c r="E207">
        <v>2</v>
      </c>
      <c r="G207">
        <v>1</v>
      </c>
      <c r="J207">
        <v>4</v>
      </c>
      <c r="K207">
        <v>4</v>
      </c>
      <c r="L207" t="s">
        <v>520</v>
      </c>
      <c r="M207">
        <v>3750</v>
      </c>
    </row>
    <row r="208" spans="1:13" hidden="1" x14ac:dyDescent="0.25">
      <c r="A208">
        <v>207</v>
      </c>
      <c r="B208">
        <v>2025</v>
      </c>
      <c r="C208">
        <v>10</v>
      </c>
      <c r="D208">
        <v>107</v>
      </c>
      <c r="E208">
        <v>2</v>
      </c>
      <c r="G208">
        <v>1</v>
      </c>
      <c r="J208">
        <v>5</v>
      </c>
      <c r="K208">
        <v>5</v>
      </c>
      <c r="L208" t="s">
        <v>521</v>
      </c>
      <c r="M208">
        <v>3750</v>
      </c>
    </row>
    <row r="209" spans="1:13" hidden="1" x14ac:dyDescent="0.25">
      <c r="A209">
        <v>208</v>
      </c>
      <c r="B209">
        <v>2025</v>
      </c>
      <c r="C209">
        <v>10</v>
      </c>
      <c r="D209">
        <v>107</v>
      </c>
      <c r="E209">
        <v>2</v>
      </c>
      <c r="G209">
        <v>4</v>
      </c>
      <c r="J209">
        <v>6</v>
      </c>
      <c r="K209">
        <v>6</v>
      </c>
      <c r="L209" t="s">
        <v>522</v>
      </c>
      <c r="M209">
        <v>350</v>
      </c>
    </row>
    <row r="210" spans="1:13" hidden="1" x14ac:dyDescent="0.25">
      <c r="A210">
        <v>209</v>
      </c>
      <c r="B210">
        <v>2025</v>
      </c>
      <c r="C210">
        <v>10</v>
      </c>
      <c r="D210">
        <v>107</v>
      </c>
      <c r="E210">
        <v>2</v>
      </c>
      <c r="G210">
        <v>3</v>
      </c>
      <c r="J210">
        <v>7</v>
      </c>
      <c r="K210">
        <v>7</v>
      </c>
      <c r="L210" t="s">
        <v>523</v>
      </c>
      <c r="M210">
        <v>350</v>
      </c>
    </row>
    <row r="211" spans="1:13" hidden="1" x14ac:dyDescent="0.25">
      <c r="A211">
        <v>210</v>
      </c>
      <c r="B211">
        <v>2025</v>
      </c>
      <c r="C211">
        <v>10</v>
      </c>
      <c r="D211">
        <v>107</v>
      </c>
      <c r="E211">
        <v>2</v>
      </c>
      <c r="G211">
        <v>7</v>
      </c>
      <c r="J211">
        <v>8</v>
      </c>
      <c r="K211">
        <v>8</v>
      </c>
      <c r="L211" t="s">
        <v>524</v>
      </c>
      <c r="M211">
        <v>500</v>
      </c>
    </row>
    <row r="212" spans="1:13" hidden="1" x14ac:dyDescent="0.25">
      <c r="A212">
        <v>211</v>
      </c>
      <c r="B212">
        <v>2025</v>
      </c>
      <c r="C212">
        <v>11</v>
      </c>
      <c r="D212">
        <v>150</v>
      </c>
      <c r="E212">
        <v>1</v>
      </c>
      <c r="G212">
        <v>10</v>
      </c>
      <c r="J212">
        <v>1</v>
      </c>
      <c r="K212">
        <v>1</v>
      </c>
      <c r="L212" t="s">
        <v>534</v>
      </c>
      <c r="M212">
        <v>220</v>
      </c>
    </row>
    <row r="213" spans="1:13" hidden="1" x14ac:dyDescent="0.25">
      <c r="A213">
        <v>212</v>
      </c>
      <c r="B213">
        <v>2025</v>
      </c>
      <c r="C213">
        <v>12</v>
      </c>
      <c r="D213">
        <v>98</v>
      </c>
      <c r="E213">
        <v>6</v>
      </c>
      <c r="F213" t="s">
        <v>501</v>
      </c>
      <c r="G213">
        <v>75</v>
      </c>
      <c r="J213" t="s">
        <v>362</v>
      </c>
      <c r="K213" t="s">
        <v>362</v>
      </c>
      <c r="L213" t="s">
        <v>639</v>
      </c>
      <c r="M213">
        <v>-1</v>
      </c>
    </row>
    <row r="214" spans="1:13" hidden="1" x14ac:dyDescent="0.25">
      <c r="A214">
        <v>213</v>
      </c>
      <c r="B214">
        <v>2025</v>
      </c>
      <c r="C214">
        <v>12</v>
      </c>
      <c r="D214">
        <v>11</v>
      </c>
      <c r="E214">
        <v>12</v>
      </c>
      <c r="G214">
        <v>1</v>
      </c>
      <c r="J214" s="48">
        <v>1</v>
      </c>
      <c r="K214">
        <v>1</v>
      </c>
      <c r="L214" t="s">
        <v>51</v>
      </c>
      <c r="M214">
        <v>5500</v>
      </c>
    </row>
    <row r="215" spans="1:13" hidden="1" x14ac:dyDescent="0.25">
      <c r="A215">
        <v>214</v>
      </c>
      <c r="B215">
        <v>2025</v>
      </c>
      <c r="C215">
        <v>12</v>
      </c>
      <c r="D215">
        <v>11</v>
      </c>
      <c r="E215">
        <v>12</v>
      </c>
      <c r="G215">
        <v>10</v>
      </c>
      <c r="J215" s="48">
        <v>2</v>
      </c>
      <c r="K215">
        <v>2</v>
      </c>
      <c r="L215" t="s">
        <v>52</v>
      </c>
      <c r="M215">
        <v>200</v>
      </c>
    </row>
    <row r="216" spans="1:13" hidden="1" x14ac:dyDescent="0.25">
      <c r="A216">
        <v>215</v>
      </c>
      <c r="B216">
        <v>2025</v>
      </c>
      <c r="C216">
        <v>12</v>
      </c>
      <c r="D216">
        <v>11</v>
      </c>
      <c r="E216">
        <v>12</v>
      </c>
      <c r="G216">
        <v>7</v>
      </c>
      <c r="J216" s="48">
        <v>3</v>
      </c>
      <c r="K216">
        <v>3</v>
      </c>
      <c r="L216" t="s">
        <v>58</v>
      </c>
      <c r="M216">
        <v>100</v>
      </c>
    </row>
    <row r="217" spans="1:13" hidden="1" x14ac:dyDescent="0.25">
      <c r="A217">
        <v>216</v>
      </c>
      <c r="B217">
        <v>2025</v>
      </c>
      <c r="C217">
        <v>12</v>
      </c>
      <c r="D217">
        <v>14</v>
      </c>
      <c r="E217">
        <v>9</v>
      </c>
      <c r="G217">
        <v>1</v>
      </c>
      <c r="J217" s="48">
        <v>15</v>
      </c>
      <c r="K217">
        <v>15</v>
      </c>
      <c r="L217" t="s">
        <v>103</v>
      </c>
      <c r="M217">
        <v>4000</v>
      </c>
    </row>
    <row r="218" spans="1:13" hidden="1" x14ac:dyDescent="0.25">
      <c r="A218">
        <v>217</v>
      </c>
      <c r="B218">
        <v>2025</v>
      </c>
      <c r="C218">
        <v>12</v>
      </c>
      <c r="D218">
        <v>30</v>
      </c>
      <c r="E218">
        <v>12</v>
      </c>
      <c r="G218">
        <v>1</v>
      </c>
      <c r="J218" s="48">
        <v>4</v>
      </c>
      <c r="K218">
        <v>4</v>
      </c>
      <c r="L218" t="s">
        <v>312</v>
      </c>
      <c r="M218">
        <v>5500</v>
      </c>
    </row>
    <row r="219" spans="1:13" hidden="1" x14ac:dyDescent="0.25">
      <c r="A219">
        <v>218</v>
      </c>
      <c r="B219">
        <v>2025</v>
      </c>
      <c r="C219">
        <v>12</v>
      </c>
      <c r="D219">
        <v>33</v>
      </c>
      <c r="E219">
        <v>16</v>
      </c>
      <c r="G219">
        <v>55775</v>
      </c>
      <c r="J219">
        <v>12</v>
      </c>
      <c r="K219">
        <v>12</v>
      </c>
      <c r="L219" t="s">
        <v>451</v>
      </c>
      <c r="M219">
        <v>1.56</v>
      </c>
    </row>
    <row r="220" spans="1:13" hidden="1" x14ac:dyDescent="0.25">
      <c r="A220">
        <v>219</v>
      </c>
      <c r="B220">
        <v>2025</v>
      </c>
      <c r="C220">
        <v>12</v>
      </c>
      <c r="D220">
        <v>33</v>
      </c>
      <c r="E220">
        <v>16</v>
      </c>
      <c r="G220">
        <v>61064</v>
      </c>
      <c r="J220">
        <v>13</v>
      </c>
      <c r="K220">
        <v>13</v>
      </c>
      <c r="L220" t="s">
        <v>452</v>
      </c>
      <c r="M220">
        <v>4.53</v>
      </c>
    </row>
    <row r="221" spans="1:13" hidden="1" x14ac:dyDescent="0.25">
      <c r="A221">
        <v>220</v>
      </c>
      <c r="B221">
        <v>2025</v>
      </c>
      <c r="C221">
        <v>12</v>
      </c>
      <c r="D221">
        <v>33</v>
      </c>
      <c r="E221">
        <v>16</v>
      </c>
      <c r="G221">
        <v>55562</v>
      </c>
      <c r="J221">
        <v>14</v>
      </c>
      <c r="K221">
        <v>14</v>
      </c>
      <c r="L221" t="s">
        <v>453</v>
      </c>
      <c r="M221">
        <v>4.53</v>
      </c>
    </row>
    <row r="222" spans="1:13" hidden="1" x14ac:dyDescent="0.25">
      <c r="A222">
        <v>221</v>
      </c>
      <c r="B222">
        <v>2025</v>
      </c>
      <c r="C222">
        <v>12</v>
      </c>
      <c r="D222">
        <v>33</v>
      </c>
      <c r="E222">
        <v>16</v>
      </c>
      <c r="G222">
        <v>5444</v>
      </c>
      <c r="J222">
        <v>15</v>
      </c>
      <c r="K222">
        <v>15</v>
      </c>
      <c r="L222" t="s">
        <v>454</v>
      </c>
      <c r="M222">
        <v>4.53</v>
      </c>
    </row>
    <row r="223" spans="1:13" hidden="1" x14ac:dyDescent="0.25">
      <c r="A223">
        <v>222</v>
      </c>
      <c r="B223">
        <v>2025</v>
      </c>
      <c r="C223">
        <v>12</v>
      </c>
      <c r="D223">
        <v>33</v>
      </c>
      <c r="E223">
        <v>16</v>
      </c>
      <c r="G223">
        <v>2806</v>
      </c>
      <c r="J223">
        <v>16</v>
      </c>
      <c r="K223">
        <v>16</v>
      </c>
      <c r="L223" t="s">
        <v>455</v>
      </c>
      <c r="M223">
        <v>3.77</v>
      </c>
    </row>
    <row r="224" spans="1:13" hidden="1" x14ac:dyDescent="0.25">
      <c r="A224">
        <v>223</v>
      </c>
      <c r="B224">
        <v>2025</v>
      </c>
      <c r="C224">
        <v>12</v>
      </c>
      <c r="D224">
        <v>107</v>
      </c>
      <c r="E224">
        <v>3</v>
      </c>
      <c r="G224">
        <v>22</v>
      </c>
      <c r="J224">
        <v>6</v>
      </c>
      <c r="K224">
        <v>6</v>
      </c>
      <c r="L224" t="s">
        <v>522</v>
      </c>
      <c r="M224">
        <v>350</v>
      </c>
    </row>
    <row r="225" spans="1:13" hidden="1" x14ac:dyDescent="0.25">
      <c r="A225">
        <v>224</v>
      </c>
      <c r="B225">
        <v>2025</v>
      </c>
      <c r="C225">
        <v>12</v>
      </c>
      <c r="D225">
        <v>91</v>
      </c>
      <c r="E225">
        <v>6</v>
      </c>
      <c r="F225" s="62" t="s">
        <v>483</v>
      </c>
      <c r="G225">
        <v>1</v>
      </c>
      <c r="J225">
        <v>1</v>
      </c>
      <c r="K225">
        <v>1</v>
      </c>
      <c r="L225" t="s">
        <v>482</v>
      </c>
      <c r="M225">
        <v>3500</v>
      </c>
    </row>
    <row r="226" spans="1:13" hidden="1" x14ac:dyDescent="0.25">
      <c r="A226">
        <v>225</v>
      </c>
      <c r="B226">
        <v>2025</v>
      </c>
      <c r="C226">
        <v>12</v>
      </c>
      <c r="D226">
        <v>91</v>
      </c>
      <c r="E226">
        <v>6</v>
      </c>
      <c r="F226" t="s">
        <v>483</v>
      </c>
      <c r="G226">
        <v>200</v>
      </c>
      <c r="J226" t="s">
        <v>315</v>
      </c>
      <c r="K226" t="s">
        <v>315</v>
      </c>
      <c r="L226" t="s">
        <v>636</v>
      </c>
      <c r="M226">
        <v>-1</v>
      </c>
    </row>
    <row r="227" spans="1:13" hidden="1" x14ac:dyDescent="0.25">
      <c r="A227">
        <v>226</v>
      </c>
      <c r="B227">
        <v>2025</v>
      </c>
      <c r="C227">
        <v>12</v>
      </c>
      <c r="D227">
        <v>14</v>
      </c>
      <c r="E227">
        <v>9</v>
      </c>
      <c r="G227">
        <v>0.5</v>
      </c>
      <c r="J227">
        <v>17</v>
      </c>
      <c r="K227">
        <v>17</v>
      </c>
      <c r="L227" t="s">
        <v>641</v>
      </c>
      <c r="M227">
        <v>1000</v>
      </c>
    </row>
    <row r="228" spans="1:13" hidden="1" x14ac:dyDescent="0.25">
      <c r="A228">
        <v>227</v>
      </c>
      <c r="B228">
        <v>2025</v>
      </c>
      <c r="C228">
        <v>12</v>
      </c>
      <c r="D228">
        <v>14</v>
      </c>
      <c r="E228">
        <v>9</v>
      </c>
      <c r="G228">
        <v>0.5</v>
      </c>
      <c r="J228">
        <v>18</v>
      </c>
      <c r="K228">
        <v>18</v>
      </c>
      <c r="L228" t="s">
        <v>642</v>
      </c>
      <c r="M228">
        <v>1000</v>
      </c>
    </row>
    <row r="229" spans="1:13" hidden="1" x14ac:dyDescent="0.25">
      <c r="A229">
        <v>228</v>
      </c>
      <c r="B229">
        <v>2025</v>
      </c>
      <c r="C229">
        <v>12</v>
      </c>
      <c r="D229">
        <v>14</v>
      </c>
      <c r="E229">
        <v>9</v>
      </c>
      <c r="G229">
        <v>0.5</v>
      </c>
      <c r="J229">
        <v>19</v>
      </c>
      <c r="K229">
        <v>19</v>
      </c>
      <c r="L229" t="s">
        <v>640</v>
      </c>
      <c r="M229">
        <v>600</v>
      </c>
    </row>
    <row r="230" spans="1:13" hidden="1" x14ac:dyDescent="0.25">
      <c r="A230">
        <v>229</v>
      </c>
      <c r="B230">
        <v>2025</v>
      </c>
      <c r="C230">
        <v>12</v>
      </c>
      <c r="D230">
        <v>31</v>
      </c>
      <c r="E230">
        <v>11</v>
      </c>
      <c r="G230">
        <v>15693.779999999999</v>
      </c>
      <c r="J230" t="s">
        <v>319</v>
      </c>
      <c r="K230" t="s">
        <v>319</v>
      </c>
      <c r="L230" t="s">
        <v>132</v>
      </c>
      <c r="M230">
        <v>1</v>
      </c>
    </row>
    <row r="231" spans="1:13" hidden="1" x14ac:dyDescent="0.25">
      <c r="A231">
        <v>230</v>
      </c>
      <c r="B231">
        <v>2025</v>
      </c>
      <c r="C231">
        <v>12</v>
      </c>
      <c r="D231">
        <v>31</v>
      </c>
      <c r="E231">
        <v>11</v>
      </c>
      <c r="G231">
        <v>13674.9</v>
      </c>
      <c r="J231" t="s">
        <v>315</v>
      </c>
      <c r="K231" t="s">
        <v>315</v>
      </c>
      <c r="L231" t="s">
        <v>623</v>
      </c>
      <c r="M231">
        <v>-1</v>
      </c>
    </row>
    <row r="232" spans="1:13" hidden="1" x14ac:dyDescent="0.25">
      <c r="A232">
        <v>231</v>
      </c>
      <c r="B232">
        <v>2025</v>
      </c>
      <c r="C232">
        <v>12</v>
      </c>
      <c r="D232">
        <v>14</v>
      </c>
      <c r="E232">
        <v>9</v>
      </c>
      <c r="G232">
        <v>163</v>
      </c>
      <c r="J232" s="48">
        <v>16</v>
      </c>
      <c r="K232">
        <v>16</v>
      </c>
      <c r="L232" t="s">
        <v>104</v>
      </c>
      <c r="M232">
        <v>3.5</v>
      </c>
    </row>
    <row r="233" spans="1:13" hidden="1" x14ac:dyDescent="0.25">
      <c r="A233">
        <v>232</v>
      </c>
      <c r="B233">
        <v>2026</v>
      </c>
      <c r="C233">
        <v>1</v>
      </c>
      <c r="D233">
        <v>98</v>
      </c>
      <c r="E233">
        <v>7</v>
      </c>
      <c r="F233" t="s">
        <v>501</v>
      </c>
      <c r="G233">
        <v>75</v>
      </c>
      <c r="J233" t="s">
        <v>362</v>
      </c>
      <c r="K233" t="s">
        <v>362</v>
      </c>
      <c r="L233" t="s">
        <v>639</v>
      </c>
      <c r="M233">
        <v>-1</v>
      </c>
    </row>
    <row r="234" spans="1:13" hidden="1" x14ac:dyDescent="0.25">
      <c r="A234">
        <v>233</v>
      </c>
      <c r="B234">
        <v>2026</v>
      </c>
      <c r="C234">
        <v>1</v>
      </c>
      <c r="D234">
        <v>11</v>
      </c>
      <c r="E234">
        <v>13</v>
      </c>
      <c r="G234">
        <v>1</v>
      </c>
      <c r="J234" s="48">
        <v>1</v>
      </c>
      <c r="K234">
        <v>1</v>
      </c>
      <c r="L234" t="s">
        <v>51</v>
      </c>
      <c r="M234">
        <v>5500</v>
      </c>
    </row>
    <row r="235" spans="1:13" hidden="1" x14ac:dyDescent="0.25">
      <c r="A235">
        <v>234</v>
      </c>
      <c r="B235">
        <v>2026</v>
      </c>
      <c r="C235">
        <v>1</v>
      </c>
      <c r="D235">
        <v>11</v>
      </c>
      <c r="E235">
        <v>13</v>
      </c>
      <c r="G235">
        <v>12.545454545454545</v>
      </c>
      <c r="J235" s="48">
        <v>2</v>
      </c>
      <c r="K235">
        <v>2</v>
      </c>
      <c r="L235" t="s">
        <v>52</v>
      </c>
      <c r="M235">
        <v>200</v>
      </c>
    </row>
    <row r="236" spans="1:13" hidden="1" x14ac:dyDescent="0.25">
      <c r="A236">
        <v>235</v>
      </c>
      <c r="B236">
        <v>2026</v>
      </c>
      <c r="C236">
        <v>1</v>
      </c>
      <c r="D236">
        <v>11</v>
      </c>
      <c r="E236">
        <v>13</v>
      </c>
      <c r="G236">
        <v>1</v>
      </c>
      <c r="J236" s="48">
        <v>6</v>
      </c>
      <c r="K236">
        <v>6</v>
      </c>
      <c r="L236" t="s">
        <v>810</v>
      </c>
      <c r="M236">
        <v>1000</v>
      </c>
    </row>
    <row r="237" spans="1:13" hidden="1" x14ac:dyDescent="0.25">
      <c r="A237">
        <v>236</v>
      </c>
      <c r="B237">
        <v>2026</v>
      </c>
      <c r="C237">
        <v>1</v>
      </c>
      <c r="D237">
        <v>91</v>
      </c>
      <c r="E237">
        <v>7</v>
      </c>
      <c r="F237" s="62" t="s">
        <v>483</v>
      </c>
      <c r="G237">
        <v>1</v>
      </c>
      <c r="J237">
        <v>1</v>
      </c>
      <c r="K237">
        <v>1</v>
      </c>
      <c r="L237" t="s">
        <v>482</v>
      </c>
      <c r="M237">
        <v>3500</v>
      </c>
    </row>
    <row r="238" spans="1:13" hidden="1" x14ac:dyDescent="0.25">
      <c r="A238">
        <v>237</v>
      </c>
      <c r="B238">
        <v>2026</v>
      </c>
      <c r="C238">
        <v>1</v>
      </c>
      <c r="D238">
        <v>33</v>
      </c>
      <c r="E238">
        <v>17</v>
      </c>
      <c r="G238">
        <v>55542</v>
      </c>
      <c r="J238">
        <v>12</v>
      </c>
      <c r="K238">
        <v>12</v>
      </c>
      <c r="L238" t="s">
        <v>451</v>
      </c>
      <c r="M238">
        <v>1.56</v>
      </c>
    </row>
    <row r="239" spans="1:13" hidden="1" x14ac:dyDescent="0.25">
      <c r="A239">
        <v>238</v>
      </c>
      <c r="B239">
        <v>2026</v>
      </c>
      <c r="C239">
        <v>1</v>
      </c>
      <c r="D239">
        <v>33</v>
      </c>
      <c r="E239">
        <v>17</v>
      </c>
      <c r="G239">
        <v>63434</v>
      </c>
      <c r="J239">
        <v>13</v>
      </c>
      <c r="K239">
        <v>13</v>
      </c>
      <c r="L239" t="s">
        <v>452</v>
      </c>
      <c r="M239">
        <v>4.53</v>
      </c>
    </row>
    <row r="240" spans="1:13" hidden="1" x14ac:dyDescent="0.25">
      <c r="A240">
        <v>239</v>
      </c>
      <c r="B240">
        <v>2026</v>
      </c>
      <c r="C240">
        <v>1</v>
      </c>
      <c r="D240">
        <v>33</v>
      </c>
      <c r="E240">
        <v>17</v>
      </c>
      <c r="G240">
        <v>57986</v>
      </c>
      <c r="J240">
        <v>14</v>
      </c>
      <c r="K240">
        <v>14</v>
      </c>
      <c r="L240" t="s">
        <v>453</v>
      </c>
      <c r="M240">
        <v>4.53</v>
      </c>
    </row>
    <row r="241" spans="1:13" hidden="1" x14ac:dyDescent="0.25">
      <c r="A241">
        <v>240</v>
      </c>
      <c r="B241">
        <v>2026</v>
      </c>
      <c r="C241">
        <v>1</v>
      </c>
      <c r="D241">
        <v>33</v>
      </c>
      <c r="E241">
        <v>17</v>
      </c>
      <c r="G241">
        <v>5751</v>
      </c>
      <c r="J241">
        <v>15</v>
      </c>
      <c r="K241">
        <v>15</v>
      </c>
      <c r="L241" t="s">
        <v>454</v>
      </c>
      <c r="M241">
        <v>4.53</v>
      </c>
    </row>
    <row r="242" spans="1:13" hidden="1" x14ac:dyDescent="0.25">
      <c r="A242">
        <v>241</v>
      </c>
      <c r="B242">
        <v>2026</v>
      </c>
      <c r="C242">
        <v>1</v>
      </c>
      <c r="D242">
        <v>33</v>
      </c>
      <c r="E242">
        <v>17</v>
      </c>
      <c r="G242">
        <v>3325</v>
      </c>
      <c r="J242">
        <v>16</v>
      </c>
      <c r="K242">
        <v>16</v>
      </c>
      <c r="L242" t="s">
        <v>455</v>
      </c>
      <c r="M242">
        <v>3.77</v>
      </c>
    </row>
    <row r="243" spans="1:13" hidden="1" x14ac:dyDescent="0.25">
      <c r="A243">
        <v>242</v>
      </c>
      <c r="B243">
        <v>2026</v>
      </c>
      <c r="C243">
        <v>1</v>
      </c>
      <c r="D243">
        <v>30</v>
      </c>
      <c r="E243">
        <v>13</v>
      </c>
      <c r="G243">
        <v>1</v>
      </c>
      <c r="J243" s="48">
        <v>4</v>
      </c>
      <c r="K243">
        <v>4</v>
      </c>
      <c r="L243" t="s">
        <v>312</v>
      </c>
      <c r="M243">
        <v>5500</v>
      </c>
    </row>
    <row r="244" spans="1:13" hidden="1" x14ac:dyDescent="0.25">
      <c r="A244">
        <v>243</v>
      </c>
      <c r="B244">
        <v>2026</v>
      </c>
      <c r="C244">
        <v>1</v>
      </c>
      <c r="D244">
        <v>31</v>
      </c>
      <c r="E244">
        <v>12</v>
      </c>
      <c r="G244">
        <v>16631.703000000001</v>
      </c>
      <c r="J244" t="s">
        <v>319</v>
      </c>
      <c r="K244" t="s">
        <v>319</v>
      </c>
      <c r="L244" t="s">
        <v>132</v>
      </c>
      <c r="M244">
        <v>1</v>
      </c>
    </row>
    <row r="245" spans="1:13" hidden="1" x14ac:dyDescent="0.25">
      <c r="A245">
        <v>244</v>
      </c>
      <c r="B245">
        <v>2026</v>
      </c>
      <c r="C245">
        <v>1</v>
      </c>
      <c r="D245">
        <v>31</v>
      </c>
      <c r="E245">
        <v>12</v>
      </c>
      <c r="G245">
        <v>14029.1</v>
      </c>
      <c r="J245" t="s">
        <v>315</v>
      </c>
      <c r="K245" t="s">
        <v>315</v>
      </c>
      <c r="L245" t="s">
        <v>623</v>
      </c>
      <c r="M245">
        <v>-1</v>
      </c>
    </row>
    <row r="246" spans="1:13" hidden="1" x14ac:dyDescent="0.25">
      <c r="A246">
        <v>245</v>
      </c>
      <c r="B246">
        <v>2026</v>
      </c>
      <c r="C246">
        <v>1</v>
      </c>
      <c r="D246">
        <v>14</v>
      </c>
      <c r="E246">
        <v>10</v>
      </c>
      <c r="G246">
        <v>1</v>
      </c>
      <c r="J246" s="48">
        <v>15</v>
      </c>
      <c r="K246">
        <v>15</v>
      </c>
      <c r="L246" t="s">
        <v>103</v>
      </c>
      <c r="M246">
        <v>4000</v>
      </c>
    </row>
    <row r="247" spans="1:13" hidden="1" x14ac:dyDescent="0.25">
      <c r="A247">
        <v>246</v>
      </c>
      <c r="B247">
        <v>2026</v>
      </c>
      <c r="C247">
        <v>1</v>
      </c>
      <c r="D247">
        <v>14</v>
      </c>
      <c r="E247">
        <v>10</v>
      </c>
      <c r="G247">
        <v>1</v>
      </c>
      <c r="J247">
        <v>17</v>
      </c>
      <c r="K247">
        <v>17</v>
      </c>
      <c r="L247" t="s">
        <v>641</v>
      </c>
      <c r="M247">
        <v>1000</v>
      </c>
    </row>
    <row r="248" spans="1:13" hidden="1" x14ac:dyDescent="0.25">
      <c r="A248">
        <v>247</v>
      </c>
      <c r="B248">
        <v>2026</v>
      </c>
      <c r="C248">
        <v>1</v>
      </c>
      <c r="D248">
        <v>14</v>
      </c>
      <c r="E248">
        <v>10</v>
      </c>
      <c r="G248">
        <v>1</v>
      </c>
      <c r="J248">
        <v>18</v>
      </c>
      <c r="K248">
        <v>18</v>
      </c>
      <c r="L248" t="s">
        <v>642</v>
      </c>
      <c r="M248">
        <v>1000</v>
      </c>
    </row>
    <row r="249" spans="1:13" hidden="1" x14ac:dyDescent="0.25">
      <c r="A249">
        <v>248</v>
      </c>
      <c r="B249">
        <v>2026</v>
      </c>
      <c r="C249">
        <v>1</v>
      </c>
      <c r="D249">
        <v>14</v>
      </c>
      <c r="E249">
        <v>10</v>
      </c>
      <c r="G249">
        <v>1</v>
      </c>
      <c r="J249">
        <v>19</v>
      </c>
      <c r="K249">
        <v>19</v>
      </c>
      <c r="L249" t="s">
        <v>640</v>
      </c>
      <c r="M249">
        <v>600</v>
      </c>
    </row>
    <row r="250" spans="1:13" hidden="1" x14ac:dyDescent="0.25">
      <c r="A250">
        <v>249</v>
      </c>
      <c r="B250">
        <v>2026</v>
      </c>
      <c r="C250">
        <v>1</v>
      </c>
      <c r="D250">
        <v>14</v>
      </c>
      <c r="E250">
        <v>10</v>
      </c>
      <c r="G250">
        <v>169</v>
      </c>
      <c r="J250" s="48">
        <v>16</v>
      </c>
      <c r="K250">
        <v>16</v>
      </c>
      <c r="L250" t="s">
        <v>104</v>
      </c>
      <c r="M250">
        <v>3.5</v>
      </c>
    </row>
    <row r="251" spans="1:13" hidden="1" x14ac:dyDescent="0.25">
      <c r="A251">
        <v>250</v>
      </c>
      <c r="B251">
        <v>2026</v>
      </c>
      <c r="C251">
        <v>2</v>
      </c>
      <c r="D251">
        <v>98</v>
      </c>
      <c r="E251">
        <v>8</v>
      </c>
      <c r="F251" t="s">
        <v>501</v>
      </c>
      <c r="G251">
        <v>50</v>
      </c>
      <c r="J251" t="s">
        <v>362</v>
      </c>
      <c r="K251" t="s">
        <v>362</v>
      </c>
      <c r="L251" t="s">
        <v>639</v>
      </c>
      <c r="M251">
        <v>-1</v>
      </c>
    </row>
    <row r="252" spans="1:13" hidden="1" x14ac:dyDescent="0.25">
      <c r="A252">
        <v>251</v>
      </c>
      <c r="B252">
        <v>2026</v>
      </c>
      <c r="C252">
        <v>2</v>
      </c>
      <c r="D252">
        <v>11</v>
      </c>
      <c r="E252">
        <v>14</v>
      </c>
      <c r="G252">
        <v>1</v>
      </c>
      <c r="J252" s="48">
        <v>1</v>
      </c>
      <c r="K252">
        <v>1</v>
      </c>
      <c r="L252" t="s">
        <v>51</v>
      </c>
      <c r="M252">
        <v>5500</v>
      </c>
    </row>
    <row r="253" spans="1:13" hidden="1" x14ac:dyDescent="0.25">
      <c r="A253">
        <v>252</v>
      </c>
      <c r="B253">
        <v>2026</v>
      </c>
      <c r="C253">
        <v>2</v>
      </c>
      <c r="D253">
        <v>11</v>
      </c>
      <c r="E253">
        <v>14</v>
      </c>
      <c r="G253">
        <v>7</v>
      </c>
      <c r="J253" s="48">
        <v>2</v>
      </c>
      <c r="K253">
        <v>2</v>
      </c>
      <c r="L253" t="s">
        <v>52</v>
      </c>
      <c r="M253">
        <v>200</v>
      </c>
    </row>
    <row r="254" spans="1:13" hidden="1" x14ac:dyDescent="0.25">
      <c r="A254">
        <v>253</v>
      </c>
      <c r="B254">
        <v>2026</v>
      </c>
      <c r="C254">
        <v>2</v>
      </c>
      <c r="D254">
        <v>91</v>
      </c>
      <c r="E254">
        <v>8</v>
      </c>
      <c r="F254" s="62" t="s">
        <v>483</v>
      </c>
      <c r="G254">
        <v>1</v>
      </c>
      <c r="J254">
        <v>1</v>
      </c>
      <c r="K254">
        <v>1</v>
      </c>
      <c r="L254" t="s">
        <v>482</v>
      </c>
      <c r="M254">
        <v>3500</v>
      </c>
    </row>
    <row r="255" spans="1:13" hidden="1" x14ac:dyDescent="0.25">
      <c r="A255">
        <v>254</v>
      </c>
      <c r="B255">
        <v>2026</v>
      </c>
      <c r="C255">
        <v>2</v>
      </c>
      <c r="D255">
        <v>33</v>
      </c>
      <c r="E255">
        <v>18</v>
      </c>
      <c r="G255">
        <v>53328</v>
      </c>
      <c r="J255">
        <v>12</v>
      </c>
      <c r="K255">
        <v>12</v>
      </c>
      <c r="L255" t="s">
        <v>451</v>
      </c>
      <c r="M255">
        <v>1.56</v>
      </c>
    </row>
    <row r="256" spans="1:13" hidden="1" x14ac:dyDescent="0.25">
      <c r="A256">
        <v>255</v>
      </c>
      <c r="B256">
        <v>2026</v>
      </c>
      <c r="C256">
        <v>2</v>
      </c>
      <c r="D256">
        <v>33</v>
      </c>
      <c r="E256">
        <v>18</v>
      </c>
      <c r="G256">
        <v>63158</v>
      </c>
      <c r="J256">
        <v>13</v>
      </c>
      <c r="K256">
        <v>13</v>
      </c>
      <c r="L256" t="s">
        <v>452</v>
      </c>
      <c r="M256">
        <v>4.53</v>
      </c>
    </row>
    <row r="257" spans="1:13" hidden="1" x14ac:dyDescent="0.25">
      <c r="A257">
        <v>256</v>
      </c>
      <c r="B257">
        <v>2026</v>
      </c>
      <c r="C257">
        <v>2</v>
      </c>
      <c r="D257">
        <v>33</v>
      </c>
      <c r="E257">
        <v>18</v>
      </c>
      <c r="G257">
        <v>58608</v>
      </c>
      <c r="J257">
        <v>14</v>
      </c>
      <c r="K257">
        <v>14</v>
      </c>
      <c r="L257" t="s">
        <v>453</v>
      </c>
      <c r="M257">
        <v>4.53</v>
      </c>
    </row>
    <row r="258" spans="1:13" hidden="1" x14ac:dyDescent="0.25">
      <c r="A258">
        <v>257</v>
      </c>
      <c r="B258">
        <v>2026</v>
      </c>
      <c r="C258">
        <v>2</v>
      </c>
      <c r="D258">
        <v>33</v>
      </c>
      <c r="E258">
        <v>18</v>
      </c>
      <c r="G258">
        <v>4948</v>
      </c>
      <c r="J258">
        <v>15</v>
      </c>
      <c r="K258">
        <v>15</v>
      </c>
      <c r="L258" t="s">
        <v>454</v>
      </c>
      <c r="M258">
        <v>4.53</v>
      </c>
    </row>
    <row r="259" spans="1:13" hidden="1" x14ac:dyDescent="0.25">
      <c r="A259">
        <v>258</v>
      </c>
      <c r="B259">
        <v>2026</v>
      </c>
      <c r="C259">
        <v>2</v>
      </c>
      <c r="D259">
        <v>33</v>
      </c>
      <c r="E259">
        <v>18</v>
      </c>
      <c r="G259">
        <v>3137</v>
      </c>
      <c r="J259">
        <v>16</v>
      </c>
      <c r="K259">
        <v>16</v>
      </c>
      <c r="L259" t="s">
        <v>455</v>
      </c>
      <c r="M259">
        <v>3.77</v>
      </c>
    </row>
    <row r="260" spans="1:13" hidden="1" x14ac:dyDescent="0.25">
      <c r="A260">
        <v>259</v>
      </c>
      <c r="B260">
        <v>2026</v>
      </c>
      <c r="C260">
        <v>2</v>
      </c>
      <c r="D260">
        <v>30</v>
      </c>
      <c r="E260">
        <v>14</v>
      </c>
      <c r="G260">
        <v>1</v>
      </c>
      <c r="J260" s="48">
        <v>4</v>
      </c>
      <c r="K260">
        <v>4</v>
      </c>
      <c r="L260" t="s">
        <v>312</v>
      </c>
      <c r="M260">
        <v>5500</v>
      </c>
    </row>
    <row r="261" spans="1:13" hidden="1" x14ac:dyDescent="0.25">
      <c r="A261">
        <v>260</v>
      </c>
      <c r="B261">
        <v>2026</v>
      </c>
      <c r="C261">
        <v>2</v>
      </c>
      <c r="D261">
        <v>31</v>
      </c>
      <c r="E261">
        <v>13</v>
      </c>
      <c r="G261">
        <v>16841.285999999996</v>
      </c>
      <c r="J261" t="s">
        <v>319</v>
      </c>
      <c r="K261" t="s">
        <v>319</v>
      </c>
      <c r="L261" t="s">
        <v>132</v>
      </c>
      <c r="M261">
        <v>1</v>
      </c>
    </row>
    <row r="262" spans="1:13" hidden="1" x14ac:dyDescent="0.25">
      <c r="A262">
        <v>261</v>
      </c>
      <c r="B262">
        <v>2026</v>
      </c>
      <c r="C262">
        <v>2</v>
      </c>
      <c r="D262">
        <v>31</v>
      </c>
      <c r="E262">
        <v>13</v>
      </c>
      <c r="G262">
        <v>13470.9</v>
      </c>
      <c r="J262" t="s">
        <v>315</v>
      </c>
      <c r="K262" t="s">
        <v>315</v>
      </c>
      <c r="L262" t="s">
        <v>623</v>
      </c>
      <c r="M262">
        <v>-1</v>
      </c>
    </row>
    <row r="263" spans="1:13" hidden="1" x14ac:dyDescent="0.25">
      <c r="A263">
        <v>262</v>
      </c>
      <c r="B263">
        <v>2026</v>
      </c>
      <c r="C263">
        <v>2</v>
      </c>
      <c r="D263">
        <v>14</v>
      </c>
      <c r="E263">
        <v>11</v>
      </c>
      <c r="G263">
        <v>1</v>
      </c>
      <c r="J263" s="48">
        <v>15</v>
      </c>
      <c r="K263">
        <v>15</v>
      </c>
      <c r="L263" t="s">
        <v>103</v>
      </c>
      <c r="M263">
        <v>4000</v>
      </c>
    </row>
    <row r="264" spans="1:13" hidden="1" x14ac:dyDescent="0.25">
      <c r="A264">
        <v>263</v>
      </c>
      <c r="B264">
        <v>2026</v>
      </c>
      <c r="C264">
        <v>2</v>
      </c>
      <c r="D264">
        <v>14</v>
      </c>
      <c r="E264">
        <v>11</v>
      </c>
      <c r="G264">
        <v>1</v>
      </c>
      <c r="J264">
        <v>17</v>
      </c>
      <c r="K264">
        <v>17</v>
      </c>
      <c r="L264" t="s">
        <v>641</v>
      </c>
      <c r="M264">
        <v>1000</v>
      </c>
    </row>
    <row r="265" spans="1:13" hidden="1" x14ac:dyDescent="0.25">
      <c r="A265">
        <v>264</v>
      </c>
      <c r="B265">
        <v>2026</v>
      </c>
      <c r="C265">
        <v>2</v>
      </c>
      <c r="D265">
        <v>14</v>
      </c>
      <c r="E265">
        <v>11</v>
      </c>
      <c r="G265">
        <v>1</v>
      </c>
      <c r="J265">
        <v>18</v>
      </c>
      <c r="K265">
        <v>18</v>
      </c>
      <c r="L265" t="s">
        <v>642</v>
      </c>
      <c r="M265">
        <v>1000</v>
      </c>
    </row>
    <row r="266" spans="1:13" hidden="1" x14ac:dyDescent="0.25">
      <c r="A266">
        <v>265</v>
      </c>
      <c r="B266">
        <v>2026</v>
      </c>
      <c r="C266">
        <v>2</v>
      </c>
      <c r="D266">
        <v>14</v>
      </c>
      <c r="E266">
        <v>11</v>
      </c>
      <c r="G266">
        <v>1</v>
      </c>
      <c r="J266">
        <v>19</v>
      </c>
      <c r="K266">
        <v>19</v>
      </c>
      <c r="L266" t="s">
        <v>640</v>
      </c>
      <c r="M266">
        <v>600</v>
      </c>
    </row>
    <row r="267" spans="1:13" hidden="1" x14ac:dyDescent="0.25">
      <c r="A267">
        <v>266</v>
      </c>
      <c r="B267">
        <v>2026</v>
      </c>
      <c r="C267">
        <v>2</v>
      </c>
      <c r="D267">
        <v>14</v>
      </c>
      <c r="E267">
        <v>11</v>
      </c>
      <c r="G267">
        <f>161+153</f>
        <v>314</v>
      </c>
      <c r="J267" s="48">
        <v>10</v>
      </c>
      <c r="K267">
        <v>10</v>
      </c>
      <c r="L267" t="s">
        <v>819</v>
      </c>
      <c r="M267">
        <v>2</v>
      </c>
    </row>
    <row r="268" spans="1:13" hidden="1" x14ac:dyDescent="0.25">
      <c r="A268">
        <v>267</v>
      </c>
      <c r="B268">
        <v>2026</v>
      </c>
      <c r="C268">
        <v>2</v>
      </c>
      <c r="D268">
        <v>14</v>
      </c>
      <c r="E268">
        <v>11</v>
      </c>
      <c r="G268">
        <v>185</v>
      </c>
      <c r="J268" s="48">
        <v>16</v>
      </c>
      <c r="K268">
        <v>16</v>
      </c>
      <c r="L268" t="s">
        <v>833</v>
      </c>
      <c r="M268">
        <v>3.5</v>
      </c>
    </row>
    <row r="269" spans="1:13" hidden="1" x14ac:dyDescent="0.25">
      <c r="A269">
        <v>268</v>
      </c>
      <c r="B269">
        <v>2026</v>
      </c>
      <c r="C269">
        <v>2</v>
      </c>
      <c r="D269">
        <v>51</v>
      </c>
      <c r="E269">
        <v>7</v>
      </c>
      <c r="G269">
        <f>1-6/30</f>
        <v>0.8</v>
      </c>
      <c r="J269">
        <v>8</v>
      </c>
      <c r="K269">
        <v>8</v>
      </c>
      <c r="L269" t="s">
        <v>914</v>
      </c>
      <c r="M269">
        <v>2300</v>
      </c>
    </row>
    <row r="270" spans="1:13" hidden="1" x14ac:dyDescent="0.25">
      <c r="A270">
        <v>269</v>
      </c>
      <c r="B270">
        <v>2026</v>
      </c>
      <c r="C270">
        <v>2</v>
      </c>
      <c r="D270">
        <v>51</v>
      </c>
      <c r="E270">
        <v>7</v>
      </c>
      <c r="G270">
        <v>1</v>
      </c>
      <c r="J270">
        <v>9</v>
      </c>
      <c r="K270">
        <v>9</v>
      </c>
      <c r="L270" t="s">
        <v>916</v>
      </c>
      <c r="M270">
        <v>2300</v>
      </c>
    </row>
    <row r="271" spans="1:13" hidden="1" x14ac:dyDescent="0.25">
      <c r="A271">
        <v>270</v>
      </c>
      <c r="B271">
        <v>2026</v>
      </c>
      <c r="C271">
        <v>2</v>
      </c>
      <c r="D271">
        <v>51</v>
      </c>
      <c r="E271">
        <v>7</v>
      </c>
      <c r="G271">
        <v>1</v>
      </c>
      <c r="J271">
        <v>10</v>
      </c>
      <c r="K271">
        <v>10</v>
      </c>
      <c r="L271" t="s">
        <v>918</v>
      </c>
      <c r="M271">
        <v>2300</v>
      </c>
    </row>
    <row r="272" spans="1:13" hidden="1" x14ac:dyDescent="0.25">
      <c r="A272">
        <v>271</v>
      </c>
      <c r="B272">
        <v>2026</v>
      </c>
      <c r="C272">
        <v>2</v>
      </c>
      <c r="D272">
        <v>11</v>
      </c>
      <c r="E272">
        <v>14</v>
      </c>
      <c r="G272">
        <v>2</v>
      </c>
      <c r="J272" s="48">
        <v>3</v>
      </c>
      <c r="K272">
        <v>3</v>
      </c>
      <c r="L272" t="s">
        <v>807</v>
      </c>
      <c r="M272">
        <v>100</v>
      </c>
    </row>
    <row r="273" spans="1:13" hidden="1" x14ac:dyDescent="0.25">
      <c r="A273">
        <v>272</v>
      </c>
      <c r="B273">
        <v>2026</v>
      </c>
      <c r="C273">
        <v>2</v>
      </c>
      <c r="D273">
        <v>110</v>
      </c>
      <c r="E273">
        <v>7</v>
      </c>
      <c r="G273">
        <v>80</v>
      </c>
      <c r="J273" t="s">
        <v>324</v>
      </c>
      <c r="K273" t="s">
        <v>324</v>
      </c>
      <c r="L273" t="s">
        <v>623</v>
      </c>
      <c r="M273">
        <v>-1.1000000000000001</v>
      </c>
    </row>
    <row r="274" spans="1:13" hidden="1" x14ac:dyDescent="0.25">
      <c r="A274">
        <v>273</v>
      </c>
      <c r="B274">
        <v>2026</v>
      </c>
      <c r="C274">
        <v>3</v>
      </c>
      <c r="D274">
        <v>51</v>
      </c>
      <c r="E274">
        <v>8</v>
      </c>
      <c r="G274">
        <v>1</v>
      </c>
      <c r="J274">
        <v>8</v>
      </c>
      <c r="K274">
        <v>8</v>
      </c>
      <c r="L274" t="s">
        <v>914</v>
      </c>
      <c r="M274">
        <v>2300</v>
      </c>
    </row>
    <row r="275" spans="1:13" hidden="1" x14ac:dyDescent="0.25">
      <c r="A275">
        <v>274</v>
      </c>
      <c r="B275">
        <v>2026</v>
      </c>
      <c r="C275">
        <v>3</v>
      </c>
      <c r="D275">
        <v>51</v>
      </c>
      <c r="E275">
        <v>8</v>
      </c>
      <c r="G275">
        <v>1</v>
      </c>
      <c r="J275">
        <v>9</v>
      </c>
      <c r="K275">
        <v>9</v>
      </c>
      <c r="L275" t="s">
        <v>916</v>
      </c>
      <c r="M275">
        <v>2300</v>
      </c>
    </row>
    <row r="276" spans="1:13" hidden="1" x14ac:dyDescent="0.25">
      <c r="A276">
        <v>275</v>
      </c>
      <c r="B276">
        <v>2026</v>
      </c>
      <c r="C276">
        <v>3</v>
      </c>
      <c r="D276">
        <v>51</v>
      </c>
      <c r="E276">
        <v>8</v>
      </c>
      <c r="G276">
        <v>1</v>
      </c>
      <c r="J276">
        <v>10</v>
      </c>
      <c r="K276">
        <v>10</v>
      </c>
      <c r="L276" t="s">
        <v>918</v>
      </c>
      <c r="M276">
        <v>2300</v>
      </c>
    </row>
    <row r="277" spans="1:13" x14ac:dyDescent="0.25">
      <c r="A277">
        <v>276</v>
      </c>
      <c r="B277">
        <v>2026</v>
      </c>
      <c r="C277">
        <v>3</v>
      </c>
      <c r="D277">
        <v>11</v>
      </c>
      <c r="E277">
        <v>15</v>
      </c>
      <c r="G277">
        <v>1</v>
      </c>
      <c r="J277" s="48">
        <v>1</v>
      </c>
      <c r="K277">
        <v>1</v>
      </c>
      <c r="L277" t="s">
        <v>51</v>
      </c>
      <c r="M277">
        <v>5500</v>
      </c>
    </row>
    <row r="278" spans="1:13" x14ac:dyDescent="0.25">
      <c r="A278">
        <v>277</v>
      </c>
      <c r="B278">
        <v>2026</v>
      </c>
      <c r="C278">
        <v>3</v>
      </c>
      <c r="D278">
        <v>11</v>
      </c>
      <c r="E278">
        <v>15</v>
      </c>
      <c r="G278">
        <v>11</v>
      </c>
      <c r="J278" s="48">
        <v>2</v>
      </c>
      <c r="K278">
        <v>2</v>
      </c>
      <c r="L278" t="s">
        <v>52</v>
      </c>
      <c r="M278">
        <v>200</v>
      </c>
    </row>
    <row r="279" spans="1:13" hidden="1" x14ac:dyDescent="0.25">
      <c r="A279">
        <v>278</v>
      </c>
      <c r="B279">
        <v>2026</v>
      </c>
      <c r="C279">
        <v>3</v>
      </c>
      <c r="D279">
        <v>14</v>
      </c>
      <c r="E279">
        <v>12</v>
      </c>
      <c r="G279">
        <f>12/31</f>
        <v>0.38709677419354838</v>
      </c>
      <c r="J279" s="48">
        <v>15</v>
      </c>
      <c r="K279">
        <v>15</v>
      </c>
      <c r="L279" t="s">
        <v>103</v>
      </c>
      <c r="M279">
        <v>4000</v>
      </c>
    </row>
    <row r="280" spans="1:13" hidden="1" x14ac:dyDescent="0.25">
      <c r="A280">
        <v>279</v>
      </c>
      <c r="B280">
        <v>2026</v>
      </c>
      <c r="C280">
        <v>3</v>
      </c>
      <c r="D280">
        <v>14</v>
      </c>
      <c r="E280">
        <v>12</v>
      </c>
      <c r="G280">
        <v>1</v>
      </c>
      <c r="J280">
        <v>17</v>
      </c>
      <c r="K280">
        <v>17</v>
      </c>
      <c r="L280" t="s">
        <v>641</v>
      </c>
      <c r="M280">
        <v>1000</v>
      </c>
    </row>
    <row r="281" spans="1:13" hidden="1" x14ac:dyDescent="0.25">
      <c r="A281">
        <v>280</v>
      </c>
      <c r="B281">
        <v>2026</v>
      </c>
      <c r="C281">
        <v>3</v>
      </c>
      <c r="D281">
        <v>14</v>
      </c>
      <c r="E281">
        <v>12</v>
      </c>
      <c r="G281">
        <v>1</v>
      </c>
      <c r="J281">
        <v>18</v>
      </c>
      <c r="K281">
        <v>18</v>
      </c>
      <c r="L281" t="s">
        <v>642</v>
      </c>
      <c r="M281">
        <v>1000</v>
      </c>
    </row>
    <row r="282" spans="1:13" hidden="1" x14ac:dyDescent="0.25">
      <c r="A282">
        <v>281</v>
      </c>
      <c r="B282">
        <v>2026</v>
      </c>
      <c r="C282">
        <v>3</v>
      </c>
      <c r="D282">
        <v>14</v>
      </c>
      <c r="E282">
        <v>12</v>
      </c>
      <c r="G282">
        <v>1</v>
      </c>
      <c r="J282">
        <v>19</v>
      </c>
      <c r="K282">
        <v>19</v>
      </c>
      <c r="L282" t="s">
        <v>640</v>
      </c>
      <c r="M282">
        <v>600</v>
      </c>
    </row>
    <row r="283" spans="1:13" hidden="1" x14ac:dyDescent="0.25">
      <c r="A283">
        <v>282</v>
      </c>
      <c r="B283">
        <v>2026</v>
      </c>
      <c r="C283">
        <v>3</v>
      </c>
      <c r="D283">
        <v>14</v>
      </c>
      <c r="E283">
        <v>12</v>
      </c>
      <c r="G283">
        <v>150</v>
      </c>
      <c r="J283" s="48">
        <v>10</v>
      </c>
      <c r="K283">
        <v>10</v>
      </c>
      <c r="L283" t="s">
        <v>819</v>
      </c>
      <c r="M283">
        <v>2</v>
      </c>
    </row>
    <row r="284" spans="1:13" hidden="1" x14ac:dyDescent="0.25">
      <c r="A284">
        <v>283</v>
      </c>
      <c r="B284">
        <v>2026</v>
      </c>
      <c r="C284">
        <v>3</v>
      </c>
      <c r="D284">
        <v>14</v>
      </c>
      <c r="E284">
        <v>12</v>
      </c>
      <c r="G284">
        <v>172</v>
      </c>
      <c r="J284" s="48">
        <v>16</v>
      </c>
      <c r="K284">
        <v>16</v>
      </c>
      <c r="L284" t="s">
        <v>833</v>
      </c>
      <c r="M284">
        <v>3.5</v>
      </c>
    </row>
    <row r="285" spans="1:13" hidden="1" x14ac:dyDescent="0.25">
      <c r="A285">
        <v>284</v>
      </c>
      <c r="B285">
        <v>2026</v>
      </c>
      <c r="C285">
        <v>3</v>
      </c>
      <c r="D285">
        <v>14</v>
      </c>
      <c r="E285">
        <v>12</v>
      </c>
      <c r="G285">
        <v>200</v>
      </c>
      <c r="J285" s="48">
        <v>20</v>
      </c>
      <c r="K285">
        <v>20</v>
      </c>
      <c r="L285" t="s">
        <v>1152</v>
      </c>
      <c r="M285">
        <v>1.5</v>
      </c>
    </row>
    <row r="286" spans="1:13" hidden="1" x14ac:dyDescent="0.25">
      <c r="A286">
        <v>285</v>
      </c>
      <c r="B286">
        <v>2026</v>
      </c>
      <c r="C286">
        <v>3</v>
      </c>
      <c r="D286">
        <v>98</v>
      </c>
      <c r="E286">
        <v>9</v>
      </c>
      <c r="F286" t="s">
        <v>501</v>
      </c>
      <c r="G286">
        <v>50</v>
      </c>
      <c r="J286" t="s">
        <v>362</v>
      </c>
      <c r="K286" t="s">
        <v>362</v>
      </c>
      <c r="L286" t="s">
        <v>639</v>
      </c>
      <c r="M286">
        <v>-1</v>
      </c>
    </row>
    <row r="287" spans="1:13" hidden="1" x14ac:dyDescent="0.25">
      <c r="A287">
        <v>286</v>
      </c>
      <c r="B287">
        <v>2026</v>
      </c>
      <c r="C287">
        <v>3</v>
      </c>
      <c r="D287">
        <v>91</v>
      </c>
      <c r="E287">
        <v>9</v>
      </c>
      <c r="F287" s="62" t="s">
        <v>483</v>
      </c>
      <c r="G287">
        <v>1</v>
      </c>
      <c r="J287">
        <v>1</v>
      </c>
      <c r="K287">
        <v>1</v>
      </c>
      <c r="L287" t="s">
        <v>482</v>
      </c>
      <c r="M287">
        <v>3500</v>
      </c>
    </row>
    <row r="288" spans="1:13" hidden="1" x14ac:dyDescent="0.25">
      <c r="A288">
        <v>287</v>
      </c>
      <c r="B288">
        <v>2026</v>
      </c>
      <c r="C288">
        <v>3</v>
      </c>
      <c r="D288">
        <v>33</v>
      </c>
      <c r="E288">
        <v>19</v>
      </c>
      <c r="G288">
        <v>49278</v>
      </c>
      <c r="J288">
        <v>12</v>
      </c>
      <c r="K288">
        <v>12</v>
      </c>
      <c r="L288" t="s">
        <v>451</v>
      </c>
      <c r="M288">
        <v>1.56</v>
      </c>
    </row>
    <row r="289" spans="1:13" hidden="1" x14ac:dyDescent="0.25">
      <c r="A289">
        <v>288</v>
      </c>
      <c r="B289">
        <v>2026</v>
      </c>
      <c r="C289">
        <v>3</v>
      </c>
      <c r="D289">
        <v>33</v>
      </c>
      <c r="E289">
        <v>19</v>
      </c>
      <c r="G289">
        <v>59524</v>
      </c>
      <c r="J289">
        <v>13</v>
      </c>
      <c r="K289">
        <v>13</v>
      </c>
      <c r="L289" t="s">
        <v>452</v>
      </c>
      <c r="M289">
        <v>4.53</v>
      </c>
    </row>
    <row r="290" spans="1:13" hidden="1" x14ac:dyDescent="0.25">
      <c r="A290">
        <v>289</v>
      </c>
      <c r="B290">
        <v>2026</v>
      </c>
      <c r="C290">
        <v>3</v>
      </c>
      <c r="D290">
        <v>33</v>
      </c>
      <c r="E290">
        <v>19</v>
      </c>
      <c r="G290">
        <v>54344</v>
      </c>
      <c r="J290">
        <v>14</v>
      </c>
      <c r="K290">
        <v>14</v>
      </c>
      <c r="L290" t="s">
        <v>453</v>
      </c>
      <c r="M290">
        <v>4.53</v>
      </c>
    </row>
    <row r="291" spans="1:13" hidden="1" x14ac:dyDescent="0.25">
      <c r="A291">
        <v>290</v>
      </c>
      <c r="B291">
        <v>2026</v>
      </c>
      <c r="C291">
        <v>3</v>
      </c>
      <c r="D291">
        <v>33</v>
      </c>
      <c r="E291">
        <v>19</v>
      </c>
      <c r="G291">
        <v>4240</v>
      </c>
      <c r="J291">
        <v>15</v>
      </c>
      <c r="K291">
        <v>15</v>
      </c>
      <c r="L291" t="s">
        <v>454</v>
      </c>
      <c r="M291">
        <v>4.53</v>
      </c>
    </row>
    <row r="292" spans="1:13" hidden="1" x14ac:dyDescent="0.25">
      <c r="A292">
        <v>291</v>
      </c>
      <c r="B292">
        <v>2026</v>
      </c>
      <c r="C292">
        <v>3</v>
      </c>
      <c r="D292">
        <v>33</v>
      </c>
      <c r="E292">
        <v>19</v>
      </c>
      <c r="G292">
        <v>2938</v>
      </c>
      <c r="J292">
        <v>16</v>
      </c>
      <c r="K292">
        <v>16</v>
      </c>
      <c r="L292" t="s">
        <v>455</v>
      </c>
      <c r="M292">
        <v>3.77</v>
      </c>
    </row>
    <row r="293" spans="1:13" hidden="1" x14ac:dyDescent="0.25">
      <c r="A293">
        <v>292</v>
      </c>
      <c r="B293">
        <v>2026</v>
      </c>
      <c r="C293">
        <v>3</v>
      </c>
      <c r="D293">
        <v>30</v>
      </c>
      <c r="E293">
        <v>15</v>
      </c>
      <c r="G293">
        <v>1</v>
      </c>
      <c r="J293" s="48">
        <v>4</v>
      </c>
      <c r="K293">
        <v>4</v>
      </c>
      <c r="L293" t="s">
        <v>312</v>
      </c>
      <c r="M293">
        <v>5500</v>
      </c>
    </row>
    <row r="294" spans="1:13" hidden="1" x14ac:dyDescent="0.25">
      <c r="A294">
        <v>293</v>
      </c>
      <c r="B294">
        <v>2026</v>
      </c>
      <c r="C294">
        <v>3</v>
      </c>
      <c r="D294">
        <v>31</v>
      </c>
      <c r="E294">
        <v>14</v>
      </c>
      <c r="G294">
        <v>0.1</v>
      </c>
      <c r="J294" t="s">
        <v>319</v>
      </c>
      <c r="K294" t="s">
        <v>319</v>
      </c>
      <c r="L294" t="s">
        <v>132</v>
      </c>
      <c r="M294">
        <v>1</v>
      </c>
    </row>
    <row r="295" spans="1:13" hidden="1" x14ac:dyDescent="0.25">
      <c r="A295">
        <v>294</v>
      </c>
      <c r="B295">
        <v>2026</v>
      </c>
      <c r="C295">
        <v>3</v>
      </c>
      <c r="D295">
        <v>31</v>
      </c>
      <c r="E295">
        <v>14</v>
      </c>
      <c r="G295">
        <v>0.1</v>
      </c>
      <c r="J295" t="s">
        <v>315</v>
      </c>
      <c r="K295" t="s">
        <v>315</v>
      </c>
      <c r="L295" t="s">
        <v>623</v>
      </c>
      <c r="M295">
        <v>-1</v>
      </c>
    </row>
    <row r="296" spans="1:13" hidden="1" x14ac:dyDescent="0.25">
      <c r="A296">
        <v>295</v>
      </c>
      <c r="B296">
        <v>2026</v>
      </c>
      <c r="C296">
        <v>3</v>
      </c>
      <c r="D296">
        <v>150</v>
      </c>
      <c r="E296">
        <v>2</v>
      </c>
      <c r="G296">
        <v>3</v>
      </c>
      <c r="J296">
        <v>2</v>
      </c>
      <c r="K296">
        <v>2</v>
      </c>
      <c r="L296" t="s">
        <v>919</v>
      </c>
      <c r="M296">
        <v>270</v>
      </c>
    </row>
    <row r="297" spans="1:13" hidden="1" x14ac:dyDescent="0.25">
      <c r="A297">
        <v>296</v>
      </c>
      <c r="B297">
        <v>2026</v>
      </c>
      <c r="C297">
        <v>3</v>
      </c>
      <c r="D297">
        <v>182</v>
      </c>
      <c r="E297">
        <v>2</v>
      </c>
      <c r="G297">
        <v>53.571428571428903</v>
      </c>
      <c r="J297" t="s">
        <v>315</v>
      </c>
      <c r="K297" t="s">
        <v>315</v>
      </c>
      <c r="L297" t="s">
        <v>1166</v>
      </c>
      <c r="M297">
        <v>-1</v>
      </c>
    </row>
    <row r="298" spans="1:13" x14ac:dyDescent="0.25">
      <c r="A298">
        <v>297</v>
      </c>
      <c r="B298">
        <v>2026</v>
      </c>
      <c r="C298">
        <v>3</v>
      </c>
      <c r="D298">
        <v>11</v>
      </c>
      <c r="E298">
        <v>15</v>
      </c>
      <c r="G298">
        <v>7</v>
      </c>
      <c r="J298" s="48">
        <v>3</v>
      </c>
      <c r="K298">
        <v>3</v>
      </c>
      <c r="L298" t="s">
        <v>58</v>
      </c>
      <c r="M298">
        <v>100</v>
      </c>
    </row>
    <row r="299" spans="1:13" hidden="1" x14ac:dyDescent="0.25">
      <c r="K299" t="e" cm="1" vm="2">
        <f t="array" ref="K299">_xlfn.LET(_xlpm.l,_xlfn._xlws.FILTER(_xlfn._TRO_TRAILING(log_prices!E:I),(_xlfn._TRO_TRAILING(log_prices!C:C)=D299)*IF(J299="",1,_xlfn._TRO_TRAILING(log_prices!E:E)=J299)),_xlfn.HSTACK(_xlfn.TAKE(_xlpm.l,,2),_xlfn.DROP(_xlpm.l,,4)))</f>
        <v>#VALUE!</v>
      </c>
    </row>
  </sheetData>
  <autoFilter ref="A1:M299" xr:uid="{41B74C2A-39A7-4F71-AFAB-6AF917615096}">
    <filterColumn colId="3">
      <filters>
        <filter val="11"/>
      </filters>
    </filterColumn>
    <filterColumn colId="4">
      <filters>
        <filter val="15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463-92B2-469F-A8A2-4052CBCFB091}">
  <sheetPr codeName="Sheet8" filterMode="1">
    <pageSetUpPr fitToPage="1"/>
  </sheetPr>
  <dimension ref="A1:AS1699"/>
  <sheetViews>
    <sheetView zoomScale="70" zoomScaleNormal="70" zoomScaleSheetLayoutView="100" workbookViewId="0">
      <pane xSplit="7" ySplit="1" topLeftCell="H1564" activePane="bottomRight" state="frozen"/>
      <selection activeCell="O1" sqref="O1"/>
      <selection pane="topRight" activeCell="O1" sqref="O1"/>
      <selection pane="bottomLeft" activeCell="O1" sqref="O1"/>
      <selection pane="bottomRight" activeCell="AN1657" sqref="AN1657"/>
    </sheetView>
  </sheetViews>
  <sheetFormatPr defaultRowHeight="15" outlineLevelCol="1" x14ac:dyDescent="0.25"/>
  <cols>
    <col min="1" max="1" width="6.7109375" customWidth="1"/>
    <col min="2" max="2" width="9.7109375" bestFit="1" customWidth="1"/>
    <col min="3" max="3" width="4.5703125" customWidth="1"/>
    <col min="4" max="4" width="10.7109375" bestFit="1" customWidth="1"/>
    <col min="5" max="5" width="9.5703125" customWidth="1"/>
    <col min="6" max="6" width="6.28515625" bestFit="1" customWidth="1"/>
    <col min="7" max="7" width="10.5703125" customWidth="1"/>
    <col min="8" max="8" width="10" style="48" customWidth="1" outlineLevel="1"/>
    <col min="9" max="37" width="8.7109375" style="48" customWidth="1" outlineLevel="1"/>
    <col min="38" max="38" width="9" style="48" customWidth="1" outlineLevel="1"/>
    <col min="39" max="39" width="7.140625" customWidth="1"/>
    <col min="40" max="40" width="8" customWidth="1"/>
    <col min="41" max="41" width="6.85546875" customWidth="1"/>
    <col min="42" max="42" width="8.140625" customWidth="1"/>
    <col min="43" max="43" width="8.85546875" customWidth="1"/>
    <col min="44" max="44" width="9.42578125" customWidth="1"/>
  </cols>
  <sheetData>
    <row r="1" spans="1:45" x14ac:dyDescent="0.25">
      <c r="A1" t="s">
        <v>793</v>
      </c>
      <c r="B1" t="s">
        <v>187</v>
      </c>
      <c r="C1" t="s">
        <v>84</v>
      </c>
      <c r="D1" t="s">
        <v>605</v>
      </c>
      <c r="E1" t="s">
        <v>89</v>
      </c>
      <c r="F1" t="s">
        <v>82</v>
      </c>
      <c r="G1" t="s">
        <v>459</v>
      </c>
      <c r="H1" s="59">
        <v>1</v>
      </c>
      <c r="I1" s="59">
        <v>2</v>
      </c>
      <c r="J1" s="59">
        <v>3</v>
      </c>
      <c r="K1" s="59">
        <v>4</v>
      </c>
      <c r="L1" s="59">
        <v>5</v>
      </c>
      <c r="M1" s="59">
        <v>6</v>
      </c>
      <c r="N1" s="59">
        <v>7</v>
      </c>
      <c r="O1" s="59">
        <v>8</v>
      </c>
      <c r="P1" s="59">
        <v>9</v>
      </c>
      <c r="Q1" s="59">
        <v>10</v>
      </c>
      <c r="R1" s="59">
        <v>11</v>
      </c>
      <c r="S1" s="59">
        <v>12</v>
      </c>
      <c r="T1" s="59">
        <v>13</v>
      </c>
      <c r="U1" s="59">
        <v>14</v>
      </c>
      <c r="V1" s="59">
        <v>15</v>
      </c>
      <c r="W1" s="59">
        <v>16</v>
      </c>
      <c r="X1" s="59">
        <v>17</v>
      </c>
      <c r="Y1" s="59">
        <v>18</v>
      </c>
      <c r="Z1" s="59">
        <v>19</v>
      </c>
      <c r="AA1" s="59">
        <v>20</v>
      </c>
      <c r="AB1" s="59">
        <v>21</v>
      </c>
      <c r="AC1" s="59">
        <v>22</v>
      </c>
      <c r="AD1" s="59">
        <v>23</v>
      </c>
      <c r="AE1" s="59">
        <v>24</v>
      </c>
      <c r="AF1" s="59">
        <v>25</v>
      </c>
      <c r="AG1" s="59">
        <v>26</v>
      </c>
      <c r="AH1" s="59">
        <v>27</v>
      </c>
      <c r="AI1" s="59">
        <v>28</v>
      </c>
      <c r="AJ1" s="59">
        <v>29</v>
      </c>
      <c r="AK1" s="59">
        <v>30</v>
      </c>
      <c r="AL1" s="59">
        <v>31</v>
      </c>
      <c r="AM1" t="s">
        <v>336</v>
      </c>
      <c r="AN1" t="s">
        <v>337</v>
      </c>
      <c r="AO1" t="s">
        <v>316</v>
      </c>
      <c r="AP1" t="s">
        <v>540</v>
      </c>
      <c r="AQ1" t="s">
        <v>321</v>
      </c>
      <c r="AR1" t="s">
        <v>327</v>
      </c>
      <c r="AS1" t="s">
        <v>541</v>
      </c>
    </row>
    <row r="2" spans="1:45" hidden="1" x14ac:dyDescent="0.25">
      <c r="A2">
        <v>1</v>
      </c>
      <c r="B2">
        <v>2025</v>
      </c>
      <c r="C2">
        <v>1</v>
      </c>
      <c r="D2" t="s">
        <v>130</v>
      </c>
      <c r="E2">
        <v>30</v>
      </c>
      <c r="F2">
        <v>1</v>
      </c>
      <c r="G2" t="s">
        <v>430</v>
      </c>
      <c r="AC2" s="48">
        <v>0.29166666666666669</v>
      </c>
      <c r="AD2" s="48">
        <v>0.29166666666666669</v>
      </c>
      <c r="AE2" s="48">
        <v>0.29166666666666669</v>
      </c>
      <c r="AF2" s="48">
        <v>0.29166666666666669</v>
      </c>
      <c r="AG2" s="48">
        <v>0.29166666666666669</v>
      </c>
      <c r="AH2" s="48">
        <v>0.29166666666666669</v>
      </c>
      <c r="AI2" s="48">
        <v>0.29166666666666669</v>
      </c>
      <c r="AJ2" s="48">
        <v>0.29166666666666669</v>
      </c>
      <c r="AK2" s="48">
        <v>0.29166666666666669</v>
      </c>
      <c r="AL2" s="48">
        <v>0.29166666666666669</v>
      </c>
    </row>
    <row r="3" spans="1:45" hidden="1" x14ac:dyDescent="0.25">
      <c r="A3">
        <v>2</v>
      </c>
      <c r="B3">
        <v>2025</v>
      </c>
      <c r="C3">
        <v>1</v>
      </c>
      <c r="D3" t="s">
        <v>130</v>
      </c>
      <c r="E3">
        <v>30</v>
      </c>
      <c r="F3">
        <v>1</v>
      </c>
      <c r="G3" t="s">
        <v>431</v>
      </c>
      <c r="AC3" s="48">
        <v>0.75</v>
      </c>
      <c r="AD3" s="48">
        <v>0.75</v>
      </c>
      <c r="AE3" s="48">
        <v>0.75</v>
      </c>
      <c r="AF3" s="48">
        <v>0.75</v>
      </c>
      <c r="AG3" s="48">
        <v>0.79166666666666663</v>
      </c>
      <c r="AH3" s="48">
        <v>0.79166666666666663</v>
      </c>
      <c r="AI3" s="48">
        <v>0.75</v>
      </c>
      <c r="AJ3" s="48">
        <v>0.75</v>
      </c>
      <c r="AK3" s="48">
        <v>0.75</v>
      </c>
      <c r="AL3" s="48">
        <v>0.75</v>
      </c>
      <c r="AM3">
        <v>10</v>
      </c>
    </row>
    <row r="4" spans="1:45" hidden="1" x14ac:dyDescent="0.25">
      <c r="A4">
        <v>3</v>
      </c>
      <c r="B4">
        <v>2025</v>
      </c>
      <c r="C4">
        <v>2</v>
      </c>
      <c r="D4" t="s">
        <v>130</v>
      </c>
      <c r="E4">
        <v>30</v>
      </c>
      <c r="F4">
        <v>2</v>
      </c>
      <c r="G4" t="s">
        <v>430</v>
      </c>
      <c r="H4" s="48">
        <v>0.29166666666666669</v>
      </c>
      <c r="I4" s="48">
        <v>0.29166666666666669</v>
      </c>
      <c r="J4" s="48">
        <v>0.29166666666666669</v>
      </c>
      <c r="K4" s="48">
        <v>0.29166666666666669</v>
      </c>
      <c r="L4" s="48">
        <v>0.29166666666666669</v>
      </c>
      <c r="M4" s="48">
        <v>0.29166666666666669</v>
      </c>
      <c r="N4" s="48">
        <v>0.29166666666666669</v>
      </c>
      <c r="O4" s="48">
        <v>0.29166666666666669</v>
      </c>
      <c r="P4" s="48">
        <v>0.29166666666666669</v>
      </c>
      <c r="Q4" s="48">
        <v>0.29166666666666669</v>
      </c>
      <c r="R4" s="48">
        <v>0.29166666666666669</v>
      </c>
      <c r="S4" s="48">
        <v>0.29166666666666669</v>
      </c>
      <c r="T4" s="48">
        <v>0.29166666666666669</v>
      </c>
      <c r="U4" s="48">
        <v>0.29166666666666669</v>
      </c>
      <c r="V4" s="48">
        <v>0.29166666666666669</v>
      </c>
      <c r="W4" s="48">
        <v>0.29166666666666669</v>
      </c>
      <c r="X4" s="48">
        <v>0.29166666666666669</v>
      </c>
      <c r="Y4" s="48">
        <v>0.29166666666666669</v>
      </c>
      <c r="Z4" s="48">
        <v>0.29166666666666669</v>
      </c>
      <c r="AA4" s="48">
        <v>0.29166666666666669</v>
      </c>
      <c r="AB4" s="48">
        <v>0.29166666666666669</v>
      </c>
      <c r="AC4" s="48">
        <v>0.29166666666666669</v>
      </c>
      <c r="AD4" s="48">
        <v>0.29166666666666669</v>
      </c>
      <c r="AE4" s="48">
        <v>0.29166666666666669</v>
      </c>
      <c r="AF4" s="48">
        <v>0.29166666666666669</v>
      </c>
      <c r="AG4" s="48">
        <v>0.29166666666666669</v>
      </c>
      <c r="AH4" s="48">
        <v>0.29166666666666669</v>
      </c>
      <c r="AI4" s="48">
        <v>0.29166666666666669</v>
      </c>
      <c r="AJ4" s="48" t="s">
        <v>320</v>
      </c>
      <c r="AK4" s="48" t="s">
        <v>320</v>
      </c>
      <c r="AL4" s="48" t="s">
        <v>320</v>
      </c>
    </row>
    <row r="5" spans="1:45" hidden="1" x14ac:dyDescent="0.25">
      <c r="A5">
        <v>4</v>
      </c>
      <c r="B5">
        <v>2025</v>
      </c>
      <c r="C5">
        <v>2</v>
      </c>
      <c r="D5" t="s">
        <v>130</v>
      </c>
      <c r="E5">
        <v>30</v>
      </c>
      <c r="F5">
        <v>2</v>
      </c>
      <c r="G5" t="s">
        <v>431</v>
      </c>
      <c r="H5" s="48">
        <v>0.75</v>
      </c>
      <c r="I5" s="48">
        <v>0.75</v>
      </c>
      <c r="J5" s="48">
        <v>0.75</v>
      </c>
      <c r="K5" s="48">
        <v>0.75</v>
      </c>
      <c r="L5" s="48">
        <v>0.75</v>
      </c>
      <c r="M5" s="48">
        <v>0.75</v>
      </c>
      <c r="N5" s="48">
        <v>0.75</v>
      </c>
      <c r="O5" s="48">
        <v>0.75</v>
      </c>
      <c r="P5" s="48">
        <v>0.75</v>
      </c>
      <c r="Q5" s="48">
        <v>0.75</v>
      </c>
      <c r="R5" s="48">
        <v>0.75</v>
      </c>
      <c r="S5" s="48">
        <v>0.75</v>
      </c>
      <c r="T5" s="48">
        <v>0.75</v>
      </c>
      <c r="U5" s="48">
        <v>0.75</v>
      </c>
      <c r="V5" s="48">
        <v>0.75</v>
      </c>
      <c r="W5" s="48">
        <v>0.75</v>
      </c>
      <c r="X5" s="48">
        <v>0.75</v>
      </c>
      <c r="Y5" s="48">
        <v>0.75</v>
      </c>
      <c r="Z5" s="48">
        <v>0.75</v>
      </c>
      <c r="AA5" s="48">
        <v>0.75</v>
      </c>
      <c r="AB5" s="48">
        <v>0.75</v>
      </c>
      <c r="AC5" s="48">
        <v>0.75</v>
      </c>
      <c r="AD5" s="48">
        <v>0.75</v>
      </c>
      <c r="AE5" s="48">
        <v>0.75</v>
      </c>
      <c r="AF5" s="48">
        <v>0.75</v>
      </c>
      <c r="AG5" s="48">
        <v>0.79166666666666663</v>
      </c>
      <c r="AH5" s="48">
        <v>0.79166666666666663</v>
      </c>
      <c r="AI5" s="48">
        <v>0.75</v>
      </c>
      <c r="AJ5" s="48" t="s">
        <v>320</v>
      </c>
      <c r="AK5" s="48" t="s">
        <v>320</v>
      </c>
      <c r="AL5" s="48" t="s">
        <v>320</v>
      </c>
      <c r="AM5">
        <v>30</v>
      </c>
    </row>
    <row r="6" spans="1:45" hidden="1" x14ac:dyDescent="0.25">
      <c r="A6">
        <v>5</v>
      </c>
      <c r="B6">
        <v>2025</v>
      </c>
      <c r="C6">
        <v>2</v>
      </c>
      <c r="D6" t="s">
        <v>298</v>
      </c>
      <c r="E6">
        <v>30</v>
      </c>
      <c r="F6">
        <v>2</v>
      </c>
      <c r="G6" t="s">
        <v>430</v>
      </c>
      <c r="H6" s="48">
        <v>0.29166666666666669</v>
      </c>
      <c r="I6" s="48">
        <v>0.29166666666666669</v>
      </c>
      <c r="J6" s="48">
        <v>0.29166666666666669</v>
      </c>
      <c r="K6" s="48">
        <v>0.29166666666666669</v>
      </c>
      <c r="L6" s="48">
        <v>0.29166666666666669</v>
      </c>
      <c r="M6" s="48">
        <v>0.29166666666666669</v>
      </c>
      <c r="N6" s="48">
        <v>0.29166666666666669</v>
      </c>
      <c r="O6" s="48">
        <v>0.29166666666666669</v>
      </c>
      <c r="P6" s="48">
        <v>0.29166666666666669</v>
      </c>
      <c r="Q6" s="48">
        <v>0.29166666666666669</v>
      </c>
      <c r="R6" s="48">
        <v>0.29166666666666669</v>
      </c>
      <c r="S6" s="48">
        <v>0.29166666666666669</v>
      </c>
      <c r="T6" s="48">
        <v>0.29166666666666669</v>
      </c>
      <c r="U6" s="48">
        <v>0.29166666666666669</v>
      </c>
      <c r="V6" s="48">
        <v>0.29166666666666669</v>
      </c>
      <c r="W6" s="48">
        <v>0.29166666666666669</v>
      </c>
      <c r="X6" s="48">
        <v>0.29166666666666669</v>
      </c>
      <c r="Y6" s="48">
        <v>0.29166666666666669</v>
      </c>
      <c r="Z6" s="48">
        <v>0.29166666666666669</v>
      </c>
      <c r="AA6" s="48">
        <v>0.29166666666666669</v>
      </c>
      <c r="AB6" s="48">
        <v>0.29166666666666669</v>
      </c>
      <c r="AC6" s="48">
        <v>0.29166666666666669</v>
      </c>
      <c r="AD6" s="48">
        <v>0.29166666666666669</v>
      </c>
      <c r="AE6" s="48">
        <v>0.29166666666666669</v>
      </c>
      <c r="AF6" s="48">
        <v>0.29166666666666669</v>
      </c>
      <c r="AG6" s="48">
        <v>0.29166666666666669</v>
      </c>
      <c r="AH6" s="48">
        <v>0.29166666666666669</v>
      </c>
      <c r="AI6" s="48">
        <v>0.29166666666666669</v>
      </c>
      <c r="AJ6" s="48" t="s">
        <v>320</v>
      </c>
      <c r="AK6" s="48" t="s">
        <v>320</v>
      </c>
      <c r="AL6" s="48" t="s">
        <v>320</v>
      </c>
    </row>
    <row r="7" spans="1:45" hidden="1" x14ac:dyDescent="0.25">
      <c r="A7">
        <v>6</v>
      </c>
      <c r="B7">
        <v>2025</v>
      </c>
      <c r="C7">
        <v>2</v>
      </c>
      <c r="D7" t="s">
        <v>298</v>
      </c>
      <c r="E7">
        <v>30</v>
      </c>
      <c r="F7">
        <v>2</v>
      </c>
      <c r="G7" t="s">
        <v>431</v>
      </c>
      <c r="H7" s="48">
        <v>0.75</v>
      </c>
      <c r="I7" s="48">
        <v>0.75</v>
      </c>
      <c r="J7" s="48">
        <v>0.75</v>
      </c>
      <c r="K7" s="48">
        <v>0.75</v>
      </c>
      <c r="L7" s="48">
        <v>0.75</v>
      </c>
      <c r="M7" s="48">
        <v>0.75</v>
      </c>
      <c r="N7" s="48">
        <v>0.75</v>
      </c>
      <c r="O7" s="48">
        <v>0.75</v>
      </c>
      <c r="P7" s="48">
        <v>0.75</v>
      </c>
      <c r="Q7" s="48">
        <v>0.75</v>
      </c>
      <c r="R7" s="48">
        <v>0.75</v>
      </c>
      <c r="S7" s="48">
        <v>0.75</v>
      </c>
      <c r="T7" s="48">
        <v>0.75</v>
      </c>
      <c r="U7" s="48">
        <v>0.75</v>
      </c>
      <c r="V7" s="48">
        <v>0.75</v>
      </c>
      <c r="W7" s="48">
        <v>0.75</v>
      </c>
      <c r="X7" s="48">
        <v>0.75</v>
      </c>
      <c r="Y7" s="48">
        <v>0.75</v>
      </c>
      <c r="Z7" s="48">
        <v>0.75</v>
      </c>
      <c r="AA7" s="48">
        <v>0.75</v>
      </c>
      <c r="AB7" s="48">
        <v>0.75</v>
      </c>
      <c r="AC7" s="48">
        <v>0.75</v>
      </c>
      <c r="AD7" s="48">
        <v>0.75</v>
      </c>
      <c r="AE7" s="48">
        <v>0.75</v>
      </c>
      <c r="AF7" s="48">
        <v>0.75</v>
      </c>
      <c r="AG7" s="48">
        <v>0.79166666666666663</v>
      </c>
      <c r="AH7" s="48">
        <v>0.79166666666666663</v>
      </c>
      <c r="AI7" s="48">
        <v>0.75</v>
      </c>
      <c r="AJ7" s="48" t="s">
        <v>320</v>
      </c>
      <c r="AK7" s="48" t="s">
        <v>320</v>
      </c>
      <c r="AL7" s="48" t="s">
        <v>320</v>
      </c>
      <c r="AM7">
        <v>30</v>
      </c>
    </row>
    <row r="8" spans="1:45" hidden="1" x14ac:dyDescent="0.25">
      <c r="A8">
        <v>7</v>
      </c>
      <c r="B8">
        <v>2025</v>
      </c>
      <c r="C8">
        <v>1</v>
      </c>
      <c r="D8" t="s">
        <v>134</v>
      </c>
      <c r="E8">
        <v>31</v>
      </c>
      <c r="F8">
        <v>1</v>
      </c>
      <c r="G8" t="s">
        <v>430</v>
      </c>
      <c r="H8" s="48" t="s">
        <v>320</v>
      </c>
      <c r="I8" s="48" t="s">
        <v>320</v>
      </c>
      <c r="J8" s="48" t="s">
        <v>320</v>
      </c>
      <c r="K8" s="48" t="s">
        <v>320</v>
      </c>
      <c r="L8" s="48" t="s">
        <v>320</v>
      </c>
      <c r="M8" s="48" t="s">
        <v>320</v>
      </c>
      <c r="N8" s="48" t="s">
        <v>320</v>
      </c>
      <c r="O8" s="48" t="s">
        <v>320</v>
      </c>
      <c r="P8" s="48" t="s">
        <v>320</v>
      </c>
      <c r="Q8" s="48" t="s">
        <v>320</v>
      </c>
      <c r="R8" s="48" t="s">
        <v>320</v>
      </c>
      <c r="S8" s="48" t="s">
        <v>320</v>
      </c>
      <c r="T8" s="48" t="s">
        <v>320</v>
      </c>
      <c r="U8" s="48" t="s">
        <v>320</v>
      </c>
      <c r="V8" s="48" t="s">
        <v>320</v>
      </c>
      <c r="W8" s="48" t="s">
        <v>320</v>
      </c>
      <c r="X8" s="48" t="s">
        <v>320</v>
      </c>
      <c r="Y8" s="48" t="s">
        <v>320</v>
      </c>
      <c r="Z8" s="48" t="s">
        <v>320</v>
      </c>
      <c r="AA8" s="48" t="s">
        <v>320</v>
      </c>
      <c r="AB8" s="48" t="s">
        <v>320</v>
      </c>
      <c r="AC8" s="48" t="s">
        <v>320</v>
      </c>
      <c r="AD8" s="48" t="s">
        <v>320</v>
      </c>
      <c r="AE8" s="48">
        <v>0.29166666666666669</v>
      </c>
      <c r="AF8" s="48">
        <v>0.29166666666666669</v>
      </c>
      <c r="AG8" s="48">
        <v>0.29166666666666669</v>
      </c>
      <c r="AH8" s="48">
        <v>0.29166666666666669</v>
      </c>
      <c r="AI8" s="48">
        <v>0.29166666666666669</v>
      </c>
      <c r="AJ8" s="48">
        <v>0.29166666666666669</v>
      </c>
      <c r="AK8" s="48">
        <v>0.29166666666666669</v>
      </c>
      <c r="AL8" s="48">
        <v>0.29166666666666669</v>
      </c>
    </row>
    <row r="9" spans="1:45" hidden="1" x14ac:dyDescent="0.25">
      <c r="A9">
        <v>8</v>
      </c>
      <c r="B9">
        <v>2025</v>
      </c>
      <c r="C9">
        <v>1</v>
      </c>
      <c r="D9" t="s">
        <v>134</v>
      </c>
      <c r="E9">
        <v>31</v>
      </c>
      <c r="F9">
        <v>1</v>
      </c>
      <c r="G9" t="s">
        <v>431</v>
      </c>
      <c r="H9" s="48" t="s">
        <v>320</v>
      </c>
      <c r="I9" s="48" t="s">
        <v>320</v>
      </c>
      <c r="J9" s="48" t="s">
        <v>320</v>
      </c>
      <c r="K9" s="48" t="s">
        <v>320</v>
      </c>
      <c r="L9" s="48" t="s">
        <v>320</v>
      </c>
      <c r="M9" s="48" t="s">
        <v>320</v>
      </c>
      <c r="N9" s="48" t="s">
        <v>320</v>
      </c>
      <c r="O9" s="48" t="s">
        <v>320</v>
      </c>
      <c r="P9" s="48" t="s">
        <v>320</v>
      </c>
      <c r="Q9" s="48" t="s">
        <v>320</v>
      </c>
      <c r="R9" s="48" t="s">
        <v>320</v>
      </c>
      <c r="S9" s="48" t="s">
        <v>320</v>
      </c>
      <c r="T9" s="48" t="s">
        <v>320</v>
      </c>
      <c r="U9" s="48" t="s">
        <v>320</v>
      </c>
      <c r="V9" s="48" t="s">
        <v>320</v>
      </c>
      <c r="W9" s="48" t="s">
        <v>320</v>
      </c>
      <c r="X9" s="48" t="s">
        <v>320</v>
      </c>
      <c r="Y9" s="48" t="s">
        <v>320</v>
      </c>
      <c r="Z9" s="48" t="s">
        <v>320</v>
      </c>
      <c r="AA9" s="48" t="s">
        <v>320</v>
      </c>
      <c r="AB9" s="48" t="s">
        <v>320</v>
      </c>
      <c r="AC9" s="48" t="s">
        <v>320</v>
      </c>
      <c r="AD9" s="48" t="s">
        <v>320</v>
      </c>
      <c r="AE9" s="48">
        <v>0.75</v>
      </c>
      <c r="AF9" s="48">
        <v>0.75</v>
      </c>
      <c r="AG9" s="48">
        <v>0.75</v>
      </c>
      <c r="AH9" s="48">
        <v>0.75</v>
      </c>
      <c r="AI9" s="48">
        <v>0.75</v>
      </c>
      <c r="AJ9" s="48">
        <v>0.75</v>
      </c>
      <c r="AK9" s="48">
        <v>0.75</v>
      </c>
      <c r="AL9" s="48">
        <v>0.75</v>
      </c>
      <c r="AM9">
        <v>8</v>
      </c>
    </row>
    <row r="10" spans="1:45" hidden="1" x14ac:dyDescent="0.25">
      <c r="A10">
        <v>9</v>
      </c>
      <c r="B10">
        <v>2025</v>
      </c>
      <c r="C10">
        <v>2</v>
      </c>
      <c r="D10" t="s">
        <v>134</v>
      </c>
      <c r="E10">
        <v>31</v>
      </c>
      <c r="F10">
        <v>1</v>
      </c>
      <c r="G10" t="s">
        <v>430</v>
      </c>
      <c r="H10" s="48">
        <v>0.29166666666666669</v>
      </c>
      <c r="I10" s="48">
        <v>0.29166666666666669</v>
      </c>
      <c r="J10" s="48">
        <v>0.29166666666666669</v>
      </c>
      <c r="K10" s="48">
        <v>0.29166666666666669</v>
      </c>
      <c r="L10" s="48">
        <v>0.29166666666666669</v>
      </c>
      <c r="M10" s="48">
        <v>0.29166666666666669</v>
      </c>
      <c r="N10" s="48">
        <v>0.29166666666666669</v>
      </c>
      <c r="O10" s="48">
        <v>0.29166666666666669</v>
      </c>
      <c r="P10" s="48">
        <v>0.29166666666666669</v>
      </c>
      <c r="Q10" s="48">
        <v>0.29166666666666669</v>
      </c>
      <c r="R10" s="48">
        <v>0.29166666666666669</v>
      </c>
      <c r="S10" s="48">
        <v>0.29166666666666669</v>
      </c>
      <c r="T10" s="48">
        <v>0.29166666666666669</v>
      </c>
      <c r="U10" s="48">
        <v>0.29166666666666669</v>
      </c>
      <c r="V10" s="48">
        <v>0.29166666666666669</v>
      </c>
      <c r="W10" s="48">
        <v>0.29166666666666669</v>
      </c>
      <c r="X10" s="48">
        <v>0.29166666666666669</v>
      </c>
      <c r="Y10" s="48">
        <v>0.29166666666666669</v>
      </c>
      <c r="Z10" s="48">
        <v>0.29166666666666669</v>
      </c>
      <c r="AA10" s="48">
        <v>0.29166666666666669</v>
      </c>
      <c r="AB10" s="48">
        <v>0.29166666666666669</v>
      </c>
      <c r="AC10" s="48">
        <v>0.29166666666666669</v>
      </c>
      <c r="AD10" s="48">
        <v>0.29166666666666669</v>
      </c>
      <c r="AE10" s="48">
        <v>0.29166666666666669</v>
      </c>
      <c r="AF10" s="48">
        <v>0.29166666666666669</v>
      </c>
      <c r="AG10" s="48">
        <v>0.29166666666666669</v>
      </c>
      <c r="AH10" s="48">
        <v>0.29166666666666669</v>
      </c>
      <c r="AI10" s="48">
        <v>0.29166666666666669</v>
      </c>
      <c r="AJ10" s="48" t="s">
        <v>320</v>
      </c>
      <c r="AK10" s="48" t="s">
        <v>320</v>
      </c>
      <c r="AL10" s="48" t="s">
        <v>320</v>
      </c>
    </row>
    <row r="11" spans="1:45" hidden="1" x14ac:dyDescent="0.25">
      <c r="A11">
        <v>10</v>
      </c>
      <c r="B11">
        <v>2025</v>
      </c>
      <c r="C11">
        <v>2</v>
      </c>
      <c r="D11" t="s">
        <v>134</v>
      </c>
      <c r="E11">
        <v>31</v>
      </c>
      <c r="F11">
        <v>1</v>
      </c>
      <c r="G11" t="s">
        <v>431</v>
      </c>
      <c r="H11" s="48">
        <v>0.75</v>
      </c>
      <c r="I11" s="48">
        <v>0.75</v>
      </c>
      <c r="J11" s="48">
        <v>0.75</v>
      </c>
      <c r="K11" s="48">
        <v>0.75</v>
      </c>
      <c r="L11" s="48">
        <v>0.75</v>
      </c>
      <c r="M11" s="48">
        <v>0.75</v>
      </c>
      <c r="N11" s="48">
        <v>0.75</v>
      </c>
      <c r="O11" s="48">
        <v>0.75</v>
      </c>
      <c r="P11" s="48">
        <v>0.75</v>
      </c>
      <c r="Q11" s="48">
        <v>0.75</v>
      </c>
      <c r="R11" s="48">
        <v>0.75</v>
      </c>
      <c r="S11" s="48">
        <v>0.75</v>
      </c>
      <c r="T11" s="48">
        <v>0.75</v>
      </c>
      <c r="U11" s="48">
        <v>0.75</v>
      </c>
      <c r="V11" s="48">
        <v>0.75</v>
      </c>
      <c r="W11" s="48">
        <v>0.75</v>
      </c>
      <c r="X11" s="48">
        <v>0.75</v>
      </c>
      <c r="Y11" s="48">
        <v>0.75</v>
      </c>
      <c r="Z11" s="48">
        <v>0.75</v>
      </c>
      <c r="AA11" s="48">
        <v>0.75</v>
      </c>
      <c r="AB11" s="48">
        <v>0.75</v>
      </c>
      <c r="AC11" s="48">
        <v>0.75</v>
      </c>
      <c r="AD11" s="48">
        <v>0.75</v>
      </c>
      <c r="AE11" s="48">
        <v>0.75</v>
      </c>
      <c r="AF11" s="48">
        <v>0.75</v>
      </c>
      <c r="AG11" s="48">
        <v>0.79166666666666663</v>
      </c>
      <c r="AH11" s="48">
        <v>0.79166666666666663</v>
      </c>
      <c r="AI11" s="48">
        <v>0.75</v>
      </c>
      <c r="AJ11" s="48" t="s">
        <v>320</v>
      </c>
      <c r="AK11" s="48" t="s">
        <v>320</v>
      </c>
      <c r="AL11" s="48" t="s">
        <v>320</v>
      </c>
      <c r="AM11">
        <v>28</v>
      </c>
      <c r="AO11">
        <v>1.9999999999999964</v>
      </c>
    </row>
    <row r="12" spans="1:45" hidden="1" x14ac:dyDescent="0.25">
      <c r="A12">
        <v>11</v>
      </c>
      <c r="B12">
        <v>2025</v>
      </c>
      <c r="C12">
        <v>1</v>
      </c>
      <c r="D12" t="s">
        <v>156</v>
      </c>
      <c r="E12">
        <v>31</v>
      </c>
      <c r="F12">
        <v>1</v>
      </c>
      <c r="G12" t="s">
        <v>430</v>
      </c>
      <c r="H12" s="48" t="s">
        <v>320</v>
      </c>
      <c r="I12" s="48" t="s">
        <v>320</v>
      </c>
      <c r="J12" s="48" t="s">
        <v>320</v>
      </c>
      <c r="K12" s="48" t="s">
        <v>320</v>
      </c>
      <c r="L12" s="48" t="s">
        <v>320</v>
      </c>
      <c r="M12" s="48" t="s">
        <v>320</v>
      </c>
      <c r="N12" s="48" t="s">
        <v>320</v>
      </c>
      <c r="O12" s="48" t="s">
        <v>320</v>
      </c>
      <c r="P12" s="48" t="s">
        <v>320</v>
      </c>
      <c r="Q12" s="48" t="s">
        <v>320</v>
      </c>
      <c r="R12" s="48" t="s">
        <v>320</v>
      </c>
      <c r="S12" s="48" t="s">
        <v>320</v>
      </c>
      <c r="T12" s="48" t="s">
        <v>320</v>
      </c>
      <c r="U12" s="48" t="s">
        <v>320</v>
      </c>
      <c r="V12" s="48" t="s">
        <v>320</v>
      </c>
      <c r="W12" s="48" t="s">
        <v>320</v>
      </c>
      <c r="X12" s="48" t="s">
        <v>320</v>
      </c>
      <c r="Y12" s="48" t="s">
        <v>320</v>
      </c>
      <c r="Z12" s="48" t="s">
        <v>320</v>
      </c>
      <c r="AA12" s="48" t="s">
        <v>320</v>
      </c>
      <c r="AB12" s="48" t="s">
        <v>320</v>
      </c>
      <c r="AC12" s="48" t="s">
        <v>320</v>
      </c>
      <c r="AD12" s="48" t="s">
        <v>320</v>
      </c>
      <c r="AE12" s="48" t="s">
        <v>320</v>
      </c>
      <c r="AF12" s="48" t="s">
        <v>320</v>
      </c>
      <c r="AG12" s="48" t="s">
        <v>320</v>
      </c>
      <c r="AH12" s="48" t="s">
        <v>320</v>
      </c>
      <c r="AI12" s="48" t="s">
        <v>320</v>
      </c>
      <c r="AJ12" s="48">
        <v>0.29166666666666669</v>
      </c>
      <c r="AK12" s="48">
        <v>0.29166666666666669</v>
      </c>
      <c r="AL12" s="48">
        <v>0.29166666666666669</v>
      </c>
    </row>
    <row r="13" spans="1:45" hidden="1" x14ac:dyDescent="0.25">
      <c r="A13">
        <v>12</v>
      </c>
      <c r="B13">
        <v>2025</v>
      </c>
      <c r="C13">
        <v>1</v>
      </c>
      <c r="D13" t="s">
        <v>156</v>
      </c>
      <c r="E13">
        <v>31</v>
      </c>
      <c r="F13">
        <v>1</v>
      </c>
      <c r="G13" t="s">
        <v>431</v>
      </c>
      <c r="H13" s="48" t="s">
        <v>320</v>
      </c>
      <c r="I13" s="48" t="s">
        <v>320</v>
      </c>
      <c r="J13" s="48" t="s">
        <v>320</v>
      </c>
      <c r="K13" s="48" t="s">
        <v>320</v>
      </c>
      <c r="L13" s="48" t="s">
        <v>320</v>
      </c>
      <c r="M13" s="48" t="s">
        <v>320</v>
      </c>
      <c r="N13" s="48" t="s">
        <v>320</v>
      </c>
      <c r="O13" s="48" t="s">
        <v>320</v>
      </c>
      <c r="P13" s="48" t="s">
        <v>320</v>
      </c>
      <c r="Q13" s="48" t="s">
        <v>320</v>
      </c>
      <c r="R13" s="48" t="s">
        <v>320</v>
      </c>
      <c r="S13" s="48" t="s">
        <v>320</v>
      </c>
      <c r="T13" s="48" t="s">
        <v>320</v>
      </c>
      <c r="U13" s="48" t="s">
        <v>320</v>
      </c>
      <c r="V13" s="48" t="s">
        <v>320</v>
      </c>
      <c r="W13" s="48" t="s">
        <v>320</v>
      </c>
      <c r="X13" s="48" t="s">
        <v>320</v>
      </c>
      <c r="Y13" s="48" t="s">
        <v>320</v>
      </c>
      <c r="Z13" s="48" t="s">
        <v>320</v>
      </c>
      <c r="AA13" s="48" t="s">
        <v>320</v>
      </c>
      <c r="AB13" s="48" t="s">
        <v>320</v>
      </c>
      <c r="AC13" s="48" t="s">
        <v>320</v>
      </c>
      <c r="AD13" s="48" t="s">
        <v>320</v>
      </c>
      <c r="AE13" s="48" t="s">
        <v>320</v>
      </c>
      <c r="AF13" s="48" t="s">
        <v>320</v>
      </c>
      <c r="AG13" s="48" t="s">
        <v>320</v>
      </c>
      <c r="AH13" s="48" t="s">
        <v>320</v>
      </c>
      <c r="AI13" s="48" t="s">
        <v>320</v>
      </c>
      <c r="AJ13" s="48">
        <v>0.75</v>
      </c>
      <c r="AK13" s="48">
        <v>0.75</v>
      </c>
      <c r="AL13" s="48">
        <v>0.75</v>
      </c>
      <c r="AM13">
        <v>3</v>
      </c>
    </row>
    <row r="14" spans="1:45" hidden="1" x14ac:dyDescent="0.25">
      <c r="A14">
        <v>13</v>
      </c>
      <c r="B14">
        <v>2025</v>
      </c>
      <c r="C14">
        <v>2</v>
      </c>
      <c r="D14" t="s">
        <v>156</v>
      </c>
      <c r="E14">
        <v>31</v>
      </c>
      <c r="F14">
        <v>1</v>
      </c>
      <c r="G14" t="s">
        <v>430</v>
      </c>
      <c r="H14" s="48">
        <v>0.29166666666666669</v>
      </c>
      <c r="I14" s="48">
        <v>0.29166666666666669</v>
      </c>
      <c r="J14" s="48">
        <v>0.29166666666666669</v>
      </c>
      <c r="K14" s="48">
        <v>0.29166666666666669</v>
      </c>
      <c r="L14" s="48">
        <v>0.29166666666666669</v>
      </c>
      <c r="M14" s="48">
        <v>0.29166666666666669</v>
      </c>
      <c r="N14" s="48">
        <v>0.29166666666666669</v>
      </c>
      <c r="O14" s="48">
        <v>0.29166666666666669</v>
      </c>
      <c r="P14" s="48">
        <v>0.29166666666666669</v>
      </c>
      <c r="Q14" s="48">
        <v>0.29166666666666669</v>
      </c>
      <c r="R14" s="48">
        <v>0.29166666666666669</v>
      </c>
      <c r="S14" s="48">
        <v>0.29166666666666669</v>
      </c>
      <c r="T14" s="48">
        <v>0.29166666666666669</v>
      </c>
      <c r="U14" s="48">
        <v>0.29166666666666669</v>
      </c>
      <c r="V14" s="48">
        <v>0.29166666666666669</v>
      </c>
      <c r="W14" s="48">
        <v>0.29166666666666669</v>
      </c>
      <c r="X14" s="48">
        <v>0.29166666666666669</v>
      </c>
      <c r="Y14" s="48">
        <v>0.29166666666666669</v>
      </c>
      <c r="Z14" s="48">
        <v>0.29166666666666669</v>
      </c>
      <c r="AA14" s="48">
        <v>0.29166666666666669</v>
      </c>
      <c r="AB14" s="48">
        <v>0.29166666666666669</v>
      </c>
      <c r="AC14" s="48">
        <v>0.29166666666666669</v>
      </c>
      <c r="AD14" s="48">
        <v>0.29166666666666669</v>
      </c>
      <c r="AE14" s="48">
        <v>0.29166666666666669</v>
      </c>
      <c r="AF14" s="48">
        <v>0.29166666666666669</v>
      </c>
      <c r="AG14" s="48">
        <v>0.29166666666666669</v>
      </c>
      <c r="AH14" s="48">
        <v>0.29166666666666669</v>
      </c>
      <c r="AI14" s="48">
        <v>0.29166666666666669</v>
      </c>
      <c r="AJ14" s="48" t="s">
        <v>320</v>
      </c>
      <c r="AK14" s="48" t="s">
        <v>320</v>
      </c>
      <c r="AL14" s="48" t="s">
        <v>320</v>
      </c>
    </row>
    <row r="15" spans="1:45" hidden="1" x14ac:dyDescent="0.25">
      <c r="A15">
        <v>14</v>
      </c>
      <c r="B15">
        <v>2025</v>
      </c>
      <c r="C15">
        <v>2</v>
      </c>
      <c r="D15" t="s">
        <v>156</v>
      </c>
      <c r="E15">
        <v>31</v>
      </c>
      <c r="F15">
        <v>1</v>
      </c>
      <c r="G15" t="s">
        <v>431</v>
      </c>
      <c r="H15" s="48">
        <v>0.75</v>
      </c>
      <c r="I15" s="48">
        <v>0.75</v>
      </c>
      <c r="J15" s="48">
        <v>0.75</v>
      </c>
      <c r="K15" s="48">
        <v>0.75</v>
      </c>
      <c r="L15" s="48">
        <v>0.75</v>
      </c>
      <c r="M15" s="48">
        <v>0.75</v>
      </c>
      <c r="N15" s="48">
        <v>0.75</v>
      </c>
      <c r="O15" s="48">
        <v>0.75</v>
      </c>
      <c r="P15" s="48">
        <v>0.75</v>
      </c>
      <c r="Q15" s="48">
        <v>0.75</v>
      </c>
      <c r="R15" s="48">
        <v>0.75</v>
      </c>
      <c r="S15" s="48">
        <v>0.75</v>
      </c>
      <c r="T15" s="48">
        <v>0.75</v>
      </c>
      <c r="U15" s="48">
        <v>0.75</v>
      </c>
      <c r="V15" s="48">
        <v>0.75</v>
      </c>
      <c r="W15" s="48">
        <v>0.75</v>
      </c>
      <c r="X15" s="48">
        <v>0.75</v>
      </c>
      <c r="Y15" s="48">
        <v>0.75</v>
      </c>
      <c r="Z15" s="48">
        <v>0.75</v>
      </c>
      <c r="AA15" s="48">
        <v>0.75</v>
      </c>
      <c r="AB15" s="48">
        <v>0.75</v>
      </c>
      <c r="AC15" s="48">
        <v>0.75</v>
      </c>
      <c r="AD15" s="48">
        <v>0.75</v>
      </c>
      <c r="AE15" s="48">
        <v>0.75</v>
      </c>
      <c r="AF15" s="48">
        <v>0.75</v>
      </c>
      <c r="AG15" s="48">
        <v>0.75</v>
      </c>
      <c r="AH15" s="48">
        <v>0.75</v>
      </c>
      <c r="AI15" s="48">
        <v>0.75</v>
      </c>
      <c r="AJ15" s="48" t="s">
        <v>320</v>
      </c>
      <c r="AK15" s="48" t="s">
        <v>320</v>
      </c>
      <c r="AL15" s="48" t="s">
        <v>320</v>
      </c>
      <c r="AM15">
        <v>28</v>
      </c>
    </row>
    <row r="16" spans="1:45" hidden="1" x14ac:dyDescent="0.25">
      <c r="A16">
        <v>15</v>
      </c>
      <c r="B16">
        <v>2025</v>
      </c>
      <c r="C16">
        <v>2</v>
      </c>
      <c r="D16" t="s">
        <v>135</v>
      </c>
      <c r="E16">
        <v>31</v>
      </c>
      <c r="F16">
        <v>1</v>
      </c>
      <c r="G16" t="s">
        <v>430</v>
      </c>
      <c r="H16" s="48" t="s">
        <v>320</v>
      </c>
      <c r="I16" s="48" t="s">
        <v>320</v>
      </c>
      <c r="J16" s="48" t="s">
        <v>320</v>
      </c>
      <c r="K16" s="48" t="s">
        <v>320</v>
      </c>
      <c r="L16" s="48" t="s">
        <v>320</v>
      </c>
      <c r="M16" s="48">
        <v>0.29166666666666669</v>
      </c>
      <c r="N16" s="48">
        <v>0.29166666666666669</v>
      </c>
      <c r="O16" s="48">
        <v>0.29166666666666669</v>
      </c>
      <c r="P16" s="48">
        <v>0.29166666666666669</v>
      </c>
      <c r="Q16" s="48">
        <v>0.29166666666666669</v>
      </c>
      <c r="R16" s="48">
        <v>0.29166666666666669</v>
      </c>
      <c r="S16" s="48" t="s">
        <v>320</v>
      </c>
      <c r="T16" s="48" t="s">
        <v>320</v>
      </c>
      <c r="U16" s="48" t="s">
        <v>320</v>
      </c>
      <c r="V16" s="48" t="s">
        <v>320</v>
      </c>
      <c r="W16" s="48" t="s">
        <v>320</v>
      </c>
      <c r="X16" s="48" t="s">
        <v>320</v>
      </c>
      <c r="Y16" s="48" t="s">
        <v>320</v>
      </c>
      <c r="Z16" s="48" t="s">
        <v>320</v>
      </c>
      <c r="AA16" s="48" t="s">
        <v>320</v>
      </c>
      <c r="AB16" s="48" t="s">
        <v>320</v>
      </c>
      <c r="AC16" s="48" t="s">
        <v>320</v>
      </c>
      <c r="AD16" s="48" t="s">
        <v>320</v>
      </c>
      <c r="AE16" s="48" t="s">
        <v>320</v>
      </c>
      <c r="AF16" s="48" t="s">
        <v>320</v>
      </c>
      <c r="AG16" s="48" t="s">
        <v>320</v>
      </c>
      <c r="AH16" s="48" t="s">
        <v>320</v>
      </c>
      <c r="AI16" s="48" t="s">
        <v>320</v>
      </c>
      <c r="AJ16" s="48" t="s">
        <v>320</v>
      </c>
      <c r="AK16" s="48" t="s">
        <v>320</v>
      </c>
      <c r="AL16" s="48" t="s">
        <v>320</v>
      </c>
    </row>
    <row r="17" spans="1:41" hidden="1" x14ac:dyDescent="0.25">
      <c r="A17">
        <v>16</v>
      </c>
      <c r="B17">
        <v>2025</v>
      </c>
      <c r="C17">
        <v>2</v>
      </c>
      <c r="D17" t="s">
        <v>135</v>
      </c>
      <c r="E17">
        <v>31</v>
      </c>
      <c r="F17">
        <v>1</v>
      </c>
      <c r="G17" t="s">
        <v>431</v>
      </c>
      <c r="H17" s="48" t="s">
        <v>320</v>
      </c>
      <c r="I17" s="48" t="s">
        <v>320</v>
      </c>
      <c r="J17" s="48" t="s">
        <v>320</v>
      </c>
      <c r="K17" s="48" t="s">
        <v>320</v>
      </c>
      <c r="L17" s="48" t="s">
        <v>320</v>
      </c>
      <c r="M17" s="48">
        <v>0.75</v>
      </c>
      <c r="N17" s="48">
        <v>0.75</v>
      </c>
      <c r="O17" s="48">
        <v>0.75</v>
      </c>
      <c r="P17" s="48">
        <v>0.75</v>
      </c>
      <c r="Q17" s="48">
        <v>0.75</v>
      </c>
      <c r="R17" s="48">
        <v>0.75</v>
      </c>
      <c r="S17" s="48" t="s">
        <v>320</v>
      </c>
      <c r="T17" s="48" t="s">
        <v>320</v>
      </c>
      <c r="U17" s="48" t="s">
        <v>320</v>
      </c>
      <c r="V17" s="48" t="s">
        <v>320</v>
      </c>
      <c r="W17" s="48" t="s">
        <v>320</v>
      </c>
      <c r="X17" s="48" t="s">
        <v>320</v>
      </c>
      <c r="Y17" s="48" t="s">
        <v>320</v>
      </c>
      <c r="Z17" s="48" t="s">
        <v>320</v>
      </c>
      <c r="AA17" s="48" t="s">
        <v>320</v>
      </c>
      <c r="AB17" s="48" t="s">
        <v>320</v>
      </c>
      <c r="AC17" s="48" t="s">
        <v>320</v>
      </c>
      <c r="AD17" s="48" t="s">
        <v>320</v>
      </c>
      <c r="AE17" s="48" t="s">
        <v>320</v>
      </c>
      <c r="AF17" s="48" t="s">
        <v>320</v>
      </c>
      <c r="AG17" s="48" t="s">
        <v>320</v>
      </c>
      <c r="AH17" s="48" t="s">
        <v>320</v>
      </c>
      <c r="AI17" s="48" t="s">
        <v>320</v>
      </c>
      <c r="AJ17" s="48" t="s">
        <v>320</v>
      </c>
      <c r="AK17" s="48" t="s">
        <v>320</v>
      </c>
      <c r="AL17" s="48" t="s">
        <v>320</v>
      </c>
      <c r="AM17">
        <v>6</v>
      </c>
    </row>
    <row r="18" spans="1:41" hidden="1" x14ac:dyDescent="0.25">
      <c r="A18">
        <v>17</v>
      </c>
      <c r="B18">
        <v>2025</v>
      </c>
      <c r="C18">
        <v>2</v>
      </c>
      <c r="D18" t="s">
        <v>136</v>
      </c>
      <c r="E18">
        <v>31</v>
      </c>
      <c r="F18">
        <v>1</v>
      </c>
      <c r="G18" t="s">
        <v>430</v>
      </c>
      <c r="H18" s="48" t="s">
        <v>320</v>
      </c>
      <c r="I18" s="48" t="s">
        <v>320</v>
      </c>
      <c r="J18" s="48" t="s">
        <v>320</v>
      </c>
      <c r="K18" s="48" t="s">
        <v>320</v>
      </c>
      <c r="L18" s="48" t="s">
        <v>320</v>
      </c>
      <c r="M18" s="48" t="s">
        <v>320</v>
      </c>
      <c r="N18" s="48" t="s">
        <v>320</v>
      </c>
      <c r="O18" s="48" t="s">
        <v>320</v>
      </c>
      <c r="P18" s="48" t="s">
        <v>320</v>
      </c>
      <c r="Q18" s="48" t="s">
        <v>320</v>
      </c>
      <c r="R18" s="48" t="s">
        <v>320</v>
      </c>
      <c r="S18" s="48">
        <v>0.29166666666666669</v>
      </c>
      <c r="T18" s="48">
        <v>0.29166666666666669</v>
      </c>
      <c r="U18" s="48">
        <v>0.29166666666666669</v>
      </c>
      <c r="V18" s="48">
        <v>0.29166666666666669</v>
      </c>
      <c r="W18" s="48">
        <v>0.29166666666666669</v>
      </c>
      <c r="X18" s="48">
        <v>0.29166666666666669</v>
      </c>
      <c r="Y18" s="48">
        <v>0.29166666666666669</v>
      </c>
      <c r="Z18" s="48">
        <v>0.29166666666666669</v>
      </c>
      <c r="AA18" s="48">
        <v>0.29166666666666669</v>
      </c>
      <c r="AB18" s="48">
        <v>0.29166666666666669</v>
      </c>
      <c r="AC18" s="48">
        <v>0.29166666666666669</v>
      </c>
      <c r="AD18" s="48">
        <v>0.29166666666666669</v>
      </c>
      <c r="AE18" s="48">
        <v>0.29166666666666669</v>
      </c>
      <c r="AF18" s="48">
        <v>0.29166666666666669</v>
      </c>
      <c r="AG18" s="48">
        <v>0.29166666666666669</v>
      </c>
      <c r="AH18" s="48">
        <v>0.29166666666666669</v>
      </c>
      <c r="AI18" s="48">
        <v>0.29166666666666669</v>
      </c>
      <c r="AJ18" s="48" t="s">
        <v>320</v>
      </c>
      <c r="AK18" s="48" t="s">
        <v>320</v>
      </c>
      <c r="AL18" s="48" t="s">
        <v>320</v>
      </c>
    </row>
    <row r="19" spans="1:41" hidden="1" x14ac:dyDescent="0.25">
      <c r="A19">
        <v>18</v>
      </c>
      <c r="B19">
        <v>2025</v>
      </c>
      <c r="C19">
        <v>2</v>
      </c>
      <c r="D19" t="s">
        <v>136</v>
      </c>
      <c r="E19">
        <v>31</v>
      </c>
      <c r="F19">
        <v>1</v>
      </c>
      <c r="G19" t="s">
        <v>431</v>
      </c>
      <c r="H19" s="48" t="s">
        <v>320</v>
      </c>
      <c r="I19" s="48" t="s">
        <v>320</v>
      </c>
      <c r="J19" s="48" t="s">
        <v>320</v>
      </c>
      <c r="K19" s="48" t="s">
        <v>320</v>
      </c>
      <c r="L19" s="48" t="s">
        <v>320</v>
      </c>
      <c r="M19" s="48" t="s">
        <v>320</v>
      </c>
      <c r="N19" s="48" t="s">
        <v>320</v>
      </c>
      <c r="O19" s="48" t="s">
        <v>320</v>
      </c>
      <c r="P19" s="48" t="s">
        <v>320</v>
      </c>
      <c r="Q19" s="48" t="s">
        <v>320</v>
      </c>
      <c r="R19" s="48" t="s">
        <v>320</v>
      </c>
      <c r="S19" s="48">
        <v>0.75</v>
      </c>
      <c r="T19" s="48">
        <v>0.75</v>
      </c>
      <c r="U19" s="48">
        <v>0.75</v>
      </c>
      <c r="V19" s="48">
        <v>0.75</v>
      </c>
      <c r="W19" s="48">
        <v>0.75</v>
      </c>
      <c r="X19" s="48">
        <v>0.75</v>
      </c>
      <c r="Y19" s="48">
        <v>0.75</v>
      </c>
      <c r="Z19" s="48">
        <v>0.75</v>
      </c>
      <c r="AA19" s="48">
        <v>0.75</v>
      </c>
      <c r="AB19" s="48">
        <v>0.75</v>
      </c>
      <c r="AC19" s="48">
        <v>0.75</v>
      </c>
      <c r="AD19" s="48">
        <v>0.75</v>
      </c>
      <c r="AE19" s="48">
        <v>0.75</v>
      </c>
      <c r="AF19" s="48">
        <v>0.75</v>
      </c>
      <c r="AG19" s="48">
        <v>0.75</v>
      </c>
      <c r="AH19" s="48">
        <v>0.75</v>
      </c>
      <c r="AI19" s="48">
        <v>0.75</v>
      </c>
      <c r="AJ19" s="48" t="s">
        <v>320</v>
      </c>
      <c r="AK19" s="48" t="s">
        <v>320</v>
      </c>
      <c r="AL19" s="48" t="s">
        <v>320</v>
      </c>
      <c r="AM19">
        <v>17</v>
      </c>
    </row>
    <row r="20" spans="1:41" hidden="1" x14ac:dyDescent="0.25">
      <c r="A20">
        <v>19</v>
      </c>
      <c r="B20">
        <v>2025</v>
      </c>
      <c r="C20">
        <v>2</v>
      </c>
      <c r="D20" t="s">
        <v>137</v>
      </c>
      <c r="E20">
        <v>31</v>
      </c>
      <c r="F20">
        <v>1</v>
      </c>
      <c r="G20" t="s">
        <v>430</v>
      </c>
      <c r="H20" s="48">
        <v>0.29166666666666669</v>
      </c>
      <c r="I20" s="48">
        <v>0.29166666666666669</v>
      </c>
      <c r="J20" s="48">
        <v>0.29166666666666669</v>
      </c>
      <c r="K20" s="48">
        <v>0.29166666666666669</v>
      </c>
      <c r="L20" s="48" t="s">
        <v>320</v>
      </c>
      <c r="M20" s="48" t="s">
        <v>320</v>
      </c>
      <c r="N20" s="48" t="s">
        <v>320</v>
      </c>
      <c r="O20" s="48" t="s">
        <v>320</v>
      </c>
      <c r="P20" s="48" t="s">
        <v>320</v>
      </c>
      <c r="Q20" s="48" t="s">
        <v>320</v>
      </c>
      <c r="R20" s="48" t="s">
        <v>320</v>
      </c>
      <c r="S20" s="48" t="s">
        <v>320</v>
      </c>
      <c r="T20" s="48" t="s">
        <v>320</v>
      </c>
      <c r="U20" s="48" t="s">
        <v>320</v>
      </c>
      <c r="V20" s="48" t="s">
        <v>320</v>
      </c>
      <c r="W20" s="48" t="s">
        <v>320</v>
      </c>
      <c r="X20" s="48" t="s">
        <v>320</v>
      </c>
      <c r="Y20" s="48" t="s">
        <v>320</v>
      </c>
      <c r="Z20" s="48" t="s">
        <v>320</v>
      </c>
      <c r="AA20" s="48" t="s">
        <v>320</v>
      </c>
      <c r="AB20" s="48" t="s">
        <v>320</v>
      </c>
      <c r="AC20" s="48" t="s">
        <v>320</v>
      </c>
      <c r="AD20" s="48" t="s">
        <v>320</v>
      </c>
      <c r="AE20" s="48" t="s">
        <v>320</v>
      </c>
      <c r="AF20" s="48" t="s">
        <v>320</v>
      </c>
      <c r="AG20" s="48" t="s">
        <v>320</v>
      </c>
      <c r="AH20" s="48" t="s">
        <v>320</v>
      </c>
      <c r="AI20" s="48" t="s">
        <v>320</v>
      </c>
      <c r="AJ20" s="48" t="s">
        <v>320</v>
      </c>
      <c r="AK20" s="48">
        <v>0.29166666666666669</v>
      </c>
      <c r="AL20" s="48">
        <v>0.29166666666666669</v>
      </c>
    </row>
    <row r="21" spans="1:41" hidden="1" x14ac:dyDescent="0.25">
      <c r="A21">
        <v>20</v>
      </c>
      <c r="B21">
        <v>2025</v>
      </c>
      <c r="C21">
        <v>2</v>
      </c>
      <c r="D21" t="s">
        <v>137</v>
      </c>
      <c r="E21">
        <v>31</v>
      </c>
      <c r="F21">
        <v>1</v>
      </c>
      <c r="G21" t="s">
        <v>431</v>
      </c>
      <c r="H21" s="48">
        <v>0.75</v>
      </c>
      <c r="I21" s="48">
        <v>0.75</v>
      </c>
      <c r="J21" s="48">
        <v>0.75</v>
      </c>
      <c r="K21" s="48">
        <v>0.75</v>
      </c>
      <c r="L21" s="48" t="s">
        <v>320</v>
      </c>
      <c r="M21" s="48" t="s">
        <v>320</v>
      </c>
      <c r="N21" s="48" t="s">
        <v>320</v>
      </c>
      <c r="O21" s="48" t="s">
        <v>320</v>
      </c>
      <c r="P21" s="48" t="s">
        <v>320</v>
      </c>
      <c r="Q21" s="48" t="s">
        <v>320</v>
      </c>
      <c r="R21" s="48" t="s">
        <v>320</v>
      </c>
      <c r="S21" s="48" t="s">
        <v>320</v>
      </c>
      <c r="T21" s="48" t="s">
        <v>320</v>
      </c>
      <c r="U21" s="48" t="s">
        <v>320</v>
      </c>
      <c r="V21" s="48" t="s">
        <v>320</v>
      </c>
      <c r="W21" s="48" t="s">
        <v>320</v>
      </c>
      <c r="X21" s="48" t="s">
        <v>320</v>
      </c>
      <c r="Y21" s="48" t="s">
        <v>320</v>
      </c>
      <c r="Z21" s="48" t="s">
        <v>320</v>
      </c>
      <c r="AA21" s="48" t="s">
        <v>320</v>
      </c>
      <c r="AB21" s="48" t="s">
        <v>320</v>
      </c>
      <c r="AC21" s="48" t="s">
        <v>320</v>
      </c>
      <c r="AD21" s="48" t="s">
        <v>320</v>
      </c>
      <c r="AE21" s="48" t="s">
        <v>320</v>
      </c>
      <c r="AF21" s="48" t="s">
        <v>320</v>
      </c>
      <c r="AG21" s="48" t="s">
        <v>320</v>
      </c>
      <c r="AH21" s="48" t="s">
        <v>320</v>
      </c>
      <c r="AI21" s="48" t="s">
        <v>320</v>
      </c>
      <c r="AJ21" s="48" t="s">
        <v>320</v>
      </c>
      <c r="AK21" s="48">
        <v>0.75</v>
      </c>
      <c r="AL21" s="48">
        <v>0.75</v>
      </c>
      <c r="AM21">
        <v>6</v>
      </c>
    </row>
    <row r="22" spans="1:41" hidden="1" x14ac:dyDescent="0.25">
      <c r="A22">
        <v>21</v>
      </c>
      <c r="B22">
        <v>2025</v>
      </c>
      <c r="C22">
        <v>2</v>
      </c>
      <c r="D22" t="s">
        <v>326</v>
      </c>
      <c r="E22">
        <v>31</v>
      </c>
      <c r="F22">
        <v>1</v>
      </c>
      <c r="G22" t="s">
        <v>430</v>
      </c>
      <c r="H22" s="48" t="s">
        <v>320</v>
      </c>
      <c r="I22" s="48" t="s">
        <v>320</v>
      </c>
      <c r="J22" s="48" t="s">
        <v>320</v>
      </c>
      <c r="K22" s="48">
        <v>0.29166666666666669</v>
      </c>
      <c r="L22" s="48">
        <v>0.29166666666666669</v>
      </c>
      <c r="M22" s="48">
        <v>0.29166666666666669</v>
      </c>
      <c r="N22" s="48">
        <v>0.29166666666666669</v>
      </c>
      <c r="O22" s="48">
        <v>0.29166666666666669</v>
      </c>
      <c r="P22" s="48">
        <v>0.29166666666666669</v>
      </c>
      <c r="Q22" s="48" t="s">
        <v>320</v>
      </c>
      <c r="R22" s="48" t="s">
        <v>320</v>
      </c>
      <c r="S22" s="48" t="s">
        <v>320</v>
      </c>
      <c r="T22" s="48" t="s">
        <v>320</v>
      </c>
      <c r="U22" s="48" t="s">
        <v>320</v>
      </c>
      <c r="V22" s="48" t="s">
        <v>320</v>
      </c>
      <c r="W22" s="48" t="s">
        <v>320</v>
      </c>
      <c r="X22" s="48">
        <v>0.29166666666666669</v>
      </c>
      <c r="Y22" s="48">
        <v>0.29166666666666669</v>
      </c>
      <c r="Z22" s="48">
        <v>0.29166666666666669</v>
      </c>
      <c r="AA22" s="48">
        <v>0.29166666666666669</v>
      </c>
      <c r="AB22" s="48">
        <v>0.29166666666666669</v>
      </c>
      <c r="AC22" s="48">
        <v>0.29166666666666669</v>
      </c>
      <c r="AD22" s="48" t="s">
        <v>320</v>
      </c>
      <c r="AE22" s="48">
        <v>0.29166666666666669</v>
      </c>
      <c r="AF22" s="48">
        <v>0.29166666666666669</v>
      </c>
      <c r="AG22" s="48">
        <v>0.29166666666666669</v>
      </c>
      <c r="AH22" s="48">
        <v>0.29166666666666669</v>
      </c>
      <c r="AI22" s="48">
        <v>0.29166666666666669</v>
      </c>
      <c r="AJ22" s="48" t="s">
        <v>320</v>
      </c>
      <c r="AK22" s="48" t="s">
        <v>320</v>
      </c>
      <c r="AL22" s="48" t="s">
        <v>320</v>
      </c>
    </row>
    <row r="23" spans="1:41" hidden="1" x14ac:dyDescent="0.25">
      <c r="A23">
        <v>22</v>
      </c>
      <c r="B23">
        <v>2025</v>
      </c>
      <c r="C23">
        <v>2</v>
      </c>
      <c r="D23" t="s">
        <v>326</v>
      </c>
      <c r="E23">
        <v>31</v>
      </c>
      <c r="F23">
        <v>1</v>
      </c>
      <c r="G23" t="s">
        <v>431</v>
      </c>
      <c r="H23" s="48" t="s">
        <v>320</v>
      </c>
      <c r="I23" s="48" t="s">
        <v>320</v>
      </c>
      <c r="J23" s="48" t="s">
        <v>320</v>
      </c>
      <c r="K23" s="48">
        <v>0.79166666666666663</v>
      </c>
      <c r="L23" s="48">
        <v>0.79166666666666663</v>
      </c>
      <c r="M23" s="48">
        <v>0.79166666666666663</v>
      </c>
      <c r="N23" s="48">
        <v>0.79166666666666663</v>
      </c>
      <c r="O23" s="48">
        <v>0.79166666666666663</v>
      </c>
      <c r="P23" s="48">
        <v>0.79166666666666663</v>
      </c>
      <c r="Q23" s="48" t="s">
        <v>320</v>
      </c>
      <c r="R23" s="48" t="s">
        <v>320</v>
      </c>
      <c r="S23" s="48" t="s">
        <v>320</v>
      </c>
      <c r="T23" s="48" t="s">
        <v>320</v>
      </c>
      <c r="U23" s="48" t="s">
        <v>320</v>
      </c>
      <c r="V23" s="48" t="s">
        <v>320</v>
      </c>
      <c r="W23" s="48" t="s">
        <v>320</v>
      </c>
      <c r="X23" s="48">
        <v>0.79166666666666663</v>
      </c>
      <c r="Y23" s="48">
        <v>0.79166666666666663</v>
      </c>
      <c r="Z23" s="48">
        <v>0.79166666666666663</v>
      </c>
      <c r="AA23" s="48">
        <v>0.79166666666666663</v>
      </c>
      <c r="AB23" s="48">
        <v>0.79166666666666663</v>
      </c>
      <c r="AC23" s="48">
        <v>0.79166666666666663</v>
      </c>
      <c r="AD23" s="48" t="s">
        <v>320</v>
      </c>
      <c r="AE23" s="48">
        <v>0.79166666666666663</v>
      </c>
      <c r="AF23" s="48">
        <v>0.79166666666666663</v>
      </c>
      <c r="AG23" s="48">
        <v>0.79166666666666663</v>
      </c>
      <c r="AH23" s="48">
        <v>0.79166666666666663</v>
      </c>
      <c r="AI23" s="48">
        <v>0.79166666666666663</v>
      </c>
      <c r="AJ23" s="48" t="s">
        <v>320</v>
      </c>
      <c r="AK23" s="48" t="s">
        <v>320</v>
      </c>
      <c r="AL23" s="48" t="s">
        <v>320</v>
      </c>
      <c r="AM23">
        <v>17</v>
      </c>
      <c r="AO23">
        <v>16.999999999999972</v>
      </c>
    </row>
    <row r="24" spans="1:41" hidden="1" x14ac:dyDescent="0.25">
      <c r="A24">
        <v>23</v>
      </c>
      <c r="B24">
        <v>2025</v>
      </c>
      <c r="C24">
        <v>2</v>
      </c>
      <c r="D24" t="s">
        <v>138</v>
      </c>
      <c r="E24">
        <v>31</v>
      </c>
      <c r="F24">
        <v>1</v>
      </c>
      <c r="G24" t="s">
        <v>430</v>
      </c>
      <c r="H24" s="48" t="s">
        <v>320</v>
      </c>
      <c r="I24" s="48" t="s">
        <v>320</v>
      </c>
      <c r="J24" s="48" t="s">
        <v>320</v>
      </c>
      <c r="K24" s="48" t="s">
        <v>320</v>
      </c>
      <c r="L24" s="48" t="s">
        <v>320</v>
      </c>
      <c r="M24" s="48" t="s">
        <v>320</v>
      </c>
      <c r="N24" s="48" t="s">
        <v>320</v>
      </c>
      <c r="O24" s="48" t="s">
        <v>320</v>
      </c>
      <c r="P24" s="48" t="s">
        <v>320</v>
      </c>
      <c r="Q24" s="48">
        <v>0.29166666666666669</v>
      </c>
      <c r="R24" s="48">
        <v>0.29166666666666669</v>
      </c>
      <c r="S24" s="48">
        <v>0.29166666666666669</v>
      </c>
      <c r="T24" s="48">
        <v>0.29166666666666669</v>
      </c>
      <c r="U24" s="48">
        <v>0.29166666666666669</v>
      </c>
      <c r="V24" s="48">
        <v>0.29166666666666669</v>
      </c>
      <c r="W24" s="48">
        <v>0.29166666666666669</v>
      </c>
      <c r="X24" s="48">
        <v>0.29166666666666669</v>
      </c>
      <c r="Y24" s="48">
        <v>0.29166666666666669</v>
      </c>
      <c r="Z24" s="48">
        <v>0.29166666666666669</v>
      </c>
      <c r="AA24" s="48">
        <v>0.29166666666666669</v>
      </c>
      <c r="AB24" s="48">
        <v>0.29166666666666669</v>
      </c>
      <c r="AC24" s="48">
        <v>0.29166666666666669</v>
      </c>
      <c r="AD24" s="48">
        <v>0.29166666666666669</v>
      </c>
      <c r="AE24" s="48">
        <v>0.29166666666666669</v>
      </c>
      <c r="AF24" s="48">
        <v>0.29166666666666669</v>
      </c>
      <c r="AG24" s="48">
        <v>0.29166666666666669</v>
      </c>
      <c r="AH24" s="48">
        <v>0.29166666666666669</v>
      </c>
      <c r="AI24" s="48">
        <v>0.29166666666666669</v>
      </c>
      <c r="AJ24" s="48" t="s">
        <v>320</v>
      </c>
      <c r="AK24" s="48" t="s">
        <v>320</v>
      </c>
      <c r="AL24" s="48" t="s">
        <v>320</v>
      </c>
    </row>
    <row r="25" spans="1:41" hidden="1" x14ac:dyDescent="0.25">
      <c r="A25">
        <v>24</v>
      </c>
      <c r="B25">
        <v>2025</v>
      </c>
      <c r="C25">
        <v>2</v>
      </c>
      <c r="D25" t="s">
        <v>138</v>
      </c>
      <c r="E25">
        <v>31</v>
      </c>
      <c r="F25">
        <v>1</v>
      </c>
      <c r="G25" t="s">
        <v>431</v>
      </c>
      <c r="H25" s="48" t="s">
        <v>320</v>
      </c>
      <c r="I25" s="48" t="s">
        <v>320</v>
      </c>
      <c r="J25" s="48" t="s">
        <v>320</v>
      </c>
      <c r="K25" s="48" t="s">
        <v>320</v>
      </c>
      <c r="L25" s="48" t="s">
        <v>320</v>
      </c>
      <c r="M25" s="48" t="s">
        <v>320</v>
      </c>
      <c r="N25" s="48" t="s">
        <v>320</v>
      </c>
      <c r="O25" s="48" t="s">
        <v>320</v>
      </c>
      <c r="P25" s="48" t="s">
        <v>320</v>
      </c>
      <c r="Q25" s="48">
        <v>0.79166666666666663</v>
      </c>
      <c r="R25" s="48">
        <v>0.79166666666666663</v>
      </c>
      <c r="S25" s="48">
        <v>0.79166666666666663</v>
      </c>
      <c r="T25" s="48">
        <v>0.79166666666666663</v>
      </c>
      <c r="U25" s="48">
        <v>0.79166666666666663</v>
      </c>
      <c r="V25" s="48">
        <v>0.79166666666666663</v>
      </c>
      <c r="W25" s="48">
        <v>0.79166666666666663</v>
      </c>
      <c r="X25" s="48">
        <v>0.79166666666666663</v>
      </c>
      <c r="Y25" s="48">
        <v>0.79166666666666663</v>
      </c>
      <c r="Z25" s="48">
        <v>0.79166666666666663</v>
      </c>
      <c r="AA25" s="48">
        <v>0.79166666666666663</v>
      </c>
      <c r="AB25" s="48">
        <v>0.79166666666666663</v>
      </c>
      <c r="AC25" s="48">
        <v>0.79166666666666663</v>
      </c>
      <c r="AD25" s="48">
        <v>0.79166666666666663</v>
      </c>
      <c r="AE25" s="48">
        <v>0.79166666666666663</v>
      </c>
      <c r="AF25" s="48">
        <v>0.79166666666666663</v>
      </c>
      <c r="AG25" s="48">
        <v>0.79166666666666663</v>
      </c>
      <c r="AH25" s="48">
        <v>0.79166666666666663</v>
      </c>
      <c r="AI25" s="48">
        <v>0.79166666666666663</v>
      </c>
      <c r="AJ25" s="48" t="s">
        <v>320</v>
      </c>
      <c r="AK25" s="48" t="s">
        <v>320</v>
      </c>
      <c r="AL25" s="48" t="s">
        <v>320</v>
      </c>
      <c r="AM25">
        <v>19</v>
      </c>
      <c r="AO25">
        <v>18.999999999999972</v>
      </c>
    </row>
    <row r="26" spans="1:41" hidden="1" x14ac:dyDescent="0.25">
      <c r="A26">
        <v>25</v>
      </c>
      <c r="B26">
        <v>2025</v>
      </c>
      <c r="C26">
        <v>2</v>
      </c>
      <c r="D26" t="s">
        <v>139</v>
      </c>
      <c r="E26">
        <v>31</v>
      </c>
      <c r="F26">
        <v>1</v>
      </c>
      <c r="G26" t="s">
        <v>430</v>
      </c>
      <c r="H26" s="48" t="s">
        <v>320</v>
      </c>
      <c r="I26" s="48" t="s">
        <v>320</v>
      </c>
      <c r="J26" s="48" t="s">
        <v>320</v>
      </c>
      <c r="K26" s="48" t="s">
        <v>320</v>
      </c>
      <c r="L26" s="48" t="s">
        <v>320</v>
      </c>
      <c r="M26" s="48" t="s">
        <v>320</v>
      </c>
      <c r="N26" s="48" t="s">
        <v>320</v>
      </c>
      <c r="O26" s="48" t="s">
        <v>320</v>
      </c>
      <c r="P26" s="48" t="s">
        <v>320</v>
      </c>
      <c r="Q26" s="48" t="s">
        <v>320</v>
      </c>
      <c r="R26" s="48" t="s">
        <v>320</v>
      </c>
      <c r="S26" s="48" t="s">
        <v>320</v>
      </c>
      <c r="T26" s="48" t="s">
        <v>320</v>
      </c>
      <c r="U26" s="48" t="s">
        <v>320</v>
      </c>
      <c r="V26" s="48" t="s">
        <v>320</v>
      </c>
      <c r="W26" s="48" t="s">
        <v>320</v>
      </c>
      <c r="X26" s="48" t="s">
        <v>320</v>
      </c>
      <c r="Y26" s="48" t="s">
        <v>320</v>
      </c>
      <c r="Z26" s="48" t="s">
        <v>320</v>
      </c>
      <c r="AA26" s="48" t="s">
        <v>320</v>
      </c>
      <c r="AB26" s="48" t="s">
        <v>320</v>
      </c>
      <c r="AC26" s="48">
        <v>0.29166666666666669</v>
      </c>
      <c r="AD26" s="48">
        <v>0.29166666666666669</v>
      </c>
      <c r="AE26" s="48">
        <v>0.29166666666666669</v>
      </c>
      <c r="AF26" s="48">
        <v>0.29166666666666669</v>
      </c>
      <c r="AG26" s="48">
        <v>0.29166666666666669</v>
      </c>
      <c r="AH26" s="48">
        <v>0.29166666666666669</v>
      </c>
      <c r="AI26" s="48">
        <v>0.29166666666666669</v>
      </c>
      <c r="AJ26" s="48" t="s">
        <v>320</v>
      </c>
      <c r="AK26" s="48" t="s">
        <v>320</v>
      </c>
      <c r="AL26" s="48" t="s">
        <v>320</v>
      </c>
    </row>
    <row r="27" spans="1:41" hidden="1" x14ac:dyDescent="0.25">
      <c r="A27">
        <v>26</v>
      </c>
      <c r="B27">
        <v>2025</v>
      </c>
      <c r="C27">
        <v>2</v>
      </c>
      <c r="D27" t="s">
        <v>139</v>
      </c>
      <c r="E27">
        <v>31</v>
      </c>
      <c r="F27">
        <v>1</v>
      </c>
      <c r="G27" t="s">
        <v>431</v>
      </c>
      <c r="H27" s="48" t="s">
        <v>320</v>
      </c>
      <c r="I27" s="48" t="s">
        <v>320</v>
      </c>
      <c r="J27" s="48" t="s">
        <v>320</v>
      </c>
      <c r="K27" s="48" t="s">
        <v>320</v>
      </c>
      <c r="L27" s="48" t="s">
        <v>320</v>
      </c>
      <c r="M27" s="48" t="s">
        <v>320</v>
      </c>
      <c r="N27" s="48" t="s">
        <v>320</v>
      </c>
      <c r="O27" s="48" t="s">
        <v>320</v>
      </c>
      <c r="P27" s="48" t="s">
        <v>320</v>
      </c>
      <c r="Q27" s="48" t="s">
        <v>320</v>
      </c>
      <c r="R27" s="48" t="s">
        <v>320</v>
      </c>
      <c r="S27" s="48" t="s">
        <v>320</v>
      </c>
      <c r="T27" s="48" t="s">
        <v>320</v>
      </c>
      <c r="U27" s="48" t="s">
        <v>320</v>
      </c>
      <c r="V27" s="48" t="s">
        <v>320</v>
      </c>
      <c r="W27" s="48" t="s">
        <v>320</v>
      </c>
      <c r="X27" s="48" t="s">
        <v>320</v>
      </c>
      <c r="Y27" s="48" t="s">
        <v>320</v>
      </c>
      <c r="Z27" s="48" t="s">
        <v>320</v>
      </c>
      <c r="AA27" s="48" t="s">
        <v>320</v>
      </c>
      <c r="AB27" s="48" t="s">
        <v>320</v>
      </c>
      <c r="AC27" s="48">
        <v>0.75</v>
      </c>
      <c r="AD27" s="48">
        <v>0.75</v>
      </c>
      <c r="AE27" s="48">
        <v>0.75</v>
      </c>
      <c r="AF27" s="48">
        <v>0.75</v>
      </c>
      <c r="AG27" s="48">
        <v>0.75</v>
      </c>
      <c r="AH27" s="48">
        <v>0.75</v>
      </c>
      <c r="AI27" s="48">
        <v>0.75</v>
      </c>
      <c r="AJ27" s="48" t="s">
        <v>320</v>
      </c>
      <c r="AK27" s="48" t="s">
        <v>320</v>
      </c>
      <c r="AL27" s="48" t="s">
        <v>320</v>
      </c>
      <c r="AM27">
        <v>7</v>
      </c>
    </row>
    <row r="28" spans="1:41" hidden="1" x14ac:dyDescent="0.25">
      <c r="A28">
        <v>27</v>
      </c>
      <c r="B28">
        <v>2025</v>
      </c>
      <c r="C28">
        <v>2</v>
      </c>
      <c r="D28" t="s">
        <v>157</v>
      </c>
      <c r="E28">
        <v>31</v>
      </c>
      <c r="F28">
        <v>1</v>
      </c>
      <c r="G28" t="s">
        <v>430</v>
      </c>
      <c r="H28" s="48" t="s">
        <v>320</v>
      </c>
      <c r="I28" s="48" t="s">
        <v>320</v>
      </c>
      <c r="J28" s="48" t="s">
        <v>320</v>
      </c>
      <c r="K28" s="48" t="s">
        <v>320</v>
      </c>
      <c r="L28" s="48" t="s">
        <v>320</v>
      </c>
      <c r="M28" s="48" t="s">
        <v>320</v>
      </c>
      <c r="N28" s="48" t="s">
        <v>320</v>
      </c>
      <c r="O28" s="48" t="s">
        <v>320</v>
      </c>
      <c r="P28" s="48" t="s">
        <v>320</v>
      </c>
      <c r="Q28" s="48" t="s">
        <v>320</v>
      </c>
      <c r="R28" s="48" t="s">
        <v>320</v>
      </c>
      <c r="S28" s="48" t="s">
        <v>320</v>
      </c>
      <c r="T28" s="48" t="s">
        <v>320</v>
      </c>
      <c r="U28" s="48" t="s">
        <v>320</v>
      </c>
      <c r="V28" s="48" t="s">
        <v>320</v>
      </c>
      <c r="W28" s="48" t="s">
        <v>320</v>
      </c>
      <c r="X28" s="48" t="s">
        <v>320</v>
      </c>
      <c r="Y28" s="48" t="s">
        <v>320</v>
      </c>
      <c r="Z28" s="48" t="s">
        <v>320</v>
      </c>
      <c r="AA28" s="48">
        <v>0.29166666666666669</v>
      </c>
      <c r="AB28" s="48">
        <v>0.29166666666666669</v>
      </c>
      <c r="AC28" s="48">
        <v>0.29166666666666669</v>
      </c>
      <c r="AD28" s="48">
        <v>0.29166666666666669</v>
      </c>
      <c r="AE28" s="48">
        <v>0.29166666666666669</v>
      </c>
      <c r="AF28" s="48">
        <v>0.29166666666666669</v>
      </c>
      <c r="AG28" s="48">
        <v>0.29166666666666669</v>
      </c>
      <c r="AH28" s="48">
        <v>0.29166666666666669</v>
      </c>
      <c r="AI28" s="48">
        <v>0.29166666666666669</v>
      </c>
      <c r="AJ28" s="48" t="s">
        <v>320</v>
      </c>
      <c r="AK28" s="48" t="s">
        <v>320</v>
      </c>
      <c r="AL28" s="48" t="s">
        <v>320</v>
      </c>
    </row>
    <row r="29" spans="1:41" hidden="1" x14ac:dyDescent="0.25">
      <c r="A29">
        <v>28</v>
      </c>
      <c r="B29">
        <v>2025</v>
      </c>
      <c r="C29">
        <v>2</v>
      </c>
      <c r="D29" t="s">
        <v>157</v>
      </c>
      <c r="E29">
        <v>31</v>
      </c>
      <c r="F29">
        <v>1</v>
      </c>
      <c r="G29" t="s">
        <v>431</v>
      </c>
      <c r="H29" s="48" t="s">
        <v>320</v>
      </c>
      <c r="I29" s="48" t="s">
        <v>320</v>
      </c>
      <c r="J29" s="48" t="s">
        <v>320</v>
      </c>
      <c r="K29" s="48" t="s">
        <v>320</v>
      </c>
      <c r="L29" s="48" t="s">
        <v>320</v>
      </c>
      <c r="M29" s="48" t="s">
        <v>320</v>
      </c>
      <c r="N29" s="48" t="s">
        <v>320</v>
      </c>
      <c r="O29" s="48" t="s">
        <v>320</v>
      </c>
      <c r="P29" s="48" t="s">
        <v>320</v>
      </c>
      <c r="Q29" s="48" t="s">
        <v>320</v>
      </c>
      <c r="R29" s="48" t="s">
        <v>320</v>
      </c>
      <c r="S29" s="48" t="s">
        <v>320</v>
      </c>
      <c r="T29" s="48" t="s">
        <v>320</v>
      </c>
      <c r="U29" s="48" t="s">
        <v>320</v>
      </c>
      <c r="V29" s="48" t="s">
        <v>320</v>
      </c>
      <c r="W29" s="48" t="s">
        <v>320</v>
      </c>
      <c r="X29" s="48" t="s">
        <v>320</v>
      </c>
      <c r="Y29" s="48" t="s">
        <v>320</v>
      </c>
      <c r="Z29" s="48" t="s">
        <v>320</v>
      </c>
      <c r="AA29" s="48">
        <v>0.75</v>
      </c>
      <c r="AB29" s="48">
        <v>0.75</v>
      </c>
      <c r="AC29" s="48">
        <v>0.75</v>
      </c>
      <c r="AD29" s="48">
        <v>0.75</v>
      </c>
      <c r="AE29" s="48">
        <v>0.75</v>
      </c>
      <c r="AF29" s="48">
        <v>0.75</v>
      </c>
      <c r="AG29" s="48">
        <v>0.75</v>
      </c>
      <c r="AH29" s="48">
        <v>0.75</v>
      </c>
      <c r="AI29" s="48">
        <v>0.75</v>
      </c>
      <c r="AJ29" s="48" t="s">
        <v>320</v>
      </c>
      <c r="AK29" s="48" t="s">
        <v>320</v>
      </c>
      <c r="AL29" s="48" t="s">
        <v>320</v>
      </c>
      <c r="AM29">
        <v>9</v>
      </c>
    </row>
    <row r="30" spans="1:41" hidden="1" x14ac:dyDescent="0.25">
      <c r="A30">
        <v>29</v>
      </c>
      <c r="B30">
        <v>2025</v>
      </c>
      <c r="C30">
        <v>3</v>
      </c>
      <c r="D30" t="s">
        <v>134</v>
      </c>
      <c r="E30">
        <v>31</v>
      </c>
      <c r="F30">
        <v>2</v>
      </c>
      <c r="G30" t="s">
        <v>430</v>
      </c>
      <c r="H30" s="48" t="s">
        <v>320</v>
      </c>
      <c r="I30" s="48" t="s">
        <v>320</v>
      </c>
      <c r="J30" s="48">
        <v>0.29166666666666669</v>
      </c>
      <c r="K30" s="48">
        <v>0.29166666666666669</v>
      </c>
      <c r="L30" s="48">
        <v>0.29166666666666669</v>
      </c>
      <c r="M30" s="48">
        <v>0.29166666666666669</v>
      </c>
      <c r="N30" s="48">
        <v>0.29166666666666669</v>
      </c>
      <c r="O30" s="48">
        <v>0.29166666666666669</v>
      </c>
      <c r="P30" s="48" t="s">
        <v>320</v>
      </c>
      <c r="Q30" s="48">
        <v>0.29166666666666669</v>
      </c>
      <c r="R30" s="48">
        <v>0.29166666666666669</v>
      </c>
      <c r="S30" s="48">
        <v>0.29166666666666669</v>
      </c>
      <c r="T30" s="48">
        <v>0.29166666666666669</v>
      </c>
      <c r="U30" s="48">
        <v>0.29166666666666669</v>
      </c>
      <c r="V30" s="48">
        <v>0.29166666666666669</v>
      </c>
      <c r="W30" s="48" t="s">
        <v>320</v>
      </c>
      <c r="X30" s="48">
        <v>0.29166666666666669</v>
      </c>
      <c r="Y30" s="48">
        <v>0.29166666666666669</v>
      </c>
      <c r="Z30" s="48">
        <v>0.29166666666666669</v>
      </c>
      <c r="AA30" s="48" t="s">
        <v>320</v>
      </c>
      <c r="AB30" s="48" t="s">
        <v>320</v>
      </c>
      <c r="AC30" s="48" t="s">
        <v>320</v>
      </c>
      <c r="AD30" s="48" t="s">
        <v>320</v>
      </c>
      <c r="AE30" s="48">
        <v>0.29166666666666669</v>
      </c>
      <c r="AF30" s="48">
        <v>0.29166666666666669</v>
      </c>
      <c r="AG30" s="48">
        <v>0.29166666666666669</v>
      </c>
      <c r="AH30" s="48">
        <v>0.29166666666666669</v>
      </c>
      <c r="AI30" s="48">
        <v>0.29166666666666669</v>
      </c>
      <c r="AJ30" s="48">
        <v>0.29166666666666669</v>
      </c>
      <c r="AK30" s="48" t="s">
        <v>320</v>
      </c>
      <c r="AL30" s="48" t="s">
        <v>320</v>
      </c>
    </row>
    <row r="31" spans="1:41" hidden="1" x14ac:dyDescent="0.25">
      <c r="A31">
        <v>30</v>
      </c>
      <c r="B31">
        <v>2025</v>
      </c>
      <c r="C31">
        <v>3</v>
      </c>
      <c r="D31" t="s">
        <v>134</v>
      </c>
      <c r="E31">
        <v>31</v>
      </c>
      <c r="F31">
        <v>2</v>
      </c>
      <c r="G31" t="s">
        <v>431</v>
      </c>
      <c r="H31" s="48" t="s">
        <v>320</v>
      </c>
      <c r="I31" s="48" t="s">
        <v>320</v>
      </c>
      <c r="J31" s="48">
        <v>0.75</v>
      </c>
      <c r="K31" s="48">
        <v>0.75</v>
      </c>
      <c r="L31" s="48">
        <v>0.75</v>
      </c>
      <c r="M31" s="48">
        <v>0.75</v>
      </c>
      <c r="N31" s="48">
        <v>0.75</v>
      </c>
      <c r="O31" s="48">
        <v>0.75</v>
      </c>
      <c r="P31" s="48" t="s">
        <v>320</v>
      </c>
      <c r="Q31" s="48">
        <v>0.75</v>
      </c>
      <c r="R31" s="48">
        <v>0.75</v>
      </c>
      <c r="S31" s="48">
        <v>0.75</v>
      </c>
      <c r="T31" s="48">
        <v>0.75</v>
      </c>
      <c r="U31" s="48">
        <v>0.75</v>
      </c>
      <c r="V31" s="48">
        <v>0.75</v>
      </c>
      <c r="W31" s="48" t="s">
        <v>320</v>
      </c>
      <c r="X31" s="48">
        <v>0.75</v>
      </c>
      <c r="Y31" s="48">
        <v>0.75</v>
      </c>
      <c r="Z31" s="48">
        <v>0.75</v>
      </c>
      <c r="AA31" s="48" t="s">
        <v>320</v>
      </c>
      <c r="AB31" s="48" t="s">
        <v>320</v>
      </c>
      <c r="AC31" s="48" t="s">
        <v>320</v>
      </c>
      <c r="AD31" s="48" t="s">
        <v>320</v>
      </c>
      <c r="AE31" s="48">
        <v>0.75</v>
      </c>
      <c r="AF31" s="48">
        <v>0.75</v>
      </c>
      <c r="AG31" s="48">
        <v>0.75</v>
      </c>
      <c r="AH31" s="48">
        <v>0.75</v>
      </c>
      <c r="AI31" s="48">
        <v>0.75</v>
      </c>
      <c r="AJ31" s="48">
        <v>0.75</v>
      </c>
      <c r="AK31" s="48" t="s">
        <v>320</v>
      </c>
      <c r="AL31" s="48" t="s">
        <v>320</v>
      </c>
      <c r="AM31">
        <v>21</v>
      </c>
    </row>
    <row r="32" spans="1:41" hidden="1" x14ac:dyDescent="0.25">
      <c r="A32">
        <v>31</v>
      </c>
      <c r="B32">
        <v>2025</v>
      </c>
      <c r="C32">
        <v>3</v>
      </c>
      <c r="D32" t="s">
        <v>134</v>
      </c>
      <c r="E32">
        <v>31</v>
      </c>
      <c r="F32">
        <v>2</v>
      </c>
      <c r="G32" t="s">
        <v>432</v>
      </c>
      <c r="H32" s="48" t="s">
        <v>320</v>
      </c>
      <c r="I32" s="48" t="s">
        <v>320</v>
      </c>
      <c r="J32" s="48">
        <v>219057</v>
      </c>
      <c r="K32" s="48">
        <v>219368</v>
      </c>
      <c r="L32" s="48">
        <v>219608</v>
      </c>
      <c r="M32" s="48">
        <v>219832</v>
      </c>
      <c r="N32" s="48">
        <v>220225</v>
      </c>
      <c r="O32" s="48">
        <v>220150</v>
      </c>
      <c r="P32" s="48" t="s">
        <v>320</v>
      </c>
      <c r="Q32" s="48">
        <v>220868</v>
      </c>
      <c r="R32" s="48">
        <v>221134</v>
      </c>
      <c r="S32" s="48">
        <v>221355</v>
      </c>
      <c r="T32" s="48">
        <v>221572</v>
      </c>
      <c r="U32" s="48">
        <v>221882</v>
      </c>
      <c r="V32" s="48">
        <v>222106</v>
      </c>
      <c r="W32" s="48" t="s">
        <v>320</v>
      </c>
      <c r="X32" s="48">
        <v>222358</v>
      </c>
      <c r="Y32" s="48">
        <v>222609</v>
      </c>
      <c r="Z32" s="48">
        <v>222962</v>
      </c>
      <c r="AA32" s="48" t="s">
        <v>320</v>
      </c>
      <c r="AB32" s="48" t="s">
        <v>320</v>
      </c>
      <c r="AC32" s="48" t="s">
        <v>320</v>
      </c>
      <c r="AD32" s="48" t="s">
        <v>320</v>
      </c>
      <c r="AE32" s="48">
        <v>224762</v>
      </c>
      <c r="AF32" s="48">
        <v>224988</v>
      </c>
      <c r="AG32" s="48">
        <v>225232</v>
      </c>
      <c r="AH32" s="48">
        <v>225450</v>
      </c>
      <c r="AI32" s="48">
        <v>225714</v>
      </c>
      <c r="AJ32" s="48">
        <v>225934</v>
      </c>
      <c r="AK32" s="48" t="s">
        <v>320</v>
      </c>
      <c r="AL32" s="48" t="s">
        <v>320</v>
      </c>
    </row>
    <row r="33" spans="1:45" hidden="1" x14ac:dyDescent="0.25">
      <c r="A33">
        <v>32</v>
      </c>
      <c r="B33">
        <v>2025</v>
      </c>
      <c r="C33">
        <v>3</v>
      </c>
      <c r="D33" t="s">
        <v>134</v>
      </c>
      <c r="E33">
        <v>31</v>
      </c>
      <c r="F33">
        <v>2</v>
      </c>
      <c r="G33" t="s">
        <v>433</v>
      </c>
      <c r="H33" s="48" t="s">
        <v>320</v>
      </c>
      <c r="I33" s="48" t="s">
        <v>320</v>
      </c>
      <c r="J33" s="48">
        <v>219318</v>
      </c>
      <c r="K33" s="48">
        <v>219583</v>
      </c>
      <c r="L33" s="48">
        <v>219832</v>
      </c>
      <c r="M33" s="48">
        <v>220225</v>
      </c>
      <c r="N33" s="48">
        <v>220450</v>
      </c>
      <c r="O33" s="48">
        <v>220678</v>
      </c>
      <c r="P33" s="48" t="s">
        <v>320</v>
      </c>
      <c r="Q33" s="48">
        <v>221090</v>
      </c>
      <c r="R33" s="48">
        <v>221355</v>
      </c>
      <c r="S33" s="48">
        <v>221572</v>
      </c>
      <c r="T33" s="48">
        <v>221882</v>
      </c>
      <c r="U33" s="48">
        <v>222106</v>
      </c>
      <c r="V33" s="48">
        <v>222312</v>
      </c>
      <c r="W33" s="48" t="s">
        <v>320</v>
      </c>
      <c r="X33" s="48">
        <v>222608</v>
      </c>
      <c r="Y33" s="48">
        <v>222832</v>
      </c>
      <c r="Z33" s="48">
        <v>223187</v>
      </c>
      <c r="AA33" s="48" t="s">
        <v>320</v>
      </c>
      <c r="AB33" s="48" t="s">
        <v>320</v>
      </c>
      <c r="AC33" s="48" t="s">
        <v>320</v>
      </c>
      <c r="AD33" s="48" t="s">
        <v>320</v>
      </c>
      <c r="AE33" s="48">
        <v>224988</v>
      </c>
      <c r="AF33" s="48">
        <v>225232</v>
      </c>
      <c r="AG33" s="48">
        <v>225449</v>
      </c>
      <c r="AH33" s="48">
        <v>225674</v>
      </c>
      <c r="AI33" s="48">
        <v>225931</v>
      </c>
      <c r="AJ33" s="48">
        <v>226148</v>
      </c>
      <c r="AK33" s="48" t="s">
        <v>320</v>
      </c>
      <c r="AL33" s="48" t="s">
        <v>320</v>
      </c>
      <c r="AP33">
        <v>951.48</v>
      </c>
      <c r="AQ33">
        <v>18</v>
      </c>
      <c r="AS33">
        <v>5286</v>
      </c>
    </row>
    <row r="34" spans="1:45" hidden="1" x14ac:dyDescent="0.25">
      <c r="A34">
        <v>33</v>
      </c>
      <c r="B34">
        <v>2025</v>
      </c>
      <c r="C34">
        <v>3</v>
      </c>
      <c r="D34" t="s">
        <v>136</v>
      </c>
      <c r="E34">
        <v>31</v>
      </c>
      <c r="F34">
        <v>2</v>
      </c>
      <c r="G34" t="s">
        <v>430</v>
      </c>
      <c r="H34" s="48">
        <v>0.29166666666666669</v>
      </c>
      <c r="I34" s="48">
        <v>0.29166666666666669</v>
      </c>
      <c r="J34" s="48">
        <v>0.29166666666666669</v>
      </c>
      <c r="K34" s="48">
        <v>0.29166666666666669</v>
      </c>
      <c r="L34" s="48">
        <v>0.29166666666666669</v>
      </c>
      <c r="M34" s="48">
        <v>0.29166666666666669</v>
      </c>
      <c r="N34" s="48">
        <v>0.29166666666666669</v>
      </c>
      <c r="O34" s="48">
        <v>0.29166666666666669</v>
      </c>
      <c r="P34" s="48">
        <v>0.29166666666666669</v>
      </c>
      <c r="Q34" s="48">
        <v>0.29166666666666669</v>
      </c>
      <c r="R34" s="48">
        <v>0.29166666666666669</v>
      </c>
      <c r="S34" s="48">
        <v>0.29166666666666669</v>
      </c>
      <c r="T34" s="48">
        <v>0.29166666666666669</v>
      </c>
      <c r="U34" s="48">
        <v>0.29166666666666669</v>
      </c>
      <c r="V34" s="48">
        <v>0.29166666666666669</v>
      </c>
      <c r="W34" s="48">
        <v>0.29166666666666669</v>
      </c>
      <c r="X34" s="48">
        <v>0.29166666666666669</v>
      </c>
      <c r="Y34" s="48">
        <v>0.29166666666666669</v>
      </c>
      <c r="Z34" s="48">
        <v>0.29166666666666669</v>
      </c>
      <c r="AA34" s="48">
        <v>0.29166666666666669</v>
      </c>
      <c r="AB34" s="48">
        <v>0.29166666666666669</v>
      </c>
      <c r="AC34" s="48">
        <v>0.29166666666666669</v>
      </c>
      <c r="AD34" s="48">
        <v>0.29166666666666669</v>
      </c>
      <c r="AE34" s="48">
        <v>0.29166666666666669</v>
      </c>
      <c r="AF34" s="48">
        <v>0.29166666666666669</v>
      </c>
      <c r="AG34" s="48">
        <v>0.29166666666666669</v>
      </c>
      <c r="AH34" s="48">
        <v>0.29166666666666669</v>
      </c>
      <c r="AI34" s="48">
        <v>0.29166666666666669</v>
      </c>
      <c r="AJ34" s="48">
        <v>0.29166666666666669</v>
      </c>
      <c r="AK34" s="48">
        <v>0.29166666666666669</v>
      </c>
      <c r="AL34" s="48" t="s">
        <v>320</v>
      </c>
    </row>
    <row r="35" spans="1:45" hidden="1" x14ac:dyDescent="0.25">
      <c r="A35">
        <v>34</v>
      </c>
      <c r="B35">
        <v>2025</v>
      </c>
      <c r="C35">
        <v>3</v>
      </c>
      <c r="D35" t="s">
        <v>136</v>
      </c>
      <c r="E35">
        <v>31</v>
      </c>
      <c r="F35">
        <v>2</v>
      </c>
      <c r="G35" t="s">
        <v>431</v>
      </c>
      <c r="H35" s="48">
        <v>0.75</v>
      </c>
      <c r="I35" s="48">
        <v>0.75</v>
      </c>
      <c r="J35" s="48">
        <v>0.75</v>
      </c>
      <c r="K35" s="48">
        <v>0.75</v>
      </c>
      <c r="L35" s="48">
        <v>0.75</v>
      </c>
      <c r="M35" s="48">
        <v>0.75</v>
      </c>
      <c r="N35" s="48">
        <v>0.75</v>
      </c>
      <c r="O35" s="48">
        <v>0.75</v>
      </c>
      <c r="P35" s="48">
        <v>0.75</v>
      </c>
      <c r="Q35" s="48">
        <v>0.75</v>
      </c>
      <c r="R35" s="48">
        <v>0.75</v>
      </c>
      <c r="S35" s="48">
        <v>0.75</v>
      </c>
      <c r="T35" s="48">
        <v>0.75</v>
      </c>
      <c r="U35" s="48">
        <v>0.75</v>
      </c>
      <c r="V35" s="48">
        <v>0.83333333333333326</v>
      </c>
      <c r="W35" s="48">
        <v>0.85416666666666674</v>
      </c>
      <c r="X35" s="48">
        <v>0.85416666666666674</v>
      </c>
      <c r="Y35" s="48">
        <v>0.79166666666666674</v>
      </c>
      <c r="Z35" s="48">
        <v>0.79166666666666674</v>
      </c>
      <c r="AA35" s="48">
        <v>0.83333333333333326</v>
      </c>
      <c r="AB35" s="48">
        <v>0.91666666666666674</v>
      </c>
      <c r="AC35" s="48">
        <v>1.0416666666666667</v>
      </c>
      <c r="AD35" s="48">
        <v>1.0416666666666667</v>
      </c>
      <c r="AE35" s="48">
        <v>0.83333333333333326</v>
      </c>
      <c r="AF35" s="48">
        <v>1</v>
      </c>
      <c r="AG35" s="48">
        <v>0.83333333333333326</v>
      </c>
      <c r="AH35" s="48">
        <v>0.875</v>
      </c>
      <c r="AI35" s="48">
        <v>0.83333333333333326</v>
      </c>
      <c r="AJ35" s="48">
        <v>0.83333333333333326</v>
      </c>
      <c r="AK35" s="48">
        <v>0.875</v>
      </c>
      <c r="AL35" s="48" t="s">
        <v>320</v>
      </c>
      <c r="AM35">
        <v>30</v>
      </c>
      <c r="AO35">
        <v>48.999999999999986</v>
      </c>
    </row>
    <row r="36" spans="1:45" hidden="1" x14ac:dyDescent="0.25">
      <c r="A36">
        <v>35</v>
      </c>
      <c r="B36">
        <v>2025</v>
      </c>
      <c r="C36">
        <v>3</v>
      </c>
      <c r="D36" t="s">
        <v>136</v>
      </c>
      <c r="E36">
        <v>31</v>
      </c>
      <c r="F36">
        <v>2</v>
      </c>
      <c r="G36" t="s">
        <v>432</v>
      </c>
      <c r="H36" s="48">
        <v>515805</v>
      </c>
      <c r="I36" s="48">
        <v>515985</v>
      </c>
      <c r="J36" s="48">
        <v>516085</v>
      </c>
      <c r="K36" s="48">
        <v>516251</v>
      </c>
      <c r="L36" s="48">
        <v>516411</v>
      </c>
      <c r="M36" s="48">
        <v>516611</v>
      </c>
      <c r="N36" s="48">
        <v>516766</v>
      </c>
      <c r="O36" s="48">
        <v>517040</v>
      </c>
      <c r="P36" s="48">
        <v>517235</v>
      </c>
      <c r="Q36" s="48">
        <v>517511</v>
      </c>
      <c r="R36" s="48">
        <v>517660</v>
      </c>
      <c r="S36" s="48">
        <v>517832</v>
      </c>
      <c r="T36" s="48">
        <v>517964</v>
      </c>
      <c r="U36" s="48">
        <v>518215</v>
      </c>
      <c r="V36" s="48">
        <v>518499</v>
      </c>
      <c r="W36" s="48">
        <v>518604</v>
      </c>
      <c r="X36" s="48">
        <v>518814</v>
      </c>
      <c r="Y36" s="48">
        <v>518957</v>
      </c>
      <c r="Z36" s="48">
        <v>519297</v>
      </c>
      <c r="AA36" s="48">
        <v>519520</v>
      </c>
      <c r="AB36" s="48">
        <v>519684</v>
      </c>
      <c r="AC36" s="48">
        <v>519831</v>
      </c>
      <c r="AD36" s="48">
        <v>520010</v>
      </c>
      <c r="AE36" s="48">
        <v>520267</v>
      </c>
      <c r="AF36" s="48">
        <v>520433</v>
      </c>
      <c r="AG36" s="48">
        <v>520631</v>
      </c>
      <c r="AH36" s="48">
        <v>520844</v>
      </c>
      <c r="AI36" s="48">
        <v>521090</v>
      </c>
      <c r="AJ36" s="48">
        <v>521466</v>
      </c>
      <c r="AK36" s="48">
        <v>521815</v>
      </c>
      <c r="AL36" s="48" t="s">
        <v>320</v>
      </c>
    </row>
    <row r="37" spans="1:45" hidden="1" x14ac:dyDescent="0.25">
      <c r="A37">
        <v>36</v>
      </c>
      <c r="B37">
        <v>2025</v>
      </c>
      <c r="C37">
        <v>3</v>
      </c>
      <c r="D37" t="s">
        <v>136</v>
      </c>
      <c r="E37">
        <v>31</v>
      </c>
      <c r="F37">
        <v>2</v>
      </c>
      <c r="G37" t="s">
        <v>433</v>
      </c>
      <c r="H37" s="48">
        <v>515962</v>
      </c>
      <c r="I37" s="48">
        <v>516085</v>
      </c>
      <c r="J37" s="48">
        <v>516251</v>
      </c>
      <c r="K37" s="48">
        <v>516411</v>
      </c>
      <c r="L37" s="48">
        <v>516611</v>
      </c>
      <c r="M37" s="48">
        <v>516766</v>
      </c>
      <c r="N37" s="48">
        <v>517040</v>
      </c>
      <c r="O37" s="48">
        <v>517192</v>
      </c>
      <c r="P37" s="48">
        <v>517511</v>
      </c>
      <c r="Q37" s="48">
        <v>517660</v>
      </c>
      <c r="R37" s="48">
        <v>517832</v>
      </c>
      <c r="S37" s="48">
        <v>517964</v>
      </c>
      <c r="T37" s="48">
        <v>518215</v>
      </c>
      <c r="U37" s="48">
        <v>518499</v>
      </c>
      <c r="V37" s="48">
        <v>518604</v>
      </c>
      <c r="W37" s="48">
        <v>518806</v>
      </c>
      <c r="X37" s="48">
        <v>518955</v>
      </c>
      <c r="Y37" s="48">
        <v>519184</v>
      </c>
      <c r="Z37" s="48">
        <v>519516</v>
      </c>
      <c r="AA37" s="48">
        <v>519684</v>
      </c>
      <c r="AB37" s="48">
        <v>519831</v>
      </c>
      <c r="AC37" s="48">
        <v>520010</v>
      </c>
      <c r="AD37" s="48">
        <v>520267</v>
      </c>
      <c r="AE37" s="48">
        <v>520401</v>
      </c>
      <c r="AF37" s="48">
        <v>520622</v>
      </c>
      <c r="AG37" s="48">
        <v>520837</v>
      </c>
      <c r="AH37" s="48">
        <v>521067</v>
      </c>
      <c r="AI37" s="48">
        <v>521421</v>
      </c>
      <c r="AJ37" s="48">
        <v>521812</v>
      </c>
      <c r="AK37" s="48">
        <v>522058</v>
      </c>
      <c r="AL37" s="48" t="s">
        <v>320</v>
      </c>
      <c r="AP37">
        <v>1069.3800000000001</v>
      </c>
      <c r="AQ37">
        <v>18</v>
      </c>
      <c r="AS37">
        <v>5941</v>
      </c>
    </row>
    <row r="38" spans="1:45" hidden="1" x14ac:dyDescent="0.25">
      <c r="A38">
        <v>37</v>
      </c>
      <c r="B38">
        <v>2025</v>
      </c>
      <c r="C38">
        <v>3</v>
      </c>
      <c r="D38" t="s">
        <v>156</v>
      </c>
      <c r="E38">
        <v>31</v>
      </c>
      <c r="F38">
        <v>2</v>
      </c>
      <c r="G38" t="s">
        <v>430</v>
      </c>
      <c r="H38" s="48" t="s">
        <v>320</v>
      </c>
      <c r="I38" s="48" t="s">
        <v>320</v>
      </c>
      <c r="J38" s="48">
        <v>0.29166666666666669</v>
      </c>
      <c r="K38" s="48">
        <v>0.29166666666666669</v>
      </c>
      <c r="L38" s="48">
        <v>0.29166666666666669</v>
      </c>
      <c r="M38" s="48">
        <v>0.29166666666666669</v>
      </c>
      <c r="N38" s="48">
        <v>0.29166666666666669</v>
      </c>
      <c r="O38" s="48">
        <v>0.29166666666666669</v>
      </c>
      <c r="P38" s="48">
        <v>0.29166666666666669</v>
      </c>
      <c r="Q38" s="48">
        <v>0.29166666666666669</v>
      </c>
      <c r="R38" s="48">
        <v>0.29166666666666669</v>
      </c>
      <c r="S38" s="48">
        <v>0.29166666666666669</v>
      </c>
      <c r="T38" s="48">
        <v>0.29166666666666669</v>
      </c>
      <c r="U38" s="48">
        <v>0.29166666666666669</v>
      </c>
      <c r="V38" s="48">
        <v>0.29166666666666669</v>
      </c>
      <c r="W38" s="48" t="s">
        <v>320</v>
      </c>
      <c r="X38" s="48">
        <v>0.29166666666666669</v>
      </c>
      <c r="Y38" s="48">
        <v>0.29166666666666669</v>
      </c>
      <c r="Z38" s="48">
        <v>0.29166666666666669</v>
      </c>
      <c r="AA38" s="48" t="s">
        <v>320</v>
      </c>
      <c r="AB38" s="48" t="s">
        <v>320</v>
      </c>
      <c r="AC38" s="48">
        <v>0.29166666666666669</v>
      </c>
      <c r="AD38" s="48">
        <v>0.29166666666666669</v>
      </c>
      <c r="AE38" s="48">
        <v>0.29166666666666669</v>
      </c>
      <c r="AF38" s="48">
        <v>0.29166666666666669</v>
      </c>
      <c r="AG38" s="48">
        <v>0.29166666666666669</v>
      </c>
      <c r="AH38" s="48">
        <v>0.29166666666666669</v>
      </c>
      <c r="AI38" s="48">
        <v>0.29166666666666669</v>
      </c>
      <c r="AJ38" s="48">
        <v>0.29166666666666669</v>
      </c>
      <c r="AK38" s="48" t="s">
        <v>320</v>
      </c>
      <c r="AL38" s="48">
        <v>0.29166666666666669</v>
      </c>
    </row>
    <row r="39" spans="1:45" hidden="1" x14ac:dyDescent="0.25">
      <c r="A39">
        <v>38</v>
      </c>
      <c r="B39">
        <v>2025</v>
      </c>
      <c r="C39">
        <v>3</v>
      </c>
      <c r="D39" t="s">
        <v>156</v>
      </c>
      <c r="E39">
        <v>31</v>
      </c>
      <c r="F39">
        <v>2</v>
      </c>
      <c r="G39" t="s">
        <v>431</v>
      </c>
      <c r="H39" s="48" t="s">
        <v>320</v>
      </c>
      <c r="I39" s="48" t="s">
        <v>320</v>
      </c>
      <c r="J39" s="48">
        <v>0.75</v>
      </c>
      <c r="K39" s="48">
        <v>0.75</v>
      </c>
      <c r="L39" s="48">
        <v>0.75</v>
      </c>
      <c r="M39" s="48">
        <v>0.75</v>
      </c>
      <c r="N39" s="48">
        <v>0.75</v>
      </c>
      <c r="O39" s="48">
        <v>0.75</v>
      </c>
      <c r="P39" s="48">
        <v>0.75</v>
      </c>
      <c r="Q39" s="48">
        <v>0.75</v>
      </c>
      <c r="R39" s="48">
        <v>0.75</v>
      </c>
      <c r="S39" s="48">
        <v>0.75</v>
      </c>
      <c r="T39" s="48">
        <v>0.75</v>
      </c>
      <c r="U39" s="48">
        <v>0.75</v>
      </c>
      <c r="V39" s="48">
        <v>0.75</v>
      </c>
      <c r="W39" s="48" t="s">
        <v>320</v>
      </c>
      <c r="X39" s="48">
        <v>0.75</v>
      </c>
      <c r="Y39" s="48">
        <v>0.75</v>
      </c>
      <c r="Z39" s="48">
        <v>0.75</v>
      </c>
      <c r="AA39" s="48" t="s">
        <v>320</v>
      </c>
      <c r="AB39" s="48" t="s">
        <v>320</v>
      </c>
      <c r="AC39" s="48">
        <v>0.75</v>
      </c>
      <c r="AD39" s="48">
        <v>0.75</v>
      </c>
      <c r="AE39" s="48">
        <v>0.75</v>
      </c>
      <c r="AF39" s="48">
        <v>0.75</v>
      </c>
      <c r="AG39" s="48">
        <v>0.75</v>
      </c>
      <c r="AH39" s="48">
        <v>0.75</v>
      </c>
      <c r="AI39" s="48">
        <v>0.75</v>
      </c>
      <c r="AJ39" s="48">
        <v>0.75</v>
      </c>
      <c r="AK39" s="48" t="s">
        <v>320</v>
      </c>
      <c r="AL39" s="48">
        <v>0.75</v>
      </c>
      <c r="AM39">
        <v>25</v>
      </c>
    </row>
    <row r="40" spans="1:45" hidden="1" x14ac:dyDescent="0.25">
      <c r="A40">
        <v>39</v>
      </c>
      <c r="B40">
        <v>2025</v>
      </c>
      <c r="C40">
        <v>3</v>
      </c>
      <c r="D40" t="s">
        <v>156</v>
      </c>
      <c r="E40">
        <v>31</v>
      </c>
      <c r="F40">
        <v>2</v>
      </c>
      <c r="G40" t="s">
        <v>432</v>
      </c>
      <c r="H40" s="48" t="s">
        <v>320</v>
      </c>
      <c r="I40" s="48" t="s">
        <v>320</v>
      </c>
      <c r="J40" s="48">
        <v>775300</v>
      </c>
      <c r="K40" s="48">
        <v>775503</v>
      </c>
      <c r="L40" s="48">
        <v>775655</v>
      </c>
      <c r="M40" s="48">
        <v>775789</v>
      </c>
      <c r="N40" s="48">
        <v>775942</v>
      </c>
      <c r="O40" s="48">
        <v>776086</v>
      </c>
      <c r="P40" s="48">
        <v>776235</v>
      </c>
      <c r="Q40" s="48">
        <v>776460</v>
      </c>
      <c r="R40" s="48">
        <v>776656</v>
      </c>
      <c r="S40" s="48">
        <v>776898</v>
      </c>
      <c r="T40" s="48">
        <v>777064</v>
      </c>
      <c r="U40" s="48">
        <v>777269</v>
      </c>
      <c r="V40" s="48">
        <v>777397</v>
      </c>
      <c r="W40" s="48" t="s">
        <v>320</v>
      </c>
      <c r="X40" s="48">
        <v>777578</v>
      </c>
      <c r="Y40" s="48">
        <v>777742</v>
      </c>
      <c r="Z40" s="48">
        <v>777879</v>
      </c>
      <c r="AA40" s="48" t="s">
        <v>320</v>
      </c>
      <c r="AB40" s="48" t="s">
        <v>320</v>
      </c>
      <c r="AC40" s="48">
        <v>778197</v>
      </c>
      <c r="AD40" s="48">
        <v>778309</v>
      </c>
      <c r="AE40" s="48">
        <v>778440</v>
      </c>
      <c r="AF40" s="48">
        <v>778585</v>
      </c>
      <c r="AG40" s="48">
        <v>778729</v>
      </c>
      <c r="AH40" s="48">
        <v>778925</v>
      </c>
      <c r="AI40" s="48">
        <v>779068</v>
      </c>
      <c r="AJ40" s="48">
        <v>779265</v>
      </c>
      <c r="AK40" s="48" t="s">
        <v>320</v>
      </c>
      <c r="AL40" s="48">
        <v>779535</v>
      </c>
    </row>
    <row r="41" spans="1:45" hidden="1" x14ac:dyDescent="0.25">
      <c r="A41">
        <v>40</v>
      </c>
      <c r="B41">
        <v>2025</v>
      </c>
      <c r="C41">
        <v>3</v>
      </c>
      <c r="D41" t="s">
        <v>156</v>
      </c>
      <c r="E41">
        <v>31</v>
      </c>
      <c r="F41">
        <v>2</v>
      </c>
      <c r="G41" t="s">
        <v>433</v>
      </c>
      <c r="H41" s="48" t="s">
        <v>320</v>
      </c>
      <c r="I41" s="48" t="s">
        <v>320</v>
      </c>
      <c r="J41" s="48">
        <v>775503</v>
      </c>
      <c r="K41" s="48">
        <v>775655</v>
      </c>
      <c r="L41" s="48">
        <v>775789</v>
      </c>
      <c r="M41" s="48">
        <v>775942</v>
      </c>
      <c r="N41" s="48">
        <v>776086</v>
      </c>
      <c r="O41" s="48">
        <v>776235</v>
      </c>
      <c r="P41" s="48">
        <v>776460</v>
      </c>
      <c r="Q41" s="48">
        <v>776656</v>
      </c>
      <c r="R41" s="48">
        <v>776898</v>
      </c>
      <c r="S41" s="48">
        <v>777064</v>
      </c>
      <c r="T41" s="48">
        <v>777269</v>
      </c>
      <c r="U41" s="48">
        <v>777397</v>
      </c>
      <c r="V41" s="48">
        <v>777578</v>
      </c>
      <c r="W41" s="48" t="s">
        <v>320</v>
      </c>
      <c r="X41" s="48">
        <v>777742</v>
      </c>
      <c r="Y41" s="48">
        <v>777879</v>
      </c>
      <c r="Z41" s="48">
        <v>778147</v>
      </c>
      <c r="AA41" s="48" t="s">
        <v>320</v>
      </c>
      <c r="AB41" s="48" t="s">
        <v>320</v>
      </c>
      <c r="AC41" s="48">
        <v>778309</v>
      </c>
      <c r="AD41" s="48">
        <v>778440</v>
      </c>
      <c r="AE41" s="48">
        <v>778585</v>
      </c>
      <c r="AF41" s="48">
        <v>778729</v>
      </c>
      <c r="AG41" s="48">
        <v>778925</v>
      </c>
      <c r="AH41" s="48">
        <v>779068</v>
      </c>
      <c r="AI41" s="48">
        <v>779265</v>
      </c>
      <c r="AJ41" s="48">
        <v>779535</v>
      </c>
      <c r="AK41" s="48" t="s">
        <v>320</v>
      </c>
      <c r="AL41" s="48">
        <v>779650</v>
      </c>
      <c r="AP41">
        <v>774</v>
      </c>
      <c r="AQ41">
        <v>18</v>
      </c>
      <c r="AS41">
        <v>4300</v>
      </c>
    </row>
    <row r="42" spans="1:45" hidden="1" x14ac:dyDescent="0.25">
      <c r="A42">
        <v>41</v>
      </c>
      <c r="B42">
        <v>2025</v>
      </c>
      <c r="C42">
        <v>3</v>
      </c>
      <c r="D42" t="s">
        <v>326</v>
      </c>
      <c r="E42">
        <v>31</v>
      </c>
      <c r="F42">
        <v>2</v>
      </c>
      <c r="G42" t="s">
        <v>430</v>
      </c>
      <c r="H42" s="48" t="s">
        <v>320</v>
      </c>
      <c r="I42" s="48" t="s">
        <v>320</v>
      </c>
      <c r="J42" s="48">
        <v>0.29166666666666669</v>
      </c>
      <c r="K42" s="48">
        <v>0.29166666666666669</v>
      </c>
      <c r="L42" s="48">
        <v>0.29166666666666669</v>
      </c>
      <c r="M42" s="48">
        <v>0.29166666666666669</v>
      </c>
      <c r="N42" s="48">
        <v>0.29166666666666669</v>
      </c>
      <c r="O42" s="48">
        <v>0.29166666666666669</v>
      </c>
      <c r="P42" s="48">
        <v>0.29166666666666669</v>
      </c>
      <c r="Q42" s="48">
        <v>0.29166666666666669</v>
      </c>
      <c r="R42" s="48">
        <v>0.29166666666666669</v>
      </c>
      <c r="S42" s="48">
        <v>0.29166666666666669</v>
      </c>
      <c r="T42" s="48">
        <v>0.29166666666666669</v>
      </c>
      <c r="U42" s="48">
        <v>0.29166666666666669</v>
      </c>
      <c r="V42" s="48">
        <v>0.29166666666666669</v>
      </c>
      <c r="W42" s="48">
        <v>0.29166666666666669</v>
      </c>
      <c r="X42" s="48">
        <v>0.29166666666666669</v>
      </c>
      <c r="Y42" s="48">
        <v>0.29166666666666669</v>
      </c>
      <c r="Z42" s="48" t="s">
        <v>320</v>
      </c>
      <c r="AA42" s="48" t="s">
        <v>320</v>
      </c>
      <c r="AB42" s="48" t="s">
        <v>320</v>
      </c>
      <c r="AC42" s="48">
        <v>0.29166666666666669</v>
      </c>
      <c r="AD42" s="48">
        <v>0.29166666666666669</v>
      </c>
      <c r="AE42" s="48">
        <v>0.29166666666666669</v>
      </c>
      <c r="AF42" s="48">
        <v>0.29166666666666669</v>
      </c>
      <c r="AG42" s="48">
        <v>0.29166666666666669</v>
      </c>
      <c r="AH42" s="48">
        <v>0.29166666666666669</v>
      </c>
      <c r="AI42" s="48">
        <v>0.29166666666666669</v>
      </c>
      <c r="AJ42" s="48">
        <v>0.29166666666666669</v>
      </c>
      <c r="AK42" s="48" t="s">
        <v>320</v>
      </c>
      <c r="AL42" s="48" t="s">
        <v>320</v>
      </c>
    </row>
    <row r="43" spans="1:45" hidden="1" x14ac:dyDescent="0.25">
      <c r="A43">
        <v>42</v>
      </c>
      <c r="B43">
        <v>2025</v>
      </c>
      <c r="C43">
        <v>3</v>
      </c>
      <c r="D43" t="s">
        <v>326</v>
      </c>
      <c r="E43">
        <v>31</v>
      </c>
      <c r="F43">
        <v>2</v>
      </c>
      <c r="G43" t="s">
        <v>431</v>
      </c>
      <c r="H43" s="48" t="s">
        <v>320</v>
      </c>
      <c r="I43" s="48" t="s">
        <v>320</v>
      </c>
      <c r="J43" s="48">
        <v>0.75</v>
      </c>
      <c r="K43" s="48">
        <v>0.75</v>
      </c>
      <c r="L43" s="48">
        <v>0.75</v>
      </c>
      <c r="M43" s="48">
        <v>0.75</v>
      </c>
      <c r="N43" s="48">
        <v>0.75</v>
      </c>
      <c r="O43" s="48">
        <v>0.75</v>
      </c>
      <c r="P43" s="48">
        <v>0.75</v>
      </c>
      <c r="Q43" s="48">
        <v>0.75</v>
      </c>
      <c r="R43" s="48">
        <v>0.75</v>
      </c>
      <c r="S43" s="48">
        <v>0.75</v>
      </c>
      <c r="T43" s="48">
        <v>0.75</v>
      </c>
      <c r="U43" s="48">
        <v>0.75</v>
      </c>
      <c r="V43" s="48">
        <v>0.75</v>
      </c>
      <c r="W43" s="48">
        <v>0.75</v>
      </c>
      <c r="X43" s="48">
        <v>0.75</v>
      </c>
      <c r="Y43" s="48">
        <v>0.75</v>
      </c>
      <c r="Z43" s="48" t="s">
        <v>320</v>
      </c>
      <c r="AA43" s="48" t="s">
        <v>320</v>
      </c>
      <c r="AB43" s="48" t="s">
        <v>320</v>
      </c>
      <c r="AC43" s="48">
        <v>0.75</v>
      </c>
      <c r="AD43" s="48">
        <v>0.75</v>
      </c>
      <c r="AE43" s="48">
        <v>0.75</v>
      </c>
      <c r="AF43" s="48">
        <v>0.75</v>
      </c>
      <c r="AG43" s="48">
        <v>0.75</v>
      </c>
      <c r="AH43" s="48">
        <v>0.75</v>
      </c>
      <c r="AI43" s="48">
        <v>0.75</v>
      </c>
      <c r="AJ43" s="48">
        <v>0.75</v>
      </c>
      <c r="AK43" s="48" t="s">
        <v>320</v>
      </c>
      <c r="AL43" s="48" t="s">
        <v>320</v>
      </c>
      <c r="AM43">
        <v>24</v>
      </c>
    </row>
    <row r="44" spans="1:45" hidden="1" x14ac:dyDescent="0.25">
      <c r="A44">
        <v>43</v>
      </c>
      <c r="B44">
        <v>2025</v>
      </c>
      <c r="C44">
        <v>3</v>
      </c>
      <c r="D44" t="s">
        <v>326</v>
      </c>
      <c r="E44">
        <v>31</v>
      </c>
      <c r="F44">
        <v>2</v>
      </c>
      <c r="G44" t="s">
        <v>432</v>
      </c>
      <c r="H44" s="48" t="s">
        <v>320</v>
      </c>
      <c r="I44" s="48" t="s">
        <v>320</v>
      </c>
      <c r="J44" s="48">
        <v>241191</v>
      </c>
      <c r="K44" s="48">
        <v>241208</v>
      </c>
      <c r="L44" s="48">
        <v>241227</v>
      </c>
      <c r="M44" s="48">
        <v>241265</v>
      </c>
      <c r="N44" s="48">
        <v>241350</v>
      </c>
      <c r="O44" s="48">
        <v>241403</v>
      </c>
      <c r="P44" s="48">
        <v>241480</v>
      </c>
      <c r="Q44" s="48">
        <v>241505</v>
      </c>
      <c r="R44" s="48">
        <v>241890</v>
      </c>
      <c r="S44" s="48">
        <v>241990</v>
      </c>
      <c r="T44" s="48">
        <v>251311</v>
      </c>
      <c r="U44" s="48">
        <v>251586</v>
      </c>
      <c r="V44" s="48">
        <v>251800</v>
      </c>
      <c r="W44" s="48">
        <v>251875</v>
      </c>
      <c r="X44" s="48">
        <v>251950</v>
      </c>
      <c r="Y44" s="48">
        <v>252025</v>
      </c>
      <c r="Z44" s="48" t="s">
        <v>320</v>
      </c>
      <c r="AA44" s="48" t="s">
        <v>320</v>
      </c>
      <c r="AB44" s="48" t="s">
        <v>320</v>
      </c>
      <c r="AC44" s="48">
        <v>252325</v>
      </c>
      <c r="AD44" s="48">
        <v>252400</v>
      </c>
      <c r="AE44" s="48">
        <v>252475</v>
      </c>
      <c r="AF44" s="48">
        <v>252550</v>
      </c>
      <c r="AG44" s="48">
        <v>252625</v>
      </c>
      <c r="AH44" s="48">
        <v>252700</v>
      </c>
      <c r="AI44" s="48">
        <v>252775</v>
      </c>
      <c r="AJ44" s="48">
        <v>252850</v>
      </c>
      <c r="AK44" s="48" t="s">
        <v>320</v>
      </c>
      <c r="AL44" s="48" t="s">
        <v>320</v>
      </c>
    </row>
    <row r="45" spans="1:45" hidden="1" x14ac:dyDescent="0.25">
      <c r="A45">
        <v>44</v>
      </c>
      <c r="B45">
        <v>2025</v>
      </c>
      <c r="C45">
        <v>3</v>
      </c>
      <c r="D45" t="s">
        <v>326</v>
      </c>
      <c r="E45">
        <v>31</v>
      </c>
      <c r="F45">
        <v>2</v>
      </c>
      <c r="G45" t="s">
        <v>433</v>
      </c>
      <c r="H45" s="48" t="s">
        <v>320</v>
      </c>
      <c r="I45" s="48" t="s">
        <v>320</v>
      </c>
      <c r="J45" s="48">
        <v>241208</v>
      </c>
      <c r="K45" s="48">
        <v>241227</v>
      </c>
      <c r="L45" s="48">
        <v>241265</v>
      </c>
      <c r="M45" s="48">
        <v>241350</v>
      </c>
      <c r="N45" s="48">
        <v>241403</v>
      </c>
      <c r="O45" s="48">
        <v>241480</v>
      </c>
      <c r="P45" s="48">
        <v>241505</v>
      </c>
      <c r="Q45" s="48">
        <v>241890</v>
      </c>
      <c r="R45" s="48">
        <v>241990</v>
      </c>
      <c r="S45" s="48">
        <v>242090</v>
      </c>
      <c r="T45" s="48">
        <v>251586</v>
      </c>
      <c r="U45" s="48">
        <v>251800</v>
      </c>
      <c r="V45" s="48">
        <v>251875</v>
      </c>
      <c r="W45" s="48">
        <v>251950</v>
      </c>
      <c r="X45" s="48">
        <v>252025</v>
      </c>
      <c r="Y45" s="48">
        <v>252100</v>
      </c>
      <c r="Z45" s="48" t="s">
        <v>320</v>
      </c>
      <c r="AA45" s="48" t="s">
        <v>320</v>
      </c>
      <c r="AB45" s="48" t="s">
        <v>320</v>
      </c>
      <c r="AC45" s="48">
        <v>252400</v>
      </c>
      <c r="AD45" s="48">
        <v>252475</v>
      </c>
      <c r="AE45" s="48">
        <v>252550</v>
      </c>
      <c r="AF45" s="48">
        <v>252625</v>
      </c>
      <c r="AG45" s="48">
        <v>252700</v>
      </c>
      <c r="AH45" s="48">
        <v>252775</v>
      </c>
      <c r="AI45" s="48">
        <v>252850</v>
      </c>
      <c r="AJ45" s="48">
        <v>252925</v>
      </c>
      <c r="AK45" s="48" t="s">
        <v>320</v>
      </c>
      <c r="AL45" s="48" t="s">
        <v>320</v>
      </c>
      <c r="AP45">
        <v>343.2</v>
      </c>
      <c r="AQ45">
        <v>15</v>
      </c>
      <c r="AS45">
        <v>2288</v>
      </c>
    </row>
    <row r="46" spans="1:45" hidden="1" x14ac:dyDescent="0.25">
      <c r="A46">
        <v>45</v>
      </c>
      <c r="B46">
        <v>2025</v>
      </c>
      <c r="C46">
        <v>3</v>
      </c>
      <c r="D46" t="s">
        <v>138</v>
      </c>
      <c r="E46">
        <v>31</v>
      </c>
      <c r="F46">
        <v>2</v>
      </c>
      <c r="G46" t="s">
        <v>430</v>
      </c>
      <c r="H46" s="48">
        <v>0.29166666666666669</v>
      </c>
      <c r="I46" s="48">
        <v>0.29166666666666669</v>
      </c>
      <c r="J46" s="48">
        <v>0.29166666666666669</v>
      </c>
      <c r="K46" s="48">
        <v>0.29166666666666669</v>
      </c>
      <c r="L46" s="48">
        <v>0.29166666666666669</v>
      </c>
      <c r="M46" s="48">
        <v>0.29166666666666669</v>
      </c>
      <c r="N46" s="48">
        <v>0.29166666666666669</v>
      </c>
      <c r="O46" s="48">
        <v>0.29166666666666669</v>
      </c>
      <c r="P46" s="48">
        <v>0.29166666666666669</v>
      </c>
      <c r="Q46" s="48">
        <v>0.29166666666666669</v>
      </c>
      <c r="R46" s="48">
        <v>0.29166666666666669</v>
      </c>
      <c r="S46" s="48" t="s">
        <v>320</v>
      </c>
      <c r="T46" s="48" t="s">
        <v>320</v>
      </c>
      <c r="U46" s="48">
        <v>0.29166666666666669</v>
      </c>
      <c r="V46" s="48">
        <v>0.29166666666666669</v>
      </c>
      <c r="W46" s="48">
        <v>0.29166666666666669</v>
      </c>
      <c r="X46" s="48">
        <v>0.29166666666666669</v>
      </c>
      <c r="Y46" s="48" t="s">
        <v>320</v>
      </c>
      <c r="Z46" s="48">
        <v>0.29166666666666669</v>
      </c>
      <c r="AA46" s="48" t="s">
        <v>320</v>
      </c>
      <c r="AB46" s="48" t="s">
        <v>320</v>
      </c>
      <c r="AC46" s="48">
        <v>0.29166666666666669</v>
      </c>
      <c r="AD46" s="48">
        <v>0.29166666666666669</v>
      </c>
      <c r="AE46" s="48">
        <v>0.29166666666666669</v>
      </c>
      <c r="AF46" s="48">
        <v>0.29166666666666669</v>
      </c>
      <c r="AG46" s="48">
        <v>0.29166666666666669</v>
      </c>
      <c r="AH46" s="48">
        <v>0.29166666666666669</v>
      </c>
      <c r="AI46" s="48">
        <v>0.29166666666666669</v>
      </c>
      <c r="AJ46" s="48">
        <v>0.29166666666666669</v>
      </c>
      <c r="AK46" s="48" t="s">
        <v>320</v>
      </c>
      <c r="AL46" s="48">
        <v>0.29166666666666669</v>
      </c>
    </row>
    <row r="47" spans="1:45" hidden="1" x14ac:dyDescent="0.25">
      <c r="A47">
        <v>46</v>
      </c>
      <c r="B47">
        <v>2025</v>
      </c>
      <c r="C47">
        <v>3</v>
      </c>
      <c r="D47" t="s">
        <v>138</v>
      </c>
      <c r="E47">
        <v>31</v>
      </c>
      <c r="F47">
        <v>2</v>
      </c>
      <c r="G47" t="s">
        <v>431</v>
      </c>
      <c r="H47" s="48">
        <v>0.75</v>
      </c>
      <c r="I47" s="48">
        <v>0.75</v>
      </c>
      <c r="J47" s="48">
        <v>0.75</v>
      </c>
      <c r="K47" s="48">
        <v>0.75</v>
      </c>
      <c r="L47" s="48">
        <v>0.75</v>
      </c>
      <c r="M47" s="48">
        <v>0.75</v>
      </c>
      <c r="N47" s="48">
        <v>0.75</v>
      </c>
      <c r="O47" s="48">
        <v>0.75</v>
      </c>
      <c r="P47" s="48">
        <v>0.75</v>
      </c>
      <c r="Q47" s="48">
        <v>0.75</v>
      </c>
      <c r="R47" s="48">
        <v>0.75</v>
      </c>
      <c r="S47" s="48" t="s">
        <v>320</v>
      </c>
      <c r="T47" s="48" t="s">
        <v>320</v>
      </c>
      <c r="U47" s="48">
        <v>0.75</v>
      </c>
      <c r="V47" s="48">
        <v>0.75</v>
      </c>
      <c r="W47" s="48">
        <v>0.75</v>
      </c>
      <c r="X47" s="48">
        <v>0.75</v>
      </c>
      <c r="Y47" s="48" t="s">
        <v>320</v>
      </c>
      <c r="Z47" s="48">
        <v>0.75</v>
      </c>
      <c r="AA47" s="48" t="s">
        <v>320</v>
      </c>
      <c r="AB47" s="48" t="s">
        <v>320</v>
      </c>
      <c r="AC47" s="48">
        <v>0.75</v>
      </c>
      <c r="AD47" s="48">
        <v>0.75</v>
      </c>
      <c r="AE47" s="48">
        <v>0.75</v>
      </c>
      <c r="AF47" s="48">
        <v>0.75</v>
      </c>
      <c r="AG47" s="48">
        <v>0.75</v>
      </c>
      <c r="AH47" s="48">
        <v>0.75</v>
      </c>
      <c r="AI47" s="48">
        <v>0.75</v>
      </c>
      <c r="AJ47" s="48">
        <v>0.75</v>
      </c>
      <c r="AK47" s="48" t="s">
        <v>320</v>
      </c>
      <c r="AL47" s="48">
        <v>0.75</v>
      </c>
      <c r="AM47">
        <v>25</v>
      </c>
    </row>
    <row r="48" spans="1:45" hidden="1" x14ac:dyDescent="0.25">
      <c r="A48">
        <v>47</v>
      </c>
      <c r="B48">
        <v>2025</v>
      </c>
      <c r="C48">
        <v>3</v>
      </c>
      <c r="D48" t="s">
        <v>138</v>
      </c>
      <c r="E48">
        <v>31</v>
      </c>
      <c r="F48">
        <v>2</v>
      </c>
      <c r="G48" t="s">
        <v>432</v>
      </c>
      <c r="H48" s="48">
        <v>10203</v>
      </c>
      <c r="I48" s="48">
        <v>10203</v>
      </c>
      <c r="J48" s="48">
        <v>10203</v>
      </c>
      <c r="K48" s="48">
        <v>10203</v>
      </c>
      <c r="L48" s="48">
        <v>10203</v>
      </c>
      <c r="M48" s="48">
        <v>10203</v>
      </c>
      <c r="N48" s="48">
        <v>10203</v>
      </c>
      <c r="O48" s="48">
        <v>10203</v>
      </c>
      <c r="P48" s="48">
        <v>10203</v>
      </c>
      <c r="Q48" s="48">
        <v>10203</v>
      </c>
      <c r="R48" s="48">
        <v>10203</v>
      </c>
      <c r="S48" s="48" t="s">
        <v>320</v>
      </c>
      <c r="T48" s="48" t="s">
        <v>320</v>
      </c>
      <c r="U48" s="48">
        <v>10449</v>
      </c>
      <c r="V48" s="48">
        <v>10484</v>
      </c>
      <c r="W48" s="48">
        <v>10571</v>
      </c>
      <c r="X48" s="48">
        <v>10745</v>
      </c>
      <c r="Y48" s="48" t="s">
        <v>320</v>
      </c>
      <c r="Z48" s="48">
        <v>10898</v>
      </c>
      <c r="AA48" s="48" t="s">
        <v>320</v>
      </c>
      <c r="AB48" s="48" t="s">
        <v>320</v>
      </c>
      <c r="AC48" s="48">
        <v>11250</v>
      </c>
      <c r="AD48" s="48">
        <v>11300</v>
      </c>
      <c r="AE48" s="48">
        <v>11328</v>
      </c>
      <c r="AF48" s="48">
        <v>11357</v>
      </c>
      <c r="AG48" s="48">
        <v>11490</v>
      </c>
      <c r="AH48" s="48">
        <v>11550</v>
      </c>
      <c r="AI48" s="48">
        <v>11604</v>
      </c>
      <c r="AJ48" s="48">
        <v>11665</v>
      </c>
      <c r="AK48" s="48" t="s">
        <v>320</v>
      </c>
      <c r="AL48" s="48">
        <v>11948</v>
      </c>
    </row>
    <row r="49" spans="1:45" hidden="1" x14ac:dyDescent="0.25">
      <c r="A49">
        <v>48</v>
      </c>
      <c r="B49">
        <v>2025</v>
      </c>
      <c r="C49">
        <v>3</v>
      </c>
      <c r="D49" t="s">
        <v>138</v>
      </c>
      <c r="E49">
        <v>31</v>
      </c>
      <c r="F49">
        <v>2</v>
      </c>
      <c r="G49" t="s">
        <v>433</v>
      </c>
      <c r="H49" s="48">
        <v>10203</v>
      </c>
      <c r="I49" s="48">
        <v>10203</v>
      </c>
      <c r="J49" s="48">
        <v>10203</v>
      </c>
      <c r="K49" s="48">
        <v>10203</v>
      </c>
      <c r="L49" s="48">
        <v>10203</v>
      </c>
      <c r="M49" s="48">
        <v>10203</v>
      </c>
      <c r="N49" s="48">
        <v>10203</v>
      </c>
      <c r="O49" s="48">
        <v>10203</v>
      </c>
      <c r="P49" s="48">
        <v>10203</v>
      </c>
      <c r="Q49" s="48">
        <v>10203</v>
      </c>
      <c r="R49" s="48">
        <v>10203</v>
      </c>
      <c r="S49" s="48" t="s">
        <v>320</v>
      </c>
      <c r="T49" s="48" t="s">
        <v>320</v>
      </c>
      <c r="U49" s="48">
        <v>10484</v>
      </c>
      <c r="V49" s="48">
        <v>10571</v>
      </c>
      <c r="W49" s="48">
        <v>10745</v>
      </c>
      <c r="X49" s="48">
        <v>10898</v>
      </c>
      <c r="Y49" s="48" t="s">
        <v>320</v>
      </c>
      <c r="Z49" s="48">
        <v>10950</v>
      </c>
      <c r="AA49" s="48" t="s">
        <v>320</v>
      </c>
      <c r="AB49" s="48" t="s">
        <v>320</v>
      </c>
      <c r="AC49" s="48">
        <v>11300</v>
      </c>
      <c r="AD49" s="48">
        <v>11328</v>
      </c>
      <c r="AE49" s="48">
        <v>11357</v>
      </c>
      <c r="AF49" s="48">
        <v>11490</v>
      </c>
      <c r="AG49" s="48">
        <v>11550</v>
      </c>
      <c r="AH49" s="48">
        <v>11604</v>
      </c>
      <c r="AI49" s="48">
        <v>11665</v>
      </c>
      <c r="AJ49" s="48">
        <v>11687</v>
      </c>
      <c r="AK49" s="48" t="s">
        <v>320</v>
      </c>
      <c r="AL49" s="48">
        <v>11959</v>
      </c>
      <c r="AP49">
        <v>142.35</v>
      </c>
      <c r="AQ49">
        <v>15</v>
      </c>
      <c r="AS49">
        <v>949</v>
      </c>
    </row>
    <row r="50" spans="1:45" hidden="1" x14ac:dyDescent="0.25">
      <c r="A50">
        <v>49</v>
      </c>
      <c r="B50">
        <v>2025</v>
      </c>
      <c r="C50">
        <v>3</v>
      </c>
      <c r="D50" t="s">
        <v>139</v>
      </c>
      <c r="E50">
        <v>31</v>
      </c>
      <c r="F50">
        <v>2</v>
      </c>
      <c r="G50" t="s">
        <v>430</v>
      </c>
      <c r="H50" s="48">
        <v>0.29166666666666669</v>
      </c>
      <c r="I50" s="48" t="s">
        <v>320</v>
      </c>
      <c r="J50" s="48">
        <v>0.29166666666666669</v>
      </c>
      <c r="K50" s="48">
        <v>0.29166666666666669</v>
      </c>
      <c r="L50" s="48">
        <v>0.29166666666666669</v>
      </c>
      <c r="M50" s="48">
        <v>0.29166666666666669</v>
      </c>
      <c r="N50" s="48">
        <v>0.29166666666666669</v>
      </c>
      <c r="O50" s="48">
        <v>0.29166666666666669</v>
      </c>
      <c r="P50" s="48" t="s">
        <v>320</v>
      </c>
      <c r="Q50" s="48">
        <v>0.29166666666666669</v>
      </c>
      <c r="R50" s="48">
        <v>0.29166666666666669</v>
      </c>
      <c r="S50" s="48">
        <v>0.29166666666666669</v>
      </c>
      <c r="T50" s="48">
        <v>0.29166666666666669</v>
      </c>
      <c r="U50" s="48">
        <v>0.29166666666666669</v>
      </c>
      <c r="V50" s="48">
        <v>0.29166666666666669</v>
      </c>
      <c r="W50" s="48">
        <v>0.29166666666666669</v>
      </c>
      <c r="X50" s="48">
        <v>0.29166666666666669</v>
      </c>
      <c r="Y50" s="48">
        <v>0.29166666666666669</v>
      </c>
      <c r="Z50" s="48" t="s">
        <v>320</v>
      </c>
      <c r="AA50" s="48" t="s">
        <v>320</v>
      </c>
      <c r="AB50" s="48" t="s">
        <v>320</v>
      </c>
      <c r="AC50" s="48">
        <v>0.29166666666666669</v>
      </c>
      <c r="AD50" s="48">
        <v>0.29166666666666669</v>
      </c>
      <c r="AE50" s="48">
        <v>0.29166666666666669</v>
      </c>
      <c r="AF50" s="48">
        <v>0.29166666666666669</v>
      </c>
      <c r="AG50" s="48">
        <v>0.29166666666666669</v>
      </c>
      <c r="AH50" s="48">
        <v>0.29166666666666669</v>
      </c>
      <c r="AI50" s="48">
        <v>0.29166666666666669</v>
      </c>
      <c r="AJ50" s="48">
        <v>0.29166666666666669</v>
      </c>
      <c r="AK50" s="48" t="s">
        <v>320</v>
      </c>
      <c r="AL50" s="48" t="s">
        <v>320</v>
      </c>
    </row>
    <row r="51" spans="1:45" hidden="1" x14ac:dyDescent="0.25">
      <c r="A51">
        <v>50</v>
      </c>
      <c r="B51">
        <v>2025</v>
      </c>
      <c r="C51">
        <v>3</v>
      </c>
      <c r="D51" t="s">
        <v>139</v>
      </c>
      <c r="E51">
        <v>31</v>
      </c>
      <c r="F51">
        <v>2</v>
      </c>
      <c r="G51" t="s">
        <v>431</v>
      </c>
      <c r="H51" s="48">
        <v>0.75</v>
      </c>
      <c r="I51" s="48" t="s">
        <v>320</v>
      </c>
      <c r="J51" s="48">
        <v>0.75</v>
      </c>
      <c r="K51" s="48">
        <v>0.75</v>
      </c>
      <c r="L51" s="48">
        <v>0.75</v>
      </c>
      <c r="M51" s="48">
        <v>0.75</v>
      </c>
      <c r="N51" s="48">
        <v>0.75</v>
      </c>
      <c r="O51" s="48">
        <v>0.75</v>
      </c>
      <c r="P51" s="48" t="s">
        <v>320</v>
      </c>
      <c r="Q51" s="48">
        <v>0.75</v>
      </c>
      <c r="R51" s="48">
        <v>0.75</v>
      </c>
      <c r="S51" s="48">
        <v>0.75</v>
      </c>
      <c r="T51" s="48">
        <v>0.75</v>
      </c>
      <c r="U51" s="48">
        <v>0.75</v>
      </c>
      <c r="V51" s="48">
        <v>0.75</v>
      </c>
      <c r="W51" s="48">
        <v>0.75</v>
      </c>
      <c r="X51" s="48">
        <v>0.75</v>
      </c>
      <c r="Y51" s="48">
        <v>0.75</v>
      </c>
      <c r="Z51" s="48" t="s">
        <v>320</v>
      </c>
      <c r="AA51" s="48" t="s">
        <v>320</v>
      </c>
      <c r="AB51" s="48" t="s">
        <v>320</v>
      </c>
      <c r="AC51" s="48">
        <v>0.75</v>
      </c>
      <c r="AD51" s="48">
        <v>0.75</v>
      </c>
      <c r="AE51" s="48">
        <v>0.75</v>
      </c>
      <c r="AF51" s="48">
        <v>0.75</v>
      </c>
      <c r="AG51" s="48">
        <v>0.75</v>
      </c>
      <c r="AH51" s="48">
        <v>0.75</v>
      </c>
      <c r="AI51" s="48">
        <v>0.75</v>
      </c>
      <c r="AJ51" s="48">
        <v>0.75</v>
      </c>
      <c r="AK51" s="48" t="s">
        <v>320</v>
      </c>
      <c r="AL51" s="48" t="s">
        <v>320</v>
      </c>
      <c r="AM51">
        <v>24</v>
      </c>
    </row>
    <row r="52" spans="1:45" hidden="1" x14ac:dyDescent="0.25">
      <c r="A52">
        <v>51</v>
      </c>
      <c r="B52">
        <v>2025</v>
      </c>
      <c r="C52">
        <v>3</v>
      </c>
      <c r="D52" t="s">
        <v>139</v>
      </c>
      <c r="E52">
        <v>31</v>
      </c>
      <c r="F52">
        <v>2</v>
      </c>
      <c r="G52" t="s">
        <v>432</v>
      </c>
      <c r="H52" s="48">
        <v>350454</v>
      </c>
      <c r="I52" s="48" t="s">
        <v>320</v>
      </c>
      <c r="J52" s="48">
        <v>350469</v>
      </c>
      <c r="K52" s="48">
        <v>350484</v>
      </c>
      <c r="L52" s="48">
        <v>350499</v>
      </c>
      <c r="M52" s="48">
        <v>350506</v>
      </c>
      <c r="N52" s="48">
        <v>350521</v>
      </c>
      <c r="O52" s="48">
        <v>350529</v>
      </c>
      <c r="P52" s="48" t="s">
        <v>320</v>
      </c>
      <c r="Q52" s="48">
        <v>350551</v>
      </c>
      <c r="R52" s="48">
        <v>350551</v>
      </c>
      <c r="S52" s="48">
        <v>350551</v>
      </c>
      <c r="T52" s="48">
        <v>350551</v>
      </c>
      <c r="U52" s="48">
        <v>350551</v>
      </c>
      <c r="V52" s="48">
        <v>350551</v>
      </c>
      <c r="W52" s="48">
        <v>350551</v>
      </c>
      <c r="X52" s="48">
        <v>350551</v>
      </c>
      <c r="Y52" s="48">
        <v>350551</v>
      </c>
      <c r="Z52" s="48" t="s">
        <v>320</v>
      </c>
      <c r="AA52" s="48" t="s">
        <v>320</v>
      </c>
      <c r="AB52" s="48" t="s">
        <v>320</v>
      </c>
      <c r="AC52" s="48">
        <v>350669</v>
      </c>
      <c r="AD52" s="48">
        <v>350679</v>
      </c>
      <c r="AE52" s="48">
        <v>350709</v>
      </c>
      <c r="AF52" s="48">
        <v>350717</v>
      </c>
      <c r="AG52" s="48">
        <v>350738</v>
      </c>
      <c r="AH52" s="48">
        <v>350775</v>
      </c>
      <c r="AI52" s="48">
        <v>350781</v>
      </c>
      <c r="AJ52" s="48">
        <v>350818</v>
      </c>
      <c r="AK52" s="48" t="s">
        <v>320</v>
      </c>
      <c r="AL52" s="48" t="s">
        <v>320</v>
      </c>
    </row>
    <row r="53" spans="1:45" hidden="1" x14ac:dyDescent="0.25">
      <c r="A53">
        <v>52</v>
      </c>
      <c r="B53">
        <v>2025</v>
      </c>
      <c r="C53">
        <v>3</v>
      </c>
      <c r="D53" t="s">
        <v>139</v>
      </c>
      <c r="E53">
        <v>31</v>
      </c>
      <c r="F53">
        <v>2</v>
      </c>
      <c r="G53" t="s">
        <v>433</v>
      </c>
      <c r="H53" s="48">
        <v>350469</v>
      </c>
      <c r="I53" s="48" t="s">
        <v>320</v>
      </c>
      <c r="J53" s="48">
        <v>350484</v>
      </c>
      <c r="K53" s="48">
        <v>350499</v>
      </c>
      <c r="L53" s="48">
        <v>350506</v>
      </c>
      <c r="M53" s="48">
        <v>350521</v>
      </c>
      <c r="N53" s="48">
        <v>350529</v>
      </c>
      <c r="O53" s="48">
        <v>350551</v>
      </c>
      <c r="P53" s="48" t="s">
        <v>320</v>
      </c>
      <c r="Q53" s="48">
        <v>350562</v>
      </c>
      <c r="R53" s="48">
        <v>350570</v>
      </c>
      <c r="S53" s="48">
        <v>350585</v>
      </c>
      <c r="T53" s="48">
        <v>350611</v>
      </c>
      <c r="U53" s="48">
        <v>350616</v>
      </c>
      <c r="V53" s="48">
        <v>350621</v>
      </c>
      <c r="W53" s="48">
        <v>350637</v>
      </c>
      <c r="X53" s="48">
        <v>350645</v>
      </c>
      <c r="Y53" s="48">
        <v>350669</v>
      </c>
      <c r="Z53" s="48" t="s">
        <v>320</v>
      </c>
      <c r="AA53" s="48" t="s">
        <v>320</v>
      </c>
      <c r="AB53" s="48" t="s">
        <v>320</v>
      </c>
      <c r="AC53" s="48">
        <v>350679</v>
      </c>
      <c r="AD53" s="48">
        <v>350709</v>
      </c>
      <c r="AE53" s="48">
        <v>350717</v>
      </c>
      <c r="AF53" s="48">
        <v>350738</v>
      </c>
      <c r="AG53" s="48">
        <v>350775</v>
      </c>
      <c r="AH53" s="48">
        <v>350781</v>
      </c>
      <c r="AI53" s="48">
        <v>350818</v>
      </c>
      <c r="AJ53" s="48">
        <v>350842</v>
      </c>
      <c r="AK53" s="48" t="s">
        <v>320</v>
      </c>
      <c r="AL53" s="48" t="s">
        <v>320</v>
      </c>
      <c r="AM53" t="s">
        <v>320</v>
      </c>
      <c r="AQ53" t="s">
        <v>320</v>
      </c>
    </row>
    <row r="54" spans="1:45" hidden="1" x14ac:dyDescent="0.25">
      <c r="A54">
        <v>53</v>
      </c>
      <c r="B54">
        <v>2025</v>
      </c>
      <c r="C54">
        <v>3</v>
      </c>
      <c r="D54" t="s">
        <v>157</v>
      </c>
      <c r="E54">
        <v>31</v>
      </c>
      <c r="F54">
        <v>2</v>
      </c>
      <c r="G54" t="s">
        <v>430</v>
      </c>
      <c r="H54" s="48">
        <v>0.29166666666666669</v>
      </c>
      <c r="I54" s="48">
        <v>0.29166666666666669</v>
      </c>
      <c r="J54" s="48">
        <v>0.29166666666666669</v>
      </c>
      <c r="K54" s="48">
        <v>0.29166666666666669</v>
      </c>
      <c r="L54" s="48">
        <v>0.29166666666666669</v>
      </c>
      <c r="M54" s="48">
        <v>0.29166666666666669</v>
      </c>
      <c r="N54" s="48">
        <v>0.29166666666666669</v>
      </c>
      <c r="O54" s="48">
        <v>0.29166666666666669</v>
      </c>
      <c r="P54" s="48">
        <v>0.29166666666666669</v>
      </c>
      <c r="Q54" s="48">
        <v>0.29166666666666669</v>
      </c>
      <c r="R54" s="48">
        <v>0.29166666666666669</v>
      </c>
      <c r="S54" s="48">
        <v>0.29166666666666669</v>
      </c>
      <c r="T54" s="48">
        <v>0.29166666666666669</v>
      </c>
      <c r="U54" s="48">
        <v>0.29166666666666669</v>
      </c>
      <c r="V54" s="48">
        <v>0.29166666666666669</v>
      </c>
      <c r="W54" s="48">
        <v>0.29166666666666669</v>
      </c>
      <c r="X54" s="48">
        <v>0.29166666666666669</v>
      </c>
      <c r="Y54" s="48">
        <v>0.29166666666666669</v>
      </c>
      <c r="Z54" s="48">
        <v>0.29166666666666669</v>
      </c>
      <c r="AA54" s="48">
        <v>0.29166666666666669</v>
      </c>
      <c r="AB54" s="48">
        <v>0.29166666666666669</v>
      </c>
      <c r="AC54" s="48">
        <v>0.29166666666666669</v>
      </c>
      <c r="AD54" s="48">
        <v>0.29166666666666669</v>
      </c>
      <c r="AE54" s="48">
        <v>0.29166666666666669</v>
      </c>
      <c r="AF54" s="48">
        <v>0.29166666666666669</v>
      </c>
      <c r="AG54" s="48">
        <v>0.29166666666666669</v>
      </c>
      <c r="AH54" s="48">
        <v>0.29166666666666669</v>
      </c>
      <c r="AI54" s="48">
        <v>0.29166666666666669</v>
      </c>
      <c r="AJ54" s="48">
        <v>0.29166666666666669</v>
      </c>
      <c r="AK54" s="48">
        <v>0.29166666666666669</v>
      </c>
      <c r="AL54" s="48">
        <v>0.29166666666666669</v>
      </c>
    </row>
    <row r="55" spans="1:45" hidden="1" x14ac:dyDescent="0.25">
      <c r="A55">
        <v>54</v>
      </c>
      <c r="B55">
        <v>2025</v>
      </c>
      <c r="C55">
        <v>3</v>
      </c>
      <c r="D55" t="s">
        <v>157</v>
      </c>
      <c r="E55">
        <v>31</v>
      </c>
      <c r="F55">
        <v>2</v>
      </c>
      <c r="G55" t="s">
        <v>431</v>
      </c>
      <c r="H55" s="48">
        <v>0.75</v>
      </c>
      <c r="I55" s="48">
        <v>0.75</v>
      </c>
      <c r="J55" s="48">
        <v>0.75</v>
      </c>
      <c r="K55" s="48">
        <v>0.75</v>
      </c>
      <c r="L55" s="48">
        <v>0.75</v>
      </c>
      <c r="M55" s="48">
        <v>0.75</v>
      </c>
      <c r="N55" s="48">
        <v>0.75</v>
      </c>
      <c r="O55" s="48">
        <v>0.75</v>
      </c>
      <c r="P55" s="48">
        <v>0.75</v>
      </c>
      <c r="Q55" s="48">
        <v>0.75</v>
      </c>
      <c r="R55" s="48">
        <v>0.75</v>
      </c>
      <c r="S55" s="48">
        <v>0.75</v>
      </c>
      <c r="T55" s="48">
        <v>0.75</v>
      </c>
      <c r="U55" s="48">
        <v>0.75</v>
      </c>
      <c r="V55" s="48">
        <v>0.75</v>
      </c>
      <c r="W55" s="48">
        <v>0.75</v>
      </c>
      <c r="X55" s="48">
        <v>0.75</v>
      </c>
      <c r="Y55" s="48">
        <v>0.75</v>
      </c>
      <c r="Z55" s="48">
        <v>0.75</v>
      </c>
      <c r="AA55" s="48">
        <v>0.75</v>
      </c>
      <c r="AB55" s="48">
        <v>0.75</v>
      </c>
      <c r="AC55" s="48">
        <v>0.75</v>
      </c>
      <c r="AD55" s="48">
        <v>0.75</v>
      </c>
      <c r="AE55" s="48">
        <v>0.75</v>
      </c>
      <c r="AF55" s="48">
        <v>0.75</v>
      </c>
      <c r="AG55" s="48">
        <v>0.75</v>
      </c>
      <c r="AH55" s="48">
        <v>0.75</v>
      </c>
      <c r="AI55" s="48">
        <v>0.75</v>
      </c>
      <c r="AJ55" s="48">
        <v>0.75</v>
      </c>
      <c r="AK55" s="48">
        <v>0.75</v>
      </c>
      <c r="AL55" s="48">
        <v>0.75</v>
      </c>
      <c r="AM55">
        <v>31</v>
      </c>
    </row>
    <row r="56" spans="1:45" hidden="1" x14ac:dyDescent="0.25">
      <c r="A56">
        <v>55</v>
      </c>
      <c r="B56">
        <v>2025</v>
      </c>
      <c r="C56">
        <v>3</v>
      </c>
      <c r="D56" t="s">
        <v>140</v>
      </c>
      <c r="E56">
        <v>31</v>
      </c>
      <c r="F56">
        <v>2</v>
      </c>
      <c r="G56" t="s">
        <v>430</v>
      </c>
      <c r="H56" s="48">
        <v>0.29166666666666669</v>
      </c>
      <c r="I56" s="48">
        <v>0.29166666666666669</v>
      </c>
      <c r="J56" s="48">
        <v>0.29166666666666669</v>
      </c>
      <c r="K56" s="48">
        <v>0.29166666666666669</v>
      </c>
      <c r="L56" s="48">
        <v>0.29166666666666669</v>
      </c>
      <c r="M56" s="48">
        <v>0.29166666666666669</v>
      </c>
      <c r="N56" s="48">
        <v>0.29166666666666669</v>
      </c>
      <c r="O56" s="48">
        <v>0.29166666666666669</v>
      </c>
      <c r="P56" s="48">
        <v>0.29166666666666669</v>
      </c>
      <c r="Q56" s="48">
        <v>0.29166666666666669</v>
      </c>
      <c r="R56" s="48">
        <v>0.29166666666666669</v>
      </c>
      <c r="S56" s="48">
        <v>0.29166666666666669</v>
      </c>
      <c r="T56" s="48">
        <v>0.29166666666666669</v>
      </c>
      <c r="U56" s="48">
        <v>0.29166666666666669</v>
      </c>
      <c r="V56" s="48">
        <v>0.29166666666666669</v>
      </c>
      <c r="W56" s="48">
        <v>0.29166666666666669</v>
      </c>
      <c r="X56" s="48">
        <v>0.29166666666666669</v>
      </c>
      <c r="Y56" s="48">
        <v>0.29166666666666669</v>
      </c>
      <c r="Z56" s="48">
        <v>0.29166666666666669</v>
      </c>
      <c r="AA56" s="48">
        <v>0.29166666666666669</v>
      </c>
      <c r="AB56" s="48">
        <v>0.29166666666666669</v>
      </c>
      <c r="AC56" s="48">
        <v>0.29166666666666669</v>
      </c>
      <c r="AD56" s="48">
        <v>0.29166666666666669</v>
      </c>
      <c r="AE56" s="48">
        <v>0.29166666666666669</v>
      </c>
      <c r="AF56" s="48">
        <v>0.29166666666666669</v>
      </c>
      <c r="AG56" s="48">
        <v>0.29166666666666669</v>
      </c>
      <c r="AH56" s="48">
        <v>0.29166666666666669</v>
      </c>
      <c r="AI56" s="48">
        <v>0.29166666666666669</v>
      </c>
      <c r="AJ56" s="48">
        <v>0.29166666666666669</v>
      </c>
      <c r="AK56" s="48" t="s">
        <v>320</v>
      </c>
      <c r="AL56" s="48">
        <v>0.29166666666666669</v>
      </c>
    </row>
    <row r="57" spans="1:45" hidden="1" x14ac:dyDescent="0.25">
      <c r="A57">
        <v>56</v>
      </c>
      <c r="B57">
        <v>2025</v>
      </c>
      <c r="C57">
        <v>3</v>
      </c>
      <c r="D57" t="s">
        <v>140</v>
      </c>
      <c r="E57">
        <v>31</v>
      </c>
      <c r="F57">
        <v>2</v>
      </c>
      <c r="G57" t="s">
        <v>431</v>
      </c>
      <c r="H57" s="48">
        <v>0.75</v>
      </c>
      <c r="I57" s="48">
        <v>0.75</v>
      </c>
      <c r="J57" s="48">
        <v>0.91666666666666674</v>
      </c>
      <c r="K57" s="48">
        <v>1</v>
      </c>
      <c r="L57" s="48">
        <v>0.75</v>
      </c>
      <c r="M57" s="48">
        <v>0.75</v>
      </c>
      <c r="N57" s="48">
        <v>0.875</v>
      </c>
      <c r="O57" s="48">
        <v>1.1666666666666667</v>
      </c>
      <c r="P57" s="48">
        <v>0.75</v>
      </c>
      <c r="Q57" s="48">
        <v>0.91666666666666674</v>
      </c>
      <c r="R57" s="48">
        <v>0.75</v>
      </c>
      <c r="S57" s="48">
        <v>1.0833333333333333</v>
      </c>
      <c r="T57" s="48">
        <v>0.875</v>
      </c>
      <c r="U57" s="48">
        <v>1</v>
      </c>
      <c r="V57" s="48">
        <v>0.91666666666666674</v>
      </c>
      <c r="W57" s="48">
        <v>0.75</v>
      </c>
      <c r="X57" s="48">
        <v>0.75</v>
      </c>
      <c r="Y57" s="48">
        <v>1.1666666666666667</v>
      </c>
      <c r="Z57" s="48">
        <v>1.0833333333333333</v>
      </c>
      <c r="AA57" s="48">
        <v>1.1666666666666667</v>
      </c>
      <c r="AB57" s="48">
        <v>1.0833333333333333</v>
      </c>
      <c r="AC57" s="48">
        <v>0.91666666666666674</v>
      </c>
      <c r="AD57" s="48">
        <v>0.75</v>
      </c>
      <c r="AE57" s="48">
        <v>0.83333333333333326</v>
      </c>
      <c r="AF57" s="48">
        <v>0.91666666666666674</v>
      </c>
      <c r="AG57" s="48">
        <v>1</v>
      </c>
      <c r="AH57" s="48">
        <v>0.75</v>
      </c>
      <c r="AI57" s="48">
        <v>0.91666666666666674</v>
      </c>
      <c r="AJ57" s="48">
        <v>0.75</v>
      </c>
      <c r="AK57" s="48" t="s">
        <v>320</v>
      </c>
      <c r="AL57" s="48">
        <v>0.75</v>
      </c>
      <c r="AM57">
        <v>30</v>
      </c>
      <c r="AO57">
        <v>104</v>
      </c>
    </row>
    <row r="58" spans="1:45" hidden="1" x14ac:dyDescent="0.25">
      <c r="A58">
        <v>57</v>
      </c>
      <c r="B58">
        <v>2025</v>
      </c>
      <c r="C58">
        <v>3</v>
      </c>
      <c r="D58" t="s">
        <v>140</v>
      </c>
      <c r="E58">
        <v>31</v>
      </c>
      <c r="F58">
        <v>2</v>
      </c>
      <c r="G58" t="s">
        <v>432</v>
      </c>
      <c r="H58" s="48">
        <v>347643</v>
      </c>
      <c r="I58" s="48">
        <v>347751</v>
      </c>
      <c r="J58" s="48">
        <v>347949</v>
      </c>
      <c r="K58" s="48">
        <v>348412</v>
      </c>
      <c r="L58" s="48">
        <v>348711</v>
      </c>
      <c r="M58" s="48">
        <v>348914</v>
      </c>
      <c r="N58" s="48">
        <v>349023</v>
      </c>
      <c r="O58" s="48">
        <v>349549</v>
      </c>
      <c r="P58" s="48">
        <v>349846</v>
      </c>
      <c r="Q58" s="48">
        <v>350047</v>
      </c>
      <c r="R58" s="48">
        <v>350650</v>
      </c>
      <c r="S58" s="48">
        <v>351005</v>
      </c>
      <c r="T58" s="48">
        <v>351513</v>
      </c>
      <c r="U58" s="48">
        <v>351958</v>
      </c>
      <c r="V58" s="48">
        <v>352406</v>
      </c>
      <c r="W58" s="48">
        <v>352699</v>
      </c>
      <c r="X58" s="48">
        <v>352862</v>
      </c>
      <c r="Y58" s="48">
        <v>353097</v>
      </c>
      <c r="Z58" s="48">
        <v>353860</v>
      </c>
      <c r="AA58" s="48">
        <v>354213</v>
      </c>
      <c r="AB58" s="48">
        <v>354552</v>
      </c>
      <c r="AC58" s="48">
        <v>354687</v>
      </c>
      <c r="AD58" s="48">
        <v>355019</v>
      </c>
      <c r="AE58" s="48">
        <v>355244</v>
      </c>
      <c r="AF58" s="48">
        <v>355563</v>
      </c>
      <c r="AG58" s="48">
        <v>355911</v>
      </c>
      <c r="AH58" s="48">
        <v>356185</v>
      </c>
      <c r="AI58" s="48">
        <v>356466</v>
      </c>
      <c r="AJ58" s="48">
        <v>356709</v>
      </c>
      <c r="AK58" s="48" t="s">
        <v>320</v>
      </c>
      <c r="AL58" s="48">
        <v>356931</v>
      </c>
    </row>
    <row r="59" spans="1:45" hidden="1" x14ac:dyDescent="0.25">
      <c r="A59">
        <v>58</v>
      </c>
      <c r="B59">
        <v>2025</v>
      </c>
      <c r="C59">
        <v>3</v>
      </c>
      <c r="D59" t="s">
        <v>140</v>
      </c>
      <c r="E59">
        <v>31</v>
      </c>
      <c r="F59">
        <v>2</v>
      </c>
      <c r="G59" t="s">
        <v>433</v>
      </c>
      <c r="H59" s="48">
        <v>347696</v>
      </c>
      <c r="I59" s="48">
        <v>347916</v>
      </c>
      <c r="J59" s="48">
        <v>348333</v>
      </c>
      <c r="K59" s="48">
        <v>348664</v>
      </c>
      <c r="L59" s="48">
        <v>348863</v>
      </c>
      <c r="M59" s="48">
        <v>348973</v>
      </c>
      <c r="N59" s="48">
        <v>349300</v>
      </c>
      <c r="O59" s="48">
        <v>349799</v>
      </c>
      <c r="P59" s="48">
        <v>349997</v>
      </c>
      <c r="Q59" s="48">
        <v>350600</v>
      </c>
      <c r="R59" s="48">
        <v>350974</v>
      </c>
      <c r="S59" s="48">
        <v>351463</v>
      </c>
      <c r="T59" s="48">
        <v>351668</v>
      </c>
      <c r="U59" s="48">
        <v>352173</v>
      </c>
      <c r="V59" s="48">
        <v>352651</v>
      </c>
      <c r="W59" s="48">
        <v>352813</v>
      </c>
      <c r="X59" s="48">
        <v>353042</v>
      </c>
      <c r="Y59" s="48">
        <v>353671</v>
      </c>
      <c r="Z59" s="48">
        <v>353989</v>
      </c>
      <c r="AA59" s="48">
        <v>354506</v>
      </c>
      <c r="AB59" s="48">
        <v>354666</v>
      </c>
      <c r="AC59" s="48">
        <v>354958</v>
      </c>
      <c r="AD59" s="48">
        <v>355192</v>
      </c>
      <c r="AE59" s="48">
        <v>355504</v>
      </c>
      <c r="AF59" s="48">
        <v>355802</v>
      </c>
      <c r="AG59" s="48">
        <v>356132</v>
      </c>
      <c r="AH59" s="48">
        <v>356405</v>
      </c>
      <c r="AI59" s="48">
        <v>356671</v>
      </c>
      <c r="AJ59" s="48">
        <v>356868</v>
      </c>
      <c r="AK59" s="48" t="s">
        <v>320</v>
      </c>
      <c r="AL59" s="48">
        <v>357170</v>
      </c>
      <c r="AP59">
        <v>1275.1199999999999</v>
      </c>
      <c r="AQ59">
        <v>18</v>
      </c>
      <c r="AS59">
        <v>7084</v>
      </c>
    </row>
    <row r="60" spans="1:45" hidden="1" x14ac:dyDescent="0.25">
      <c r="A60">
        <v>59</v>
      </c>
      <c r="B60">
        <v>2025</v>
      </c>
      <c r="C60">
        <v>3</v>
      </c>
      <c r="D60" t="s">
        <v>161</v>
      </c>
      <c r="E60">
        <v>31</v>
      </c>
      <c r="F60">
        <v>2</v>
      </c>
      <c r="G60" t="s">
        <v>430</v>
      </c>
      <c r="H60" s="48">
        <v>0.29166666666666669</v>
      </c>
      <c r="I60" s="48" t="s">
        <v>320</v>
      </c>
      <c r="J60" s="48">
        <v>0.29166666666666669</v>
      </c>
      <c r="K60" s="48">
        <v>0.29166666666666669</v>
      </c>
      <c r="L60" s="48">
        <v>0.29166666666666669</v>
      </c>
      <c r="M60" s="48">
        <v>0.29166666666666669</v>
      </c>
      <c r="N60" s="48">
        <v>0.29166666666666669</v>
      </c>
      <c r="O60" s="48">
        <v>0.29166666666666669</v>
      </c>
      <c r="P60" s="48">
        <v>0.29166666666666669</v>
      </c>
      <c r="Q60" s="48">
        <v>0.29166666666666669</v>
      </c>
      <c r="R60" s="48">
        <v>0.29166666666666669</v>
      </c>
      <c r="S60" s="48">
        <v>0.29166666666666669</v>
      </c>
      <c r="T60" s="48">
        <v>0.29166666666666669</v>
      </c>
      <c r="U60" s="48">
        <v>0.29166666666666669</v>
      </c>
      <c r="V60" s="48">
        <v>0.29166666666666669</v>
      </c>
      <c r="W60" s="48">
        <v>0.29166666666666669</v>
      </c>
      <c r="X60" s="48">
        <v>0.29166666666666669</v>
      </c>
      <c r="Y60" s="48">
        <v>0.29166666666666669</v>
      </c>
      <c r="Z60" s="48" t="s">
        <v>320</v>
      </c>
      <c r="AA60" s="48" t="s">
        <v>320</v>
      </c>
      <c r="AB60" s="48" t="s">
        <v>320</v>
      </c>
      <c r="AC60" s="48">
        <v>0.29166666666666669</v>
      </c>
      <c r="AD60" s="48">
        <v>0.29166666666666669</v>
      </c>
      <c r="AE60" s="48">
        <v>0.29166666666666669</v>
      </c>
      <c r="AF60" s="48">
        <v>0.29166666666666669</v>
      </c>
      <c r="AG60" s="48">
        <v>0.29166666666666669</v>
      </c>
      <c r="AH60" s="48">
        <v>0.29166666666666669</v>
      </c>
      <c r="AI60" s="48">
        <v>0.29166666666666669</v>
      </c>
      <c r="AJ60" s="48">
        <v>0.29166666666666669</v>
      </c>
      <c r="AK60" s="48" t="s">
        <v>320</v>
      </c>
      <c r="AL60" s="48" t="s">
        <v>320</v>
      </c>
    </row>
    <row r="61" spans="1:45" hidden="1" x14ac:dyDescent="0.25">
      <c r="A61">
        <v>60</v>
      </c>
      <c r="B61">
        <v>2025</v>
      </c>
      <c r="C61">
        <v>3</v>
      </c>
      <c r="D61" t="s">
        <v>161</v>
      </c>
      <c r="E61">
        <v>31</v>
      </c>
      <c r="F61">
        <v>2</v>
      </c>
      <c r="G61" t="s">
        <v>431</v>
      </c>
      <c r="H61" s="48">
        <v>0.75</v>
      </c>
      <c r="I61" s="48" t="s">
        <v>320</v>
      </c>
      <c r="J61" s="48">
        <v>0.875</v>
      </c>
      <c r="K61" s="48">
        <v>0.875</v>
      </c>
      <c r="L61" s="48">
        <v>0.75</v>
      </c>
      <c r="M61" s="48">
        <v>0.83333333333333326</v>
      </c>
      <c r="N61" s="48">
        <v>0.75</v>
      </c>
      <c r="O61" s="48">
        <v>0.83333333333333326</v>
      </c>
      <c r="P61" s="48">
        <v>0.75</v>
      </c>
      <c r="Q61" s="48">
        <v>0.83333333333333326</v>
      </c>
      <c r="R61" s="48">
        <v>0.79166666666666674</v>
      </c>
      <c r="S61" s="48">
        <v>0.75</v>
      </c>
      <c r="T61" s="48">
        <v>0.83333333333333326</v>
      </c>
      <c r="U61" s="48">
        <v>0.79166666666666674</v>
      </c>
      <c r="V61" s="48">
        <v>0.83333333333333326</v>
      </c>
      <c r="W61" s="48">
        <v>0.75</v>
      </c>
      <c r="X61" s="48">
        <v>0.91666666666666674</v>
      </c>
      <c r="Y61" s="48">
        <v>0.83333333333333326</v>
      </c>
      <c r="Z61" s="48" t="s">
        <v>320</v>
      </c>
      <c r="AA61" s="48" t="s">
        <v>320</v>
      </c>
      <c r="AB61" s="48" t="s">
        <v>320</v>
      </c>
      <c r="AC61" s="48">
        <v>0.83333333333333326</v>
      </c>
      <c r="AD61" s="48">
        <v>0.75</v>
      </c>
      <c r="AE61" s="48">
        <v>0.75</v>
      </c>
      <c r="AF61" s="48">
        <v>0.83333333333333326</v>
      </c>
      <c r="AG61" s="48">
        <v>1.0833333333333333</v>
      </c>
      <c r="AH61" s="48">
        <v>0.75</v>
      </c>
      <c r="AI61" s="48">
        <v>0.75</v>
      </c>
      <c r="AJ61" s="48">
        <v>0.75</v>
      </c>
      <c r="AK61" s="48" t="s">
        <v>320</v>
      </c>
      <c r="AL61" s="48" t="s">
        <v>320</v>
      </c>
      <c r="AM61">
        <v>25</v>
      </c>
      <c r="AO61">
        <v>35.999999999999964</v>
      </c>
    </row>
    <row r="62" spans="1:45" hidden="1" x14ac:dyDescent="0.25">
      <c r="A62">
        <v>61</v>
      </c>
      <c r="B62">
        <v>2025</v>
      </c>
      <c r="C62">
        <v>3</v>
      </c>
      <c r="D62" t="s">
        <v>161</v>
      </c>
      <c r="E62">
        <v>31</v>
      </c>
      <c r="F62">
        <v>2</v>
      </c>
      <c r="G62" t="s">
        <v>432</v>
      </c>
      <c r="H62" s="48">
        <v>803060</v>
      </c>
      <c r="I62" s="48" t="s">
        <v>320</v>
      </c>
      <c r="J62" s="48">
        <v>803233</v>
      </c>
      <c r="K62" s="48">
        <v>803288</v>
      </c>
      <c r="L62" s="48">
        <v>803367</v>
      </c>
      <c r="M62" s="48">
        <v>803396</v>
      </c>
      <c r="N62" s="48">
        <v>803512</v>
      </c>
      <c r="O62" s="48">
        <v>803609</v>
      </c>
      <c r="P62" s="48">
        <v>803742</v>
      </c>
      <c r="Q62" s="48">
        <v>803804</v>
      </c>
      <c r="R62" s="48">
        <v>803911</v>
      </c>
      <c r="S62" s="48">
        <v>804019</v>
      </c>
      <c r="T62" s="48">
        <v>804092</v>
      </c>
      <c r="U62" s="48">
        <v>804186</v>
      </c>
      <c r="V62" s="48">
        <v>804252</v>
      </c>
      <c r="W62" s="48">
        <v>804368</v>
      </c>
      <c r="X62" s="48">
        <v>804436</v>
      </c>
      <c r="Y62" s="48">
        <v>804511</v>
      </c>
      <c r="Z62" s="48" t="s">
        <v>320</v>
      </c>
      <c r="AA62" s="48" t="s">
        <v>320</v>
      </c>
      <c r="AB62" s="48" t="s">
        <v>320</v>
      </c>
      <c r="AC62" s="48">
        <v>804685</v>
      </c>
      <c r="AD62" s="48">
        <v>804794</v>
      </c>
      <c r="AE62" s="48">
        <v>804856</v>
      </c>
      <c r="AF62" s="48">
        <v>804953</v>
      </c>
      <c r="AG62" s="48">
        <v>805039</v>
      </c>
      <c r="AH62" s="48">
        <v>805124</v>
      </c>
      <c r="AI62" s="48">
        <v>805209</v>
      </c>
      <c r="AJ62" s="48">
        <v>805361</v>
      </c>
      <c r="AK62" s="48" t="s">
        <v>320</v>
      </c>
      <c r="AL62" s="48" t="s">
        <v>320</v>
      </c>
    </row>
    <row r="63" spans="1:45" hidden="1" x14ac:dyDescent="0.25">
      <c r="A63">
        <v>62</v>
      </c>
      <c r="B63">
        <v>2025</v>
      </c>
      <c r="C63">
        <v>3</v>
      </c>
      <c r="D63" t="s">
        <v>161</v>
      </c>
      <c r="E63">
        <v>31</v>
      </c>
      <c r="F63">
        <v>2</v>
      </c>
      <c r="G63" t="s">
        <v>433</v>
      </c>
      <c r="H63" s="48">
        <v>803201</v>
      </c>
      <c r="I63" s="48" t="s">
        <v>320</v>
      </c>
      <c r="J63" s="48">
        <v>803288</v>
      </c>
      <c r="K63" s="48">
        <v>803367</v>
      </c>
      <c r="L63" s="48">
        <v>803396</v>
      </c>
      <c r="M63" s="48">
        <v>803512</v>
      </c>
      <c r="N63" s="48">
        <v>803609</v>
      </c>
      <c r="O63" s="48">
        <v>803742</v>
      </c>
      <c r="P63" s="48">
        <v>803804</v>
      </c>
      <c r="Q63" s="48">
        <v>803911</v>
      </c>
      <c r="R63" s="48">
        <v>804019</v>
      </c>
      <c r="S63" s="48">
        <v>804092</v>
      </c>
      <c r="T63" s="48">
        <v>804186</v>
      </c>
      <c r="U63" s="48">
        <v>804252</v>
      </c>
      <c r="V63" s="48">
        <v>804368</v>
      </c>
      <c r="W63" s="48">
        <v>804436</v>
      </c>
      <c r="X63" s="48">
        <v>804511</v>
      </c>
      <c r="Y63" s="48">
        <v>804605</v>
      </c>
      <c r="Z63" s="48" t="s">
        <v>320</v>
      </c>
      <c r="AA63" s="48" t="s">
        <v>320</v>
      </c>
      <c r="AB63" s="48" t="s">
        <v>320</v>
      </c>
      <c r="AC63" s="48">
        <v>804794</v>
      </c>
      <c r="AD63" s="48">
        <v>804856</v>
      </c>
      <c r="AE63" s="48">
        <v>804953</v>
      </c>
      <c r="AF63" s="48">
        <v>805039</v>
      </c>
      <c r="AG63" s="48">
        <v>805124</v>
      </c>
      <c r="AH63" s="48">
        <v>805209</v>
      </c>
      <c r="AI63" s="48">
        <v>805361</v>
      </c>
      <c r="AJ63" s="48">
        <v>805572</v>
      </c>
      <c r="AK63" s="48" t="s">
        <v>320</v>
      </c>
      <c r="AL63" s="48" t="s">
        <v>320</v>
      </c>
      <c r="AP63">
        <v>360</v>
      </c>
      <c r="AQ63">
        <v>15</v>
      </c>
      <c r="AS63">
        <v>2400</v>
      </c>
    </row>
    <row r="64" spans="1:45" hidden="1" x14ac:dyDescent="0.25">
      <c r="A64">
        <v>63</v>
      </c>
      <c r="B64">
        <v>2025</v>
      </c>
      <c r="C64">
        <v>3</v>
      </c>
      <c r="D64" t="s">
        <v>141</v>
      </c>
      <c r="E64">
        <v>31</v>
      </c>
      <c r="F64">
        <v>2</v>
      </c>
      <c r="G64" t="s">
        <v>430</v>
      </c>
      <c r="H64" s="48">
        <v>0.29166666666666669</v>
      </c>
      <c r="I64" s="48" t="s">
        <v>320</v>
      </c>
      <c r="J64" s="48">
        <v>0.29166666666666669</v>
      </c>
      <c r="K64" s="48">
        <v>0.29166666666666669</v>
      </c>
      <c r="L64" s="48">
        <v>0.29166666666666669</v>
      </c>
      <c r="M64" s="48">
        <v>0.29166666666666669</v>
      </c>
      <c r="N64" s="48">
        <v>0.29166666666666669</v>
      </c>
      <c r="O64" s="48">
        <v>0.29166666666666669</v>
      </c>
      <c r="P64" s="48">
        <v>0.29166666666666669</v>
      </c>
      <c r="Q64" s="48">
        <v>0.29166666666666669</v>
      </c>
      <c r="R64" s="48">
        <v>0.29166666666666669</v>
      </c>
      <c r="S64" s="48">
        <v>0.29166666666666669</v>
      </c>
      <c r="T64" s="48">
        <v>0.29166666666666669</v>
      </c>
      <c r="U64" s="48">
        <v>0.29166666666666669</v>
      </c>
      <c r="V64" s="48">
        <v>0.29166666666666669</v>
      </c>
      <c r="W64" s="48">
        <v>0.29166666666666669</v>
      </c>
      <c r="X64" s="48">
        <v>0.29166666666666669</v>
      </c>
      <c r="Y64" s="48">
        <v>0.29166666666666669</v>
      </c>
      <c r="Z64" s="48">
        <v>0.29166666666666669</v>
      </c>
      <c r="AA64" s="48" t="s">
        <v>320</v>
      </c>
      <c r="AB64" s="48">
        <v>0.29166666666666669</v>
      </c>
      <c r="AC64" s="48">
        <v>0.29166666666666669</v>
      </c>
      <c r="AD64" s="48">
        <v>0.29166666666666669</v>
      </c>
      <c r="AE64" s="48">
        <v>0.29166666666666669</v>
      </c>
      <c r="AF64" s="48">
        <v>0.29166666666666669</v>
      </c>
      <c r="AG64" s="48">
        <v>0.29166666666666669</v>
      </c>
      <c r="AH64" s="48">
        <v>0.29166666666666669</v>
      </c>
      <c r="AI64" s="48">
        <v>0.29166666666666669</v>
      </c>
      <c r="AJ64" s="48">
        <v>0.29166666666666669</v>
      </c>
      <c r="AK64" s="48" t="s">
        <v>320</v>
      </c>
      <c r="AL64" s="48">
        <v>0.29166666666666669</v>
      </c>
    </row>
    <row r="65" spans="1:45" hidden="1" x14ac:dyDescent="0.25">
      <c r="A65">
        <v>64</v>
      </c>
      <c r="B65">
        <v>2025</v>
      </c>
      <c r="C65">
        <v>3</v>
      </c>
      <c r="D65" t="s">
        <v>141</v>
      </c>
      <c r="E65">
        <v>31</v>
      </c>
      <c r="F65">
        <v>2</v>
      </c>
      <c r="G65" t="s">
        <v>431</v>
      </c>
      <c r="H65" s="48">
        <v>0.875</v>
      </c>
      <c r="I65" s="48" t="s">
        <v>320</v>
      </c>
      <c r="J65" s="48">
        <v>0.875</v>
      </c>
      <c r="K65" s="48">
        <v>0.875</v>
      </c>
      <c r="L65" s="48">
        <v>0.875</v>
      </c>
      <c r="M65" s="48">
        <v>0.875</v>
      </c>
      <c r="N65" s="48">
        <v>0.875</v>
      </c>
      <c r="O65" s="48">
        <v>0.875</v>
      </c>
      <c r="P65" s="48">
        <v>0.875</v>
      </c>
      <c r="Q65" s="48">
        <v>0.875</v>
      </c>
      <c r="R65" s="48">
        <v>0.875</v>
      </c>
      <c r="S65" s="48">
        <v>0.875</v>
      </c>
      <c r="T65" s="48">
        <v>0.875</v>
      </c>
      <c r="U65" s="48">
        <v>0.875</v>
      </c>
      <c r="V65" s="48">
        <v>0.875</v>
      </c>
      <c r="W65" s="48">
        <v>0.875</v>
      </c>
      <c r="X65" s="48">
        <v>0.875</v>
      </c>
      <c r="Y65" s="48">
        <v>0.875</v>
      </c>
      <c r="Z65" s="48">
        <v>0.875</v>
      </c>
      <c r="AA65" s="48" t="s">
        <v>320</v>
      </c>
      <c r="AB65" s="48">
        <v>0.875</v>
      </c>
      <c r="AC65" s="48">
        <v>0.875</v>
      </c>
      <c r="AD65" s="48">
        <v>0.875</v>
      </c>
      <c r="AE65" s="48">
        <v>0.875</v>
      </c>
      <c r="AF65" s="48">
        <v>0.875</v>
      </c>
      <c r="AG65" s="48">
        <v>0.875</v>
      </c>
      <c r="AH65" s="48">
        <v>0.875</v>
      </c>
      <c r="AI65" s="48">
        <v>0.875</v>
      </c>
      <c r="AJ65" s="48">
        <v>0.875</v>
      </c>
      <c r="AK65" s="48" t="s">
        <v>320</v>
      </c>
      <c r="AL65" s="48">
        <v>0.75</v>
      </c>
      <c r="AM65">
        <v>28</v>
      </c>
      <c r="AO65">
        <v>80.999999999999986</v>
      </c>
    </row>
    <row r="66" spans="1:45" hidden="1" x14ac:dyDescent="0.25">
      <c r="A66">
        <v>65</v>
      </c>
      <c r="B66">
        <v>2025</v>
      </c>
      <c r="C66">
        <v>3</v>
      </c>
      <c r="D66" t="s">
        <v>141</v>
      </c>
      <c r="E66">
        <v>31</v>
      </c>
      <c r="F66">
        <v>2</v>
      </c>
      <c r="G66" t="s">
        <v>432</v>
      </c>
      <c r="H66" s="48">
        <v>89287</v>
      </c>
      <c r="I66" s="48" t="s">
        <v>320</v>
      </c>
      <c r="J66" s="48">
        <v>89531</v>
      </c>
      <c r="K66" s="48">
        <v>89765</v>
      </c>
      <c r="L66" s="48">
        <v>90040</v>
      </c>
      <c r="M66" s="48">
        <v>90246</v>
      </c>
      <c r="N66" s="48">
        <v>90457</v>
      </c>
      <c r="O66" s="48">
        <v>90750</v>
      </c>
      <c r="P66" s="48">
        <v>91010</v>
      </c>
      <c r="Q66" s="48">
        <v>91279</v>
      </c>
      <c r="R66" s="48">
        <v>91548</v>
      </c>
      <c r="S66" s="48">
        <v>91817</v>
      </c>
      <c r="T66" s="48">
        <v>92104</v>
      </c>
      <c r="U66" s="48">
        <v>92383</v>
      </c>
      <c r="V66" s="48">
        <v>92678</v>
      </c>
      <c r="W66" s="48">
        <v>92971</v>
      </c>
      <c r="X66" s="48">
        <v>93250</v>
      </c>
      <c r="Y66" s="48">
        <v>93532</v>
      </c>
      <c r="Z66" s="48">
        <v>93826</v>
      </c>
      <c r="AA66" s="48" t="s">
        <v>320</v>
      </c>
      <c r="AB66" s="48">
        <v>94003</v>
      </c>
      <c r="AC66" s="48">
        <v>94234</v>
      </c>
      <c r="AD66" s="48">
        <v>94523</v>
      </c>
      <c r="AE66" s="48">
        <v>94810</v>
      </c>
      <c r="AF66" s="48">
        <v>95086</v>
      </c>
      <c r="AG66" s="48">
        <v>95376</v>
      </c>
      <c r="AH66" s="48">
        <v>95666</v>
      </c>
      <c r="AI66" s="48">
        <v>95943</v>
      </c>
      <c r="AJ66" s="48">
        <v>96209</v>
      </c>
      <c r="AK66" s="48" t="s">
        <v>320</v>
      </c>
      <c r="AL66" s="48">
        <v>96597</v>
      </c>
    </row>
    <row r="67" spans="1:45" hidden="1" x14ac:dyDescent="0.25">
      <c r="A67">
        <v>66</v>
      </c>
      <c r="B67">
        <v>2025</v>
      </c>
      <c r="C67">
        <v>3</v>
      </c>
      <c r="D67" t="s">
        <v>141</v>
      </c>
      <c r="E67">
        <v>31</v>
      </c>
      <c r="F67">
        <v>2</v>
      </c>
      <c r="G67" t="s">
        <v>433</v>
      </c>
      <c r="H67" s="48">
        <v>89531</v>
      </c>
      <c r="I67" s="48" t="s">
        <v>320</v>
      </c>
      <c r="J67" s="48">
        <v>89765</v>
      </c>
      <c r="K67" s="48">
        <v>90040</v>
      </c>
      <c r="L67" s="48">
        <v>90246</v>
      </c>
      <c r="M67" s="48">
        <v>90457</v>
      </c>
      <c r="N67" s="48">
        <v>90750</v>
      </c>
      <c r="O67" s="48">
        <v>91010</v>
      </c>
      <c r="P67" s="48">
        <v>91279</v>
      </c>
      <c r="Q67" s="48">
        <v>91548</v>
      </c>
      <c r="R67" s="48">
        <v>91817</v>
      </c>
      <c r="S67" s="48">
        <v>92104</v>
      </c>
      <c r="T67" s="48">
        <v>92383</v>
      </c>
      <c r="U67" s="48">
        <v>92678</v>
      </c>
      <c r="V67" s="48">
        <v>92971</v>
      </c>
      <c r="W67" s="48">
        <v>93250</v>
      </c>
      <c r="X67" s="48">
        <v>93532</v>
      </c>
      <c r="Y67" s="48">
        <v>93826</v>
      </c>
      <c r="Z67" s="48">
        <v>94003</v>
      </c>
      <c r="AA67" s="48" t="s">
        <v>320</v>
      </c>
      <c r="AB67" s="48">
        <v>94234</v>
      </c>
      <c r="AC67" s="48">
        <v>94523</v>
      </c>
      <c r="AD67" s="48">
        <v>94810</v>
      </c>
      <c r="AE67" s="48">
        <v>95086</v>
      </c>
      <c r="AF67" s="48">
        <v>95376</v>
      </c>
      <c r="AG67" s="48">
        <v>95666</v>
      </c>
      <c r="AH67" s="48">
        <v>95943</v>
      </c>
      <c r="AI67" s="48">
        <v>96209</v>
      </c>
      <c r="AJ67" s="48">
        <v>96488</v>
      </c>
      <c r="AK67" s="48" t="s">
        <v>320</v>
      </c>
      <c r="AL67" s="48">
        <v>96768</v>
      </c>
      <c r="AP67">
        <v>1105.8</v>
      </c>
      <c r="AQ67">
        <v>15</v>
      </c>
      <c r="AS67">
        <v>7372</v>
      </c>
    </row>
    <row r="68" spans="1:45" hidden="1" x14ac:dyDescent="0.25">
      <c r="A68">
        <v>67</v>
      </c>
      <c r="B68">
        <v>2025</v>
      </c>
      <c r="C68">
        <v>3</v>
      </c>
      <c r="D68" t="s">
        <v>142</v>
      </c>
      <c r="E68">
        <v>31</v>
      </c>
      <c r="F68">
        <v>2</v>
      </c>
      <c r="G68" t="s">
        <v>430</v>
      </c>
      <c r="H68" s="48">
        <v>0.29166666666666669</v>
      </c>
      <c r="I68" s="48" t="s">
        <v>320</v>
      </c>
      <c r="J68" s="48">
        <v>0.29166666666666669</v>
      </c>
      <c r="K68" s="48">
        <v>0.29166666666666669</v>
      </c>
      <c r="L68" s="48">
        <v>0.29166666666666669</v>
      </c>
      <c r="M68" s="48">
        <v>0.29166666666666669</v>
      </c>
      <c r="N68" s="48">
        <v>0.29166666666666669</v>
      </c>
      <c r="O68" s="48">
        <v>0.29166666666666669</v>
      </c>
      <c r="P68" s="48">
        <v>0.29166666666666669</v>
      </c>
      <c r="Q68" s="48">
        <v>0.29166666666666669</v>
      </c>
      <c r="R68" s="48">
        <v>0.29166666666666669</v>
      </c>
      <c r="S68" s="48">
        <v>0.29166666666666669</v>
      </c>
      <c r="T68" s="48">
        <v>0.29166666666666669</v>
      </c>
      <c r="U68" s="48">
        <v>0.29166666666666669</v>
      </c>
      <c r="V68" s="48">
        <v>0.29166666666666669</v>
      </c>
      <c r="W68" s="48">
        <v>0.29166666666666669</v>
      </c>
      <c r="X68" s="48">
        <v>0.29166666666666669</v>
      </c>
      <c r="Y68" s="48">
        <v>0.29166666666666669</v>
      </c>
      <c r="Z68" s="48" t="s">
        <v>320</v>
      </c>
      <c r="AA68" s="48" t="s">
        <v>320</v>
      </c>
      <c r="AB68" s="48" t="s">
        <v>320</v>
      </c>
      <c r="AC68" s="48">
        <v>0.29166666666666669</v>
      </c>
      <c r="AD68" s="48">
        <v>0.29166666666666669</v>
      </c>
      <c r="AE68" s="48">
        <v>0.29166666666666669</v>
      </c>
      <c r="AF68" s="48">
        <v>0.29166666666666669</v>
      </c>
      <c r="AG68" s="48">
        <v>0.29166666666666669</v>
      </c>
      <c r="AH68" s="48">
        <v>0.29166666666666669</v>
      </c>
      <c r="AI68" s="48">
        <v>0.29166666666666669</v>
      </c>
      <c r="AJ68" s="48">
        <v>0.29166666666666669</v>
      </c>
      <c r="AK68" s="48">
        <v>0.29166666666666669</v>
      </c>
      <c r="AL68" s="48">
        <v>0.29166666666666669</v>
      </c>
    </row>
    <row r="69" spans="1:45" hidden="1" x14ac:dyDescent="0.25">
      <c r="A69">
        <v>68</v>
      </c>
      <c r="B69">
        <v>2025</v>
      </c>
      <c r="C69">
        <v>3</v>
      </c>
      <c r="D69" t="s">
        <v>142</v>
      </c>
      <c r="E69">
        <v>31</v>
      </c>
      <c r="F69">
        <v>2</v>
      </c>
      <c r="G69" t="s">
        <v>431</v>
      </c>
      <c r="H69" s="48">
        <v>0.83333333333333326</v>
      </c>
      <c r="I69" s="48" t="s">
        <v>320</v>
      </c>
      <c r="J69" s="48">
        <v>0.83333333333333326</v>
      </c>
      <c r="K69" s="48">
        <v>0.91666666666666674</v>
      </c>
      <c r="L69" s="48">
        <v>0.75</v>
      </c>
      <c r="M69" s="48">
        <v>0.91666666666666674</v>
      </c>
      <c r="N69" s="48">
        <v>1.0833333333333333</v>
      </c>
      <c r="O69" s="48">
        <v>0.83333333333333326</v>
      </c>
      <c r="P69" s="48">
        <v>1</v>
      </c>
      <c r="Q69" s="48">
        <v>0.75</v>
      </c>
      <c r="R69" s="48">
        <v>0.79166666666666674</v>
      </c>
      <c r="S69" s="48">
        <v>1</v>
      </c>
      <c r="T69" s="48">
        <v>0.75</v>
      </c>
      <c r="U69" s="48">
        <v>0.75</v>
      </c>
      <c r="V69" s="48">
        <v>0.75</v>
      </c>
      <c r="W69" s="48">
        <v>0.75</v>
      </c>
      <c r="X69" s="48">
        <v>0.75</v>
      </c>
      <c r="Y69" s="48">
        <v>0.75</v>
      </c>
      <c r="Z69" s="48" t="s">
        <v>320</v>
      </c>
      <c r="AA69" s="48" t="s">
        <v>320</v>
      </c>
      <c r="AB69" s="48" t="s">
        <v>320</v>
      </c>
      <c r="AC69" s="48">
        <v>0.75</v>
      </c>
      <c r="AD69" s="48">
        <v>0.75</v>
      </c>
      <c r="AE69" s="48">
        <v>0.75</v>
      </c>
      <c r="AF69" s="48">
        <v>0.75</v>
      </c>
      <c r="AG69" s="48">
        <v>0.75</v>
      </c>
      <c r="AH69" s="48">
        <v>0.75</v>
      </c>
      <c r="AI69" s="48">
        <v>0.75</v>
      </c>
      <c r="AJ69" s="48">
        <v>0.75</v>
      </c>
      <c r="AK69" s="48">
        <v>0.75</v>
      </c>
      <c r="AL69" s="48">
        <v>0.75</v>
      </c>
      <c r="AM69">
        <v>27</v>
      </c>
      <c r="AO69">
        <v>34.999999999999986</v>
      </c>
    </row>
    <row r="70" spans="1:45" hidden="1" x14ac:dyDescent="0.25">
      <c r="A70">
        <v>69</v>
      </c>
      <c r="B70">
        <v>2025</v>
      </c>
      <c r="C70">
        <v>3</v>
      </c>
      <c r="D70" t="s">
        <v>142</v>
      </c>
      <c r="E70">
        <v>31</v>
      </c>
      <c r="F70">
        <v>2</v>
      </c>
      <c r="G70" t="s">
        <v>432</v>
      </c>
      <c r="H70" s="48">
        <v>705098</v>
      </c>
      <c r="I70" s="48" t="s">
        <v>320</v>
      </c>
      <c r="J70" s="48">
        <v>705380</v>
      </c>
      <c r="K70" s="48">
        <v>705380</v>
      </c>
      <c r="L70" s="48">
        <v>705538</v>
      </c>
      <c r="M70" s="48">
        <v>705640</v>
      </c>
      <c r="N70" s="48">
        <v>705750</v>
      </c>
      <c r="O70" s="48">
        <v>705870</v>
      </c>
      <c r="P70" s="48">
        <v>705973</v>
      </c>
      <c r="Q70" s="48">
        <v>706110</v>
      </c>
      <c r="R70" s="48">
        <v>706220</v>
      </c>
      <c r="S70" s="48">
        <v>706319</v>
      </c>
      <c r="T70" s="48">
        <v>706420</v>
      </c>
      <c r="U70" s="48">
        <v>706536</v>
      </c>
      <c r="V70" s="48">
        <v>706680</v>
      </c>
      <c r="W70" s="48">
        <v>706810</v>
      </c>
      <c r="X70" s="48">
        <v>706923</v>
      </c>
      <c r="Y70" s="48">
        <v>707050</v>
      </c>
      <c r="Z70" s="48" t="s">
        <v>320</v>
      </c>
      <c r="AA70" s="48" t="s">
        <v>320</v>
      </c>
      <c r="AB70" s="48" t="s">
        <v>320</v>
      </c>
      <c r="AC70" s="48">
        <v>707620</v>
      </c>
      <c r="AD70" s="48">
        <v>707738</v>
      </c>
      <c r="AE70" s="48">
        <v>707870</v>
      </c>
      <c r="AF70" s="48">
        <v>708010</v>
      </c>
      <c r="AG70" s="48">
        <v>708132</v>
      </c>
      <c r="AH70" s="48">
        <v>708263</v>
      </c>
      <c r="AI70" s="48">
        <v>708389</v>
      </c>
      <c r="AJ70" s="48">
        <v>708520</v>
      </c>
      <c r="AK70" s="48">
        <v>708635</v>
      </c>
      <c r="AL70" s="48">
        <v>708790</v>
      </c>
    </row>
    <row r="71" spans="1:45" hidden="1" x14ac:dyDescent="0.25">
      <c r="A71">
        <v>70</v>
      </c>
      <c r="B71">
        <v>2025</v>
      </c>
      <c r="C71">
        <v>3</v>
      </c>
      <c r="D71" t="s">
        <v>142</v>
      </c>
      <c r="E71">
        <v>31</v>
      </c>
      <c r="F71">
        <v>2</v>
      </c>
      <c r="G71" t="s">
        <v>433</v>
      </c>
      <c r="H71" s="48">
        <v>705227</v>
      </c>
      <c r="I71" s="48" t="s">
        <v>320</v>
      </c>
      <c r="J71" s="48">
        <v>705380</v>
      </c>
      <c r="K71" s="48">
        <v>705538</v>
      </c>
      <c r="L71" s="48">
        <v>705640</v>
      </c>
      <c r="M71" s="48">
        <v>705750</v>
      </c>
      <c r="N71" s="48">
        <v>705870</v>
      </c>
      <c r="O71" s="48">
        <v>705973</v>
      </c>
      <c r="P71" s="48">
        <v>706110</v>
      </c>
      <c r="Q71" s="48">
        <v>706220</v>
      </c>
      <c r="R71" s="48">
        <v>706319</v>
      </c>
      <c r="S71" s="48">
        <v>706420</v>
      </c>
      <c r="T71" s="48">
        <v>706536</v>
      </c>
      <c r="U71" s="48">
        <v>706680</v>
      </c>
      <c r="V71" s="48">
        <v>706810</v>
      </c>
      <c r="W71" s="48">
        <v>706923</v>
      </c>
      <c r="X71" s="48">
        <v>707050</v>
      </c>
      <c r="Y71" s="48">
        <v>707286</v>
      </c>
      <c r="Z71" s="48" t="s">
        <v>320</v>
      </c>
      <c r="AA71" s="48" t="s">
        <v>320</v>
      </c>
      <c r="AB71" s="48" t="s">
        <v>320</v>
      </c>
      <c r="AC71" s="48">
        <v>707738</v>
      </c>
      <c r="AD71" s="48">
        <v>707870</v>
      </c>
      <c r="AE71" s="48">
        <v>708010</v>
      </c>
      <c r="AF71" s="48">
        <v>708132</v>
      </c>
      <c r="AG71" s="48">
        <v>708263</v>
      </c>
      <c r="AH71" s="48">
        <v>708389</v>
      </c>
      <c r="AI71" s="48">
        <v>708520</v>
      </c>
      <c r="AJ71" s="48">
        <v>708635</v>
      </c>
      <c r="AK71" s="48">
        <v>708790</v>
      </c>
      <c r="AL71" s="48">
        <v>708889</v>
      </c>
      <c r="AP71">
        <v>495.6</v>
      </c>
      <c r="AQ71">
        <v>15</v>
      </c>
      <c r="AS71">
        <v>3304</v>
      </c>
    </row>
    <row r="72" spans="1:45" hidden="1" x14ac:dyDescent="0.25">
      <c r="A72">
        <v>71</v>
      </c>
      <c r="B72">
        <v>2025</v>
      </c>
      <c r="C72">
        <v>3</v>
      </c>
      <c r="D72" t="s">
        <v>143</v>
      </c>
      <c r="E72">
        <v>31</v>
      </c>
      <c r="F72">
        <v>2</v>
      </c>
      <c r="G72" t="s">
        <v>430</v>
      </c>
      <c r="H72" s="48">
        <v>0.29166666666666669</v>
      </c>
      <c r="I72" s="48">
        <v>0.29166666666666669</v>
      </c>
      <c r="J72" s="48">
        <v>0.29166666666666669</v>
      </c>
      <c r="K72" s="48">
        <v>0.29166666666666669</v>
      </c>
      <c r="L72" s="48">
        <v>0.29166666666666669</v>
      </c>
      <c r="M72" s="48">
        <v>0.29166666666666669</v>
      </c>
      <c r="N72" s="48">
        <v>0.29166666666666669</v>
      </c>
      <c r="O72" s="48">
        <v>0.29166666666666669</v>
      </c>
      <c r="P72" s="48">
        <v>0.29166666666666669</v>
      </c>
      <c r="Q72" s="48">
        <v>0.29166666666666669</v>
      </c>
      <c r="R72" s="48">
        <v>0.29166666666666669</v>
      </c>
      <c r="S72" s="48">
        <v>0.29166666666666669</v>
      </c>
      <c r="T72" s="48">
        <v>0.29166666666666669</v>
      </c>
      <c r="U72" s="48">
        <v>0.29166666666666669</v>
      </c>
      <c r="V72" s="48">
        <v>0.29166666666666669</v>
      </c>
      <c r="W72" s="48">
        <v>0.29166666666666669</v>
      </c>
      <c r="X72" s="48">
        <v>0.29166666666666669</v>
      </c>
      <c r="Y72" s="48">
        <v>0.29166666666666669</v>
      </c>
      <c r="Z72" s="48" t="s">
        <v>320</v>
      </c>
      <c r="AA72" s="48">
        <v>0.29166666666666669</v>
      </c>
      <c r="AB72" s="48">
        <v>0.29166666666666669</v>
      </c>
      <c r="AC72" s="48">
        <v>0.29166666666666669</v>
      </c>
      <c r="AD72" s="48">
        <v>0.29166666666666669</v>
      </c>
      <c r="AE72" s="48">
        <v>0.29166666666666669</v>
      </c>
      <c r="AF72" s="48">
        <v>0.29166666666666669</v>
      </c>
      <c r="AG72" s="48">
        <v>0.29166666666666669</v>
      </c>
      <c r="AH72" s="48">
        <v>0.29166666666666669</v>
      </c>
      <c r="AI72" s="48">
        <v>0.29166666666666669</v>
      </c>
      <c r="AJ72" s="48">
        <v>0.29166666666666669</v>
      </c>
      <c r="AK72" s="48">
        <v>0.29166666666666669</v>
      </c>
      <c r="AL72" s="48" t="s">
        <v>320</v>
      </c>
    </row>
    <row r="73" spans="1:45" hidden="1" x14ac:dyDescent="0.25">
      <c r="A73">
        <v>72</v>
      </c>
      <c r="B73">
        <v>2025</v>
      </c>
      <c r="C73">
        <v>3</v>
      </c>
      <c r="D73" t="s">
        <v>143</v>
      </c>
      <c r="E73">
        <v>31</v>
      </c>
      <c r="F73">
        <v>2</v>
      </c>
      <c r="G73" t="s">
        <v>431</v>
      </c>
      <c r="H73" s="48">
        <v>0.75</v>
      </c>
      <c r="I73" s="48">
        <v>0.75</v>
      </c>
      <c r="J73" s="48">
        <v>0.75</v>
      </c>
      <c r="K73" s="48">
        <v>0.75</v>
      </c>
      <c r="L73" s="48">
        <v>0.75</v>
      </c>
      <c r="M73" s="48">
        <v>0.75</v>
      </c>
      <c r="N73" s="48">
        <v>0.75</v>
      </c>
      <c r="O73" s="48">
        <v>1</v>
      </c>
      <c r="P73" s="48">
        <v>0.75</v>
      </c>
      <c r="Q73" s="48">
        <v>0.75</v>
      </c>
      <c r="R73" s="48">
        <v>0.875</v>
      </c>
      <c r="S73" s="48">
        <v>0.75</v>
      </c>
      <c r="T73" s="48">
        <v>0.75</v>
      </c>
      <c r="U73" s="48">
        <v>0.75</v>
      </c>
      <c r="V73" s="48">
        <v>0.75</v>
      </c>
      <c r="W73" s="48">
        <v>0.875</v>
      </c>
      <c r="X73" s="48">
        <v>0.75</v>
      </c>
      <c r="Y73" s="48">
        <v>0.75</v>
      </c>
      <c r="Z73" s="48" t="s">
        <v>320</v>
      </c>
      <c r="AA73" s="48">
        <v>0.75</v>
      </c>
      <c r="AB73" s="48">
        <v>0.75</v>
      </c>
      <c r="AC73" s="48">
        <v>0.875</v>
      </c>
      <c r="AD73" s="48">
        <v>0.75</v>
      </c>
      <c r="AE73" s="48">
        <v>0.875</v>
      </c>
      <c r="AF73" s="48">
        <v>0.75</v>
      </c>
      <c r="AG73" s="48">
        <v>1</v>
      </c>
      <c r="AH73" s="48">
        <v>0.875</v>
      </c>
      <c r="AI73" s="48">
        <v>0.75</v>
      </c>
      <c r="AJ73" s="48">
        <v>0.75</v>
      </c>
      <c r="AK73" s="48">
        <v>0.75</v>
      </c>
      <c r="AL73" s="48" t="s">
        <v>320</v>
      </c>
      <c r="AM73">
        <v>29</v>
      </c>
      <c r="AO73">
        <v>26.999999999999993</v>
      </c>
    </row>
    <row r="74" spans="1:45" hidden="1" x14ac:dyDescent="0.25">
      <c r="A74">
        <v>73</v>
      </c>
      <c r="B74">
        <v>2025</v>
      </c>
      <c r="C74">
        <v>3</v>
      </c>
      <c r="D74" t="s">
        <v>143</v>
      </c>
      <c r="E74">
        <v>31</v>
      </c>
      <c r="F74">
        <v>2</v>
      </c>
      <c r="G74" t="s">
        <v>432</v>
      </c>
      <c r="H74" s="48">
        <v>57765</v>
      </c>
      <c r="I74" s="48">
        <v>57846</v>
      </c>
      <c r="J74" s="48">
        <v>57976</v>
      </c>
      <c r="K74" s="48">
        <v>58164</v>
      </c>
      <c r="L74" s="48">
        <v>58373</v>
      </c>
      <c r="M74" s="48">
        <v>58481</v>
      </c>
      <c r="N74" s="48">
        <v>58641</v>
      </c>
      <c r="O74" s="48">
        <v>58817</v>
      </c>
      <c r="P74" s="48">
        <v>58966</v>
      </c>
      <c r="Q74" s="48">
        <v>59110</v>
      </c>
      <c r="R74" s="48">
        <v>59274</v>
      </c>
      <c r="S74" s="48">
        <v>59442</v>
      </c>
      <c r="T74" s="48">
        <v>59612</v>
      </c>
      <c r="U74" s="48">
        <v>59723</v>
      </c>
      <c r="V74" s="48">
        <v>59993</v>
      </c>
      <c r="W74" s="48">
        <v>60145</v>
      </c>
      <c r="X74" s="48">
        <v>60235</v>
      </c>
      <c r="Y74" s="48">
        <v>60409</v>
      </c>
      <c r="Z74" s="48" t="s">
        <v>320</v>
      </c>
      <c r="AA74" s="48">
        <v>60929</v>
      </c>
      <c r="AB74" s="48">
        <v>61062</v>
      </c>
      <c r="AC74" s="48">
        <v>61185</v>
      </c>
      <c r="AD74" s="48">
        <v>61258</v>
      </c>
      <c r="AE74" s="48">
        <v>61351</v>
      </c>
      <c r="AF74" s="48">
        <v>61497</v>
      </c>
      <c r="AG74" s="48">
        <v>61588</v>
      </c>
      <c r="AH74" s="48">
        <v>61669</v>
      </c>
      <c r="AI74" s="48">
        <v>61826</v>
      </c>
      <c r="AJ74" s="48">
        <v>62069</v>
      </c>
      <c r="AK74" s="48">
        <v>62206</v>
      </c>
      <c r="AL74" s="48" t="s">
        <v>320</v>
      </c>
    </row>
    <row r="75" spans="1:45" hidden="1" x14ac:dyDescent="0.25">
      <c r="A75">
        <v>74</v>
      </c>
      <c r="B75">
        <v>2025</v>
      </c>
      <c r="C75">
        <v>3</v>
      </c>
      <c r="D75" t="s">
        <v>143</v>
      </c>
      <c r="E75">
        <v>31</v>
      </c>
      <c r="F75">
        <v>2</v>
      </c>
      <c r="G75" t="s">
        <v>433</v>
      </c>
      <c r="H75" s="48">
        <v>57832</v>
      </c>
      <c r="I75" s="48">
        <v>57975</v>
      </c>
      <c r="J75" s="48">
        <v>58141</v>
      </c>
      <c r="K75" s="48">
        <v>58345</v>
      </c>
      <c r="L75" s="48">
        <v>58479</v>
      </c>
      <c r="M75" s="48">
        <v>58639</v>
      </c>
      <c r="N75" s="48">
        <v>58814</v>
      </c>
      <c r="O75" s="48">
        <v>58964</v>
      </c>
      <c r="P75" s="48">
        <v>59069</v>
      </c>
      <c r="Q75" s="48">
        <v>59271</v>
      </c>
      <c r="R75" s="48">
        <v>59438</v>
      </c>
      <c r="S75" s="48">
        <v>59604</v>
      </c>
      <c r="T75" s="48">
        <v>59675</v>
      </c>
      <c r="U75" s="48">
        <v>59991</v>
      </c>
      <c r="V75" s="48">
        <v>60102</v>
      </c>
      <c r="W75" s="48">
        <v>60234</v>
      </c>
      <c r="X75" s="48">
        <v>60344</v>
      </c>
      <c r="Y75" s="48">
        <v>60552</v>
      </c>
      <c r="Z75" s="48" t="s">
        <v>320</v>
      </c>
      <c r="AA75" s="48">
        <v>61060</v>
      </c>
      <c r="AB75" s="48">
        <v>61184</v>
      </c>
      <c r="AC75" s="48">
        <v>61258</v>
      </c>
      <c r="AD75" s="48">
        <v>61350</v>
      </c>
      <c r="AE75" s="48">
        <v>61496</v>
      </c>
      <c r="AF75" s="48">
        <v>61586</v>
      </c>
      <c r="AG75" s="48">
        <v>61667</v>
      </c>
      <c r="AH75" s="48">
        <v>61824</v>
      </c>
      <c r="AI75" s="48">
        <v>62067</v>
      </c>
      <c r="AJ75" s="48">
        <v>62205</v>
      </c>
      <c r="AK75" s="48">
        <v>62380</v>
      </c>
      <c r="AL75" s="48" t="s">
        <v>320</v>
      </c>
      <c r="AP75">
        <v>590.1</v>
      </c>
      <c r="AQ75">
        <v>15</v>
      </c>
      <c r="AS75">
        <v>3934</v>
      </c>
    </row>
    <row r="76" spans="1:45" hidden="1" x14ac:dyDescent="0.25">
      <c r="A76">
        <v>75</v>
      </c>
      <c r="B76">
        <v>2025</v>
      </c>
      <c r="C76">
        <v>3</v>
      </c>
      <c r="D76" t="s">
        <v>144</v>
      </c>
      <c r="E76">
        <v>31</v>
      </c>
      <c r="F76">
        <v>2</v>
      </c>
      <c r="G76" t="s">
        <v>430</v>
      </c>
      <c r="H76" s="48">
        <v>0.29166666666666669</v>
      </c>
      <c r="I76" s="48">
        <v>0.29166666666666669</v>
      </c>
      <c r="J76" s="48">
        <v>0.29166666666666669</v>
      </c>
      <c r="K76" s="48">
        <v>0.29166666666666669</v>
      </c>
      <c r="L76" s="48">
        <v>0.29166666666666669</v>
      </c>
      <c r="M76" s="48">
        <v>0.29166666666666669</v>
      </c>
      <c r="N76" s="48">
        <v>0.29166666666666669</v>
      </c>
      <c r="O76" s="48">
        <v>0.29166666666666669</v>
      </c>
      <c r="P76" s="48">
        <v>0.29166666666666669</v>
      </c>
      <c r="Q76" s="48">
        <v>0.29166666666666669</v>
      </c>
      <c r="R76" s="48">
        <v>0.29166666666666669</v>
      </c>
      <c r="S76" s="48">
        <v>0.29166666666666669</v>
      </c>
      <c r="T76" s="48">
        <v>0.29166666666666669</v>
      </c>
      <c r="U76" s="48">
        <v>0.29166666666666669</v>
      </c>
      <c r="V76" s="48">
        <v>0.29166666666666669</v>
      </c>
      <c r="W76" s="48">
        <v>0.29166666666666669</v>
      </c>
      <c r="X76" s="48">
        <v>0.29166666666666669</v>
      </c>
      <c r="Y76" s="48">
        <v>0.29166666666666669</v>
      </c>
      <c r="Z76" s="48" t="s">
        <v>320</v>
      </c>
      <c r="AA76" s="48" t="s">
        <v>320</v>
      </c>
      <c r="AB76" s="48" t="s">
        <v>320</v>
      </c>
      <c r="AC76" s="48">
        <v>0.29166666666666669</v>
      </c>
      <c r="AD76" s="48">
        <v>0.29166666666666669</v>
      </c>
      <c r="AE76" s="48">
        <v>0.29166666666666669</v>
      </c>
      <c r="AF76" s="48">
        <v>0.29166666666666669</v>
      </c>
      <c r="AG76" s="48">
        <v>0.29166666666666669</v>
      </c>
      <c r="AH76" s="48">
        <v>0.29166666666666669</v>
      </c>
      <c r="AI76" s="48">
        <v>0.29166666666666669</v>
      </c>
      <c r="AJ76" s="48">
        <v>0.29166666666666669</v>
      </c>
      <c r="AK76" s="48" t="s">
        <v>320</v>
      </c>
      <c r="AL76" s="48" t="s">
        <v>320</v>
      </c>
    </row>
    <row r="77" spans="1:45" hidden="1" x14ac:dyDescent="0.25">
      <c r="A77">
        <v>76</v>
      </c>
      <c r="B77">
        <v>2025</v>
      </c>
      <c r="C77">
        <v>3</v>
      </c>
      <c r="D77" t="s">
        <v>144</v>
      </c>
      <c r="E77">
        <v>31</v>
      </c>
      <c r="F77">
        <v>2</v>
      </c>
      <c r="G77" t="s">
        <v>431</v>
      </c>
      <c r="H77" s="48">
        <v>0.83333333333333326</v>
      </c>
      <c r="I77" s="48">
        <v>0.83333333333333326</v>
      </c>
      <c r="J77" s="48">
        <v>0.75</v>
      </c>
      <c r="K77" s="48">
        <v>0.83333333333333326</v>
      </c>
      <c r="L77" s="48">
        <v>0.75</v>
      </c>
      <c r="M77" s="48">
        <v>0.83333333333333326</v>
      </c>
      <c r="N77" s="48">
        <v>0.75</v>
      </c>
      <c r="O77" s="48">
        <v>0.83333333333333326</v>
      </c>
      <c r="P77" s="48">
        <v>0.83333333333333326</v>
      </c>
      <c r="Q77" s="48">
        <v>0.75</v>
      </c>
      <c r="R77" s="48">
        <v>0.83333333333333326</v>
      </c>
      <c r="S77" s="48">
        <v>0.75</v>
      </c>
      <c r="T77" s="48">
        <v>0.75</v>
      </c>
      <c r="U77" s="48">
        <v>0.83333333333333326</v>
      </c>
      <c r="V77" s="48">
        <v>0.75</v>
      </c>
      <c r="W77" s="48">
        <v>0.83333333333333326</v>
      </c>
      <c r="X77" s="48">
        <v>0.83333333333333326</v>
      </c>
      <c r="Y77" s="48">
        <v>0.75</v>
      </c>
      <c r="Z77" s="48" t="s">
        <v>320</v>
      </c>
      <c r="AA77" s="48" t="s">
        <v>320</v>
      </c>
      <c r="AB77" s="48" t="s">
        <v>320</v>
      </c>
      <c r="AC77" s="48">
        <v>0.75</v>
      </c>
      <c r="AD77" s="48">
        <v>0.83333333333333326</v>
      </c>
      <c r="AE77" s="48">
        <v>0.75</v>
      </c>
      <c r="AF77" s="48">
        <v>0.83333333333333326</v>
      </c>
      <c r="AG77" s="48">
        <v>0.75</v>
      </c>
      <c r="AH77" s="48">
        <v>0.83333333333333326</v>
      </c>
      <c r="AI77" s="48">
        <v>0.83333333333333326</v>
      </c>
      <c r="AJ77" s="48">
        <v>0.75</v>
      </c>
      <c r="AK77" s="48" t="s">
        <v>320</v>
      </c>
      <c r="AL77" s="48" t="s">
        <v>320</v>
      </c>
      <c r="AM77">
        <v>26</v>
      </c>
      <c r="AO77">
        <v>27.99999999999995</v>
      </c>
    </row>
    <row r="78" spans="1:45" hidden="1" x14ac:dyDescent="0.25">
      <c r="A78">
        <v>77</v>
      </c>
      <c r="B78">
        <v>2025</v>
      </c>
      <c r="C78">
        <v>3</v>
      </c>
      <c r="D78" t="s">
        <v>144</v>
      </c>
      <c r="E78">
        <v>31</v>
      </c>
      <c r="F78">
        <v>2</v>
      </c>
      <c r="G78" t="s">
        <v>432</v>
      </c>
      <c r="H78" s="48">
        <v>343570</v>
      </c>
      <c r="I78" s="48">
        <v>343894</v>
      </c>
      <c r="J78" s="48">
        <v>344051</v>
      </c>
      <c r="K78" s="48">
        <v>344204</v>
      </c>
      <c r="L78" s="48">
        <v>344338</v>
      </c>
      <c r="M78" s="48">
        <v>344423</v>
      </c>
      <c r="N78" s="48">
        <v>344524</v>
      </c>
      <c r="O78" s="48">
        <v>344645</v>
      </c>
      <c r="P78" s="48">
        <v>344682</v>
      </c>
      <c r="Q78" s="48">
        <v>344745</v>
      </c>
      <c r="R78" s="48">
        <v>344781</v>
      </c>
      <c r="S78" s="48">
        <v>344832</v>
      </c>
      <c r="T78" s="48">
        <v>344861</v>
      </c>
      <c r="U78" s="48">
        <v>344899</v>
      </c>
      <c r="V78" s="48">
        <v>344935</v>
      </c>
      <c r="W78" s="48">
        <v>344965</v>
      </c>
      <c r="X78" s="48">
        <v>345001</v>
      </c>
      <c r="Y78" s="48">
        <v>345056</v>
      </c>
      <c r="Z78" s="48" t="s">
        <v>320</v>
      </c>
      <c r="AA78" s="48" t="s">
        <v>320</v>
      </c>
      <c r="AB78" s="48" t="s">
        <v>320</v>
      </c>
      <c r="AC78" s="48">
        <v>345591</v>
      </c>
      <c r="AD78" s="48">
        <v>345719</v>
      </c>
      <c r="AE78" s="48">
        <v>345862</v>
      </c>
      <c r="AF78" s="48">
        <v>346005</v>
      </c>
      <c r="AG78" s="48">
        <v>346132</v>
      </c>
      <c r="AH78" s="48">
        <v>346292</v>
      </c>
      <c r="AI78" s="48">
        <v>346420</v>
      </c>
      <c r="AJ78" s="48">
        <v>346554</v>
      </c>
      <c r="AK78" s="48" t="s">
        <v>320</v>
      </c>
      <c r="AL78" s="48" t="s">
        <v>320</v>
      </c>
    </row>
    <row r="79" spans="1:45" hidden="1" x14ac:dyDescent="0.25">
      <c r="A79">
        <v>78</v>
      </c>
      <c r="B79">
        <v>2025</v>
      </c>
      <c r="C79">
        <v>3</v>
      </c>
      <c r="D79" t="s">
        <v>144</v>
      </c>
      <c r="E79">
        <v>31</v>
      </c>
      <c r="F79">
        <v>2</v>
      </c>
      <c r="G79" t="s">
        <v>433</v>
      </c>
      <c r="H79" s="48">
        <v>343754</v>
      </c>
      <c r="I79" s="48">
        <v>344048</v>
      </c>
      <c r="J79" s="48">
        <v>344202</v>
      </c>
      <c r="K79" s="48">
        <v>344338</v>
      </c>
      <c r="L79" s="48">
        <v>344422</v>
      </c>
      <c r="M79" s="48">
        <v>344524</v>
      </c>
      <c r="N79" s="48">
        <v>344620</v>
      </c>
      <c r="O79" s="48">
        <v>344682</v>
      </c>
      <c r="P79" s="48">
        <v>344745</v>
      </c>
      <c r="Q79" s="48">
        <v>344779</v>
      </c>
      <c r="R79" s="48">
        <v>344832</v>
      </c>
      <c r="S79" s="48">
        <v>344861</v>
      </c>
      <c r="T79" s="48">
        <v>344899</v>
      </c>
      <c r="U79" s="48">
        <v>344935</v>
      </c>
      <c r="V79" s="48">
        <v>344965</v>
      </c>
      <c r="W79" s="48">
        <v>345001</v>
      </c>
      <c r="X79" s="48">
        <v>345056</v>
      </c>
      <c r="Y79" s="48">
        <v>345241</v>
      </c>
      <c r="Z79" s="48" t="s">
        <v>320</v>
      </c>
      <c r="AA79" s="48" t="s">
        <v>320</v>
      </c>
      <c r="AB79" s="48" t="s">
        <v>320</v>
      </c>
      <c r="AC79" s="48">
        <v>345718</v>
      </c>
      <c r="AD79" s="48">
        <v>345848</v>
      </c>
      <c r="AE79" s="48">
        <v>346005</v>
      </c>
      <c r="AF79" s="48">
        <v>346132</v>
      </c>
      <c r="AG79" s="48">
        <v>346280</v>
      </c>
      <c r="AH79" s="48">
        <v>346420</v>
      </c>
      <c r="AI79" s="48">
        <v>346554</v>
      </c>
      <c r="AJ79" s="48">
        <v>346678</v>
      </c>
      <c r="AK79" s="48" t="s">
        <v>320</v>
      </c>
      <c r="AL79" s="48" t="s">
        <v>320</v>
      </c>
      <c r="AP79">
        <v>383.7</v>
      </c>
      <c r="AQ79">
        <v>15</v>
      </c>
      <c r="AS79">
        <v>2558</v>
      </c>
    </row>
    <row r="80" spans="1:45" hidden="1" x14ac:dyDescent="0.25">
      <c r="A80">
        <v>79</v>
      </c>
      <c r="B80">
        <v>2025</v>
      </c>
      <c r="C80">
        <v>3</v>
      </c>
      <c r="D80" t="s">
        <v>145</v>
      </c>
      <c r="E80">
        <v>31</v>
      </c>
      <c r="F80">
        <v>2</v>
      </c>
      <c r="G80" t="s">
        <v>430</v>
      </c>
      <c r="H80" s="48">
        <v>0.29166666666666669</v>
      </c>
      <c r="I80" s="48" t="s">
        <v>320</v>
      </c>
      <c r="J80" s="48">
        <v>0.29166666666666669</v>
      </c>
      <c r="K80" s="48">
        <v>0.29166666666666669</v>
      </c>
      <c r="L80" s="48">
        <v>0.29166666666666669</v>
      </c>
      <c r="M80" s="48">
        <v>0.29166666666666669</v>
      </c>
      <c r="N80" s="48">
        <v>0.29166666666666669</v>
      </c>
      <c r="O80" s="48">
        <v>0.29166666666666669</v>
      </c>
      <c r="P80" s="48">
        <v>0.29166666666666669</v>
      </c>
      <c r="Q80" s="48">
        <v>0.29166666666666669</v>
      </c>
      <c r="R80" s="48">
        <v>0.29166666666666669</v>
      </c>
      <c r="S80" s="48">
        <v>0.29166666666666669</v>
      </c>
      <c r="T80" s="48">
        <v>0.29166666666666669</v>
      </c>
      <c r="U80" s="48">
        <v>0.29166666666666669</v>
      </c>
      <c r="V80" s="48">
        <v>0.29166666666666669</v>
      </c>
      <c r="W80" s="48">
        <v>0.29166666666666669</v>
      </c>
      <c r="X80" s="48">
        <v>0.29166666666666669</v>
      </c>
      <c r="Y80" s="48">
        <v>0.29166666666666669</v>
      </c>
      <c r="Z80" s="48" t="s">
        <v>320</v>
      </c>
      <c r="AA80" s="48" t="s">
        <v>320</v>
      </c>
      <c r="AB80" s="48" t="s">
        <v>320</v>
      </c>
      <c r="AC80" s="48">
        <v>0.29166666666666669</v>
      </c>
      <c r="AD80" s="48">
        <v>0.29166666666666669</v>
      </c>
      <c r="AE80" s="48">
        <v>0.29166666666666669</v>
      </c>
      <c r="AF80" s="48">
        <v>0.29166666666666669</v>
      </c>
      <c r="AG80" s="48">
        <v>0.29166666666666669</v>
      </c>
      <c r="AH80" s="48">
        <v>0.29166666666666669</v>
      </c>
      <c r="AI80" s="48">
        <v>0.29166666666666669</v>
      </c>
      <c r="AJ80" s="48">
        <v>0.29166666666666669</v>
      </c>
      <c r="AK80" s="48" t="s">
        <v>320</v>
      </c>
      <c r="AL80" s="48" t="s">
        <v>320</v>
      </c>
    </row>
    <row r="81" spans="1:45" hidden="1" x14ac:dyDescent="0.25">
      <c r="A81">
        <v>80</v>
      </c>
      <c r="B81">
        <v>2025</v>
      </c>
      <c r="C81">
        <v>3</v>
      </c>
      <c r="D81" t="s">
        <v>145</v>
      </c>
      <c r="E81">
        <v>31</v>
      </c>
      <c r="F81">
        <v>2</v>
      </c>
      <c r="G81" t="s">
        <v>431</v>
      </c>
      <c r="H81" s="48">
        <v>0.75</v>
      </c>
      <c r="I81" s="48" t="s">
        <v>320</v>
      </c>
      <c r="J81" s="48">
        <v>0.75</v>
      </c>
      <c r="K81" s="48">
        <v>0.75</v>
      </c>
      <c r="L81" s="48">
        <v>0.75</v>
      </c>
      <c r="M81" s="48">
        <v>0.75</v>
      </c>
      <c r="N81" s="48">
        <v>0.75</v>
      </c>
      <c r="O81" s="48">
        <v>0.75</v>
      </c>
      <c r="P81" s="48">
        <v>0.75</v>
      </c>
      <c r="Q81" s="48">
        <v>0.75</v>
      </c>
      <c r="R81" s="48">
        <v>0.75</v>
      </c>
      <c r="S81" s="48">
        <v>0.75</v>
      </c>
      <c r="T81" s="48">
        <v>0.75</v>
      </c>
      <c r="U81" s="48">
        <v>0.75</v>
      </c>
      <c r="V81" s="48">
        <v>0.75</v>
      </c>
      <c r="W81" s="48">
        <v>0.75</v>
      </c>
      <c r="X81" s="48">
        <v>0.75</v>
      </c>
      <c r="Y81" s="48">
        <v>0.75</v>
      </c>
      <c r="Z81" s="48" t="s">
        <v>320</v>
      </c>
      <c r="AA81" s="48" t="s">
        <v>320</v>
      </c>
      <c r="AB81" s="48" t="s">
        <v>320</v>
      </c>
      <c r="AC81" s="48">
        <v>0.75</v>
      </c>
      <c r="AD81" s="48">
        <v>0.75</v>
      </c>
      <c r="AE81" s="48">
        <v>0.75</v>
      </c>
      <c r="AF81" s="48">
        <v>0.75</v>
      </c>
      <c r="AG81" s="48">
        <v>0.75</v>
      </c>
      <c r="AH81" s="48">
        <v>0.75</v>
      </c>
      <c r="AI81" s="48">
        <v>0.75</v>
      </c>
      <c r="AJ81" s="48">
        <v>0.75</v>
      </c>
      <c r="AK81" s="48" t="s">
        <v>320</v>
      </c>
      <c r="AL81" s="48" t="s">
        <v>320</v>
      </c>
      <c r="AM81">
        <v>25</v>
      </c>
    </row>
    <row r="82" spans="1:45" hidden="1" x14ac:dyDescent="0.25">
      <c r="A82">
        <v>81</v>
      </c>
      <c r="B82">
        <v>2025</v>
      </c>
      <c r="C82">
        <v>3</v>
      </c>
      <c r="D82" t="s">
        <v>145</v>
      </c>
      <c r="E82">
        <v>31</v>
      </c>
      <c r="F82">
        <v>2</v>
      </c>
      <c r="G82" t="s">
        <v>432</v>
      </c>
      <c r="H82" s="48">
        <v>880125</v>
      </c>
      <c r="I82" s="48" t="s">
        <v>320</v>
      </c>
      <c r="J82" s="48">
        <v>880287</v>
      </c>
      <c r="K82" s="48">
        <v>880394</v>
      </c>
      <c r="L82" s="48">
        <v>880480</v>
      </c>
      <c r="M82" s="48">
        <v>880550</v>
      </c>
      <c r="N82" s="48">
        <v>880664</v>
      </c>
      <c r="O82" s="48">
        <v>880771</v>
      </c>
      <c r="P82" s="48">
        <v>880831</v>
      </c>
      <c r="Q82" s="48">
        <v>881002</v>
      </c>
      <c r="R82" s="48">
        <v>881050</v>
      </c>
      <c r="S82" s="48">
        <v>881085</v>
      </c>
      <c r="T82" s="48">
        <v>881149</v>
      </c>
      <c r="U82" s="48">
        <v>881223</v>
      </c>
      <c r="V82" s="48">
        <v>881301</v>
      </c>
      <c r="W82" s="48">
        <v>881376</v>
      </c>
      <c r="X82" s="48">
        <v>881481</v>
      </c>
      <c r="Y82" s="48">
        <v>881530</v>
      </c>
      <c r="Z82" s="48" t="s">
        <v>320</v>
      </c>
      <c r="AA82" s="48" t="s">
        <v>320</v>
      </c>
      <c r="AB82" s="48" t="s">
        <v>320</v>
      </c>
      <c r="AC82" s="48">
        <v>881608</v>
      </c>
      <c r="AD82" s="48">
        <v>881688</v>
      </c>
      <c r="AE82" s="48">
        <v>881766</v>
      </c>
      <c r="AF82" s="48">
        <v>881811</v>
      </c>
      <c r="AG82" s="48">
        <v>881860</v>
      </c>
      <c r="AH82" s="48">
        <v>881916</v>
      </c>
      <c r="AI82" s="48">
        <v>881982</v>
      </c>
      <c r="AJ82" s="48">
        <v>882055</v>
      </c>
      <c r="AK82" s="48" t="s">
        <v>320</v>
      </c>
      <c r="AL82" s="48" t="s">
        <v>320</v>
      </c>
    </row>
    <row r="83" spans="1:45" hidden="1" x14ac:dyDescent="0.25">
      <c r="A83">
        <v>82</v>
      </c>
      <c r="B83">
        <v>2025</v>
      </c>
      <c r="C83">
        <v>3</v>
      </c>
      <c r="D83" t="s">
        <v>145</v>
      </c>
      <c r="E83">
        <v>31</v>
      </c>
      <c r="F83">
        <v>2</v>
      </c>
      <c r="G83" t="s">
        <v>433</v>
      </c>
      <c r="H83" s="48">
        <v>880245</v>
      </c>
      <c r="I83" s="48" t="s">
        <v>320</v>
      </c>
      <c r="J83" s="48">
        <v>880394</v>
      </c>
      <c r="K83" s="48">
        <v>880480</v>
      </c>
      <c r="L83" s="48">
        <v>880550</v>
      </c>
      <c r="M83" s="48">
        <v>880664</v>
      </c>
      <c r="N83" s="48">
        <v>880771</v>
      </c>
      <c r="O83" s="48">
        <v>880831</v>
      </c>
      <c r="P83" s="48">
        <v>880929</v>
      </c>
      <c r="Q83" s="48">
        <v>881050</v>
      </c>
      <c r="R83" s="48">
        <v>881085</v>
      </c>
      <c r="S83" s="48">
        <v>881149</v>
      </c>
      <c r="T83" s="48">
        <v>881223</v>
      </c>
      <c r="U83" s="48">
        <v>881301</v>
      </c>
      <c r="V83" s="48">
        <v>881376</v>
      </c>
      <c r="W83" s="48">
        <v>881481</v>
      </c>
      <c r="X83" s="48">
        <v>881530</v>
      </c>
      <c r="Y83" s="48">
        <v>881574</v>
      </c>
      <c r="Z83" s="48" t="s">
        <v>320</v>
      </c>
      <c r="AA83" s="48" t="s">
        <v>320</v>
      </c>
      <c r="AB83" s="48" t="s">
        <v>320</v>
      </c>
      <c r="AC83" s="48">
        <v>881688</v>
      </c>
      <c r="AD83" s="48">
        <v>881766</v>
      </c>
      <c r="AE83" s="48">
        <v>881811</v>
      </c>
      <c r="AF83" s="48">
        <v>881860</v>
      </c>
      <c r="AG83" s="48">
        <v>881916</v>
      </c>
      <c r="AH83" s="48">
        <v>881982</v>
      </c>
      <c r="AI83" s="48">
        <v>882055</v>
      </c>
      <c r="AJ83" s="48">
        <v>882130</v>
      </c>
      <c r="AK83" s="48" t="s">
        <v>320</v>
      </c>
      <c r="AL83" s="48" t="s">
        <v>320</v>
      </c>
      <c r="AP83">
        <v>278.39999999999998</v>
      </c>
      <c r="AQ83">
        <v>15</v>
      </c>
      <c r="AS83">
        <v>1856</v>
      </c>
    </row>
    <row r="84" spans="1:45" hidden="1" x14ac:dyDescent="0.25">
      <c r="A84">
        <v>83</v>
      </c>
      <c r="B84">
        <v>2025</v>
      </c>
      <c r="C84">
        <v>3</v>
      </c>
      <c r="D84" t="s">
        <v>162</v>
      </c>
      <c r="E84">
        <v>31</v>
      </c>
      <c r="F84">
        <v>2</v>
      </c>
      <c r="G84" t="s">
        <v>430</v>
      </c>
      <c r="H84" s="48">
        <v>0.29166666666666669</v>
      </c>
      <c r="I84" s="48">
        <v>0.29166666666666669</v>
      </c>
      <c r="J84" s="48">
        <v>0.29166666666666669</v>
      </c>
      <c r="K84" s="48">
        <v>0.29166666666666669</v>
      </c>
      <c r="L84" s="48">
        <v>0.29166666666666669</v>
      </c>
      <c r="M84" s="48">
        <v>0.29166666666666669</v>
      </c>
      <c r="N84" s="48">
        <v>0.29166666666666669</v>
      </c>
      <c r="O84" s="48">
        <v>0.29166666666666669</v>
      </c>
      <c r="P84" s="48">
        <v>0.29166666666666669</v>
      </c>
      <c r="Q84" s="48">
        <v>0.29166666666666669</v>
      </c>
      <c r="R84" s="48">
        <v>0.29166666666666669</v>
      </c>
      <c r="S84" s="48">
        <v>0.29166666666666669</v>
      </c>
      <c r="T84" s="48">
        <v>0.29166666666666669</v>
      </c>
      <c r="U84" s="48">
        <v>0.29166666666666669</v>
      </c>
      <c r="V84" s="48">
        <v>0.29166666666666669</v>
      </c>
      <c r="W84" s="48">
        <v>0.29166666666666669</v>
      </c>
      <c r="X84" s="48">
        <v>0.29166666666666669</v>
      </c>
      <c r="Y84" s="48">
        <v>0.29166666666666669</v>
      </c>
      <c r="Z84" s="48" t="s">
        <v>320</v>
      </c>
      <c r="AA84" s="48">
        <v>0.29166666666666669</v>
      </c>
      <c r="AB84" s="48" t="s">
        <v>320</v>
      </c>
      <c r="AC84" s="48">
        <v>0.29166666666666669</v>
      </c>
      <c r="AD84" s="48">
        <v>0.29166666666666669</v>
      </c>
      <c r="AE84" s="48">
        <v>0.29166666666666669</v>
      </c>
      <c r="AF84" s="48">
        <v>0.29166666666666669</v>
      </c>
      <c r="AG84" s="48">
        <v>0.29166666666666669</v>
      </c>
      <c r="AH84" s="48">
        <v>0.29166666666666669</v>
      </c>
      <c r="AI84" s="48">
        <v>0.29166666666666669</v>
      </c>
      <c r="AJ84" s="48">
        <v>0.29166666666666669</v>
      </c>
      <c r="AK84" s="48">
        <v>0.29166666666666669</v>
      </c>
      <c r="AL84" s="48" t="s">
        <v>320</v>
      </c>
    </row>
    <row r="85" spans="1:45" hidden="1" x14ac:dyDescent="0.25">
      <c r="A85">
        <v>84</v>
      </c>
      <c r="B85">
        <v>2025</v>
      </c>
      <c r="C85">
        <v>3</v>
      </c>
      <c r="D85" t="s">
        <v>162</v>
      </c>
      <c r="E85">
        <v>31</v>
      </c>
      <c r="F85">
        <v>2</v>
      </c>
      <c r="G85" t="s">
        <v>431</v>
      </c>
      <c r="H85" s="48">
        <v>0.875</v>
      </c>
      <c r="I85" s="48">
        <v>0.875</v>
      </c>
      <c r="J85" s="48">
        <v>0.875</v>
      </c>
      <c r="K85" s="48">
        <v>0.875</v>
      </c>
      <c r="L85" s="48">
        <v>0.875</v>
      </c>
      <c r="M85" s="48">
        <v>0.875</v>
      </c>
      <c r="N85" s="48">
        <v>0.875</v>
      </c>
      <c r="O85" s="48">
        <v>0.875</v>
      </c>
      <c r="P85" s="48">
        <v>0.875</v>
      </c>
      <c r="Q85" s="48">
        <v>0.875</v>
      </c>
      <c r="R85" s="48">
        <v>0.875</v>
      </c>
      <c r="S85" s="48">
        <v>0.875</v>
      </c>
      <c r="T85" s="48">
        <v>0.875</v>
      </c>
      <c r="U85" s="48">
        <v>0.875</v>
      </c>
      <c r="V85" s="48">
        <v>0.875</v>
      </c>
      <c r="W85" s="48">
        <v>0.875</v>
      </c>
      <c r="X85" s="48">
        <v>0.875</v>
      </c>
      <c r="Y85" s="48">
        <v>0.875</v>
      </c>
      <c r="Z85" s="48" t="s">
        <v>320</v>
      </c>
      <c r="AA85" s="48">
        <v>0.875</v>
      </c>
      <c r="AB85" s="48" t="s">
        <v>320</v>
      </c>
      <c r="AC85" s="48">
        <v>0.875</v>
      </c>
      <c r="AD85" s="48">
        <v>0.875</v>
      </c>
      <c r="AE85" s="48">
        <v>0.875</v>
      </c>
      <c r="AF85" s="48">
        <v>0.875</v>
      </c>
      <c r="AG85" s="48">
        <v>0.875</v>
      </c>
      <c r="AH85" s="48">
        <v>0.875</v>
      </c>
      <c r="AI85" s="48">
        <v>0.875</v>
      </c>
      <c r="AJ85" s="48">
        <v>0.875</v>
      </c>
      <c r="AK85" s="48">
        <v>0.79166666666666674</v>
      </c>
      <c r="AL85" s="48" t="s">
        <v>320</v>
      </c>
      <c r="AM85">
        <v>28</v>
      </c>
      <c r="AO85">
        <v>81.999999999999986</v>
      </c>
    </row>
    <row r="86" spans="1:45" hidden="1" x14ac:dyDescent="0.25">
      <c r="A86">
        <v>85</v>
      </c>
      <c r="B86">
        <v>2025</v>
      </c>
      <c r="C86">
        <v>3</v>
      </c>
      <c r="D86" t="s">
        <v>162</v>
      </c>
      <c r="E86">
        <v>31</v>
      </c>
      <c r="F86">
        <v>2</v>
      </c>
      <c r="G86" t="s">
        <v>432</v>
      </c>
      <c r="H86" s="48">
        <v>87703</v>
      </c>
      <c r="I86" s="48">
        <v>87951</v>
      </c>
      <c r="J86" s="48">
        <v>88163</v>
      </c>
      <c r="K86" s="48">
        <v>88331</v>
      </c>
      <c r="L86" s="48">
        <v>88613</v>
      </c>
      <c r="M86" s="48">
        <v>88835</v>
      </c>
      <c r="N86" s="48">
        <v>89080</v>
      </c>
      <c r="O86" s="48">
        <v>89321</v>
      </c>
      <c r="P86" s="48">
        <v>89597</v>
      </c>
      <c r="Q86" s="48">
        <v>89848</v>
      </c>
      <c r="R86" s="48">
        <v>90102</v>
      </c>
      <c r="S86" s="48">
        <v>90343</v>
      </c>
      <c r="T86" s="48">
        <v>90553</v>
      </c>
      <c r="U86" s="48">
        <v>90788</v>
      </c>
      <c r="V86" s="48">
        <v>91035</v>
      </c>
      <c r="W86" s="48">
        <v>91310</v>
      </c>
      <c r="X86" s="48">
        <v>91630</v>
      </c>
      <c r="Y86" s="48">
        <v>91973</v>
      </c>
      <c r="Z86" s="48" t="s">
        <v>320</v>
      </c>
      <c r="AA86" s="48">
        <v>92342</v>
      </c>
      <c r="AB86" s="48" t="s">
        <v>320</v>
      </c>
      <c r="AC86" s="48">
        <v>93012</v>
      </c>
      <c r="AD86" s="48">
        <v>93246</v>
      </c>
      <c r="AE86" s="48">
        <v>93570</v>
      </c>
      <c r="AF86" s="48">
        <v>93804</v>
      </c>
      <c r="AG86" s="48">
        <v>94053</v>
      </c>
      <c r="AH86" s="48">
        <v>94303</v>
      </c>
      <c r="AI86" s="48">
        <v>94541</v>
      </c>
      <c r="AJ86" s="48">
        <v>94809</v>
      </c>
      <c r="AK86" s="48">
        <v>95046</v>
      </c>
      <c r="AL86" s="48" t="s">
        <v>320</v>
      </c>
    </row>
    <row r="87" spans="1:45" hidden="1" x14ac:dyDescent="0.25">
      <c r="A87">
        <v>86</v>
      </c>
      <c r="B87">
        <v>2025</v>
      </c>
      <c r="C87">
        <v>3</v>
      </c>
      <c r="D87" t="s">
        <v>162</v>
      </c>
      <c r="E87">
        <v>31</v>
      </c>
      <c r="F87">
        <v>2</v>
      </c>
      <c r="G87" t="s">
        <v>433</v>
      </c>
      <c r="H87" s="48">
        <v>87951</v>
      </c>
      <c r="I87" s="48">
        <v>88163</v>
      </c>
      <c r="J87" s="48">
        <v>88331</v>
      </c>
      <c r="K87" s="48">
        <v>88613</v>
      </c>
      <c r="L87" s="48">
        <v>88835</v>
      </c>
      <c r="M87" s="48">
        <v>89080</v>
      </c>
      <c r="N87" s="48">
        <v>89321</v>
      </c>
      <c r="O87" s="48">
        <v>89597</v>
      </c>
      <c r="P87" s="48">
        <v>89848</v>
      </c>
      <c r="Q87" s="48">
        <v>90102</v>
      </c>
      <c r="R87" s="48">
        <v>90343</v>
      </c>
      <c r="S87" s="48">
        <v>90553</v>
      </c>
      <c r="T87" s="48">
        <v>90788</v>
      </c>
      <c r="U87" s="48">
        <v>91035</v>
      </c>
      <c r="V87" s="48">
        <v>91310</v>
      </c>
      <c r="W87" s="48">
        <v>91630</v>
      </c>
      <c r="X87" s="48">
        <v>91973</v>
      </c>
      <c r="Y87" s="48">
        <v>92312</v>
      </c>
      <c r="Z87" s="48" t="s">
        <v>320</v>
      </c>
      <c r="AA87" s="48">
        <v>92774</v>
      </c>
      <c r="AB87" s="48" t="s">
        <v>320</v>
      </c>
      <c r="AC87" s="48">
        <v>93246</v>
      </c>
      <c r="AD87" s="48">
        <v>93570</v>
      </c>
      <c r="AE87" s="48">
        <v>93804</v>
      </c>
      <c r="AF87" s="48">
        <v>94053</v>
      </c>
      <c r="AG87" s="48">
        <v>94303</v>
      </c>
      <c r="AH87" s="48">
        <v>94541</v>
      </c>
      <c r="AI87" s="48">
        <v>94809</v>
      </c>
      <c r="AJ87" s="48">
        <v>95046</v>
      </c>
      <c r="AK87" s="48">
        <v>95332</v>
      </c>
      <c r="AL87" s="48" t="s">
        <v>320</v>
      </c>
      <c r="AP87">
        <v>1104.1499999999999</v>
      </c>
      <c r="AQ87">
        <v>14.999999999999998</v>
      </c>
      <c r="AS87">
        <v>7361</v>
      </c>
    </row>
    <row r="88" spans="1:45" hidden="1" x14ac:dyDescent="0.25">
      <c r="A88">
        <v>87</v>
      </c>
      <c r="B88">
        <v>2025</v>
      </c>
      <c r="C88">
        <v>3</v>
      </c>
      <c r="D88" t="s">
        <v>163</v>
      </c>
      <c r="E88">
        <v>31</v>
      </c>
      <c r="F88">
        <v>2</v>
      </c>
      <c r="G88" t="s">
        <v>430</v>
      </c>
      <c r="H88" s="48">
        <v>0.29166666666666669</v>
      </c>
      <c r="I88" s="48">
        <v>0.29166666666666669</v>
      </c>
      <c r="J88" s="48">
        <v>0.29166666666666669</v>
      </c>
      <c r="K88" s="48">
        <v>0.29166666666666669</v>
      </c>
      <c r="L88" s="48">
        <v>0.29166666666666669</v>
      </c>
      <c r="M88" s="48">
        <v>0.29166666666666669</v>
      </c>
      <c r="N88" s="48">
        <v>0.29166666666666669</v>
      </c>
      <c r="O88" s="48">
        <v>0.29166666666666669</v>
      </c>
      <c r="P88" s="48">
        <v>0.29166666666666669</v>
      </c>
      <c r="Q88" s="48">
        <v>0.29166666666666669</v>
      </c>
      <c r="R88" s="48">
        <v>0.29166666666666669</v>
      </c>
      <c r="S88" s="48">
        <v>0.29166666666666669</v>
      </c>
      <c r="T88" s="48">
        <v>0.29166666666666669</v>
      </c>
      <c r="U88" s="48">
        <v>0.29166666666666669</v>
      </c>
      <c r="V88" s="48">
        <v>0.29166666666666669</v>
      </c>
      <c r="W88" s="48">
        <v>0.29166666666666669</v>
      </c>
      <c r="X88" s="48">
        <v>0.29166666666666669</v>
      </c>
      <c r="Y88" s="48">
        <v>0.29166666666666669</v>
      </c>
      <c r="Z88" s="48" t="s">
        <v>320</v>
      </c>
      <c r="AA88" s="48">
        <v>0.29166666666666669</v>
      </c>
      <c r="AB88" s="48">
        <v>0.29166666666666669</v>
      </c>
      <c r="AC88" s="48">
        <v>0.29166666666666669</v>
      </c>
      <c r="AD88" s="48">
        <v>0.29166666666666669</v>
      </c>
      <c r="AE88" s="48">
        <v>0.29166666666666669</v>
      </c>
      <c r="AF88" s="48">
        <v>0.29166666666666669</v>
      </c>
      <c r="AG88" s="48">
        <v>0.29166666666666669</v>
      </c>
      <c r="AH88" s="48">
        <v>0.29166666666666669</v>
      </c>
      <c r="AI88" s="48">
        <v>0.29166666666666669</v>
      </c>
      <c r="AJ88" s="48">
        <v>0.29166666666666669</v>
      </c>
      <c r="AK88" s="48" t="s">
        <v>320</v>
      </c>
      <c r="AL88" s="48">
        <v>0.29166666666666669</v>
      </c>
    </row>
    <row r="89" spans="1:45" hidden="1" x14ac:dyDescent="0.25">
      <c r="A89">
        <v>88</v>
      </c>
      <c r="B89">
        <v>2025</v>
      </c>
      <c r="C89">
        <v>3</v>
      </c>
      <c r="D89" t="s">
        <v>163</v>
      </c>
      <c r="E89">
        <v>31</v>
      </c>
      <c r="F89">
        <v>2</v>
      </c>
      <c r="G89" t="s">
        <v>431</v>
      </c>
      <c r="H89" s="48">
        <v>0.83333333333333326</v>
      </c>
      <c r="I89" s="48">
        <v>0.83333333333333326</v>
      </c>
      <c r="J89" s="48">
        <v>0.83333333333333326</v>
      </c>
      <c r="K89" s="48">
        <v>0.83333333333333326</v>
      </c>
      <c r="L89" s="48">
        <v>0.83333333333333326</v>
      </c>
      <c r="M89" s="48">
        <v>0.83333333333333326</v>
      </c>
      <c r="N89" s="48">
        <v>0.83333333333333326</v>
      </c>
      <c r="O89" s="48">
        <v>0.83333333333333326</v>
      </c>
      <c r="P89" s="48">
        <v>0.83333333333333326</v>
      </c>
      <c r="Q89" s="48">
        <v>0.83333333333333326</v>
      </c>
      <c r="R89" s="48">
        <v>0.83333333333333326</v>
      </c>
      <c r="S89" s="48">
        <v>0.83333333333333326</v>
      </c>
      <c r="T89" s="48">
        <v>0.83333333333333326</v>
      </c>
      <c r="U89" s="48">
        <v>0.83333333333333326</v>
      </c>
      <c r="V89" s="48">
        <v>0.83333333333333326</v>
      </c>
      <c r="W89" s="48">
        <v>0.83333333333333326</v>
      </c>
      <c r="X89" s="48">
        <v>0.83333333333333326</v>
      </c>
      <c r="Y89" s="48">
        <v>0.83333333333333326</v>
      </c>
      <c r="Z89" s="48" t="s">
        <v>320</v>
      </c>
      <c r="AA89" s="48">
        <v>0.75</v>
      </c>
      <c r="AB89" s="48">
        <v>0.875</v>
      </c>
      <c r="AC89" s="48">
        <v>0.83333333333333326</v>
      </c>
      <c r="AD89" s="48">
        <v>0.83333333333333326</v>
      </c>
      <c r="AE89" s="48">
        <v>0.83333333333333326</v>
      </c>
      <c r="AF89" s="48">
        <v>0.83333333333333326</v>
      </c>
      <c r="AG89" s="48">
        <v>0.83333333333333326</v>
      </c>
      <c r="AH89" s="48">
        <v>0.83333333333333326</v>
      </c>
      <c r="AI89" s="48">
        <v>0.83333333333333326</v>
      </c>
      <c r="AJ89" s="48">
        <v>0.83333333333333326</v>
      </c>
      <c r="AK89" s="48" t="s">
        <v>320</v>
      </c>
      <c r="AL89" s="48">
        <v>0.75</v>
      </c>
      <c r="AM89">
        <v>29</v>
      </c>
      <c r="AO89">
        <v>54.999999999999943</v>
      </c>
    </row>
    <row r="90" spans="1:45" hidden="1" x14ac:dyDescent="0.25">
      <c r="A90">
        <v>89</v>
      </c>
      <c r="B90">
        <v>2025</v>
      </c>
      <c r="C90">
        <v>3</v>
      </c>
      <c r="D90" t="s">
        <v>163</v>
      </c>
      <c r="E90">
        <v>31</v>
      </c>
      <c r="F90">
        <v>2</v>
      </c>
      <c r="G90" t="s">
        <v>432</v>
      </c>
      <c r="H90" s="48">
        <v>303032</v>
      </c>
      <c r="I90" s="48">
        <v>303135</v>
      </c>
      <c r="J90" s="48">
        <v>303268</v>
      </c>
      <c r="K90" s="48">
        <v>303498</v>
      </c>
      <c r="L90" s="48">
        <v>303623</v>
      </c>
      <c r="M90" s="48">
        <v>303750</v>
      </c>
      <c r="N90" s="48">
        <v>303956</v>
      </c>
      <c r="O90" s="48">
        <v>304091</v>
      </c>
      <c r="P90" s="48">
        <v>304262</v>
      </c>
      <c r="Q90" s="48">
        <v>304459</v>
      </c>
      <c r="R90" s="48">
        <v>304574</v>
      </c>
      <c r="S90" s="48">
        <v>304747</v>
      </c>
      <c r="T90" s="48">
        <v>304861</v>
      </c>
      <c r="U90" s="48">
        <v>305021</v>
      </c>
      <c r="V90" s="48">
        <v>305172</v>
      </c>
      <c r="W90" s="48">
        <v>305359</v>
      </c>
      <c r="X90" s="48">
        <v>305548</v>
      </c>
      <c r="Y90" s="48">
        <v>305660</v>
      </c>
      <c r="Z90" s="48" t="s">
        <v>320</v>
      </c>
      <c r="AA90" s="48">
        <v>305944</v>
      </c>
      <c r="AB90" s="48">
        <v>306200</v>
      </c>
      <c r="AC90" s="48">
        <v>306325</v>
      </c>
      <c r="AD90" s="48">
        <v>306485</v>
      </c>
      <c r="AE90" s="48">
        <v>306595</v>
      </c>
      <c r="AF90" s="48">
        <v>306809</v>
      </c>
      <c r="AG90" s="48">
        <v>306941</v>
      </c>
      <c r="AH90" s="48">
        <v>307115</v>
      </c>
      <c r="AI90" s="48">
        <v>307229</v>
      </c>
      <c r="AJ90" s="48">
        <v>307427</v>
      </c>
      <c r="AK90" s="48" t="s">
        <v>320</v>
      </c>
      <c r="AL90" s="48">
        <v>307776</v>
      </c>
    </row>
    <row r="91" spans="1:45" hidden="1" x14ac:dyDescent="0.25">
      <c r="A91">
        <v>90</v>
      </c>
      <c r="B91">
        <v>2025</v>
      </c>
      <c r="C91">
        <v>3</v>
      </c>
      <c r="D91" t="s">
        <v>163</v>
      </c>
      <c r="E91">
        <v>31</v>
      </c>
      <c r="F91">
        <v>2</v>
      </c>
      <c r="G91" t="s">
        <v>433</v>
      </c>
      <c r="H91" s="48">
        <v>303135</v>
      </c>
      <c r="I91" s="48">
        <v>303268</v>
      </c>
      <c r="J91" s="48">
        <v>303498</v>
      </c>
      <c r="K91" s="48">
        <v>303623</v>
      </c>
      <c r="L91" s="48">
        <v>303750</v>
      </c>
      <c r="M91" s="48">
        <v>303956</v>
      </c>
      <c r="N91" s="48">
        <v>304091</v>
      </c>
      <c r="O91" s="48">
        <v>304262</v>
      </c>
      <c r="P91" s="48">
        <v>304459</v>
      </c>
      <c r="Q91" s="48">
        <v>304574</v>
      </c>
      <c r="R91" s="48">
        <v>304747</v>
      </c>
      <c r="S91" s="48">
        <v>304861</v>
      </c>
      <c r="T91" s="48">
        <v>305021</v>
      </c>
      <c r="U91" s="48">
        <v>305172</v>
      </c>
      <c r="V91" s="48">
        <v>305359</v>
      </c>
      <c r="W91" s="48">
        <v>305548</v>
      </c>
      <c r="X91" s="48">
        <v>305660</v>
      </c>
      <c r="Y91" s="48">
        <v>305785</v>
      </c>
      <c r="Z91" s="48" t="s">
        <v>320</v>
      </c>
      <c r="AA91" s="48">
        <v>306054</v>
      </c>
      <c r="AB91" s="48">
        <v>306325</v>
      </c>
      <c r="AC91" s="48">
        <v>306485</v>
      </c>
      <c r="AD91" s="48">
        <v>306595</v>
      </c>
      <c r="AE91" s="48">
        <v>306809</v>
      </c>
      <c r="AF91" s="48">
        <v>306941</v>
      </c>
      <c r="AG91" s="48">
        <v>307115</v>
      </c>
      <c r="AH91" s="48">
        <v>307229</v>
      </c>
      <c r="AI91" s="48">
        <v>307427</v>
      </c>
      <c r="AJ91" s="48">
        <v>307537</v>
      </c>
      <c r="AK91" s="48" t="s">
        <v>320</v>
      </c>
      <c r="AL91" s="48">
        <v>307886</v>
      </c>
      <c r="AP91">
        <v>646.5</v>
      </c>
      <c r="AQ91">
        <v>15</v>
      </c>
      <c r="AS91">
        <v>4310</v>
      </c>
    </row>
    <row r="92" spans="1:45" hidden="1" x14ac:dyDescent="0.25">
      <c r="A92">
        <v>91</v>
      </c>
      <c r="B92">
        <v>2025</v>
      </c>
      <c r="C92">
        <v>3</v>
      </c>
      <c r="D92" t="s">
        <v>146</v>
      </c>
      <c r="E92">
        <v>31</v>
      </c>
      <c r="F92">
        <v>2</v>
      </c>
      <c r="G92" t="s">
        <v>430</v>
      </c>
      <c r="H92" s="48" t="s">
        <v>320</v>
      </c>
      <c r="I92" s="48" t="s">
        <v>320</v>
      </c>
      <c r="J92" s="48" t="s">
        <v>320</v>
      </c>
      <c r="K92" s="48" t="s">
        <v>320</v>
      </c>
      <c r="L92" s="48">
        <v>0.29166666666666669</v>
      </c>
      <c r="M92" s="48">
        <v>0.29166666666666669</v>
      </c>
      <c r="N92" s="48">
        <v>0.29166666666666669</v>
      </c>
      <c r="O92" s="48">
        <v>0.29166666666666669</v>
      </c>
      <c r="P92" s="48">
        <v>0.29166666666666669</v>
      </c>
      <c r="Q92" s="48">
        <v>0.29166666666666669</v>
      </c>
      <c r="R92" s="48">
        <v>0.29166666666666669</v>
      </c>
      <c r="S92" s="48">
        <v>0.29166666666666669</v>
      </c>
      <c r="T92" s="48">
        <v>0.29166666666666669</v>
      </c>
      <c r="U92" s="48">
        <v>0.29166666666666669</v>
      </c>
      <c r="V92" s="48">
        <v>0.29166666666666669</v>
      </c>
      <c r="W92" s="48">
        <v>0.29166666666666669</v>
      </c>
      <c r="X92" s="48">
        <v>0.29166666666666669</v>
      </c>
      <c r="Y92" s="48">
        <v>0.29166666666666669</v>
      </c>
      <c r="Z92" s="48">
        <v>0.29166666666666669</v>
      </c>
      <c r="AA92" s="48" t="s">
        <v>320</v>
      </c>
      <c r="AB92" s="48">
        <v>0.29166666666666669</v>
      </c>
      <c r="AC92" s="48">
        <v>0.29166666666666669</v>
      </c>
      <c r="AD92" s="48">
        <v>0.29166666666666669</v>
      </c>
      <c r="AE92" s="48">
        <v>0.29166666666666669</v>
      </c>
      <c r="AF92" s="48">
        <v>0.29166666666666669</v>
      </c>
      <c r="AG92" s="48">
        <v>0.29166666666666669</v>
      </c>
      <c r="AH92" s="48">
        <v>0.29166666666666669</v>
      </c>
      <c r="AI92" s="48">
        <v>0.29166666666666669</v>
      </c>
      <c r="AJ92" s="48">
        <v>0.29166666666666669</v>
      </c>
      <c r="AK92" s="48" t="s">
        <v>320</v>
      </c>
      <c r="AL92" s="48">
        <v>0.29166666666666669</v>
      </c>
    </row>
    <row r="93" spans="1:45" hidden="1" x14ac:dyDescent="0.25">
      <c r="A93">
        <v>92</v>
      </c>
      <c r="B93">
        <v>2025</v>
      </c>
      <c r="C93">
        <v>3</v>
      </c>
      <c r="D93" t="s">
        <v>146</v>
      </c>
      <c r="E93">
        <v>31</v>
      </c>
      <c r="F93">
        <v>2</v>
      </c>
      <c r="G93" t="s">
        <v>431</v>
      </c>
      <c r="H93" s="48" t="s">
        <v>320</v>
      </c>
      <c r="I93" s="48" t="s">
        <v>320</v>
      </c>
      <c r="J93" s="48" t="s">
        <v>320</v>
      </c>
      <c r="K93" s="48" t="s">
        <v>320</v>
      </c>
      <c r="L93" s="48">
        <v>0.75</v>
      </c>
      <c r="M93" s="48">
        <v>0.75</v>
      </c>
      <c r="N93" s="48">
        <v>0.75</v>
      </c>
      <c r="O93" s="48">
        <v>0.75</v>
      </c>
      <c r="P93" s="48">
        <v>0.75</v>
      </c>
      <c r="Q93" s="48">
        <v>0.75</v>
      </c>
      <c r="R93" s="48">
        <v>0.75</v>
      </c>
      <c r="S93" s="48">
        <v>0.75</v>
      </c>
      <c r="T93" s="48">
        <v>0.75</v>
      </c>
      <c r="U93" s="48">
        <v>0.75</v>
      </c>
      <c r="V93" s="48">
        <v>0.75</v>
      </c>
      <c r="W93" s="48">
        <v>0.75</v>
      </c>
      <c r="X93" s="48">
        <v>0.75</v>
      </c>
      <c r="Y93" s="48">
        <v>0.75</v>
      </c>
      <c r="Z93" s="48">
        <v>0.75</v>
      </c>
      <c r="AA93" s="48" t="s">
        <v>320</v>
      </c>
      <c r="AB93" s="48">
        <v>0.75</v>
      </c>
      <c r="AC93" s="48">
        <v>0.75</v>
      </c>
      <c r="AD93" s="48">
        <v>0.75</v>
      </c>
      <c r="AE93" s="48">
        <v>0.75</v>
      </c>
      <c r="AF93" s="48">
        <v>0.75</v>
      </c>
      <c r="AG93" s="48">
        <v>0.75</v>
      </c>
      <c r="AH93" s="48">
        <v>0.75</v>
      </c>
      <c r="AI93" s="48">
        <v>0.75</v>
      </c>
      <c r="AJ93" s="48">
        <v>0.75</v>
      </c>
      <c r="AK93" s="48" t="s">
        <v>320</v>
      </c>
      <c r="AL93" s="48">
        <v>0.75</v>
      </c>
      <c r="AM93">
        <v>25</v>
      </c>
    </row>
    <row r="94" spans="1:45" hidden="1" x14ac:dyDescent="0.25">
      <c r="A94">
        <v>93</v>
      </c>
      <c r="B94">
        <v>2025</v>
      </c>
      <c r="C94">
        <v>3</v>
      </c>
      <c r="D94" t="s">
        <v>146</v>
      </c>
      <c r="E94">
        <v>31</v>
      </c>
      <c r="F94">
        <v>2</v>
      </c>
      <c r="G94" t="s">
        <v>432</v>
      </c>
      <c r="H94" s="48" t="s">
        <v>320</v>
      </c>
      <c r="I94" s="48" t="s">
        <v>320</v>
      </c>
      <c r="J94" s="48" t="s">
        <v>320</v>
      </c>
      <c r="K94" s="48" t="s">
        <v>320</v>
      </c>
      <c r="L94" s="48">
        <v>816508</v>
      </c>
      <c r="M94" s="48">
        <v>816732</v>
      </c>
      <c r="N94" s="48">
        <v>816959</v>
      </c>
      <c r="O94" s="48">
        <v>817190</v>
      </c>
      <c r="P94" s="48">
        <v>817397</v>
      </c>
      <c r="Q94" s="48">
        <v>817631</v>
      </c>
      <c r="R94" s="48">
        <v>817857</v>
      </c>
      <c r="S94" s="48">
        <v>818095</v>
      </c>
      <c r="T94" s="48">
        <v>818337</v>
      </c>
      <c r="U94" s="48">
        <v>818560</v>
      </c>
      <c r="V94" s="48">
        <v>818744</v>
      </c>
      <c r="W94" s="48">
        <v>818968</v>
      </c>
      <c r="X94" s="48">
        <v>819195</v>
      </c>
      <c r="Y94" s="48">
        <v>819426</v>
      </c>
      <c r="Z94" s="48">
        <v>819647</v>
      </c>
      <c r="AA94" s="48" t="s">
        <v>320</v>
      </c>
      <c r="AB94" s="48">
        <v>819952</v>
      </c>
      <c r="AC94" s="48">
        <v>820125</v>
      </c>
      <c r="AD94" s="48">
        <v>820267</v>
      </c>
      <c r="AE94" s="48">
        <v>820419</v>
      </c>
      <c r="AF94" s="48">
        <v>820645</v>
      </c>
      <c r="AG94" s="48">
        <v>820858</v>
      </c>
      <c r="AH94" s="48">
        <v>821082</v>
      </c>
      <c r="AI94" s="48">
        <v>821301</v>
      </c>
      <c r="AJ94" s="48">
        <v>821524</v>
      </c>
      <c r="AK94" s="48" t="s">
        <v>320</v>
      </c>
      <c r="AL94" s="48">
        <v>821830</v>
      </c>
    </row>
    <row r="95" spans="1:45" hidden="1" x14ac:dyDescent="0.25">
      <c r="A95">
        <v>94</v>
      </c>
      <c r="B95">
        <v>2025</v>
      </c>
      <c r="C95">
        <v>3</v>
      </c>
      <c r="D95" t="s">
        <v>146</v>
      </c>
      <c r="E95">
        <v>31</v>
      </c>
      <c r="F95">
        <v>2</v>
      </c>
      <c r="G95" t="s">
        <v>433</v>
      </c>
      <c r="H95" s="48" t="s">
        <v>320</v>
      </c>
      <c r="I95" s="48" t="s">
        <v>320</v>
      </c>
      <c r="J95" s="48" t="s">
        <v>320</v>
      </c>
      <c r="K95" s="48" t="s">
        <v>320</v>
      </c>
      <c r="L95" s="48">
        <v>816732</v>
      </c>
      <c r="M95" s="48">
        <v>816959</v>
      </c>
      <c r="N95" s="48">
        <v>817190</v>
      </c>
      <c r="O95" s="48">
        <v>817397</v>
      </c>
      <c r="P95" s="48">
        <v>817631</v>
      </c>
      <c r="Q95" s="48">
        <v>817857</v>
      </c>
      <c r="R95" s="48">
        <v>818095</v>
      </c>
      <c r="S95" s="48">
        <v>818337</v>
      </c>
      <c r="T95" s="48">
        <v>818560</v>
      </c>
      <c r="U95" s="48">
        <v>818744</v>
      </c>
      <c r="V95" s="48">
        <v>818968</v>
      </c>
      <c r="W95" s="48">
        <v>819195</v>
      </c>
      <c r="X95" s="48">
        <v>819426</v>
      </c>
      <c r="Y95" s="48">
        <v>819647</v>
      </c>
      <c r="Z95" s="48">
        <v>819828</v>
      </c>
      <c r="AA95" s="48" t="s">
        <v>320</v>
      </c>
      <c r="AB95" s="48">
        <v>820125</v>
      </c>
      <c r="AC95" s="48">
        <v>820267</v>
      </c>
      <c r="AD95" s="48">
        <v>820419</v>
      </c>
      <c r="AE95" s="48">
        <v>820645</v>
      </c>
      <c r="AF95" s="48">
        <v>820858</v>
      </c>
      <c r="AG95" s="48">
        <v>821082</v>
      </c>
      <c r="AH95" s="48">
        <v>821301</v>
      </c>
      <c r="AI95" s="48">
        <v>821524</v>
      </c>
      <c r="AJ95" s="48">
        <v>821728</v>
      </c>
      <c r="AK95" s="48" t="s">
        <v>320</v>
      </c>
      <c r="AL95" s="48">
        <v>821994</v>
      </c>
      <c r="AP95">
        <v>789</v>
      </c>
      <c r="AQ95">
        <v>15</v>
      </c>
      <c r="AS95">
        <v>5260</v>
      </c>
    </row>
    <row r="96" spans="1:45" hidden="1" x14ac:dyDescent="0.25">
      <c r="A96">
        <v>95</v>
      </c>
      <c r="B96">
        <v>2025</v>
      </c>
      <c r="C96">
        <v>3</v>
      </c>
      <c r="D96" t="s">
        <v>155</v>
      </c>
      <c r="E96">
        <v>31</v>
      </c>
      <c r="F96">
        <v>2</v>
      </c>
      <c r="G96" t="s">
        <v>430</v>
      </c>
      <c r="H96" s="48" t="s">
        <v>320</v>
      </c>
      <c r="I96" s="48" t="s">
        <v>320</v>
      </c>
      <c r="J96" s="48" t="s">
        <v>320</v>
      </c>
      <c r="K96" s="48" t="s">
        <v>320</v>
      </c>
      <c r="L96" s="48" t="s">
        <v>320</v>
      </c>
      <c r="M96" s="48" t="s">
        <v>320</v>
      </c>
      <c r="N96" s="48" t="s">
        <v>320</v>
      </c>
      <c r="O96" s="48" t="s">
        <v>320</v>
      </c>
      <c r="P96" s="48" t="s">
        <v>320</v>
      </c>
      <c r="Q96" s="48">
        <v>0.29166666666666669</v>
      </c>
      <c r="R96" s="48">
        <v>0.29166666666666669</v>
      </c>
      <c r="S96" s="48">
        <v>0.29166666666666669</v>
      </c>
      <c r="T96" s="48">
        <v>0.29166666666666669</v>
      </c>
      <c r="U96" s="48">
        <v>0.29166666666666669</v>
      </c>
      <c r="V96" s="48">
        <v>0.29166666666666669</v>
      </c>
      <c r="W96" s="48">
        <v>0.29166666666666669</v>
      </c>
      <c r="X96" s="48">
        <v>0.29166666666666669</v>
      </c>
      <c r="Y96" s="48">
        <v>0.29166666666666669</v>
      </c>
      <c r="Z96" s="48" t="s">
        <v>320</v>
      </c>
      <c r="AA96" s="48" t="s">
        <v>320</v>
      </c>
      <c r="AB96" s="48" t="s">
        <v>320</v>
      </c>
      <c r="AC96" s="48">
        <v>0.29166666666666669</v>
      </c>
      <c r="AD96" s="48">
        <v>0.29166666666666669</v>
      </c>
      <c r="AE96" s="48">
        <v>0.29166666666666669</v>
      </c>
      <c r="AF96" s="48">
        <v>0.29166666666666669</v>
      </c>
      <c r="AG96" s="48">
        <v>0.29166666666666669</v>
      </c>
      <c r="AH96" s="48">
        <v>0.29166666666666669</v>
      </c>
      <c r="AI96" s="48">
        <v>0.29166666666666669</v>
      </c>
      <c r="AJ96" s="48">
        <v>0.29166666666666669</v>
      </c>
      <c r="AK96" s="48">
        <v>0.29166666666666669</v>
      </c>
      <c r="AL96" s="48" t="s">
        <v>320</v>
      </c>
    </row>
    <row r="97" spans="1:45" hidden="1" x14ac:dyDescent="0.25">
      <c r="A97">
        <v>96</v>
      </c>
      <c r="B97">
        <v>2025</v>
      </c>
      <c r="C97">
        <v>3</v>
      </c>
      <c r="D97" t="s">
        <v>155</v>
      </c>
      <c r="E97">
        <v>31</v>
      </c>
      <c r="F97">
        <v>2</v>
      </c>
      <c r="G97" t="s">
        <v>431</v>
      </c>
      <c r="H97" s="48" t="s">
        <v>320</v>
      </c>
      <c r="I97" s="48" t="s">
        <v>320</v>
      </c>
      <c r="J97" s="48" t="s">
        <v>320</v>
      </c>
      <c r="K97" s="48" t="s">
        <v>320</v>
      </c>
      <c r="L97" s="48" t="s">
        <v>320</v>
      </c>
      <c r="M97" s="48" t="s">
        <v>320</v>
      </c>
      <c r="N97" s="48" t="s">
        <v>320</v>
      </c>
      <c r="O97" s="48" t="s">
        <v>320</v>
      </c>
      <c r="P97" s="48" t="s">
        <v>320</v>
      </c>
      <c r="Q97" s="48">
        <v>0.75</v>
      </c>
      <c r="R97" s="48">
        <v>0.75</v>
      </c>
      <c r="S97" s="48">
        <v>0.75</v>
      </c>
      <c r="T97" s="48">
        <v>0.75</v>
      </c>
      <c r="U97" s="48">
        <v>0.75</v>
      </c>
      <c r="V97" s="48">
        <v>0.875</v>
      </c>
      <c r="W97" s="48">
        <v>0.83333333333333326</v>
      </c>
      <c r="X97" s="48">
        <v>0.79166666666666674</v>
      </c>
      <c r="Y97" s="48">
        <v>0.83333333333333326</v>
      </c>
      <c r="Z97" s="48" t="s">
        <v>320</v>
      </c>
      <c r="AA97" s="48" t="s">
        <v>320</v>
      </c>
      <c r="AB97" s="48" t="s">
        <v>320</v>
      </c>
      <c r="AC97" s="48">
        <v>0.875</v>
      </c>
      <c r="AD97" s="48">
        <v>0.83333333333333326</v>
      </c>
      <c r="AE97" s="48">
        <v>0.75</v>
      </c>
      <c r="AF97" s="48">
        <v>1.0416666666666667</v>
      </c>
      <c r="AG97" s="48">
        <v>1.0416666666666667</v>
      </c>
      <c r="AH97" s="48">
        <v>1.0416666666666667</v>
      </c>
      <c r="AI97" s="48">
        <v>0.75</v>
      </c>
      <c r="AJ97" s="48">
        <v>0.75</v>
      </c>
      <c r="AK97" s="48">
        <v>0.75</v>
      </c>
      <c r="AL97" s="48" t="s">
        <v>320</v>
      </c>
      <c r="AM97">
        <v>18</v>
      </c>
      <c r="AO97">
        <v>33.999999999999986</v>
      </c>
    </row>
    <row r="98" spans="1:45" hidden="1" x14ac:dyDescent="0.25">
      <c r="A98">
        <v>97</v>
      </c>
      <c r="B98">
        <v>2025</v>
      </c>
      <c r="C98">
        <v>3</v>
      </c>
      <c r="D98" t="s">
        <v>155</v>
      </c>
      <c r="E98">
        <v>31</v>
      </c>
      <c r="F98">
        <v>2</v>
      </c>
      <c r="G98" t="s">
        <v>432</v>
      </c>
      <c r="H98" s="48" t="s">
        <v>320</v>
      </c>
      <c r="I98" s="48" t="s">
        <v>320</v>
      </c>
      <c r="J98" s="48" t="s">
        <v>320</v>
      </c>
      <c r="K98" s="48" t="s">
        <v>320</v>
      </c>
      <c r="L98" s="48" t="s">
        <v>320</v>
      </c>
      <c r="M98" s="48" t="s">
        <v>320</v>
      </c>
      <c r="N98" s="48" t="s">
        <v>320</v>
      </c>
      <c r="O98" s="48" t="s">
        <v>320</v>
      </c>
      <c r="P98" s="48" t="s">
        <v>320</v>
      </c>
      <c r="Q98" s="48">
        <v>358552</v>
      </c>
      <c r="R98" s="48">
        <v>358630</v>
      </c>
      <c r="S98" s="48">
        <v>358715</v>
      </c>
      <c r="T98" s="48">
        <v>358803</v>
      </c>
      <c r="U98" s="48">
        <v>358853</v>
      </c>
      <c r="V98" s="48">
        <v>358922</v>
      </c>
      <c r="W98" s="48">
        <v>359017</v>
      </c>
      <c r="X98" s="48">
        <v>359125</v>
      </c>
      <c r="Y98" s="48">
        <v>359289</v>
      </c>
      <c r="Z98" s="48" t="s">
        <v>320</v>
      </c>
      <c r="AA98" s="48" t="s">
        <v>320</v>
      </c>
      <c r="AB98" s="48" t="s">
        <v>320</v>
      </c>
      <c r="AC98" s="48">
        <v>359481</v>
      </c>
      <c r="AD98" s="48">
        <v>359675</v>
      </c>
      <c r="AE98" s="48">
        <v>359818</v>
      </c>
      <c r="AF98" s="48">
        <v>359894</v>
      </c>
      <c r="AG98" s="48">
        <v>359976</v>
      </c>
      <c r="AH98" s="48">
        <v>360089</v>
      </c>
      <c r="AI98" s="48">
        <v>360237</v>
      </c>
      <c r="AJ98" s="48">
        <v>360374</v>
      </c>
      <c r="AK98" s="48">
        <v>360496</v>
      </c>
      <c r="AL98" s="48" t="s">
        <v>320</v>
      </c>
    </row>
    <row r="99" spans="1:45" hidden="1" x14ac:dyDescent="0.25">
      <c r="A99">
        <v>98</v>
      </c>
      <c r="B99">
        <v>2025</v>
      </c>
      <c r="C99">
        <v>3</v>
      </c>
      <c r="D99" t="s">
        <v>155</v>
      </c>
      <c r="E99">
        <v>31</v>
      </c>
      <c r="F99">
        <v>2</v>
      </c>
      <c r="G99" t="s">
        <v>433</v>
      </c>
      <c r="H99" s="48" t="s">
        <v>320</v>
      </c>
      <c r="I99" s="48" t="s">
        <v>320</v>
      </c>
      <c r="J99" s="48" t="s">
        <v>320</v>
      </c>
      <c r="K99" s="48" t="s">
        <v>320</v>
      </c>
      <c r="L99" s="48" t="s">
        <v>320</v>
      </c>
      <c r="M99" s="48" t="s">
        <v>320</v>
      </c>
      <c r="N99" s="48" t="s">
        <v>320</v>
      </c>
      <c r="O99" s="48" t="s">
        <v>320</v>
      </c>
      <c r="P99" s="48" t="s">
        <v>320</v>
      </c>
      <c r="Q99" s="48">
        <v>358630</v>
      </c>
      <c r="R99" s="48">
        <v>358715</v>
      </c>
      <c r="S99" s="48">
        <v>358803</v>
      </c>
      <c r="T99" s="48">
        <v>358853</v>
      </c>
      <c r="U99" s="48">
        <v>358922</v>
      </c>
      <c r="V99" s="48">
        <v>359017</v>
      </c>
      <c r="W99" s="48">
        <v>359125</v>
      </c>
      <c r="X99" s="48">
        <v>359289</v>
      </c>
      <c r="Y99" s="48">
        <v>359481</v>
      </c>
      <c r="Z99" s="48" t="s">
        <v>320</v>
      </c>
      <c r="AA99" s="48" t="s">
        <v>320</v>
      </c>
      <c r="AB99" s="48" t="s">
        <v>320</v>
      </c>
      <c r="AC99" s="48">
        <v>359675</v>
      </c>
      <c r="AD99" s="48">
        <v>359818</v>
      </c>
      <c r="AE99" s="48">
        <v>359894</v>
      </c>
      <c r="AF99" s="48">
        <v>359976</v>
      </c>
      <c r="AG99" s="48">
        <v>360089</v>
      </c>
      <c r="AH99" s="48">
        <v>360237</v>
      </c>
      <c r="AI99" s="48">
        <v>360374</v>
      </c>
      <c r="AJ99" s="48">
        <v>360496</v>
      </c>
      <c r="AK99" s="48">
        <v>360605</v>
      </c>
      <c r="AL99" s="48" t="s">
        <v>320</v>
      </c>
      <c r="AP99">
        <v>307.95</v>
      </c>
      <c r="AQ99">
        <v>15</v>
      </c>
      <c r="AS99">
        <v>2053</v>
      </c>
    </row>
    <row r="100" spans="1:45" hidden="1" x14ac:dyDescent="0.25">
      <c r="A100">
        <v>99</v>
      </c>
      <c r="B100">
        <v>2025</v>
      </c>
      <c r="C100">
        <v>3</v>
      </c>
      <c r="D100" t="s">
        <v>147</v>
      </c>
      <c r="E100">
        <v>31</v>
      </c>
      <c r="F100">
        <v>2</v>
      </c>
      <c r="G100" t="s">
        <v>430</v>
      </c>
      <c r="H100" s="48" t="s">
        <v>320</v>
      </c>
      <c r="I100" s="48" t="s">
        <v>320</v>
      </c>
      <c r="J100" s="48" t="s">
        <v>320</v>
      </c>
      <c r="K100" s="48" t="s">
        <v>320</v>
      </c>
      <c r="L100" s="48" t="s">
        <v>320</v>
      </c>
      <c r="M100" s="48" t="s">
        <v>320</v>
      </c>
      <c r="N100" s="48" t="s">
        <v>320</v>
      </c>
      <c r="O100" s="48" t="s">
        <v>320</v>
      </c>
      <c r="P100" s="48" t="s">
        <v>320</v>
      </c>
      <c r="Q100" s="48" t="s">
        <v>320</v>
      </c>
      <c r="R100" s="48" t="s">
        <v>320</v>
      </c>
      <c r="S100" s="48" t="s">
        <v>320</v>
      </c>
      <c r="T100" s="48">
        <v>0.29166666666666669</v>
      </c>
      <c r="U100" s="48">
        <v>0.29166666666666669</v>
      </c>
      <c r="V100" s="48">
        <v>0.29166666666666669</v>
      </c>
      <c r="W100" s="48">
        <v>0.29166666666666669</v>
      </c>
      <c r="X100" s="48">
        <v>0.29166666666666669</v>
      </c>
      <c r="Y100" s="48">
        <v>0.29166666666666669</v>
      </c>
      <c r="Z100" s="48" t="s">
        <v>320</v>
      </c>
      <c r="AA100" s="48" t="s">
        <v>320</v>
      </c>
      <c r="AB100" s="48" t="s">
        <v>320</v>
      </c>
      <c r="AC100" s="48" t="s">
        <v>320</v>
      </c>
      <c r="AD100" s="48" t="s">
        <v>320</v>
      </c>
      <c r="AE100" s="48" t="s">
        <v>320</v>
      </c>
      <c r="AF100" s="48" t="s">
        <v>320</v>
      </c>
      <c r="AG100" s="48">
        <v>0.29166666666666669</v>
      </c>
      <c r="AH100" s="48">
        <v>0.29166666666666669</v>
      </c>
      <c r="AI100" s="48">
        <v>0.29166666666666669</v>
      </c>
      <c r="AJ100" s="48">
        <v>0.29166666666666669</v>
      </c>
      <c r="AK100" s="48" t="s">
        <v>320</v>
      </c>
      <c r="AL100" s="48" t="s">
        <v>320</v>
      </c>
    </row>
    <row r="101" spans="1:45" hidden="1" x14ac:dyDescent="0.25">
      <c r="A101">
        <v>100</v>
      </c>
      <c r="B101">
        <v>2025</v>
      </c>
      <c r="C101">
        <v>3</v>
      </c>
      <c r="D101" t="s">
        <v>147</v>
      </c>
      <c r="E101">
        <v>31</v>
      </c>
      <c r="F101">
        <v>2</v>
      </c>
      <c r="G101" t="s">
        <v>431</v>
      </c>
      <c r="H101" s="48" t="s">
        <v>320</v>
      </c>
      <c r="I101" s="48" t="s">
        <v>320</v>
      </c>
      <c r="J101" s="48" t="s">
        <v>320</v>
      </c>
      <c r="K101" s="48" t="s">
        <v>320</v>
      </c>
      <c r="L101" s="48" t="s">
        <v>320</v>
      </c>
      <c r="M101" s="48" t="s">
        <v>320</v>
      </c>
      <c r="N101" s="48" t="s">
        <v>320</v>
      </c>
      <c r="O101" s="48" t="s">
        <v>320</v>
      </c>
      <c r="P101" s="48" t="s">
        <v>320</v>
      </c>
      <c r="Q101" s="48" t="s">
        <v>320</v>
      </c>
      <c r="R101" s="48" t="s">
        <v>320</v>
      </c>
      <c r="S101" s="48" t="s">
        <v>320</v>
      </c>
      <c r="T101" s="48">
        <v>0.75</v>
      </c>
      <c r="U101" s="48">
        <v>0.75</v>
      </c>
      <c r="V101" s="48">
        <v>0.75</v>
      </c>
      <c r="W101" s="48">
        <v>0.75</v>
      </c>
      <c r="X101" s="48">
        <v>0.75</v>
      </c>
      <c r="Y101" s="48">
        <v>0.75</v>
      </c>
      <c r="Z101" s="48" t="s">
        <v>320</v>
      </c>
      <c r="AA101" s="48" t="s">
        <v>320</v>
      </c>
      <c r="AB101" s="48" t="s">
        <v>320</v>
      </c>
      <c r="AC101" s="48" t="s">
        <v>320</v>
      </c>
      <c r="AD101" s="48" t="s">
        <v>320</v>
      </c>
      <c r="AE101" s="48" t="s">
        <v>320</v>
      </c>
      <c r="AF101" s="48" t="s">
        <v>320</v>
      </c>
      <c r="AG101" s="48">
        <v>0.75</v>
      </c>
      <c r="AH101" s="48">
        <v>0.75</v>
      </c>
      <c r="AI101" s="48">
        <v>0.75</v>
      </c>
      <c r="AJ101" s="48">
        <v>0.75</v>
      </c>
      <c r="AK101" s="48" t="s">
        <v>320</v>
      </c>
      <c r="AL101" s="48" t="s">
        <v>320</v>
      </c>
      <c r="AM101">
        <v>10</v>
      </c>
    </row>
    <row r="102" spans="1:45" hidden="1" x14ac:dyDescent="0.25">
      <c r="A102">
        <v>101</v>
      </c>
      <c r="B102">
        <v>2025</v>
      </c>
      <c r="C102">
        <v>3</v>
      </c>
      <c r="D102" t="s">
        <v>147</v>
      </c>
      <c r="E102">
        <v>31</v>
      </c>
      <c r="F102">
        <v>2</v>
      </c>
      <c r="G102" t="s">
        <v>432</v>
      </c>
      <c r="H102" s="48" t="s">
        <v>320</v>
      </c>
      <c r="I102" s="48" t="s">
        <v>320</v>
      </c>
      <c r="J102" s="48" t="s">
        <v>320</v>
      </c>
      <c r="K102" s="48" t="s">
        <v>320</v>
      </c>
      <c r="L102" s="48" t="s">
        <v>320</v>
      </c>
      <c r="M102" s="48" t="s">
        <v>320</v>
      </c>
      <c r="N102" s="48" t="s">
        <v>320</v>
      </c>
      <c r="O102" s="48" t="s">
        <v>320</v>
      </c>
      <c r="P102" s="48" t="s">
        <v>320</v>
      </c>
      <c r="Q102" s="48" t="s">
        <v>320</v>
      </c>
      <c r="R102" s="48" t="s">
        <v>320</v>
      </c>
      <c r="S102" s="48" t="s">
        <v>320</v>
      </c>
      <c r="T102" s="48">
        <v>404573</v>
      </c>
      <c r="U102" s="48">
        <v>404770</v>
      </c>
      <c r="V102" s="48">
        <v>404973</v>
      </c>
      <c r="W102" s="48">
        <v>405175</v>
      </c>
      <c r="X102" s="48">
        <v>405373</v>
      </c>
      <c r="Y102" s="48">
        <v>405573</v>
      </c>
      <c r="Z102" s="48" t="s">
        <v>320</v>
      </c>
      <c r="AA102" s="48" t="s">
        <v>320</v>
      </c>
      <c r="AB102" s="48" t="s">
        <v>320</v>
      </c>
      <c r="AC102" s="48" t="s">
        <v>320</v>
      </c>
      <c r="AD102" s="48" t="s">
        <v>320</v>
      </c>
      <c r="AE102" s="48" t="s">
        <v>320</v>
      </c>
      <c r="AF102" s="48" t="s">
        <v>320</v>
      </c>
      <c r="AG102" s="48">
        <v>405825</v>
      </c>
      <c r="AH102" s="48">
        <v>406004</v>
      </c>
      <c r="AI102" s="48">
        <v>406181</v>
      </c>
      <c r="AJ102" s="48">
        <v>406359</v>
      </c>
      <c r="AK102" s="48" t="s">
        <v>320</v>
      </c>
      <c r="AL102" s="48" t="s">
        <v>320</v>
      </c>
    </row>
    <row r="103" spans="1:45" hidden="1" x14ac:dyDescent="0.25">
      <c r="A103">
        <v>102</v>
      </c>
      <c r="B103">
        <v>2025</v>
      </c>
      <c r="C103">
        <v>3</v>
      </c>
      <c r="D103" t="s">
        <v>147</v>
      </c>
      <c r="E103">
        <v>31</v>
      </c>
      <c r="F103">
        <v>2</v>
      </c>
      <c r="G103" t="s">
        <v>433</v>
      </c>
      <c r="H103" s="48" t="s">
        <v>320</v>
      </c>
      <c r="I103" s="48" t="s">
        <v>320</v>
      </c>
      <c r="J103" s="48" t="s">
        <v>320</v>
      </c>
      <c r="K103" s="48" t="s">
        <v>320</v>
      </c>
      <c r="L103" s="48" t="s">
        <v>320</v>
      </c>
      <c r="M103" s="48" t="s">
        <v>320</v>
      </c>
      <c r="N103" s="48" t="s">
        <v>320</v>
      </c>
      <c r="O103" s="48" t="s">
        <v>320</v>
      </c>
      <c r="P103" s="48" t="s">
        <v>320</v>
      </c>
      <c r="Q103" s="48" t="s">
        <v>320</v>
      </c>
      <c r="R103" s="48" t="s">
        <v>320</v>
      </c>
      <c r="S103" s="48" t="s">
        <v>320</v>
      </c>
      <c r="T103" s="48">
        <v>404770</v>
      </c>
      <c r="U103" s="48">
        <v>404973</v>
      </c>
      <c r="V103" s="48">
        <v>405175</v>
      </c>
      <c r="W103" s="48">
        <v>405373</v>
      </c>
      <c r="X103" s="48">
        <v>405573</v>
      </c>
      <c r="Y103" s="48">
        <v>405769</v>
      </c>
      <c r="Z103" s="48" t="s">
        <v>320</v>
      </c>
      <c r="AA103" s="48" t="s">
        <v>320</v>
      </c>
      <c r="AB103" s="48" t="s">
        <v>320</v>
      </c>
      <c r="AC103" s="48" t="s">
        <v>320</v>
      </c>
      <c r="AD103" s="48" t="s">
        <v>320</v>
      </c>
      <c r="AE103" s="48" t="s">
        <v>320</v>
      </c>
      <c r="AF103" s="48" t="s">
        <v>320</v>
      </c>
      <c r="AG103" s="48">
        <v>406004</v>
      </c>
      <c r="AH103" s="48">
        <v>406181</v>
      </c>
      <c r="AI103" s="48">
        <v>406359</v>
      </c>
      <c r="AJ103" s="48">
        <v>406550</v>
      </c>
      <c r="AK103" s="48" t="s">
        <v>320</v>
      </c>
      <c r="AL103" s="48" t="s">
        <v>320</v>
      </c>
      <c r="AP103">
        <v>345.78</v>
      </c>
      <c r="AQ103">
        <v>18</v>
      </c>
      <c r="AS103">
        <v>1921</v>
      </c>
    </row>
    <row r="104" spans="1:45" hidden="1" x14ac:dyDescent="0.25">
      <c r="A104">
        <v>103</v>
      </c>
      <c r="B104">
        <v>2025</v>
      </c>
      <c r="C104">
        <v>3</v>
      </c>
      <c r="D104" t="s">
        <v>164</v>
      </c>
      <c r="E104">
        <v>31</v>
      </c>
      <c r="F104">
        <v>2</v>
      </c>
      <c r="G104" t="s">
        <v>430</v>
      </c>
      <c r="H104" s="48" t="s">
        <v>320</v>
      </c>
      <c r="I104" s="48" t="s">
        <v>320</v>
      </c>
      <c r="J104" s="48" t="s">
        <v>320</v>
      </c>
      <c r="K104" s="48" t="s">
        <v>320</v>
      </c>
      <c r="L104" s="48" t="s">
        <v>320</v>
      </c>
      <c r="M104" s="48" t="s">
        <v>320</v>
      </c>
      <c r="N104" s="48" t="s">
        <v>320</v>
      </c>
      <c r="O104" s="48" t="s">
        <v>320</v>
      </c>
      <c r="P104" s="48" t="s">
        <v>320</v>
      </c>
      <c r="Q104" s="48" t="s">
        <v>320</v>
      </c>
      <c r="R104" s="48" t="s">
        <v>320</v>
      </c>
      <c r="S104" s="48" t="s">
        <v>320</v>
      </c>
      <c r="T104" s="48" t="s">
        <v>320</v>
      </c>
      <c r="U104" s="48" t="s">
        <v>320</v>
      </c>
      <c r="V104" s="48" t="s">
        <v>320</v>
      </c>
      <c r="W104" s="48" t="s">
        <v>320</v>
      </c>
      <c r="X104" s="48" t="s">
        <v>320</v>
      </c>
      <c r="Y104" s="48" t="s">
        <v>320</v>
      </c>
      <c r="Z104" s="48" t="s">
        <v>320</v>
      </c>
      <c r="AA104" s="48" t="s">
        <v>320</v>
      </c>
      <c r="AB104" s="48" t="s">
        <v>320</v>
      </c>
      <c r="AC104" s="48" t="s">
        <v>320</v>
      </c>
      <c r="AD104" s="48" t="s">
        <v>320</v>
      </c>
      <c r="AE104" s="48" t="s">
        <v>320</v>
      </c>
      <c r="AF104" s="48" t="s">
        <v>320</v>
      </c>
      <c r="AG104" s="48">
        <v>0.29166666666666669</v>
      </c>
      <c r="AH104" s="48">
        <v>0.29166666666666669</v>
      </c>
      <c r="AI104" s="48">
        <v>0.29166666666666669</v>
      </c>
      <c r="AJ104" s="48">
        <v>0.29166666666666669</v>
      </c>
      <c r="AK104" s="48" t="s">
        <v>320</v>
      </c>
      <c r="AL104" s="48" t="s">
        <v>320</v>
      </c>
    </row>
    <row r="105" spans="1:45" hidden="1" x14ac:dyDescent="0.25">
      <c r="A105">
        <v>104</v>
      </c>
      <c r="B105">
        <v>2025</v>
      </c>
      <c r="C105">
        <v>3</v>
      </c>
      <c r="D105" t="s">
        <v>164</v>
      </c>
      <c r="E105">
        <v>31</v>
      </c>
      <c r="F105">
        <v>2</v>
      </c>
      <c r="G105" t="s">
        <v>431</v>
      </c>
      <c r="H105" s="48" t="s">
        <v>320</v>
      </c>
      <c r="I105" s="48" t="s">
        <v>320</v>
      </c>
      <c r="J105" s="48" t="s">
        <v>320</v>
      </c>
      <c r="K105" s="48" t="s">
        <v>320</v>
      </c>
      <c r="L105" s="48" t="s">
        <v>320</v>
      </c>
      <c r="M105" s="48" t="s">
        <v>320</v>
      </c>
      <c r="N105" s="48" t="s">
        <v>320</v>
      </c>
      <c r="O105" s="48" t="s">
        <v>320</v>
      </c>
      <c r="P105" s="48" t="s">
        <v>320</v>
      </c>
      <c r="Q105" s="48" t="s">
        <v>320</v>
      </c>
      <c r="R105" s="48" t="s">
        <v>320</v>
      </c>
      <c r="S105" s="48" t="s">
        <v>320</v>
      </c>
      <c r="T105" s="48" t="s">
        <v>320</v>
      </c>
      <c r="U105" s="48" t="s">
        <v>320</v>
      </c>
      <c r="V105" s="48" t="s">
        <v>320</v>
      </c>
      <c r="W105" s="48" t="s">
        <v>320</v>
      </c>
      <c r="X105" s="48" t="s">
        <v>320</v>
      </c>
      <c r="Y105" s="48" t="s">
        <v>320</v>
      </c>
      <c r="Z105" s="48" t="s">
        <v>320</v>
      </c>
      <c r="AA105" s="48" t="s">
        <v>320</v>
      </c>
      <c r="AB105" s="48" t="s">
        <v>320</v>
      </c>
      <c r="AC105" s="48" t="s">
        <v>320</v>
      </c>
      <c r="AD105" s="48" t="s">
        <v>320</v>
      </c>
      <c r="AE105" s="48" t="s">
        <v>320</v>
      </c>
      <c r="AF105" s="48" t="s">
        <v>320</v>
      </c>
      <c r="AG105" s="48">
        <v>0.75</v>
      </c>
      <c r="AH105" s="48">
        <v>0.95833333333333326</v>
      </c>
      <c r="AI105" s="48">
        <v>0.75</v>
      </c>
      <c r="AJ105" s="48">
        <v>0.75</v>
      </c>
      <c r="AK105" s="48" t="s">
        <v>320</v>
      </c>
      <c r="AL105" s="48" t="s">
        <v>320</v>
      </c>
      <c r="AM105">
        <v>4</v>
      </c>
      <c r="AO105">
        <v>4.9999999999999964</v>
      </c>
    </row>
    <row r="106" spans="1:45" hidden="1" x14ac:dyDescent="0.25">
      <c r="A106">
        <v>105</v>
      </c>
      <c r="B106">
        <v>2025</v>
      </c>
      <c r="C106">
        <v>3</v>
      </c>
      <c r="D106" t="s">
        <v>164</v>
      </c>
      <c r="E106">
        <v>31</v>
      </c>
      <c r="F106">
        <v>2</v>
      </c>
      <c r="G106" t="s">
        <v>432</v>
      </c>
      <c r="H106" s="48" t="s">
        <v>320</v>
      </c>
      <c r="I106" s="48" t="s">
        <v>320</v>
      </c>
      <c r="J106" s="48" t="s">
        <v>320</v>
      </c>
      <c r="K106" s="48" t="s">
        <v>320</v>
      </c>
      <c r="L106" s="48" t="s">
        <v>320</v>
      </c>
      <c r="M106" s="48" t="s">
        <v>320</v>
      </c>
      <c r="N106" s="48" t="s">
        <v>320</v>
      </c>
      <c r="O106" s="48" t="s">
        <v>320</v>
      </c>
      <c r="P106" s="48" t="s">
        <v>320</v>
      </c>
      <c r="Q106" s="48" t="s">
        <v>320</v>
      </c>
      <c r="R106" s="48" t="s">
        <v>320</v>
      </c>
      <c r="S106" s="48" t="s">
        <v>320</v>
      </c>
      <c r="T106" s="48" t="s">
        <v>320</v>
      </c>
      <c r="U106" s="48" t="s">
        <v>320</v>
      </c>
      <c r="V106" s="48" t="s">
        <v>320</v>
      </c>
      <c r="W106" s="48" t="s">
        <v>320</v>
      </c>
      <c r="X106" s="48" t="s">
        <v>320</v>
      </c>
      <c r="Y106" s="48" t="s">
        <v>320</v>
      </c>
      <c r="Z106" s="48" t="s">
        <v>320</v>
      </c>
      <c r="AA106" s="48" t="s">
        <v>320</v>
      </c>
      <c r="AB106" s="48" t="s">
        <v>320</v>
      </c>
      <c r="AC106" s="48" t="s">
        <v>320</v>
      </c>
      <c r="AD106" s="48" t="s">
        <v>320</v>
      </c>
      <c r="AE106" s="48" t="s">
        <v>320</v>
      </c>
      <c r="AF106" s="48" t="s">
        <v>320</v>
      </c>
      <c r="AG106" s="48">
        <v>22006</v>
      </c>
      <c r="AH106" s="48">
        <v>22082</v>
      </c>
      <c r="AI106" s="48">
        <v>22161</v>
      </c>
      <c r="AJ106" s="48">
        <v>22232</v>
      </c>
      <c r="AK106" s="48" t="s">
        <v>320</v>
      </c>
      <c r="AL106" s="48" t="s">
        <v>320</v>
      </c>
    </row>
    <row r="107" spans="1:45" hidden="1" x14ac:dyDescent="0.25">
      <c r="A107">
        <v>106</v>
      </c>
      <c r="B107">
        <v>2025</v>
      </c>
      <c r="C107">
        <v>3</v>
      </c>
      <c r="D107" t="s">
        <v>164</v>
      </c>
      <c r="E107">
        <v>31</v>
      </c>
      <c r="F107">
        <v>2</v>
      </c>
      <c r="G107" t="s">
        <v>433</v>
      </c>
      <c r="H107" s="48" t="s">
        <v>320</v>
      </c>
      <c r="I107" s="48" t="s">
        <v>320</v>
      </c>
      <c r="J107" s="48" t="s">
        <v>320</v>
      </c>
      <c r="K107" s="48" t="s">
        <v>320</v>
      </c>
      <c r="L107" s="48" t="s">
        <v>320</v>
      </c>
      <c r="M107" s="48" t="s">
        <v>320</v>
      </c>
      <c r="N107" s="48" t="s">
        <v>320</v>
      </c>
      <c r="O107" s="48" t="s">
        <v>320</v>
      </c>
      <c r="P107" s="48" t="s">
        <v>320</v>
      </c>
      <c r="Q107" s="48" t="s">
        <v>320</v>
      </c>
      <c r="R107" s="48" t="s">
        <v>320</v>
      </c>
      <c r="S107" s="48" t="s">
        <v>320</v>
      </c>
      <c r="T107" s="48" t="s">
        <v>320</v>
      </c>
      <c r="U107" s="48" t="s">
        <v>320</v>
      </c>
      <c r="V107" s="48" t="s">
        <v>320</v>
      </c>
      <c r="W107" s="48" t="s">
        <v>320</v>
      </c>
      <c r="X107" s="48" t="s">
        <v>320</v>
      </c>
      <c r="Y107" s="48" t="s">
        <v>320</v>
      </c>
      <c r="Z107" s="48" t="s">
        <v>320</v>
      </c>
      <c r="AA107" s="48" t="s">
        <v>320</v>
      </c>
      <c r="AB107" s="48" t="s">
        <v>320</v>
      </c>
      <c r="AC107" s="48" t="s">
        <v>320</v>
      </c>
      <c r="AD107" s="48" t="s">
        <v>320</v>
      </c>
      <c r="AE107" s="48" t="s">
        <v>320</v>
      </c>
      <c r="AF107" s="48" t="s">
        <v>320</v>
      </c>
      <c r="AG107" s="48">
        <v>22082</v>
      </c>
      <c r="AH107" s="48">
        <v>22157</v>
      </c>
      <c r="AI107" s="48">
        <v>22232</v>
      </c>
      <c r="AJ107" s="48">
        <v>22305</v>
      </c>
      <c r="AK107" s="48" t="s">
        <v>320</v>
      </c>
      <c r="AL107" s="48" t="s">
        <v>320</v>
      </c>
      <c r="AP107">
        <v>44.25</v>
      </c>
      <c r="AQ107">
        <v>15</v>
      </c>
      <c r="AS107">
        <v>295</v>
      </c>
    </row>
    <row r="108" spans="1:45" hidden="1" x14ac:dyDescent="0.25">
      <c r="A108">
        <v>107</v>
      </c>
      <c r="B108">
        <v>2025</v>
      </c>
      <c r="C108">
        <v>3</v>
      </c>
      <c r="D108" t="s">
        <v>148</v>
      </c>
      <c r="E108">
        <v>31</v>
      </c>
      <c r="F108">
        <v>2</v>
      </c>
      <c r="G108" t="s">
        <v>430</v>
      </c>
      <c r="H108" s="48" t="s">
        <v>320</v>
      </c>
      <c r="I108" s="48" t="s">
        <v>320</v>
      </c>
      <c r="J108" s="48" t="s">
        <v>320</v>
      </c>
      <c r="K108" s="48" t="s">
        <v>320</v>
      </c>
      <c r="L108" s="48" t="s">
        <v>320</v>
      </c>
      <c r="M108" s="48" t="s">
        <v>320</v>
      </c>
      <c r="N108" s="48" t="s">
        <v>320</v>
      </c>
      <c r="O108" s="48" t="s">
        <v>320</v>
      </c>
      <c r="P108" s="48" t="s">
        <v>320</v>
      </c>
      <c r="Q108" s="48" t="s">
        <v>320</v>
      </c>
      <c r="R108" s="48" t="s">
        <v>320</v>
      </c>
      <c r="S108" s="48" t="s">
        <v>320</v>
      </c>
      <c r="T108" s="48" t="s">
        <v>320</v>
      </c>
      <c r="U108" s="48" t="s">
        <v>320</v>
      </c>
      <c r="V108" s="48">
        <v>0.29166666666666669</v>
      </c>
      <c r="W108" s="48">
        <v>0.29166666666666669</v>
      </c>
      <c r="X108" s="48">
        <v>0.29166666666666669</v>
      </c>
      <c r="Y108" s="48">
        <v>0.29166666666666669</v>
      </c>
      <c r="Z108" s="48" t="s">
        <v>320</v>
      </c>
      <c r="AA108" s="48" t="s">
        <v>320</v>
      </c>
      <c r="AB108" s="48" t="s">
        <v>320</v>
      </c>
      <c r="AC108" s="48">
        <v>0.29166666666666669</v>
      </c>
      <c r="AD108" s="48">
        <v>0.29166666666666669</v>
      </c>
      <c r="AE108" s="48">
        <v>0.29166666666666669</v>
      </c>
      <c r="AF108" s="48">
        <v>0.29166666666666669</v>
      </c>
      <c r="AG108" s="48">
        <v>0.29166666666666669</v>
      </c>
      <c r="AH108" s="48">
        <v>0.29166666666666669</v>
      </c>
      <c r="AI108" s="48">
        <v>0.29166666666666669</v>
      </c>
      <c r="AJ108" s="48">
        <v>0.29166666666666669</v>
      </c>
      <c r="AK108" s="48">
        <v>0.29166666666666669</v>
      </c>
      <c r="AL108" s="48">
        <v>0.29166666666666669</v>
      </c>
    </row>
    <row r="109" spans="1:45" hidden="1" x14ac:dyDescent="0.25">
      <c r="A109">
        <v>108</v>
      </c>
      <c r="B109">
        <v>2025</v>
      </c>
      <c r="C109">
        <v>3</v>
      </c>
      <c r="D109" t="s">
        <v>148</v>
      </c>
      <c r="E109">
        <v>31</v>
      </c>
      <c r="F109">
        <v>2</v>
      </c>
      <c r="G109" t="s">
        <v>431</v>
      </c>
      <c r="H109" s="48" t="s">
        <v>320</v>
      </c>
      <c r="I109" s="48" t="s">
        <v>320</v>
      </c>
      <c r="J109" s="48" t="s">
        <v>320</v>
      </c>
      <c r="K109" s="48" t="s">
        <v>320</v>
      </c>
      <c r="L109" s="48" t="s">
        <v>320</v>
      </c>
      <c r="M109" s="48" t="s">
        <v>320</v>
      </c>
      <c r="N109" s="48" t="s">
        <v>320</v>
      </c>
      <c r="O109" s="48" t="s">
        <v>320</v>
      </c>
      <c r="P109" s="48" t="s">
        <v>320</v>
      </c>
      <c r="Q109" s="48" t="s">
        <v>320</v>
      </c>
      <c r="R109" s="48" t="s">
        <v>320</v>
      </c>
      <c r="S109" s="48" t="s">
        <v>320</v>
      </c>
      <c r="T109" s="48" t="s">
        <v>320</v>
      </c>
      <c r="U109" s="48" t="s">
        <v>320</v>
      </c>
      <c r="V109" s="48">
        <v>0.75</v>
      </c>
      <c r="W109" s="48">
        <v>0.75</v>
      </c>
      <c r="X109" s="48">
        <v>0.83333333333333326</v>
      </c>
      <c r="Y109" s="48">
        <v>0.83333333333333326</v>
      </c>
      <c r="Z109" s="48" t="s">
        <v>320</v>
      </c>
      <c r="AA109" s="48" t="s">
        <v>320</v>
      </c>
      <c r="AB109" s="48" t="s">
        <v>320</v>
      </c>
      <c r="AC109" s="48">
        <v>0.83333333333333326</v>
      </c>
      <c r="AD109" s="48">
        <v>0.83333333333333326</v>
      </c>
      <c r="AE109" s="48">
        <v>0.875</v>
      </c>
      <c r="AF109" s="48">
        <v>0.75</v>
      </c>
      <c r="AG109" s="48">
        <v>0.75</v>
      </c>
      <c r="AH109" s="48">
        <v>0.91666666666666674</v>
      </c>
      <c r="AI109" s="48">
        <v>1</v>
      </c>
      <c r="AJ109" s="48">
        <v>0.75</v>
      </c>
      <c r="AK109" s="48">
        <v>0.75</v>
      </c>
      <c r="AL109" s="48">
        <v>0.75</v>
      </c>
      <c r="AM109">
        <v>14</v>
      </c>
      <c r="AO109">
        <v>20.999999999999986</v>
      </c>
    </row>
    <row r="110" spans="1:45" hidden="1" x14ac:dyDescent="0.25">
      <c r="A110">
        <v>109</v>
      </c>
      <c r="B110">
        <v>2025</v>
      </c>
      <c r="C110">
        <v>3</v>
      </c>
      <c r="D110" t="s">
        <v>148</v>
      </c>
      <c r="E110">
        <v>31</v>
      </c>
      <c r="F110">
        <v>2</v>
      </c>
      <c r="G110" t="s">
        <v>432</v>
      </c>
      <c r="H110" s="48" t="s">
        <v>320</v>
      </c>
      <c r="I110" s="48" t="s">
        <v>320</v>
      </c>
      <c r="J110" s="48" t="s">
        <v>320</v>
      </c>
      <c r="K110" s="48" t="s">
        <v>320</v>
      </c>
      <c r="L110" s="48" t="s">
        <v>320</v>
      </c>
      <c r="M110" s="48" t="s">
        <v>320</v>
      </c>
      <c r="N110" s="48" t="s">
        <v>320</v>
      </c>
      <c r="O110" s="48" t="s">
        <v>320</v>
      </c>
      <c r="P110" s="48" t="s">
        <v>320</v>
      </c>
      <c r="Q110" s="48" t="s">
        <v>320</v>
      </c>
      <c r="R110" s="48" t="s">
        <v>320</v>
      </c>
      <c r="S110" s="48" t="s">
        <v>320</v>
      </c>
      <c r="T110" s="48" t="s">
        <v>320</v>
      </c>
      <c r="U110" s="48" t="s">
        <v>320</v>
      </c>
      <c r="V110" s="48">
        <v>92374</v>
      </c>
      <c r="W110" s="48">
        <v>92414</v>
      </c>
      <c r="X110" s="48">
        <v>92430</v>
      </c>
      <c r="Y110" s="48">
        <v>92512</v>
      </c>
      <c r="Z110" s="48" t="s">
        <v>320</v>
      </c>
      <c r="AA110" s="48" t="s">
        <v>320</v>
      </c>
      <c r="AB110" s="48" t="s">
        <v>320</v>
      </c>
      <c r="AC110" s="48">
        <v>92871</v>
      </c>
      <c r="AD110" s="48">
        <v>92931</v>
      </c>
      <c r="AE110" s="48">
        <v>93033</v>
      </c>
      <c r="AF110" s="48">
        <v>93085</v>
      </c>
      <c r="AG110" s="48">
        <v>93111</v>
      </c>
      <c r="AH110" s="48">
        <v>93148</v>
      </c>
      <c r="AI110" s="48">
        <v>93214</v>
      </c>
      <c r="AJ110" s="48">
        <v>93298</v>
      </c>
      <c r="AK110" s="48">
        <v>93422</v>
      </c>
      <c r="AL110" s="48">
        <v>93536</v>
      </c>
    </row>
    <row r="111" spans="1:45" hidden="1" x14ac:dyDescent="0.25">
      <c r="A111">
        <v>110</v>
      </c>
      <c r="B111">
        <v>2025</v>
      </c>
      <c r="C111">
        <v>3</v>
      </c>
      <c r="D111" t="s">
        <v>148</v>
      </c>
      <c r="E111">
        <v>31</v>
      </c>
      <c r="F111">
        <v>2</v>
      </c>
      <c r="G111" t="s">
        <v>433</v>
      </c>
      <c r="H111" s="48" t="s">
        <v>320</v>
      </c>
      <c r="I111" s="48" t="s">
        <v>320</v>
      </c>
      <c r="J111" s="48" t="s">
        <v>320</v>
      </c>
      <c r="K111" s="48" t="s">
        <v>320</v>
      </c>
      <c r="L111" s="48" t="s">
        <v>320</v>
      </c>
      <c r="M111" s="48" t="s">
        <v>320</v>
      </c>
      <c r="N111" s="48" t="s">
        <v>320</v>
      </c>
      <c r="O111" s="48" t="s">
        <v>320</v>
      </c>
      <c r="P111" s="48" t="s">
        <v>320</v>
      </c>
      <c r="Q111" s="48" t="s">
        <v>320</v>
      </c>
      <c r="R111" s="48" t="s">
        <v>320</v>
      </c>
      <c r="S111" s="48" t="s">
        <v>320</v>
      </c>
      <c r="T111" s="48" t="s">
        <v>320</v>
      </c>
      <c r="U111" s="48" t="s">
        <v>320</v>
      </c>
      <c r="V111" s="48">
        <v>92414</v>
      </c>
      <c r="W111" s="48">
        <v>92430</v>
      </c>
      <c r="X111" s="48">
        <v>92512</v>
      </c>
      <c r="Y111" s="48">
        <v>92564</v>
      </c>
      <c r="Z111" s="48" t="s">
        <v>320</v>
      </c>
      <c r="AA111" s="48" t="s">
        <v>320</v>
      </c>
      <c r="AB111" s="48" t="s">
        <v>320</v>
      </c>
      <c r="AC111" s="48">
        <v>92991</v>
      </c>
      <c r="AD111" s="48">
        <v>93026</v>
      </c>
      <c r="AE111" s="48">
        <v>93085</v>
      </c>
      <c r="AF111" s="48">
        <v>93111</v>
      </c>
      <c r="AG111" s="48">
        <v>93125</v>
      </c>
      <c r="AH111" s="48">
        <v>93196</v>
      </c>
      <c r="AI111" s="48">
        <v>93298</v>
      </c>
      <c r="AJ111" s="48">
        <v>93340</v>
      </c>
      <c r="AK111" s="48">
        <v>93536</v>
      </c>
      <c r="AL111" s="48">
        <v>93572</v>
      </c>
      <c r="AP111">
        <v>123.15</v>
      </c>
      <c r="AQ111">
        <v>15</v>
      </c>
      <c r="AS111">
        <v>821</v>
      </c>
    </row>
    <row r="112" spans="1:45" hidden="1" x14ac:dyDescent="0.25">
      <c r="A112">
        <v>111</v>
      </c>
      <c r="B112">
        <v>2025</v>
      </c>
      <c r="C112">
        <v>4</v>
      </c>
      <c r="D112" t="s">
        <v>156</v>
      </c>
      <c r="E112">
        <v>31</v>
      </c>
      <c r="F112">
        <v>3</v>
      </c>
      <c r="G112" t="s">
        <v>430</v>
      </c>
      <c r="H112" s="48">
        <v>0.29166666666666669</v>
      </c>
      <c r="I112" s="48">
        <v>0.29166666666666669</v>
      </c>
      <c r="J112" s="48">
        <v>0.29166666666666669</v>
      </c>
      <c r="K112" s="48">
        <v>0.29166666666666669</v>
      </c>
      <c r="L112" s="48">
        <v>0.29166666666666669</v>
      </c>
      <c r="M112" s="48">
        <v>0.29166666666666669</v>
      </c>
      <c r="N112" s="48">
        <v>0.29166666666666669</v>
      </c>
      <c r="O112" s="48">
        <v>0.29166666666666669</v>
      </c>
      <c r="P112" s="48">
        <v>0.29166666666666669</v>
      </c>
      <c r="Q112" s="48">
        <v>0.29166666666666669</v>
      </c>
      <c r="R112" s="48">
        <v>0.29166666666666669</v>
      </c>
      <c r="S112" s="48">
        <v>0.29166666666666669</v>
      </c>
      <c r="T112" s="48" t="s">
        <v>320</v>
      </c>
      <c r="U112" s="48">
        <v>0.29166666666666669</v>
      </c>
      <c r="V112" s="48">
        <v>0.29166666666666669</v>
      </c>
      <c r="W112" s="48">
        <v>0.29166666666666669</v>
      </c>
      <c r="X112" s="48">
        <v>0.29166666666666669</v>
      </c>
      <c r="Y112" s="48">
        <v>0.29166666666666669</v>
      </c>
      <c r="Z112" s="48">
        <v>0.29166666666666669</v>
      </c>
      <c r="AA112" s="48" t="s">
        <v>320</v>
      </c>
      <c r="AB112" s="48">
        <v>0.29166666666666669</v>
      </c>
      <c r="AC112" s="48">
        <v>0.29166666666666669</v>
      </c>
      <c r="AD112" s="48">
        <v>0.29166666666666669</v>
      </c>
      <c r="AE112" s="48">
        <v>0.29166666666666669</v>
      </c>
      <c r="AF112" s="48">
        <v>0.29166666666666669</v>
      </c>
      <c r="AG112" s="48">
        <v>0.29166666666666669</v>
      </c>
      <c r="AH112" s="48">
        <v>0.29166666666666669</v>
      </c>
      <c r="AI112" s="48">
        <v>0.29166666666666669</v>
      </c>
      <c r="AJ112" s="48">
        <v>0.29166666666666669</v>
      </c>
      <c r="AK112" s="48">
        <v>0.29166666666666669</v>
      </c>
      <c r="AL112" s="48" t="s">
        <v>320</v>
      </c>
    </row>
    <row r="113" spans="1:45" hidden="1" x14ac:dyDescent="0.25">
      <c r="A113">
        <v>112</v>
      </c>
      <c r="B113">
        <v>2025</v>
      </c>
      <c r="C113">
        <v>4</v>
      </c>
      <c r="D113" t="s">
        <v>156</v>
      </c>
      <c r="E113">
        <v>31</v>
      </c>
      <c r="F113">
        <v>3</v>
      </c>
      <c r="G113" t="s">
        <v>431</v>
      </c>
      <c r="H113" s="48">
        <v>0.75</v>
      </c>
      <c r="I113" s="48">
        <v>0.75</v>
      </c>
      <c r="J113" s="48">
        <v>0.75</v>
      </c>
      <c r="K113" s="48">
        <v>0.75</v>
      </c>
      <c r="L113" s="48">
        <v>0.75</v>
      </c>
      <c r="M113" s="48">
        <v>0.75</v>
      </c>
      <c r="N113" s="48">
        <v>0.75</v>
      </c>
      <c r="O113" s="48">
        <v>0.75</v>
      </c>
      <c r="P113" s="48">
        <v>0.75</v>
      </c>
      <c r="Q113" s="48">
        <v>0.75</v>
      </c>
      <c r="R113" s="48">
        <v>0.75</v>
      </c>
      <c r="S113" s="48">
        <v>0.75</v>
      </c>
      <c r="T113" s="48" t="s">
        <v>320</v>
      </c>
      <c r="U113" s="48">
        <v>0.75</v>
      </c>
      <c r="V113" s="48">
        <v>0.75</v>
      </c>
      <c r="W113" s="48">
        <v>0.75</v>
      </c>
      <c r="X113" s="48">
        <v>0.75</v>
      </c>
      <c r="Y113" s="48">
        <v>0.75</v>
      </c>
      <c r="Z113" s="48">
        <v>0.75</v>
      </c>
      <c r="AA113" s="48" t="s">
        <v>320</v>
      </c>
      <c r="AB113" s="48">
        <v>0.75</v>
      </c>
      <c r="AC113" s="48">
        <v>0.75</v>
      </c>
      <c r="AD113" s="48">
        <v>0.75</v>
      </c>
      <c r="AE113" s="48">
        <v>0.75</v>
      </c>
      <c r="AF113" s="48">
        <v>0.75</v>
      </c>
      <c r="AG113" s="48">
        <v>0.75</v>
      </c>
      <c r="AH113" s="48">
        <v>0.75</v>
      </c>
      <c r="AI113" s="48">
        <v>0.75</v>
      </c>
      <c r="AJ113" s="48">
        <v>0.75</v>
      </c>
      <c r="AK113" s="48">
        <v>0.75</v>
      </c>
      <c r="AL113" s="48" t="s">
        <v>320</v>
      </c>
      <c r="AM113">
        <v>33</v>
      </c>
      <c r="AR113" t="s">
        <v>328</v>
      </c>
    </row>
    <row r="114" spans="1:45" hidden="1" x14ac:dyDescent="0.25">
      <c r="A114">
        <v>113</v>
      </c>
      <c r="B114">
        <v>2025</v>
      </c>
      <c r="C114">
        <v>4</v>
      </c>
      <c r="D114" t="s">
        <v>156</v>
      </c>
      <c r="E114">
        <v>31</v>
      </c>
      <c r="F114">
        <v>3</v>
      </c>
      <c r="G114" t="s">
        <v>432</v>
      </c>
      <c r="H114" s="48">
        <v>779535</v>
      </c>
      <c r="I114" s="48">
        <v>779698</v>
      </c>
      <c r="J114" s="48">
        <v>779833</v>
      </c>
      <c r="K114" s="48">
        <v>780031</v>
      </c>
      <c r="L114" s="48">
        <v>780174</v>
      </c>
      <c r="M114" s="48">
        <v>780307</v>
      </c>
      <c r="N114" s="48">
        <v>780668</v>
      </c>
      <c r="O114" s="48">
        <v>780828</v>
      </c>
      <c r="P114" s="48">
        <v>780962</v>
      </c>
      <c r="Q114" s="48">
        <v>781121</v>
      </c>
      <c r="R114" s="48">
        <v>781268</v>
      </c>
      <c r="S114" s="48">
        <v>781434</v>
      </c>
      <c r="T114" s="48" t="s">
        <v>320</v>
      </c>
      <c r="U114" s="48">
        <v>781923</v>
      </c>
      <c r="V114" s="48">
        <v>782058</v>
      </c>
      <c r="W114" s="48">
        <v>782201</v>
      </c>
      <c r="X114" s="48">
        <v>782374</v>
      </c>
      <c r="Y114" s="48">
        <v>782505</v>
      </c>
      <c r="Z114" s="48">
        <v>782687</v>
      </c>
      <c r="AA114" s="48" t="s">
        <v>320</v>
      </c>
      <c r="AB114" s="48">
        <v>782843</v>
      </c>
      <c r="AC114" s="48">
        <v>782963</v>
      </c>
      <c r="AD114" s="48">
        <v>783112</v>
      </c>
      <c r="AE114" s="48">
        <v>783245</v>
      </c>
      <c r="AF114" s="48">
        <v>783460</v>
      </c>
      <c r="AG114" s="48">
        <v>783591</v>
      </c>
      <c r="AH114" s="48">
        <v>783739</v>
      </c>
      <c r="AI114" s="48">
        <v>783899</v>
      </c>
      <c r="AJ114" s="48">
        <v>783957</v>
      </c>
      <c r="AK114" s="48">
        <v>784106</v>
      </c>
      <c r="AL114" s="48" t="s">
        <v>328</v>
      </c>
    </row>
    <row r="115" spans="1:45" hidden="1" x14ac:dyDescent="0.25">
      <c r="A115">
        <v>114</v>
      </c>
      <c r="B115">
        <v>2025</v>
      </c>
      <c r="C115">
        <v>4</v>
      </c>
      <c r="D115" t="s">
        <v>156</v>
      </c>
      <c r="E115">
        <v>31</v>
      </c>
      <c r="F115">
        <v>3</v>
      </c>
      <c r="G115" t="s">
        <v>433</v>
      </c>
      <c r="H115" s="48">
        <v>779698</v>
      </c>
      <c r="I115" s="48">
        <v>779833</v>
      </c>
      <c r="J115" s="48">
        <v>780031</v>
      </c>
      <c r="K115" s="48">
        <v>780174</v>
      </c>
      <c r="L115" s="48">
        <v>780307</v>
      </c>
      <c r="M115" s="48">
        <v>780668</v>
      </c>
      <c r="N115" s="48">
        <v>780828</v>
      </c>
      <c r="O115" s="48">
        <v>780962</v>
      </c>
      <c r="P115" s="48">
        <v>781121</v>
      </c>
      <c r="Q115" s="48">
        <v>781268</v>
      </c>
      <c r="R115" s="48">
        <v>781434</v>
      </c>
      <c r="S115" s="48">
        <v>781693</v>
      </c>
      <c r="T115" s="48" t="s">
        <v>320</v>
      </c>
      <c r="U115" s="48">
        <v>782058</v>
      </c>
      <c r="V115" s="48">
        <v>782201</v>
      </c>
      <c r="W115" s="48">
        <v>782374</v>
      </c>
      <c r="X115" s="48">
        <v>782505</v>
      </c>
      <c r="Y115" s="48">
        <v>782687</v>
      </c>
      <c r="Z115" s="48">
        <v>782843</v>
      </c>
      <c r="AA115" s="48" t="s">
        <v>320</v>
      </c>
      <c r="AB115" s="48">
        <v>782963</v>
      </c>
      <c r="AC115" s="48">
        <v>783112</v>
      </c>
      <c r="AD115" s="48">
        <v>783245</v>
      </c>
      <c r="AE115" s="48">
        <v>783460</v>
      </c>
      <c r="AF115" s="48">
        <v>783591</v>
      </c>
      <c r="AG115" s="48">
        <v>783739</v>
      </c>
      <c r="AH115" s="48">
        <v>783899</v>
      </c>
      <c r="AI115" s="48">
        <v>783957</v>
      </c>
      <c r="AJ115" s="48">
        <v>784106</v>
      </c>
      <c r="AK115" s="48">
        <v>784370</v>
      </c>
      <c r="AL115" s="48" t="s">
        <v>320</v>
      </c>
      <c r="AP115">
        <v>828.9</v>
      </c>
      <c r="AQ115">
        <v>18</v>
      </c>
      <c r="AS115">
        <v>4605</v>
      </c>
    </row>
    <row r="116" spans="1:45" hidden="1" x14ac:dyDescent="0.25">
      <c r="A116">
        <v>115</v>
      </c>
      <c r="B116">
        <v>2025</v>
      </c>
      <c r="C116">
        <v>4</v>
      </c>
      <c r="D116" t="s">
        <v>326</v>
      </c>
      <c r="E116">
        <v>31</v>
      </c>
      <c r="F116">
        <v>3</v>
      </c>
      <c r="G116" t="s">
        <v>430</v>
      </c>
      <c r="H116" s="48">
        <v>0.29166666666666669</v>
      </c>
      <c r="I116" s="48">
        <v>0.29166666666666669</v>
      </c>
      <c r="J116" s="48">
        <v>0.29166666666666669</v>
      </c>
      <c r="K116" s="48">
        <v>0.29166666666666669</v>
      </c>
      <c r="L116" s="48">
        <v>0.29166666666666669</v>
      </c>
      <c r="M116" s="48">
        <v>0.29166666666666669</v>
      </c>
      <c r="N116" s="48">
        <v>0.29166666666666669</v>
      </c>
      <c r="O116" s="48">
        <v>0.29166666666666669</v>
      </c>
      <c r="P116" s="48">
        <v>0.29166666666666669</v>
      </c>
      <c r="Q116" s="48">
        <v>0.29166666666666669</v>
      </c>
      <c r="R116" s="48">
        <v>0.29166666666666669</v>
      </c>
      <c r="S116" s="48">
        <v>0.29166666666666669</v>
      </c>
      <c r="T116" s="48">
        <v>0.29166666666666669</v>
      </c>
      <c r="U116" s="48">
        <v>0.29166666666666669</v>
      </c>
      <c r="V116" s="48">
        <v>0.29166666666666669</v>
      </c>
      <c r="W116" s="48">
        <v>0.29166666666666669</v>
      </c>
      <c r="X116" s="48">
        <v>0.29166666666666669</v>
      </c>
      <c r="Y116" s="48">
        <v>0.29166666666666669</v>
      </c>
      <c r="Z116" s="48">
        <v>0.29166666666666669</v>
      </c>
      <c r="AA116" s="48">
        <v>0.29166666666666669</v>
      </c>
      <c r="AB116" s="48">
        <v>0.29166666666666669</v>
      </c>
      <c r="AC116" s="48">
        <v>0.29166666666666669</v>
      </c>
      <c r="AD116" s="48">
        <v>0.29166666666666669</v>
      </c>
      <c r="AE116" s="48">
        <v>0.29166666666666669</v>
      </c>
      <c r="AF116" s="48">
        <v>0.29166666666666669</v>
      </c>
      <c r="AG116" s="48">
        <v>0.29166666666666669</v>
      </c>
      <c r="AH116" s="48">
        <v>0.29166666666666669</v>
      </c>
      <c r="AI116" s="48">
        <v>0.29166666666666669</v>
      </c>
      <c r="AJ116" s="48">
        <v>0.29166666666666669</v>
      </c>
      <c r="AK116" s="48">
        <v>0.29166666666666669</v>
      </c>
      <c r="AL116" s="48" t="s">
        <v>320</v>
      </c>
    </row>
    <row r="117" spans="1:45" hidden="1" x14ac:dyDescent="0.25">
      <c r="A117">
        <v>116</v>
      </c>
      <c r="B117">
        <v>2025</v>
      </c>
      <c r="C117">
        <v>4</v>
      </c>
      <c r="D117" t="s">
        <v>326</v>
      </c>
      <c r="E117">
        <v>31</v>
      </c>
      <c r="F117">
        <v>3</v>
      </c>
      <c r="G117" t="s">
        <v>431</v>
      </c>
      <c r="H117" s="48">
        <v>0.75</v>
      </c>
      <c r="I117" s="48">
        <v>0.75</v>
      </c>
      <c r="J117" s="48">
        <v>0.75</v>
      </c>
      <c r="K117" s="48">
        <v>0.75</v>
      </c>
      <c r="L117" s="48">
        <v>0.75</v>
      </c>
      <c r="M117" s="48">
        <v>0.75</v>
      </c>
      <c r="N117" s="48">
        <v>0.75</v>
      </c>
      <c r="O117" s="48">
        <v>0.75</v>
      </c>
      <c r="P117" s="48">
        <v>0.75</v>
      </c>
      <c r="Q117" s="48">
        <v>0.75</v>
      </c>
      <c r="R117" s="48">
        <v>0.75</v>
      </c>
      <c r="S117" s="48">
        <v>0.75</v>
      </c>
      <c r="T117" s="48">
        <v>0.75</v>
      </c>
      <c r="U117" s="48">
        <v>0.83333333333333326</v>
      </c>
      <c r="V117" s="48">
        <v>0.75</v>
      </c>
      <c r="W117" s="48">
        <v>0.75</v>
      </c>
      <c r="X117" s="48">
        <v>0.83333333333333326</v>
      </c>
      <c r="Y117" s="48">
        <v>0.88749999999999996</v>
      </c>
      <c r="Z117" s="48">
        <v>0.83333333333333326</v>
      </c>
      <c r="AA117" s="48">
        <v>0.83333333333333326</v>
      </c>
      <c r="AB117" s="48">
        <v>0.83333333333333326</v>
      </c>
      <c r="AC117" s="48">
        <v>0.83333333333333326</v>
      </c>
      <c r="AD117" s="48">
        <v>0.75</v>
      </c>
      <c r="AE117" s="48">
        <v>0.75</v>
      </c>
      <c r="AF117" s="48">
        <v>0.75</v>
      </c>
      <c r="AG117" s="48">
        <v>0.75</v>
      </c>
      <c r="AH117" s="48">
        <v>0.75</v>
      </c>
      <c r="AI117" s="48">
        <v>0.75</v>
      </c>
      <c r="AJ117" s="48">
        <v>0.75</v>
      </c>
      <c r="AK117" s="48">
        <v>0.75</v>
      </c>
      <c r="AL117" s="48" t="s">
        <v>320</v>
      </c>
      <c r="AM117">
        <v>30</v>
      </c>
      <c r="AO117">
        <v>15.299999999999976</v>
      </c>
    </row>
    <row r="118" spans="1:45" hidden="1" x14ac:dyDescent="0.25">
      <c r="A118">
        <v>117</v>
      </c>
      <c r="B118">
        <v>2025</v>
      </c>
      <c r="C118">
        <v>4</v>
      </c>
      <c r="D118" t="s">
        <v>326</v>
      </c>
      <c r="E118">
        <v>31</v>
      </c>
      <c r="F118">
        <v>3</v>
      </c>
      <c r="G118" t="s">
        <v>432</v>
      </c>
      <c r="H118" s="48">
        <v>253648</v>
      </c>
      <c r="I118" s="48">
        <v>253734</v>
      </c>
      <c r="J118" s="48">
        <v>253807</v>
      </c>
      <c r="K118" s="48">
        <v>253864</v>
      </c>
      <c r="L118" s="48">
        <v>253931</v>
      </c>
      <c r="M118" s="48">
        <v>253980</v>
      </c>
      <c r="N118" s="48">
        <v>254005</v>
      </c>
      <c r="O118" s="48">
        <v>254083</v>
      </c>
      <c r="P118" s="48">
        <v>254149</v>
      </c>
      <c r="Q118" s="48">
        <v>254201</v>
      </c>
      <c r="R118" s="48">
        <v>254273</v>
      </c>
      <c r="S118" s="48">
        <v>254340</v>
      </c>
      <c r="T118" s="48">
        <v>254409</v>
      </c>
      <c r="U118" s="48">
        <v>254502</v>
      </c>
      <c r="V118" s="48">
        <v>254552</v>
      </c>
      <c r="W118" s="48">
        <v>254626</v>
      </c>
      <c r="X118" s="48">
        <v>254687</v>
      </c>
      <c r="Y118" s="48">
        <v>254745</v>
      </c>
      <c r="Z118" s="48">
        <v>254899</v>
      </c>
      <c r="AA118" s="48">
        <v>255100</v>
      </c>
      <c r="AB118" s="48">
        <v>255302</v>
      </c>
      <c r="AC118" s="48">
        <v>255411</v>
      </c>
      <c r="AD118" s="48">
        <v>255531</v>
      </c>
      <c r="AE118" s="48">
        <v>255767</v>
      </c>
      <c r="AF118" s="48">
        <v>255826</v>
      </c>
      <c r="AG118" s="48">
        <v>255897</v>
      </c>
      <c r="AH118" s="48">
        <v>255980</v>
      </c>
      <c r="AI118" s="48">
        <v>256023</v>
      </c>
      <c r="AJ118" s="48">
        <v>256163</v>
      </c>
      <c r="AK118" s="48">
        <v>256301</v>
      </c>
      <c r="AL118" s="48" t="s">
        <v>320</v>
      </c>
    </row>
    <row r="119" spans="1:45" hidden="1" x14ac:dyDescent="0.25">
      <c r="A119">
        <v>118</v>
      </c>
      <c r="B119">
        <v>2025</v>
      </c>
      <c r="C119">
        <v>4</v>
      </c>
      <c r="D119" t="s">
        <v>326</v>
      </c>
      <c r="E119">
        <v>31</v>
      </c>
      <c r="F119">
        <v>3</v>
      </c>
      <c r="G119" t="s">
        <v>433</v>
      </c>
      <c r="H119" s="48">
        <v>253734</v>
      </c>
      <c r="I119" s="48">
        <v>253807</v>
      </c>
      <c r="J119" s="48">
        <v>253864</v>
      </c>
      <c r="K119" s="48">
        <v>253931</v>
      </c>
      <c r="L119" s="48">
        <v>253980</v>
      </c>
      <c r="M119" s="48">
        <v>254005</v>
      </c>
      <c r="N119" s="48">
        <v>254083</v>
      </c>
      <c r="O119" s="48">
        <v>254149</v>
      </c>
      <c r="P119" s="48">
        <v>254201</v>
      </c>
      <c r="Q119" s="48">
        <v>254273</v>
      </c>
      <c r="R119" s="48">
        <v>254340</v>
      </c>
      <c r="S119" s="48">
        <v>254409</v>
      </c>
      <c r="T119" s="48">
        <v>254502</v>
      </c>
      <c r="U119" s="48">
        <v>254552</v>
      </c>
      <c r="V119" s="48">
        <v>254626</v>
      </c>
      <c r="W119" s="48">
        <v>254687</v>
      </c>
      <c r="X119" s="48">
        <v>254745</v>
      </c>
      <c r="Y119" s="48">
        <v>254899</v>
      </c>
      <c r="Z119" s="48">
        <v>255100</v>
      </c>
      <c r="AA119" s="48">
        <v>255302</v>
      </c>
      <c r="AB119" s="48">
        <v>255411</v>
      </c>
      <c r="AC119" s="48">
        <v>255531</v>
      </c>
      <c r="AD119" s="48">
        <v>255767</v>
      </c>
      <c r="AE119" s="48">
        <v>255826</v>
      </c>
      <c r="AF119" s="48">
        <v>255897</v>
      </c>
      <c r="AG119" s="48">
        <v>255980</v>
      </c>
      <c r="AH119" s="48">
        <v>256023</v>
      </c>
      <c r="AI119" s="48">
        <v>256163</v>
      </c>
      <c r="AJ119" s="48">
        <v>256301</v>
      </c>
      <c r="AK119" s="48">
        <v>256451</v>
      </c>
      <c r="AL119" s="48" t="s">
        <v>320</v>
      </c>
      <c r="AP119">
        <v>420.45</v>
      </c>
      <c r="AQ119">
        <v>15</v>
      </c>
      <c r="AS119">
        <v>2803</v>
      </c>
    </row>
    <row r="120" spans="1:45" hidden="1" x14ac:dyDescent="0.25">
      <c r="A120">
        <v>119</v>
      </c>
      <c r="B120">
        <v>2025</v>
      </c>
      <c r="C120">
        <v>4</v>
      </c>
      <c r="D120" t="s">
        <v>138</v>
      </c>
      <c r="E120">
        <v>31</v>
      </c>
      <c r="F120">
        <v>3</v>
      </c>
      <c r="G120" t="s">
        <v>430</v>
      </c>
      <c r="H120" s="48">
        <v>0.29166666666666669</v>
      </c>
      <c r="I120" s="48">
        <v>0.29166666666666669</v>
      </c>
      <c r="J120" s="48">
        <v>0.29166666666666669</v>
      </c>
      <c r="K120" s="48">
        <v>0.29166666666666669</v>
      </c>
      <c r="L120" s="48">
        <v>0.29166666666666669</v>
      </c>
      <c r="M120" s="48">
        <v>0.29166666666666669</v>
      </c>
      <c r="N120" s="48">
        <v>0.29166666666666669</v>
      </c>
      <c r="O120" s="48">
        <v>0.29166666666666669</v>
      </c>
      <c r="P120" s="48">
        <v>0.29166666666666669</v>
      </c>
      <c r="Q120" s="48">
        <v>0.29166666666666669</v>
      </c>
      <c r="R120" s="48">
        <v>0.29166666666666669</v>
      </c>
      <c r="S120" s="48">
        <v>0.29166666666666669</v>
      </c>
      <c r="T120" s="48">
        <v>0.29166666666666669</v>
      </c>
      <c r="U120" s="48">
        <v>0.29166666666666669</v>
      </c>
      <c r="V120" s="48">
        <v>0.29166666666666669</v>
      </c>
      <c r="W120" s="48">
        <v>0.29166666666666669</v>
      </c>
      <c r="X120" s="48">
        <v>0.29166666666666669</v>
      </c>
      <c r="Y120" s="48">
        <v>0.29166666666666669</v>
      </c>
      <c r="Z120" s="48">
        <v>0.29166666666666669</v>
      </c>
      <c r="AA120" s="48">
        <v>0.29166666666666702</v>
      </c>
      <c r="AB120" s="48">
        <v>0.29166666666666702</v>
      </c>
      <c r="AC120" s="48">
        <v>0.29166666666666702</v>
      </c>
      <c r="AD120" s="48">
        <v>0.29166666666666702</v>
      </c>
      <c r="AE120" s="48">
        <v>0.29166666666666669</v>
      </c>
      <c r="AF120" s="48">
        <v>0.29166666666666669</v>
      </c>
      <c r="AG120" s="48">
        <v>0.29166666666666669</v>
      </c>
      <c r="AH120" s="48">
        <v>0.29166666666666669</v>
      </c>
      <c r="AI120" s="48">
        <v>0.29166666666666669</v>
      </c>
      <c r="AJ120" s="48">
        <v>0.29166666666666669</v>
      </c>
      <c r="AK120" s="48">
        <v>0.29166666666666669</v>
      </c>
      <c r="AL120" s="48" t="s">
        <v>320</v>
      </c>
    </row>
    <row r="121" spans="1:45" hidden="1" x14ac:dyDescent="0.25">
      <c r="A121">
        <v>120</v>
      </c>
      <c r="B121">
        <v>2025</v>
      </c>
      <c r="C121">
        <v>4</v>
      </c>
      <c r="D121" t="s">
        <v>138</v>
      </c>
      <c r="E121">
        <v>31</v>
      </c>
      <c r="F121">
        <v>3</v>
      </c>
      <c r="G121" t="s">
        <v>431</v>
      </c>
      <c r="H121" s="48">
        <v>0.83333333333333326</v>
      </c>
      <c r="I121" s="48">
        <v>0.875</v>
      </c>
      <c r="J121" s="48">
        <v>0.875</v>
      </c>
      <c r="K121" s="48">
        <v>0.875</v>
      </c>
      <c r="L121" s="48">
        <v>0.875</v>
      </c>
      <c r="M121" s="48">
        <v>0.875</v>
      </c>
      <c r="N121" s="48">
        <v>0.91666666666666674</v>
      </c>
      <c r="O121" s="48">
        <v>0.91666666666666674</v>
      </c>
      <c r="P121" s="48">
        <v>0.91666666666666674</v>
      </c>
      <c r="Q121" s="48">
        <v>0.91666666666666674</v>
      </c>
      <c r="R121" s="48">
        <v>0.91666666666666674</v>
      </c>
      <c r="S121" s="48">
        <v>0.91666666666666674</v>
      </c>
      <c r="T121" s="48">
        <v>0.91666666666666674</v>
      </c>
      <c r="U121" s="48">
        <v>0.91666666666666674</v>
      </c>
      <c r="V121" s="48">
        <v>0.91666666666666674</v>
      </c>
      <c r="W121" s="48">
        <v>0.91666666666666674</v>
      </c>
      <c r="X121" s="48">
        <v>0.875</v>
      </c>
      <c r="Y121" s="48">
        <v>0.875</v>
      </c>
      <c r="Z121" s="48">
        <v>0.875</v>
      </c>
      <c r="AA121" s="48">
        <v>0.87500000000000033</v>
      </c>
      <c r="AB121" s="48">
        <v>0.87500000000000033</v>
      </c>
      <c r="AC121" s="48">
        <v>0.91666666666666696</v>
      </c>
      <c r="AD121" s="48">
        <v>0.87500000000000033</v>
      </c>
      <c r="AE121" s="48">
        <v>0.875</v>
      </c>
      <c r="AF121" s="48">
        <v>0.875</v>
      </c>
      <c r="AG121" s="48">
        <v>0.875</v>
      </c>
      <c r="AH121" s="48">
        <v>0.875</v>
      </c>
      <c r="AI121" s="48">
        <v>0.875</v>
      </c>
      <c r="AJ121" s="48">
        <v>0.875</v>
      </c>
      <c r="AK121" s="48">
        <v>0.875</v>
      </c>
      <c r="AL121" s="48" t="s">
        <v>320</v>
      </c>
      <c r="AM121">
        <v>30</v>
      </c>
      <c r="AO121">
        <v>99.999999999999986</v>
      </c>
    </row>
    <row r="122" spans="1:45" hidden="1" x14ac:dyDescent="0.25">
      <c r="A122">
        <v>121</v>
      </c>
      <c r="B122">
        <v>2025</v>
      </c>
      <c r="C122">
        <v>4</v>
      </c>
      <c r="D122" t="s">
        <v>138</v>
      </c>
      <c r="E122">
        <v>31</v>
      </c>
      <c r="F122">
        <v>3</v>
      </c>
      <c r="G122" t="s">
        <v>432</v>
      </c>
      <c r="H122" s="48">
        <v>11953</v>
      </c>
      <c r="I122" s="48">
        <v>12046</v>
      </c>
      <c r="J122" s="48">
        <v>12257</v>
      </c>
      <c r="K122" s="48">
        <v>12500</v>
      </c>
      <c r="L122" s="48">
        <v>12742</v>
      </c>
      <c r="M122" s="48">
        <v>12981</v>
      </c>
      <c r="N122" s="48">
        <v>13129</v>
      </c>
      <c r="O122" s="48">
        <v>13303</v>
      </c>
      <c r="P122" s="48">
        <v>13472</v>
      </c>
      <c r="Q122" s="48">
        <v>13650</v>
      </c>
      <c r="R122" s="48">
        <v>13843</v>
      </c>
      <c r="S122" s="48">
        <v>14110</v>
      </c>
      <c r="T122" s="48">
        <v>14265</v>
      </c>
      <c r="U122" s="48">
        <v>14518</v>
      </c>
      <c r="V122" s="48">
        <v>14705</v>
      </c>
      <c r="W122" s="48">
        <v>14855</v>
      </c>
      <c r="X122" s="48">
        <v>14992</v>
      </c>
      <c r="Y122" s="48">
        <v>15125</v>
      </c>
      <c r="Z122" s="48">
        <v>15288</v>
      </c>
      <c r="AA122" s="48">
        <v>15481</v>
      </c>
      <c r="AB122" s="48">
        <v>15710</v>
      </c>
      <c r="AC122" s="48">
        <v>15836</v>
      </c>
      <c r="AD122" s="48">
        <v>16073</v>
      </c>
      <c r="AE122" s="48">
        <v>16176</v>
      </c>
      <c r="AF122" s="48">
        <v>16286</v>
      </c>
      <c r="AG122" s="48">
        <v>16526</v>
      </c>
      <c r="AH122" s="48">
        <v>16698</v>
      </c>
      <c r="AI122" s="48">
        <v>16870</v>
      </c>
      <c r="AJ122" s="48">
        <v>17033</v>
      </c>
      <c r="AK122" s="48">
        <v>17293</v>
      </c>
      <c r="AL122" s="48" t="s">
        <v>320</v>
      </c>
    </row>
    <row r="123" spans="1:45" hidden="1" x14ac:dyDescent="0.25">
      <c r="A123">
        <v>122</v>
      </c>
      <c r="B123">
        <v>2025</v>
      </c>
      <c r="C123">
        <v>4</v>
      </c>
      <c r="D123" t="s">
        <v>138</v>
      </c>
      <c r="E123">
        <v>31</v>
      </c>
      <c r="F123">
        <v>3</v>
      </c>
      <c r="G123" t="s">
        <v>433</v>
      </c>
      <c r="H123" s="48">
        <v>12046</v>
      </c>
      <c r="I123" s="48">
        <v>12257</v>
      </c>
      <c r="J123" s="48">
        <v>12500</v>
      </c>
      <c r="K123" s="48">
        <v>12742</v>
      </c>
      <c r="L123" s="48">
        <v>12981</v>
      </c>
      <c r="M123" s="48">
        <v>13129</v>
      </c>
      <c r="N123" s="48">
        <v>13303</v>
      </c>
      <c r="O123" s="48">
        <v>13472</v>
      </c>
      <c r="P123" s="48">
        <v>13650</v>
      </c>
      <c r="Q123" s="48">
        <v>13843</v>
      </c>
      <c r="R123" s="48">
        <v>14110</v>
      </c>
      <c r="S123" s="48">
        <v>14265</v>
      </c>
      <c r="T123" s="48">
        <v>14518</v>
      </c>
      <c r="U123" s="48">
        <v>14705</v>
      </c>
      <c r="V123" s="48">
        <v>14855</v>
      </c>
      <c r="W123" s="48">
        <v>14992</v>
      </c>
      <c r="X123" s="48">
        <v>15125</v>
      </c>
      <c r="Y123" s="48">
        <v>15288</v>
      </c>
      <c r="Z123" s="48">
        <v>15472</v>
      </c>
      <c r="AA123" s="48">
        <v>15641</v>
      </c>
      <c r="AB123" s="48">
        <v>15836</v>
      </c>
      <c r="AC123" s="48">
        <v>15997</v>
      </c>
      <c r="AD123" s="48">
        <v>16176</v>
      </c>
      <c r="AE123" s="48">
        <v>16286</v>
      </c>
      <c r="AF123" s="48">
        <v>16526</v>
      </c>
      <c r="AG123" s="48">
        <v>16698</v>
      </c>
      <c r="AH123" s="48">
        <v>16870</v>
      </c>
      <c r="AI123" s="48">
        <v>17033</v>
      </c>
      <c r="AJ123" s="48">
        <v>17293</v>
      </c>
      <c r="AK123" s="48">
        <v>17461</v>
      </c>
      <c r="AL123" s="48" t="s">
        <v>320</v>
      </c>
      <c r="AP123">
        <v>803.1</v>
      </c>
      <c r="AQ123">
        <v>15</v>
      </c>
      <c r="AS123">
        <v>5354</v>
      </c>
    </row>
    <row r="124" spans="1:45" hidden="1" x14ac:dyDescent="0.25">
      <c r="A124">
        <v>123</v>
      </c>
      <c r="B124">
        <v>2025</v>
      </c>
      <c r="C124">
        <v>4</v>
      </c>
      <c r="D124" t="s">
        <v>139</v>
      </c>
      <c r="E124">
        <v>31</v>
      </c>
      <c r="F124">
        <v>3</v>
      </c>
      <c r="G124" t="s">
        <v>430</v>
      </c>
      <c r="H124" s="48">
        <v>0.29166666666666669</v>
      </c>
      <c r="I124" s="48">
        <v>0.29166666666666669</v>
      </c>
      <c r="J124" s="48">
        <v>0.29166666666666669</v>
      </c>
      <c r="K124" s="48">
        <v>0.29166666666666669</v>
      </c>
      <c r="L124" s="48">
        <v>0.29166666666666669</v>
      </c>
      <c r="M124" s="48" t="s">
        <v>320</v>
      </c>
      <c r="N124" s="48">
        <v>0.29166666666666669</v>
      </c>
      <c r="O124" s="48">
        <v>0.29166666666666669</v>
      </c>
      <c r="P124" s="48">
        <v>0.29166666666666669</v>
      </c>
      <c r="Q124" s="48">
        <v>0.29166666666666669</v>
      </c>
      <c r="R124" s="48">
        <v>0.29166666666666669</v>
      </c>
      <c r="S124" s="48">
        <v>0.29166666666666669</v>
      </c>
      <c r="T124" s="48">
        <v>0.29166666666666669</v>
      </c>
      <c r="U124" s="48">
        <v>0.29166666666666669</v>
      </c>
      <c r="V124" s="48">
        <v>0.29166666666666669</v>
      </c>
      <c r="W124" s="48" t="s">
        <v>320</v>
      </c>
      <c r="X124" s="48" t="s">
        <v>320</v>
      </c>
      <c r="Y124" s="48" t="s">
        <v>320</v>
      </c>
      <c r="Z124" s="48" t="s">
        <v>320</v>
      </c>
      <c r="AA124" s="48" t="s">
        <v>320</v>
      </c>
      <c r="AB124" s="48" t="s">
        <v>320</v>
      </c>
      <c r="AC124" s="48" t="s">
        <v>320</v>
      </c>
      <c r="AD124" s="48" t="s">
        <v>320</v>
      </c>
      <c r="AE124" s="48" t="s">
        <v>320</v>
      </c>
      <c r="AF124" s="48" t="s">
        <v>320</v>
      </c>
      <c r="AG124" s="48" t="s">
        <v>320</v>
      </c>
      <c r="AH124" s="48" t="s">
        <v>320</v>
      </c>
      <c r="AI124" s="48" t="s">
        <v>320</v>
      </c>
      <c r="AJ124" s="48" t="s">
        <v>320</v>
      </c>
      <c r="AK124" s="48" t="s">
        <v>320</v>
      </c>
      <c r="AL124" s="48" t="s">
        <v>320</v>
      </c>
    </row>
    <row r="125" spans="1:45" hidden="1" x14ac:dyDescent="0.25">
      <c r="A125">
        <v>124</v>
      </c>
      <c r="B125">
        <v>2025</v>
      </c>
      <c r="C125">
        <v>4</v>
      </c>
      <c r="D125" t="s">
        <v>139</v>
      </c>
      <c r="E125">
        <v>31</v>
      </c>
      <c r="F125">
        <v>3</v>
      </c>
      <c r="G125" t="s">
        <v>431</v>
      </c>
      <c r="H125" s="48">
        <v>0.75</v>
      </c>
      <c r="I125" s="48">
        <v>0.75</v>
      </c>
      <c r="J125" s="48">
        <v>0.75</v>
      </c>
      <c r="K125" s="48">
        <v>0.75</v>
      </c>
      <c r="L125" s="48">
        <v>0.75</v>
      </c>
      <c r="M125" s="48" t="s">
        <v>320</v>
      </c>
      <c r="N125" s="48">
        <v>0.75</v>
      </c>
      <c r="O125" s="48">
        <v>0.75</v>
      </c>
      <c r="P125" s="48">
        <v>0.75</v>
      </c>
      <c r="Q125" s="48">
        <v>0.75</v>
      </c>
      <c r="R125" s="48">
        <v>0.75</v>
      </c>
      <c r="S125" s="48">
        <v>0.75</v>
      </c>
      <c r="T125" s="48">
        <v>0.75</v>
      </c>
      <c r="U125" s="48">
        <v>0.75</v>
      </c>
      <c r="V125" s="48">
        <v>0.75</v>
      </c>
      <c r="W125" s="48" t="s">
        <v>320</v>
      </c>
      <c r="X125" s="48" t="s">
        <v>320</v>
      </c>
      <c r="Y125" s="48" t="s">
        <v>320</v>
      </c>
      <c r="Z125" s="48" t="s">
        <v>320</v>
      </c>
      <c r="AA125" s="48" t="s">
        <v>320</v>
      </c>
      <c r="AB125" s="48" t="s">
        <v>320</v>
      </c>
      <c r="AC125" s="48" t="s">
        <v>320</v>
      </c>
      <c r="AD125" s="48" t="s">
        <v>320</v>
      </c>
      <c r="AE125" s="48" t="s">
        <v>320</v>
      </c>
      <c r="AF125" s="48" t="s">
        <v>320</v>
      </c>
      <c r="AG125" s="48" t="s">
        <v>320</v>
      </c>
      <c r="AH125" s="48" t="s">
        <v>320</v>
      </c>
      <c r="AI125" s="48" t="s">
        <v>320</v>
      </c>
      <c r="AJ125" s="48" t="s">
        <v>320</v>
      </c>
      <c r="AK125" s="48" t="s">
        <v>320</v>
      </c>
      <c r="AL125" s="48" t="s">
        <v>320</v>
      </c>
      <c r="AM125">
        <v>20</v>
      </c>
      <c r="AR125" t="s">
        <v>329</v>
      </c>
    </row>
    <row r="126" spans="1:45" hidden="1" x14ac:dyDescent="0.25">
      <c r="A126">
        <v>125</v>
      </c>
      <c r="B126">
        <v>2025</v>
      </c>
      <c r="C126">
        <v>4</v>
      </c>
      <c r="D126" t="s">
        <v>139</v>
      </c>
      <c r="E126">
        <v>31</v>
      </c>
      <c r="F126">
        <v>3</v>
      </c>
      <c r="G126" t="s">
        <v>432</v>
      </c>
      <c r="H126" s="48">
        <v>350842</v>
      </c>
      <c r="I126" s="48">
        <v>350851</v>
      </c>
      <c r="J126" s="48">
        <v>350858</v>
      </c>
      <c r="K126" s="48">
        <v>350881</v>
      </c>
      <c r="L126" s="48">
        <v>350911</v>
      </c>
      <c r="M126" s="48" t="s">
        <v>320</v>
      </c>
      <c r="N126" s="48">
        <v>350916</v>
      </c>
      <c r="O126" s="48">
        <v>350946</v>
      </c>
      <c r="P126" s="48">
        <v>351024</v>
      </c>
      <c r="Q126" s="48">
        <v>351091</v>
      </c>
      <c r="R126" s="48">
        <v>351119</v>
      </c>
      <c r="S126" s="48">
        <v>351122</v>
      </c>
      <c r="T126" s="48">
        <v>351131</v>
      </c>
      <c r="U126" s="48">
        <v>351136</v>
      </c>
      <c r="V126" s="48">
        <v>351144</v>
      </c>
      <c r="W126" s="48" t="s">
        <v>320</v>
      </c>
      <c r="X126" s="48" t="s">
        <v>320</v>
      </c>
      <c r="Y126" s="48" t="s">
        <v>320</v>
      </c>
      <c r="Z126" s="48" t="s">
        <v>320</v>
      </c>
      <c r="AA126" s="48" t="s">
        <v>320</v>
      </c>
      <c r="AB126" s="48" t="s">
        <v>320</v>
      </c>
      <c r="AC126" s="48" t="s">
        <v>320</v>
      </c>
      <c r="AD126" s="48" t="s">
        <v>320</v>
      </c>
      <c r="AE126" s="48" t="s">
        <v>320</v>
      </c>
      <c r="AF126" s="48" t="s">
        <v>320</v>
      </c>
      <c r="AG126" s="48" t="s">
        <v>320</v>
      </c>
      <c r="AH126" s="48" t="s">
        <v>320</v>
      </c>
      <c r="AI126" s="48" t="s">
        <v>320</v>
      </c>
      <c r="AJ126" s="48" t="s">
        <v>320</v>
      </c>
      <c r="AK126" s="48" t="s">
        <v>320</v>
      </c>
    </row>
    <row r="127" spans="1:45" hidden="1" x14ac:dyDescent="0.25">
      <c r="A127">
        <v>126</v>
      </c>
      <c r="B127">
        <v>2025</v>
      </c>
      <c r="C127">
        <v>4</v>
      </c>
      <c r="D127" t="s">
        <v>139</v>
      </c>
      <c r="E127">
        <v>31</v>
      </c>
      <c r="F127">
        <v>3</v>
      </c>
      <c r="G127" t="s">
        <v>433</v>
      </c>
      <c r="H127" s="48">
        <v>350851</v>
      </c>
      <c r="I127" s="48">
        <v>350858</v>
      </c>
      <c r="J127" s="48">
        <v>350881</v>
      </c>
      <c r="K127" s="48">
        <v>350911</v>
      </c>
      <c r="L127" s="48">
        <v>350916</v>
      </c>
      <c r="M127" s="48" t="s">
        <v>320</v>
      </c>
      <c r="N127" s="48">
        <v>350946</v>
      </c>
      <c r="O127" s="48">
        <v>351024</v>
      </c>
      <c r="P127" s="48">
        <v>351091</v>
      </c>
      <c r="Q127" s="48">
        <v>351119</v>
      </c>
      <c r="R127" s="48">
        <v>351122</v>
      </c>
      <c r="S127" s="48">
        <v>351131</v>
      </c>
      <c r="T127" s="48">
        <v>351136</v>
      </c>
      <c r="U127" s="48">
        <v>351144</v>
      </c>
      <c r="V127" s="48">
        <v>351159</v>
      </c>
      <c r="W127" s="48" t="s">
        <v>320</v>
      </c>
      <c r="X127" s="48" t="s">
        <v>320</v>
      </c>
      <c r="Y127" s="48" t="s">
        <v>320</v>
      </c>
      <c r="Z127" s="48" t="s">
        <v>320</v>
      </c>
      <c r="AA127" s="48" t="s">
        <v>320</v>
      </c>
      <c r="AB127" s="48" t="s">
        <v>320</v>
      </c>
      <c r="AC127" s="48" t="s">
        <v>320</v>
      </c>
      <c r="AD127" s="48" t="s">
        <v>320</v>
      </c>
      <c r="AE127" s="48" t="s">
        <v>320</v>
      </c>
      <c r="AF127" s="48" t="s">
        <v>320</v>
      </c>
      <c r="AG127" s="48" t="s">
        <v>320</v>
      </c>
      <c r="AH127" s="48" t="s">
        <v>320</v>
      </c>
      <c r="AI127" s="48" t="s">
        <v>320</v>
      </c>
      <c r="AJ127" s="48" t="s">
        <v>320</v>
      </c>
      <c r="AK127" s="48" t="s">
        <v>320</v>
      </c>
      <c r="AL127" s="48" t="s">
        <v>320</v>
      </c>
      <c r="AM127" t="s">
        <v>320</v>
      </c>
      <c r="AQ127" t="s">
        <v>320</v>
      </c>
    </row>
    <row r="128" spans="1:45" hidden="1" x14ac:dyDescent="0.25">
      <c r="A128">
        <v>127</v>
      </c>
      <c r="B128">
        <v>2025</v>
      </c>
      <c r="C128">
        <v>4</v>
      </c>
      <c r="D128" t="s">
        <v>157</v>
      </c>
      <c r="E128">
        <v>31</v>
      </c>
      <c r="F128">
        <v>3</v>
      </c>
      <c r="G128" t="s">
        <v>430</v>
      </c>
      <c r="H128" s="48">
        <v>0.29166666666666669</v>
      </c>
      <c r="I128" s="48">
        <v>0.29166666666666669</v>
      </c>
      <c r="J128" s="48">
        <v>0.29166666666666669</v>
      </c>
      <c r="K128" s="48">
        <v>0.29166666666666669</v>
      </c>
      <c r="L128" s="48">
        <v>0.29166666666666669</v>
      </c>
      <c r="M128" s="48">
        <v>0.29166666666666669</v>
      </c>
      <c r="N128" s="48">
        <v>0.29166666666666669</v>
      </c>
      <c r="O128" s="48">
        <v>0.29166666666666669</v>
      </c>
      <c r="P128" s="48">
        <v>0.29166666666666669</v>
      </c>
      <c r="Q128" s="48">
        <v>0.29166666666666669</v>
      </c>
      <c r="R128" s="48">
        <v>0.29166666666666669</v>
      </c>
      <c r="S128" s="48">
        <v>0.29166666666666669</v>
      </c>
      <c r="T128" s="48">
        <v>0.29166666666666669</v>
      </c>
      <c r="U128" s="48">
        <v>0.29166666666666669</v>
      </c>
      <c r="V128" s="48">
        <v>0.29166666666666669</v>
      </c>
      <c r="W128" s="48">
        <v>0.29166666666666669</v>
      </c>
      <c r="X128" s="48">
        <v>0.29166666666666669</v>
      </c>
      <c r="Y128" s="48">
        <v>0.29166666666666669</v>
      </c>
      <c r="Z128" s="48">
        <v>0.29166666666666669</v>
      </c>
      <c r="AA128" s="48">
        <v>0.29166666666666669</v>
      </c>
      <c r="AB128" s="48">
        <v>0.29166666666666669</v>
      </c>
      <c r="AC128" s="48">
        <v>0.29166666666666669</v>
      </c>
      <c r="AD128" s="48">
        <v>0.29166666666666669</v>
      </c>
      <c r="AE128" s="48">
        <v>0.29166666666666669</v>
      </c>
      <c r="AF128" s="48">
        <v>0.29166666666666669</v>
      </c>
      <c r="AG128" s="48">
        <v>0.29166666666666669</v>
      </c>
      <c r="AH128" s="48">
        <v>0.29166666666666669</v>
      </c>
      <c r="AI128" s="48">
        <v>0.29166666666666669</v>
      </c>
      <c r="AJ128" s="48">
        <v>0.29166666666666669</v>
      </c>
      <c r="AK128" s="48">
        <v>0.29166666666666669</v>
      </c>
      <c r="AL128" s="48" t="s">
        <v>320</v>
      </c>
    </row>
    <row r="129" spans="1:45" hidden="1" x14ac:dyDescent="0.25">
      <c r="A129">
        <v>128</v>
      </c>
      <c r="B129">
        <v>2025</v>
      </c>
      <c r="C129">
        <v>4</v>
      </c>
      <c r="D129" t="s">
        <v>157</v>
      </c>
      <c r="E129">
        <v>31</v>
      </c>
      <c r="F129">
        <v>3</v>
      </c>
      <c r="G129" t="s">
        <v>431</v>
      </c>
      <c r="H129" s="48">
        <v>0.75</v>
      </c>
      <c r="I129" s="48">
        <v>0.75</v>
      </c>
      <c r="J129" s="48">
        <v>0.75</v>
      </c>
      <c r="K129" s="48">
        <v>0.75</v>
      </c>
      <c r="L129" s="48">
        <v>0.75</v>
      </c>
      <c r="M129" s="48">
        <v>0.75</v>
      </c>
      <c r="N129" s="48">
        <v>0.75</v>
      </c>
      <c r="O129" s="48">
        <v>0.75</v>
      </c>
      <c r="P129" s="48">
        <v>0.75</v>
      </c>
      <c r="Q129" s="48">
        <v>0.75</v>
      </c>
      <c r="R129" s="48">
        <v>0.75</v>
      </c>
      <c r="S129" s="48">
        <v>0.75</v>
      </c>
      <c r="T129" s="48">
        <v>0.75</v>
      </c>
      <c r="U129" s="48">
        <v>0.75</v>
      </c>
      <c r="V129" s="48">
        <v>0.75</v>
      </c>
      <c r="W129" s="48">
        <v>0.75</v>
      </c>
      <c r="X129" s="48">
        <v>0.75</v>
      </c>
      <c r="Y129" s="48">
        <v>0.75</v>
      </c>
      <c r="Z129" s="48">
        <v>0.75</v>
      </c>
      <c r="AA129" s="48">
        <v>0.75</v>
      </c>
      <c r="AB129" s="48">
        <v>0.75</v>
      </c>
      <c r="AC129" s="48">
        <v>0.75</v>
      </c>
      <c r="AD129" s="48">
        <v>0.75</v>
      </c>
      <c r="AE129" s="48">
        <v>0.75</v>
      </c>
      <c r="AF129" s="48">
        <v>0.75</v>
      </c>
      <c r="AG129" s="48">
        <v>0.75</v>
      </c>
      <c r="AH129" s="48">
        <v>0.75</v>
      </c>
      <c r="AI129" s="48">
        <v>0.75</v>
      </c>
      <c r="AJ129" s="48">
        <v>0.75</v>
      </c>
      <c r="AK129" s="48">
        <v>0.75</v>
      </c>
      <c r="AL129" s="48">
        <v>0.75</v>
      </c>
      <c r="AM129">
        <v>30</v>
      </c>
    </row>
    <row r="130" spans="1:45" hidden="1" x14ac:dyDescent="0.25">
      <c r="A130">
        <v>129</v>
      </c>
      <c r="B130">
        <v>2025</v>
      </c>
      <c r="C130">
        <v>4</v>
      </c>
      <c r="D130" t="s">
        <v>140</v>
      </c>
      <c r="E130">
        <v>31</v>
      </c>
      <c r="F130">
        <v>3</v>
      </c>
      <c r="G130" t="s">
        <v>430</v>
      </c>
      <c r="H130" s="48">
        <v>0.29166666666666669</v>
      </c>
      <c r="I130" s="48">
        <v>0.29166666666666669</v>
      </c>
      <c r="J130" s="48">
        <v>0.29166666666666669</v>
      </c>
      <c r="K130" s="48">
        <v>0.29166666666666669</v>
      </c>
      <c r="L130" s="48">
        <v>0.29166666666666669</v>
      </c>
      <c r="M130" s="48">
        <v>0.29166666666666669</v>
      </c>
      <c r="N130" s="48">
        <v>0.29166666666666669</v>
      </c>
      <c r="O130" s="48">
        <v>0.29166666666666669</v>
      </c>
      <c r="P130" s="48">
        <v>0.29166666666666669</v>
      </c>
      <c r="Q130" s="48">
        <v>0.29166666666666669</v>
      </c>
      <c r="R130" s="48">
        <v>0.29166666666666669</v>
      </c>
      <c r="S130" s="48">
        <v>0.29166666666666669</v>
      </c>
      <c r="T130" s="48">
        <v>0.29166666666666669</v>
      </c>
      <c r="U130" s="48">
        <v>0.29166666666666669</v>
      </c>
      <c r="V130" s="48">
        <v>0.29166666666666669</v>
      </c>
      <c r="W130" s="48">
        <v>0.29166666666666669</v>
      </c>
      <c r="X130" s="48">
        <v>0.29166666666666669</v>
      </c>
      <c r="Y130" s="48">
        <v>0.29166666666666669</v>
      </c>
      <c r="Z130" s="48">
        <v>0.29166666666666669</v>
      </c>
      <c r="AA130" s="48">
        <v>0.29166666666666669</v>
      </c>
      <c r="AB130" s="48">
        <v>0.29166666666666669</v>
      </c>
      <c r="AC130" s="48">
        <v>0.29166666666666669</v>
      </c>
      <c r="AD130" s="48">
        <v>0.29166666666666669</v>
      </c>
      <c r="AE130" s="48">
        <v>0.29166666666666669</v>
      </c>
      <c r="AF130" s="48">
        <v>0.29166666666666669</v>
      </c>
      <c r="AG130" s="48">
        <v>0.29166666666666669</v>
      </c>
      <c r="AH130" s="48">
        <v>0.29166666666666669</v>
      </c>
      <c r="AI130" s="48">
        <v>0.29166666666666669</v>
      </c>
      <c r="AJ130" s="48">
        <v>0.29166666666666669</v>
      </c>
      <c r="AK130" s="48">
        <v>0.29166666666666669</v>
      </c>
      <c r="AL130" s="48">
        <v>0.29166666666666669</v>
      </c>
    </row>
    <row r="131" spans="1:45" hidden="1" x14ac:dyDescent="0.25">
      <c r="A131">
        <v>130</v>
      </c>
      <c r="B131">
        <v>2025</v>
      </c>
      <c r="C131">
        <v>4</v>
      </c>
      <c r="D131" t="s">
        <v>140</v>
      </c>
      <c r="E131">
        <v>31</v>
      </c>
      <c r="F131">
        <v>3</v>
      </c>
      <c r="G131" t="s">
        <v>431</v>
      </c>
      <c r="H131" s="48">
        <v>0.75</v>
      </c>
      <c r="I131" s="48">
        <v>0.75</v>
      </c>
      <c r="J131" s="48">
        <v>0.95833333333333326</v>
      </c>
      <c r="K131" s="48">
        <v>0.83333333333333326</v>
      </c>
      <c r="L131" s="48">
        <v>0.91666666666666674</v>
      </c>
      <c r="M131" s="48">
        <v>1.0625</v>
      </c>
      <c r="N131" s="48">
        <v>0.75</v>
      </c>
      <c r="O131" s="48">
        <v>0.75</v>
      </c>
      <c r="P131" s="48">
        <v>0.97083333333333321</v>
      </c>
      <c r="Q131" s="48">
        <v>1.0416666666666667</v>
      </c>
      <c r="R131" s="48">
        <v>1.0416666666666667</v>
      </c>
      <c r="S131" s="48">
        <v>0.75</v>
      </c>
      <c r="T131" s="48">
        <v>0.75</v>
      </c>
      <c r="U131" s="48">
        <v>1.0125</v>
      </c>
      <c r="V131" s="48">
        <v>0.9291666666666667</v>
      </c>
      <c r="W131" s="48">
        <v>0.75</v>
      </c>
      <c r="X131" s="48">
        <v>0.75</v>
      </c>
      <c r="Y131" s="48">
        <v>0.83333333333333326</v>
      </c>
      <c r="Z131" s="48">
        <v>0.75</v>
      </c>
      <c r="AA131" s="48">
        <v>0.95833333333333326</v>
      </c>
      <c r="AB131" s="48">
        <v>0.83333333333333326</v>
      </c>
      <c r="AC131" s="48">
        <v>0.75</v>
      </c>
      <c r="AD131" s="48">
        <v>0.83333333333333326</v>
      </c>
      <c r="AE131" s="48">
        <v>0.75</v>
      </c>
      <c r="AF131" s="48">
        <v>0.75</v>
      </c>
      <c r="AG131" s="48">
        <v>0.89375000000000004</v>
      </c>
      <c r="AH131" s="48">
        <v>0.875</v>
      </c>
      <c r="AI131" s="48">
        <v>0.83333333333333326</v>
      </c>
      <c r="AJ131" s="48">
        <v>0.75</v>
      </c>
      <c r="AK131" s="48">
        <v>0.75</v>
      </c>
      <c r="AL131" s="48">
        <v>0.75</v>
      </c>
      <c r="AM131">
        <v>31</v>
      </c>
      <c r="AO131">
        <v>67.84999999999998</v>
      </c>
    </row>
    <row r="132" spans="1:45" hidden="1" x14ac:dyDescent="0.25">
      <c r="A132">
        <v>131</v>
      </c>
      <c r="B132">
        <v>2025</v>
      </c>
      <c r="C132">
        <v>4</v>
      </c>
      <c r="D132" t="s">
        <v>140</v>
      </c>
      <c r="E132">
        <v>31</v>
      </c>
      <c r="F132">
        <v>3</v>
      </c>
      <c r="G132" t="s">
        <v>432</v>
      </c>
      <c r="H132" s="48">
        <v>357221</v>
      </c>
      <c r="I132" s="48">
        <v>357534</v>
      </c>
      <c r="J132" s="48">
        <v>357806</v>
      </c>
      <c r="K132" s="48">
        <v>358168</v>
      </c>
      <c r="L132" s="48">
        <v>358479</v>
      </c>
      <c r="M132" s="48">
        <v>358793</v>
      </c>
      <c r="N132" s="48">
        <v>359236</v>
      </c>
      <c r="O132" s="48">
        <v>359433</v>
      </c>
      <c r="P132" s="48">
        <v>359596</v>
      </c>
      <c r="Q132" s="48">
        <v>359926</v>
      </c>
      <c r="R132" s="48">
        <v>360341</v>
      </c>
      <c r="S132" s="48">
        <v>360654</v>
      </c>
      <c r="T132" s="48">
        <v>360883</v>
      </c>
      <c r="U132" s="48">
        <v>361098</v>
      </c>
      <c r="V132" s="48">
        <v>361495</v>
      </c>
      <c r="W132" s="48">
        <v>361825</v>
      </c>
      <c r="X132" s="48">
        <v>362024</v>
      </c>
      <c r="Y132" s="48">
        <v>362157</v>
      </c>
      <c r="Z132" s="48">
        <v>362504</v>
      </c>
      <c r="AA132" s="48">
        <v>362694</v>
      </c>
      <c r="AB132" s="48">
        <v>362879</v>
      </c>
      <c r="AC132" s="48">
        <v>363128</v>
      </c>
      <c r="AD132" s="48">
        <v>363318</v>
      </c>
      <c r="AE132" s="48">
        <v>363570</v>
      </c>
      <c r="AF132" s="48">
        <v>363718</v>
      </c>
      <c r="AG132" s="48">
        <v>363974</v>
      </c>
      <c r="AH132" s="48">
        <v>364244</v>
      </c>
      <c r="AI132" s="48">
        <v>364573</v>
      </c>
      <c r="AJ132" s="48">
        <v>364814</v>
      </c>
      <c r="AK132" s="48">
        <v>364931</v>
      </c>
      <c r="AL132" s="48">
        <v>356931</v>
      </c>
    </row>
    <row r="133" spans="1:45" hidden="1" x14ac:dyDescent="0.25">
      <c r="A133">
        <v>132</v>
      </c>
      <c r="B133">
        <v>2025</v>
      </c>
      <c r="C133">
        <v>4</v>
      </c>
      <c r="D133" t="s">
        <v>140</v>
      </c>
      <c r="E133">
        <v>31</v>
      </c>
      <c r="F133">
        <v>3</v>
      </c>
      <c r="G133" t="s">
        <v>433</v>
      </c>
      <c r="H133" s="48">
        <v>357488</v>
      </c>
      <c r="I133" s="48">
        <v>357745</v>
      </c>
      <c r="J133" s="48">
        <v>358113</v>
      </c>
      <c r="K133" s="48">
        <v>358429</v>
      </c>
      <c r="L133" s="48">
        <v>358742</v>
      </c>
      <c r="M133" s="48">
        <v>359187</v>
      </c>
      <c r="N133" s="48">
        <v>359383</v>
      </c>
      <c r="O133" s="48">
        <v>359574</v>
      </c>
      <c r="P133" s="48">
        <v>359898</v>
      </c>
      <c r="Q133" s="48">
        <v>360317</v>
      </c>
      <c r="R133" s="48">
        <v>360602</v>
      </c>
      <c r="S133" s="48">
        <v>360822</v>
      </c>
      <c r="T133" s="48">
        <v>361076</v>
      </c>
      <c r="U133" s="48">
        <v>361443</v>
      </c>
      <c r="V133" s="48">
        <v>361776</v>
      </c>
      <c r="W133" s="48">
        <v>361976</v>
      </c>
      <c r="X133" s="48">
        <v>362103</v>
      </c>
      <c r="Y133" s="48">
        <v>362456</v>
      </c>
      <c r="Z133" s="48">
        <v>362640</v>
      </c>
      <c r="AA133" s="48">
        <v>362849</v>
      </c>
      <c r="AB133" s="48">
        <v>363075</v>
      </c>
      <c r="AC133" s="48">
        <v>363265</v>
      </c>
      <c r="AD133" s="48">
        <v>363511</v>
      </c>
      <c r="AE133" s="48">
        <v>363666</v>
      </c>
      <c r="AF133" s="48">
        <v>363918</v>
      </c>
      <c r="AG133" s="48">
        <v>364239</v>
      </c>
      <c r="AH133" s="48">
        <v>364523</v>
      </c>
      <c r="AI133" s="48">
        <v>364764</v>
      </c>
      <c r="AJ133" s="48">
        <v>364895</v>
      </c>
      <c r="AK133" s="48">
        <v>365186</v>
      </c>
      <c r="AL133" s="48">
        <v>357170</v>
      </c>
      <c r="AP133">
        <v>826.08</v>
      </c>
      <c r="AQ133">
        <v>12</v>
      </c>
      <c r="AS133">
        <v>6884</v>
      </c>
    </row>
    <row r="134" spans="1:45" hidden="1" x14ac:dyDescent="0.25">
      <c r="A134">
        <v>133</v>
      </c>
      <c r="B134">
        <v>2025</v>
      </c>
      <c r="C134">
        <v>4</v>
      </c>
      <c r="D134" t="s">
        <v>161</v>
      </c>
      <c r="E134">
        <v>31</v>
      </c>
      <c r="F134">
        <v>3</v>
      </c>
      <c r="G134" t="s">
        <v>430</v>
      </c>
      <c r="H134" s="48">
        <v>0.29166666666666669</v>
      </c>
      <c r="I134" s="48">
        <v>0.29166666666666669</v>
      </c>
      <c r="J134" s="48">
        <v>0.29166666666666669</v>
      </c>
      <c r="K134" s="48">
        <v>0.29166666666666669</v>
      </c>
      <c r="L134" s="48">
        <v>0.29166666666666669</v>
      </c>
      <c r="M134" s="48">
        <v>0.29166666666666669</v>
      </c>
      <c r="N134" s="48">
        <v>0.29166666666666669</v>
      </c>
      <c r="O134" s="48">
        <v>0.29166666666666669</v>
      </c>
      <c r="P134" s="48">
        <v>0.29166666666666669</v>
      </c>
      <c r="Q134" s="48">
        <v>0.29166666666666669</v>
      </c>
      <c r="R134" s="48">
        <v>0.29166666666666669</v>
      </c>
      <c r="S134" s="48">
        <v>0.29166666666666669</v>
      </c>
      <c r="T134" s="48">
        <v>0.29166666666666669</v>
      </c>
      <c r="U134" s="48">
        <v>0.29166666666666669</v>
      </c>
      <c r="V134" s="48">
        <v>0.29166666666666669</v>
      </c>
      <c r="W134" s="48">
        <v>0.29166666666666669</v>
      </c>
      <c r="X134" s="48">
        <v>0.29166666666666669</v>
      </c>
      <c r="Y134" s="48">
        <v>0.29166666666666669</v>
      </c>
      <c r="Z134" s="48">
        <v>0.29166666666666669</v>
      </c>
      <c r="AA134" s="48">
        <v>0.29166666666666669</v>
      </c>
      <c r="AB134" s="48">
        <v>0.29166666666666669</v>
      </c>
      <c r="AC134" s="48">
        <v>0.29166666666666669</v>
      </c>
      <c r="AD134" s="48">
        <v>0.29166666666666669</v>
      </c>
      <c r="AE134" s="48">
        <v>0.29166666666666669</v>
      </c>
      <c r="AF134" s="48">
        <v>0.29166666666666669</v>
      </c>
      <c r="AG134" s="48">
        <v>0.29166666666666669</v>
      </c>
      <c r="AH134" s="48">
        <v>0.29166666666666669</v>
      </c>
      <c r="AI134" s="48">
        <v>0.29166666666666669</v>
      </c>
      <c r="AJ134" s="48">
        <v>0.29166666666666669</v>
      </c>
      <c r="AK134" s="48">
        <v>0.29166666666666669</v>
      </c>
      <c r="AL134" s="48" t="s">
        <v>320</v>
      </c>
    </row>
    <row r="135" spans="1:45" hidden="1" x14ac:dyDescent="0.25">
      <c r="A135">
        <v>134</v>
      </c>
      <c r="B135">
        <v>2025</v>
      </c>
      <c r="C135">
        <v>4</v>
      </c>
      <c r="D135" t="s">
        <v>161</v>
      </c>
      <c r="E135">
        <v>31</v>
      </c>
      <c r="F135">
        <v>3</v>
      </c>
      <c r="G135" t="s">
        <v>431</v>
      </c>
      <c r="H135" s="48">
        <v>0.91666666666666674</v>
      </c>
      <c r="I135" s="48">
        <v>0.95833333333333326</v>
      </c>
      <c r="J135" s="48">
        <v>0.75</v>
      </c>
      <c r="K135" s="48">
        <v>0.91666666666666674</v>
      </c>
      <c r="L135" s="48">
        <v>0.91666666666666674</v>
      </c>
      <c r="M135" s="48">
        <v>0.95833333333333326</v>
      </c>
      <c r="N135" s="48">
        <v>0.79166666666666674</v>
      </c>
      <c r="O135" s="48">
        <v>0.95833333333333326</v>
      </c>
      <c r="P135" s="48">
        <v>0.75</v>
      </c>
      <c r="Q135" s="48">
        <v>0.75</v>
      </c>
      <c r="R135" s="48">
        <v>0.875</v>
      </c>
      <c r="S135" s="48">
        <v>0.83333333333333326</v>
      </c>
      <c r="T135" s="48">
        <v>0.83333333333333326</v>
      </c>
      <c r="U135" s="48">
        <v>0.83333333333333326</v>
      </c>
      <c r="V135" s="48">
        <v>0.75</v>
      </c>
      <c r="W135" s="48">
        <v>0.75</v>
      </c>
      <c r="X135" s="48">
        <v>0.75</v>
      </c>
      <c r="Y135" s="48">
        <v>0.79166666666666674</v>
      </c>
      <c r="Z135" s="48">
        <v>0.91666666666666674</v>
      </c>
      <c r="AA135" s="48">
        <v>0.95833333333333326</v>
      </c>
      <c r="AB135" s="48">
        <v>0.875</v>
      </c>
      <c r="AC135" s="48">
        <v>0.95833333333333326</v>
      </c>
      <c r="AD135" s="48">
        <v>0.875</v>
      </c>
      <c r="AE135" s="48">
        <v>0.79166666666666674</v>
      </c>
      <c r="AF135" s="48">
        <v>0.91666666666666674</v>
      </c>
      <c r="AG135" s="48">
        <v>0.79166666666666674</v>
      </c>
      <c r="AH135" s="48">
        <v>0.75</v>
      </c>
      <c r="AI135" s="48">
        <v>0.79166666666666674</v>
      </c>
      <c r="AJ135" s="48">
        <v>0.875</v>
      </c>
      <c r="AK135" s="48">
        <v>0.83333333333333326</v>
      </c>
      <c r="AL135" s="48" t="s">
        <v>320</v>
      </c>
      <c r="AM135">
        <v>30</v>
      </c>
      <c r="AO135">
        <v>69.999999999999986</v>
      </c>
    </row>
    <row r="136" spans="1:45" hidden="1" x14ac:dyDescent="0.25">
      <c r="A136">
        <v>135</v>
      </c>
      <c r="B136">
        <v>2025</v>
      </c>
      <c r="C136">
        <v>4</v>
      </c>
      <c r="D136" t="s">
        <v>161</v>
      </c>
      <c r="E136">
        <v>31</v>
      </c>
      <c r="F136">
        <v>3</v>
      </c>
      <c r="G136" t="s">
        <v>432</v>
      </c>
      <c r="H136" s="48">
        <v>805550</v>
      </c>
      <c r="I136" s="48">
        <v>805637</v>
      </c>
      <c r="J136" s="48">
        <v>805678</v>
      </c>
      <c r="K136" s="48">
        <v>805710</v>
      </c>
      <c r="L136" s="48">
        <v>805788</v>
      </c>
      <c r="M136" s="48">
        <v>805832</v>
      </c>
      <c r="N136" s="48">
        <v>805932</v>
      </c>
      <c r="O136" s="48">
        <v>806038</v>
      </c>
      <c r="P136" s="48">
        <v>806164</v>
      </c>
      <c r="Q136" s="48">
        <v>806232</v>
      </c>
      <c r="R136" s="48">
        <v>806286</v>
      </c>
      <c r="S136" s="48">
        <v>806377</v>
      </c>
      <c r="T136" s="48">
        <v>806500</v>
      </c>
      <c r="U136" s="48">
        <v>806679</v>
      </c>
      <c r="V136" s="48">
        <v>806739</v>
      </c>
      <c r="W136" s="48">
        <v>806789</v>
      </c>
      <c r="X136" s="48">
        <v>806839</v>
      </c>
      <c r="Y136" s="48">
        <v>806881</v>
      </c>
      <c r="Z136" s="48">
        <v>806973</v>
      </c>
      <c r="AA136" s="48">
        <v>807047</v>
      </c>
      <c r="AB136" s="48">
        <v>807157</v>
      </c>
      <c r="AC136" s="48">
        <v>807368</v>
      </c>
      <c r="AD136" s="48">
        <v>807578</v>
      </c>
      <c r="AE136" s="48">
        <v>807645</v>
      </c>
      <c r="AF136" s="48">
        <v>807864</v>
      </c>
      <c r="AG136" s="48">
        <v>807952</v>
      </c>
      <c r="AH136" s="48">
        <v>808064</v>
      </c>
      <c r="AI136" s="48">
        <v>808117</v>
      </c>
      <c r="AJ136" s="48">
        <v>808225</v>
      </c>
      <c r="AK136" s="48">
        <v>808363</v>
      </c>
      <c r="AL136" s="48" t="s">
        <v>320</v>
      </c>
    </row>
    <row r="137" spans="1:45" hidden="1" x14ac:dyDescent="0.25">
      <c r="A137">
        <v>136</v>
      </c>
      <c r="B137">
        <v>2025</v>
      </c>
      <c r="C137">
        <v>4</v>
      </c>
      <c r="D137" t="s">
        <v>161</v>
      </c>
      <c r="E137">
        <v>31</v>
      </c>
      <c r="F137">
        <v>3</v>
      </c>
      <c r="G137" t="s">
        <v>433</v>
      </c>
      <c r="H137" s="48">
        <v>805637</v>
      </c>
      <c r="I137" s="48">
        <v>805678</v>
      </c>
      <c r="J137" s="48">
        <v>805710</v>
      </c>
      <c r="K137" s="48">
        <v>805787</v>
      </c>
      <c r="L137" s="48">
        <v>805832</v>
      </c>
      <c r="M137" s="48">
        <v>805932</v>
      </c>
      <c r="N137" s="48">
        <v>806038</v>
      </c>
      <c r="O137" s="48">
        <v>806164</v>
      </c>
      <c r="P137" s="48">
        <v>806232</v>
      </c>
      <c r="Q137" s="48">
        <v>806286</v>
      </c>
      <c r="R137" s="48">
        <v>806377</v>
      </c>
      <c r="S137" s="48">
        <v>806500</v>
      </c>
      <c r="T137" s="48">
        <v>806679</v>
      </c>
      <c r="U137" s="48">
        <v>806739</v>
      </c>
      <c r="V137" s="48">
        <v>806789</v>
      </c>
      <c r="W137" s="48">
        <v>806839</v>
      </c>
      <c r="X137" s="48">
        <v>806881</v>
      </c>
      <c r="Y137" s="48">
        <v>806973</v>
      </c>
      <c r="Z137" s="48">
        <v>807047</v>
      </c>
      <c r="AA137" s="48">
        <v>807157</v>
      </c>
      <c r="AB137" s="48">
        <v>807368</v>
      </c>
      <c r="AC137" s="48">
        <v>807578</v>
      </c>
      <c r="AD137" s="48">
        <v>807645</v>
      </c>
      <c r="AE137" s="48">
        <v>807864</v>
      </c>
      <c r="AF137" s="48">
        <v>807952</v>
      </c>
      <c r="AG137" s="48">
        <v>808064</v>
      </c>
      <c r="AH137" s="48">
        <v>808117</v>
      </c>
      <c r="AI137" s="48">
        <v>808225</v>
      </c>
      <c r="AJ137" s="48">
        <v>808363</v>
      </c>
      <c r="AK137" s="48">
        <v>808469</v>
      </c>
      <c r="AL137" s="48" t="s">
        <v>320</v>
      </c>
      <c r="AP137">
        <v>437.7</v>
      </c>
      <c r="AQ137">
        <v>15</v>
      </c>
      <c r="AS137">
        <v>2918</v>
      </c>
    </row>
    <row r="138" spans="1:45" hidden="1" x14ac:dyDescent="0.25">
      <c r="A138">
        <v>137</v>
      </c>
      <c r="B138">
        <v>2025</v>
      </c>
      <c r="C138">
        <v>4</v>
      </c>
      <c r="D138" t="s">
        <v>144</v>
      </c>
      <c r="E138">
        <v>31</v>
      </c>
      <c r="F138">
        <v>3</v>
      </c>
      <c r="G138" t="s">
        <v>430</v>
      </c>
      <c r="H138" s="48">
        <v>0.29166666666666669</v>
      </c>
      <c r="I138" s="48">
        <v>0.29166666666666669</v>
      </c>
      <c r="J138" s="48">
        <v>0.29166666666666669</v>
      </c>
      <c r="K138" s="48">
        <v>0.29166666666666669</v>
      </c>
      <c r="L138" s="48">
        <v>0.29166666666666669</v>
      </c>
      <c r="M138" s="48">
        <v>0.29166666666666669</v>
      </c>
      <c r="N138" s="48">
        <v>0.29166666666666669</v>
      </c>
      <c r="O138" s="48">
        <v>0.29166666666666669</v>
      </c>
      <c r="P138" s="48">
        <v>0.29166666666666669</v>
      </c>
      <c r="Q138" s="48">
        <v>0.29166666666666669</v>
      </c>
      <c r="R138" s="48">
        <v>0.29166666666666669</v>
      </c>
      <c r="S138" s="48">
        <v>0.29166666666666669</v>
      </c>
      <c r="T138" s="48">
        <v>0.29166666666666669</v>
      </c>
      <c r="U138" s="48">
        <v>0.29166666666666669</v>
      </c>
      <c r="V138" s="48">
        <v>0.29166666666666669</v>
      </c>
      <c r="W138" s="48">
        <v>0.29166666666666669</v>
      </c>
      <c r="X138" s="48">
        <v>0.29166666666666669</v>
      </c>
      <c r="Y138" s="48">
        <v>0.29166666666666669</v>
      </c>
      <c r="Z138" s="48">
        <v>0.29166666666666669</v>
      </c>
      <c r="AA138" s="48">
        <v>0.29166666666666669</v>
      </c>
      <c r="AB138" s="48">
        <v>0.29166666666666669</v>
      </c>
      <c r="AC138" s="48">
        <v>0.29166666666666669</v>
      </c>
      <c r="AD138" s="48">
        <v>0.29166666666666669</v>
      </c>
      <c r="AE138" s="48">
        <v>0.29166666666666669</v>
      </c>
      <c r="AF138" s="48">
        <v>0.29166666666666669</v>
      </c>
      <c r="AG138" s="48">
        <v>0.29166666666666669</v>
      </c>
      <c r="AH138" s="48">
        <v>0.29166666666666669</v>
      </c>
      <c r="AI138" s="48">
        <v>0.29166666666666669</v>
      </c>
      <c r="AJ138" s="48">
        <v>0.29166666666666669</v>
      </c>
      <c r="AK138" s="48">
        <v>0.29166666666666669</v>
      </c>
      <c r="AL138" s="48" t="s">
        <v>320</v>
      </c>
    </row>
    <row r="139" spans="1:45" hidden="1" x14ac:dyDescent="0.25">
      <c r="A139">
        <v>138</v>
      </c>
      <c r="B139">
        <v>2025</v>
      </c>
      <c r="C139">
        <v>4</v>
      </c>
      <c r="D139" t="s">
        <v>144</v>
      </c>
      <c r="E139">
        <v>31</v>
      </c>
      <c r="F139">
        <v>3</v>
      </c>
      <c r="G139" t="s">
        <v>431</v>
      </c>
      <c r="H139" s="48">
        <v>0.83333333333333326</v>
      </c>
      <c r="I139" s="48">
        <v>0.75</v>
      </c>
      <c r="J139" s="48">
        <v>0.83333333333333326</v>
      </c>
      <c r="K139" s="48">
        <v>0.75</v>
      </c>
      <c r="L139" s="48">
        <v>0.83333333333333326</v>
      </c>
      <c r="M139" s="48">
        <v>0.75</v>
      </c>
      <c r="N139" s="48">
        <v>0.83333333333333326</v>
      </c>
      <c r="O139" s="48">
        <v>0.83333333333333326</v>
      </c>
      <c r="P139" s="48">
        <v>0.75</v>
      </c>
      <c r="Q139" s="48">
        <v>0.83333333333333326</v>
      </c>
      <c r="R139" s="48">
        <v>0.75</v>
      </c>
      <c r="S139" s="48">
        <v>0.83333333333333326</v>
      </c>
      <c r="T139" s="48">
        <v>0.75</v>
      </c>
      <c r="U139" s="48">
        <v>0.875</v>
      </c>
      <c r="V139" s="48">
        <v>0.83333333333333326</v>
      </c>
      <c r="W139" s="48">
        <v>0.75</v>
      </c>
      <c r="X139" s="48">
        <v>0.875</v>
      </c>
      <c r="Y139" s="48">
        <v>0.75</v>
      </c>
      <c r="Z139" s="48">
        <v>0.875</v>
      </c>
      <c r="AA139" s="48">
        <v>0.75</v>
      </c>
      <c r="AB139" s="48">
        <v>0.75</v>
      </c>
      <c r="AC139" s="48">
        <v>0.875</v>
      </c>
      <c r="AD139" s="48">
        <v>0.95833333333333326</v>
      </c>
      <c r="AE139" s="48">
        <v>0.75</v>
      </c>
      <c r="AF139" s="48">
        <v>0.83333333333333326</v>
      </c>
      <c r="AG139" s="48">
        <v>0.83333333333333326</v>
      </c>
      <c r="AH139" s="48">
        <v>0.75</v>
      </c>
      <c r="AI139" s="48">
        <v>0.75</v>
      </c>
      <c r="AJ139" s="48">
        <v>0.75</v>
      </c>
      <c r="AK139" s="48">
        <v>0.75</v>
      </c>
      <c r="AL139" s="48" t="s">
        <v>320</v>
      </c>
      <c r="AM139">
        <v>30</v>
      </c>
      <c r="AO139">
        <v>36.999999999999957</v>
      </c>
    </row>
    <row r="140" spans="1:45" hidden="1" x14ac:dyDescent="0.25">
      <c r="A140">
        <v>139</v>
      </c>
      <c r="B140">
        <v>2025</v>
      </c>
      <c r="C140">
        <v>4</v>
      </c>
      <c r="D140" t="s">
        <v>144</v>
      </c>
      <c r="E140">
        <v>31</v>
      </c>
      <c r="F140">
        <v>3</v>
      </c>
      <c r="G140" t="s">
        <v>432</v>
      </c>
      <c r="H140" s="48">
        <v>346957</v>
      </c>
      <c r="I140" s="48">
        <v>347020</v>
      </c>
      <c r="J140" s="48">
        <v>347103</v>
      </c>
      <c r="K140" s="48">
        <v>347240</v>
      </c>
      <c r="L140" s="48">
        <v>347390</v>
      </c>
      <c r="M140" s="48">
        <v>347550</v>
      </c>
      <c r="N140" s="48">
        <v>347589</v>
      </c>
      <c r="O140" s="48">
        <v>347699</v>
      </c>
      <c r="P140" s="48">
        <v>347837</v>
      </c>
      <c r="Q140" s="48">
        <v>347968</v>
      </c>
      <c r="R140" s="48">
        <v>348137</v>
      </c>
      <c r="S140" s="48">
        <v>348410</v>
      </c>
      <c r="T140" s="48">
        <v>348461</v>
      </c>
      <c r="U140" s="48">
        <v>348701</v>
      </c>
      <c r="V140" s="48">
        <v>348937</v>
      </c>
      <c r="W140" s="48">
        <v>348969</v>
      </c>
      <c r="X140" s="48">
        <v>349290</v>
      </c>
      <c r="Y140" s="48">
        <v>349500</v>
      </c>
      <c r="Z140" s="48">
        <v>349676</v>
      </c>
      <c r="AA140" s="48">
        <v>349821</v>
      </c>
      <c r="AB140" s="48">
        <v>350069</v>
      </c>
      <c r="AC140" s="48">
        <v>350400</v>
      </c>
      <c r="AD140" s="48">
        <v>350441</v>
      </c>
      <c r="AE140" s="48">
        <v>350588</v>
      </c>
      <c r="AF140" s="48">
        <v>350739</v>
      </c>
      <c r="AG140" s="48">
        <v>350907</v>
      </c>
      <c r="AH140" s="48">
        <v>350950</v>
      </c>
      <c r="AI140" s="48">
        <v>351143</v>
      </c>
      <c r="AJ140" s="48">
        <v>351312</v>
      </c>
      <c r="AK140" s="48">
        <v>351494</v>
      </c>
      <c r="AL140" s="48" t="s">
        <v>320</v>
      </c>
    </row>
    <row r="141" spans="1:45" hidden="1" x14ac:dyDescent="0.25">
      <c r="A141">
        <v>140</v>
      </c>
      <c r="B141">
        <v>2025</v>
      </c>
      <c r="C141">
        <v>4</v>
      </c>
      <c r="D141" t="s">
        <v>144</v>
      </c>
      <c r="E141">
        <v>31</v>
      </c>
      <c r="F141">
        <v>3</v>
      </c>
      <c r="G141" t="s">
        <v>433</v>
      </c>
      <c r="H141" s="48">
        <v>347020</v>
      </c>
      <c r="I141" s="48">
        <v>347103</v>
      </c>
      <c r="J141" s="48">
        <v>347240</v>
      </c>
      <c r="K141" s="48">
        <v>347388</v>
      </c>
      <c r="L141" s="48">
        <v>347550</v>
      </c>
      <c r="M141" s="48">
        <v>347589</v>
      </c>
      <c r="N141" s="48">
        <v>347699</v>
      </c>
      <c r="O141" s="48">
        <v>347826</v>
      </c>
      <c r="P141" s="48">
        <v>347968</v>
      </c>
      <c r="Q141" s="48">
        <v>348092</v>
      </c>
      <c r="R141" s="48">
        <v>348410</v>
      </c>
      <c r="S141" s="48">
        <v>348461</v>
      </c>
      <c r="T141" s="48">
        <v>348596</v>
      </c>
      <c r="U141" s="48">
        <v>348937</v>
      </c>
      <c r="V141" s="48">
        <v>348969</v>
      </c>
      <c r="W141" s="48">
        <v>349067</v>
      </c>
      <c r="X141" s="48">
        <v>349491</v>
      </c>
      <c r="Y141" s="48">
        <v>349654</v>
      </c>
      <c r="Z141" s="48">
        <v>349821</v>
      </c>
      <c r="AA141" s="48">
        <v>349980</v>
      </c>
      <c r="AB141" s="48">
        <v>350400</v>
      </c>
      <c r="AC141" s="48">
        <v>350441</v>
      </c>
      <c r="AD141" s="48">
        <v>350588</v>
      </c>
      <c r="AE141" s="48">
        <v>350733</v>
      </c>
      <c r="AF141" s="48">
        <v>350906</v>
      </c>
      <c r="AG141" s="48">
        <v>350950</v>
      </c>
      <c r="AH141" s="48">
        <v>351143</v>
      </c>
      <c r="AI141" s="48">
        <v>351218</v>
      </c>
      <c r="AJ141" s="48">
        <v>351463</v>
      </c>
      <c r="AK141" s="48">
        <v>351551</v>
      </c>
      <c r="AL141" s="48" t="s">
        <v>320</v>
      </c>
      <c r="AP141">
        <v>593.4</v>
      </c>
      <c r="AQ141">
        <v>15</v>
      </c>
      <c r="AS141">
        <v>3956</v>
      </c>
    </row>
    <row r="142" spans="1:45" hidden="1" x14ac:dyDescent="0.25">
      <c r="A142">
        <v>141</v>
      </c>
      <c r="B142">
        <v>2025</v>
      </c>
      <c r="C142">
        <v>4</v>
      </c>
      <c r="D142" t="s">
        <v>145</v>
      </c>
      <c r="E142">
        <v>31</v>
      </c>
      <c r="F142">
        <v>3</v>
      </c>
      <c r="G142" t="s">
        <v>430</v>
      </c>
      <c r="H142" s="48">
        <v>0.29166666666666669</v>
      </c>
      <c r="I142" s="48">
        <v>0.29166666666666669</v>
      </c>
      <c r="J142" s="48">
        <v>0.29166666666666669</v>
      </c>
      <c r="K142" s="48">
        <v>0.29166666666666669</v>
      </c>
      <c r="L142" s="48">
        <v>0.29166666666666669</v>
      </c>
      <c r="M142" s="48">
        <v>0.29166666666666669</v>
      </c>
      <c r="N142" s="48">
        <v>0.29166666666666669</v>
      </c>
      <c r="O142" s="48">
        <v>0.29166666666666669</v>
      </c>
      <c r="P142" s="48">
        <v>0.29166666666666669</v>
      </c>
      <c r="Q142" s="48">
        <v>0.29166666666666669</v>
      </c>
      <c r="R142" s="48">
        <v>0.29166666666666669</v>
      </c>
      <c r="S142" s="48">
        <v>0.29166666666666669</v>
      </c>
      <c r="T142" s="48">
        <v>0.29166666666666669</v>
      </c>
      <c r="U142" s="48">
        <v>0.29166666666666669</v>
      </c>
      <c r="V142" s="48">
        <v>0.29166666666666669</v>
      </c>
      <c r="W142" s="48">
        <v>0.29166666666666669</v>
      </c>
      <c r="X142" s="48">
        <v>0.29166666666666669</v>
      </c>
      <c r="Y142" s="48">
        <v>0.29166666666666669</v>
      </c>
      <c r="Z142" s="48">
        <v>0.29166666666666669</v>
      </c>
      <c r="AA142" s="48">
        <v>0.29166666666666669</v>
      </c>
      <c r="AB142" s="48">
        <v>0.29166666666666669</v>
      </c>
      <c r="AC142" s="48">
        <v>0.29166666666666669</v>
      </c>
      <c r="AD142" s="48">
        <v>0.29166666666666669</v>
      </c>
      <c r="AE142" s="48">
        <v>0.29166666666666669</v>
      </c>
      <c r="AF142" s="48">
        <v>0.29166666666666669</v>
      </c>
      <c r="AG142" s="48">
        <v>0.29166666666666669</v>
      </c>
      <c r="AH142" s="48">
        <v>0.29166666666666669</v>
      </c>
      <c r="AI142" s="48">
        <v>0.29166666666666669</v>
      </c>
      <c r="AJ142" s="48">
        <v>0.29166666666666669</v>
      </c>
      <c r="AK142" s="48">
        <v>0.29166666666666669</v>
      </c>
      <c r="AL142" s="48" t="s">
        <v>320</v>
      </c>
    </row>
    <row r="143" spans="1:45" hidden="1" x14ac:dyDescent="0.25">
      <c r="A143">
        <v>142</v>
      </c>
      <c r="B143">
        <v>2025</v>
      </c>
      <c r="C143">
        <v>4</v>
      </c>
      <c r="D143" t="s">
        <v>145</v>
      </c>
      <c r="E143">
        <v>31</v>
      </c>
      <c r="F143">
        <v>3</v>
      </c>
      <c r="G143" t="s">
        <v>431</v>
      </c>
      <c r="H143" s="48">
        <v>0.75</v>
      </c>
      <c r="I143" s="48">
        <v>0.75</v>
      </c>
      <c r="J143" s="48">
        <v>0.75</v>
      </c>
      <c r="K143" s="48">
        <v>0.75</v>
      </c>
      <c r="L143" s="48">
        <v>0.75</v>
      </c>
      <c r="M143" s="48">
        <v>0.75</v>
      </c>
      <c r="N143" s="48">
        <v>0.75</v>
      </c>
      <c r="O143" s="48">
        <v>0.75</v>
      </c>
      <c r="P143" s="48">
        <v>0.75</v>
      </c>
      <c r="Q143" s="48">
        <v>0.75</v>
      </c>
      <c r="R143" s="48">
        <v>0.75</v>
      </c>
      <c r="S143" s="48">
        <v>0.75</v>
      </c>
      <c r="T143" s="48">
        <v>0.75</v>
      </c>
      <c r="U143" s="48">
        <v>0.75</v>
      </c>
      <c r="V143" s="48">
        <v>0.75</v>
      </c>
      <c r="W143" s="48">
        <v>0.75</v>
      </c>
      <c r="X143" s="48">
        <v>0.75</v>
      </c>
      <c r="Y143" s="48">
        <v>0.75</v>
      </c>
      <c r="Z143" s="48">
        <v>0.75</v>
      </c>
      <c r="AA143" s="48">
        <v>0.75</v>
      </c>
      <c r="AB143" s="48">
        <v>0.75</v>
      </c>
      <c r="AC143" s="48">
        <v>0.75</v>
      </c>
      <c r="AD143" s="48">
        <v>0.75</v>
      </c>
      <c r="AE143" s="48">
        <v>0.75</v>
      </c>
      <c r="AF143" s="48">
        <v>0.75</v>
      </c>
      <c r="AG143" s="48">
        <v>0.75</v>
      </c>
      <c r="AH143" s="48">
        <v>0.75</v>
      </c>
      <c r="AI143" s="48">
        <v>0.75</v>
      </c>
      <c r="AJ143" s="48">
        <v>0.75</v>
      </c>
      <c r="AK143" s="48">
        <v>0.75</v>
      </c>
      <c r="AL143" s="48" t="s">
        <v>320</v>
      </c>
      <c r="AM143">
        <v>30</v>
      </c>
    </row>
    <row r="144" spans="1:45" hidden="1" x14ac:dyDescent="0.25">
      <c r="A144">
        <v>143</v>
      </c>
      <c r="B144">
        <v>2025</v>
      </c>
      <c r="C144">
        <v>4</v>
      </c>
      <c r="D144" t="s">
        <v>145</v>
      </c>
      <c r="E144">
        <v>31</v>
      </c>
      <c r="F144">
        <v>3</v>
      </c>
      <c r="G144" t="s">
        <v>432</v>
      </c>
      <c r="H144" s="48">
        <v>882142</v>
      </c>
      <c r="I144" s="48">
        <v>882211</v>
      </c>
      <c r="J144" s="48">
        <v>882294</v>
      </c>
      <c r="K144" s="48">
        <v>882384</v>
      </c>
      <c r="L144" s="48">
        <v>882447</v>
      </c>
      <c r="M144" s="48">
        <v>882529</v>
      </c>
      <c r="N144" s="48">
        <v>882616</v>
      </c>
      <c r="O144" s="48">
        <v>882703</v>
      </c>
      <c r="P144" s="48">
        <v>882824</v>
      </c>
      <c r="Q144" s="48">
        <v>882936</v>
      </c>
      <c r="R144" s="48">
        <v>883041</v>
      </c>
      <c r="S144" s="48">
        <v>883122</v>
      </c>
      <c r="T144" s="48">
        <v>883237</v>
      </c>
      <c r="U144" s="48">
        <v>883359</v>
      </c>
      <c r="V144" s="48">
        <v>883448</v>
      </c>
      <c r="W144" s="48">
        <v>883596</v>
      </c>
      <c r="X144" s="48">
        <v>883774</v>
      </c>
      <c r="Y144" s="48">
        <v>883863</v>
      </c>
      <c r="Z144" s="48">
        <v>883903</v>
      </c>
      <c r="AA144" s="48">
        <v>883996</v>
      </c>
      <c r="AB144" s="48">
        <v>884098</v>
      </c>
      <c r="AC144" s="48">
        <v>884189</v>
      </c>
      <c r="AD144" s="48">
        <v>884235</v>
      </c>
      <c r="AE144" s="48">
        <v>884327</v>
      </c>
      <c r="AF144" s="48">
        <v>884401</v>
      </c>
      <c r="AG144" s="48">
        <v>884516</v>
      </c>
      <c r="AH144" s="48">
        <v>884606</v>
      </c>
      <c r="AI144" s="48">
        <v>884668</v>
      </c>
      <c r="AJ144" s="48">
        <v>884697</v>
      </c>
      <c r="AK144" s="48">
        <v>884752</v>
      </c>
      <c r="AL144" s="48" t="s">
        <v>320</v>
      </c>
    </row>
    <row r="145" spans="1:45" hidden="1" x14ac:dyDescent="0.25">
      <c r="A145">
        <v>144</v>
      </c>
      <c r="B145">
        <v>2025</v>
      </c>
      <c r="C145">
        <v>4</v>
      </c>
      <c r="D145" t="s">
        <v>145</v>
      </c>
      <c r="E145">
        <v>31</v>
      </c>
      <c r="F145">
        <v>3</v>
      </c>
      <c r="G145" t="s">
        <v>433</v>
      </c>
      <c r="H145" s="48">
        <v>882211</v>
      </c>
      <c r="I145" s="48">
        <v>882294</v>
      </c>
      <c r="J145" s="48">
        <v>882384</v>
      </c>
      <c r="K145" s="48">
        <v>882447</v>
      </c>
      <c r="L145" s="48">
        <v>882529</v>
      </c>
      <c r="M145" s="48">
        <v>882616</v>
      </c>
      <c r="N145" s="48">
        <v>882703</v>
      </c>
      <c r="O145" s="48">
        <v>882824</v>
      </c>
      <c r="P145" s="48">
        <v>882936</v>
      </c>
      <c r="Q145" s="48">
        <v>883041</v>
      </c>
      <c r="R145" s="48">
        <v>883121</v>
      </c>
      <c r="S145" s="48">
        <v>883237</v>
      </c>
      <c r="T145" s="48">
        <v>883358</v>
      </c>
      <c r="U145" s="48">
        <v>883448</v>
      </c>
      <c r="V145" s="48">
        <v>883596</v>
      </c>
      <c r="W145" s="48">
        <v>883774</v>
      </c>
      <c r="X145" s="48">
        <v>883860</v>
      </c>
      <c r="Y145" s="48">
        <v>883903</v>
      </c>
      <c r="Z145" s="48">
        <v>883996</v>
      </c>
      <c r="AA145" s="48">
        <v>884098</v>
      </c>
      <c r="AB145" s="48">
        <v>884189</v>
      </c>
      <c r="AC145" s="48">
        <v>884235</v>
      </c>
      <c r="AD145" s="48">
        <v>884327</v>
      </c>
      <c r="AE145" s="48">
        <v>884401</v>
      </c>
      <c r="AF145" s="48">
        <v>884516</v>
      </c>
      <c r="AG145" s="48">
        <v>884606</v>
      </c>
      <c r="AH145" s="48">
        <v>884668</v>
      </c>
      <c r="AI145" s="48">
        <v>884682</v>
      </c>
      <c r="AJ145" s="48">
        <v>884752</v>
      </c>
      <c r="AK145" s="48">
        <v>884814</v>
      </c>
      <c r="AL145" s="48" t="s">
        <v>320</v>
      </c>
      <c r="AP145">
        <v>397.8</v>
      </c>
      <c r="AQ145">
        <v>15</v>
      </c>
      <c r="AS145">
        <v>2652</v>
      </c>
    </row>
    <row r="146" spans="1:45" hidden="1" x14ac:dyDescent="0.25">
      <c r="A146">
        <v>145</v>
      </c>
      <c r="B146">
        <v>2025</v>
      </c>
      <c r="C146">
        <v>4</v>
      </c>
      <c r="D146" t="s">
        <v>162</v>
      </c>
      <c r="E146">
        <v>31</v>
      </c>
      <c r="F146">
        <v>3</v>
      </c>
      <c r="G146" t="s">
        <v>430</v>
      </c>
      <c r="H146" s="48">
        <v>0.29166666666666669</v>
      </c>
      <c r="I146" s="48">
        <v>0.29166666666666669</v>
      </c>
      <c r="J146" s="48">
        <v>0.29166666666666669</v>
      </c>
      <c r="K146" s="48">
        <v>0.29166666666666669</v>
      </c>
      <c r="L146" s="48">
        <v>0.29166666666666669</v>
      </c>
      <c r="M146" s="48">
        <v>0.29166666666666669</v>
      </c>
      <c r="N146" s="48">
        <v>0.29166666666666669</v>
      </c>
      <c r="O146" s="48">
        <v>0.29166666666666669</v>
      </c>
      <c r="P146" s="48">
        <v>0.29166666666666669</v>
      </c>
      <c r="Q146" s="48">
        <v>0.29166666666666669</v>
      </c>
      <c r="R146" s="48">
        <v>0.29166666666666669</v>
      </c>
      <c r="S146" s="48">
        <v>0.29166666666666669</v>
      </c>
      <c r="T146" s="48">
        <v>0.29166666666666669</v>
      </c>
      <c r="U146" s="48">
        <v>0.29166666666666669</v>
      </c>
      <c r="V146" s="48">
        <v>0.29166666666666669</v>
      </c>
      <c r="W146" s="48">
        <v>0.29166666666666669</v>
      </c>
      <c r="X146" s="48">
        <v>0.29166666666666669</v>
      </c>
      <c r="Y146" s="48">
        <v>0.29166666666666669</v>
      </c>
      <c r="Z146" s="48">
        <v>0.29166666666666669</v>
      </c>
      <c r="AA146" s="48">
        <v>0.29166666666666669</v>
      </c>
      <c r="AB146" s="48">
        <v>0.29166666666666669</v>
      </c>
      <c r="AC146" s="48">
        <v>0.29166666666666669</v>
      </c>
      <c r="AD146" s="48">
        <v>0.29166666666666669</v>
      </c>
      <c r="AE146" s="48">
        <v>0.29166666666666669</v>
      </c>
      <c r="AF146" s="48">
        <v>0.29166666666666669</v>
      </c>
      <c r="AG146" s="48">
        <v>0.29166666666666669</v>
      </c>
      <c r="AH146" s="48">
        <v>0.29166666666666669</v>
      </c>
      <c r="AI146" s="48">
        <v>0.29166666666666669</v>
      </c>
      <c r="AJ146" s="48">
        <v>0.29166666666666669</v>
      </c>
      <c r="AK146" s="48">
        <v>0.29166666666666669</v>
      </c>
      <c r="AL146" s="48" t="s">
        <v>320</v>
      </c>
    </row>
    <row r="147" spans="1:45" hidden="1" x14ac:dyDescent="0.25">
      <c r="A147">
        <v>146</v>
      </c>
      <c r="B147">
        <v>2025</v>
      </c>
      <c r="C147">
        <v>4</v>
      </c>
      <c r="D147" t="s">
        <v>162</v>
      </c>
      <c r="E147">
        <v>31</v>
      </c>
      <c r="F147">
        <v>3</v>
      </c>
      <c r="G147" t="s">
        <v>431</v>
      </c>
      <c r="H147" s="48">
        <v>0.875</v>
      </c>
      <c r="I147" s="48">
        <v>0.875</v>
      </c>
      <c r="J147" s="48">
        <v>0.875</v>
      </c>
      <c r="K147" s="48">
        <v>0.875</v>
      </c>
      <c r="L147" s="48">
        <v>0.875</v>
      </c>
      <c r="M147" s="48">
        <v>0.875</v>
      </c>
      <c r="N147" s="48">
        <v>0.875</v>
      </c>
      <c r="O147" s="48">
        <v>0.875</v>
      </c>
      <c r="P147" s="48">
        <v>0.875</v>
      </c>
      <c r="Q147" s="48">
        <v>0.875</v>
      </c>
      <c r="R147" s="48">
        <v>0.875</v>
      </c>
      <c r="S147" s="48">
        <v>0.95833333333333326</v>
      </c>
      <c r="T147" s="48">
        <v>0.875</v>
      </c>
      <c r="U147" s="48">
        <v>0.875</v>
      </c>
      <c r="V147" s="48">
        <v>0.875</v>
      </c>
      <c r="W147" s="48">
        <v>0.875</v>
      </c>
      <c r="X147" s="48">
        <v>0.875</v>
      </c>
      <c r="Y147" s="48">
        <v>0.875</v>
      </c>
      <c r="Z147" s="48">
        <v>0.95833333333333326</v>
      </c>
      <c r="AA147" s="48">
        <v>0.875</v>
      </c>
      <c r="AB147" s="48">
        <v>0.875</v>
      </c>
      <c r="AC147" s="48">
        <v>0.875</v>
      </c>
      <c r="AD147" s="48">
        <v>0.91666666666666674</v>
      </c>
      <c r="AE147" s="48">
        <v>0.875</v>
      </c>
      <c r="AF147" s="48">
        <v>0.875</v>
      </c>
      <c r="AG147" s="48">
        <v>0.875</v>
      </c>
      <c r="AH147" s="48">
        <v>0.875</v>
      </c>
      <c r="AI147" s="48">
        <v>0.875</v>
      </c>
      <c r="AJ147" s="48">
        <v>0.875</v>
      </c>
      <c r="AK147" s="48">
        <v>0.875</v>
      </c>
      <c r="AL147" s="48" t="s">
        <v>320</v>
      </c>
      <c r="AM147">
        <v>30</v>
      </c>
      <c r="AO147">
        <v>94.999999999999986</v>
      </c>
    </row>
    <row r="148" spans="1:45" hidden="1" x14ac:dyDescent="0.25">
      <c r="A148">
        <v>147</v>
      </c>
      <c r="B148">
        <v>2025</v>
      </c>
      <c r="C148">
        <v>4</v>
      </c>
      <c r="D148" t="s">
        <v>162</v>
      </c>
      <c r="E148">
        <v>31</v>
      </c>
      <c r="F148">
        <v>3</v>
      </c>
      <c r="G148" t="s">
        <v>432</v>
      </c>
      <c r="H148" s="48">
        <v>95433</v>
      </c>
      <c r="I148" s="48">
        <v>95658</v>
      </c>
      <c r="J148" s="48">
        <v>95896</v>
      </c>
      <c r="K148" s="48">
        <v>96152</v>
      </c>
      <c r="L148" s="48">
        <v>96443</v>
      </c>
      <c r="M148" s="48">
        <v>96714</v>
      </c>
      <c r="N148" s="48">
        <v>96957</v>
      </c>
      <c r="O148" s="48">
        <v>97214</v>
      </c>
      <c r="P148" s="48">
        <v>97496</v>
      </c>
      <c r="Q148" s="48">
        <v>97712</v>
      </c>
      <c r="R148" s="48">
        <v>97948</v>
      </c>
      <c r="S148" s="48">
        <v>98247</v>
      </c>
      <c r="T148" s="48">
        <v>98543</v>
      </c>
      <c r="U148" s="48">
        <v>98976</v>
      </c>
      <c r="V148" s="48">
        <v>99227</v>
      </c>
      <c r="W148" s="48">
        <v>99486</v>
      </c>
      <c r="X148" s="48">
        <v>99721</v>
      </c>
      <c r="Y148" s="48">
        <v>99968</v>
      </c>
      <c r="Z148" s="48">
        <v>100209</v>
      </c>
      <c r="AA148" s="48">
        <v>100516</v>
      </c>
      <c r="AB148" s="48">
        <v>100740</v>
      </c>
      <c r="AC148" s="48">
        <v>100991</v>
      </c>
      <c r="AD148" s="48">
        <v>101232</v>
      </c>
      <c r="AE148" s="48">
        <v>101479</v>
      </c>
      <c r="AF148" s="48">
        <v>101708</v>
      </c>
      <c r="AG148" s="48">
        <v>101954</v>
      </c>
      <c r="AH148" s="48">
        <v>102227</v>
      </c>
      <c r="AI148" s="48">
        <v>102491</v>
      </c>
      <c r="AJ148" s="48">
        <v>102825</v>
      </c>
      <c r="AK148" s="48">
        <v>103060</v>
      </c>
      <c r="AL148" s="48" t="s">
        <v>320</v>
      </c>
    </row>
    <row r="149" spans="1:45" hidden="1" x14ac:dyDescent="0.25">
      <c r="A149">
        <v>148</v>
      </c>
      <c r="B149">
        <v>2025</v>
      </c>
      <c r="C149">
        <v>4</v>
      </c>
      <c r="D149" t="s">
        <v>162</v>
      </c>
      <c r="E149">
        <v>31</v>
      </c>
      <c r="F149">
        <v>3</v>
      </c>
      <c r="G149" t="s">
        <v>433</v>
      </c>
      <c r="H149" s="48">
        <v>95658</v>
      </c>
      <c r="I149" s="48">
        <v>95896</v>
      </c>
      <c r="J149" s="48">
        <v>96152</v>
      </c>
      <c r="K149" s="48">
        <v>96443</v>
      </c>
      <c r="L149" s="48">
        <v>96714</v>
      </c>
      <c r="M149" s="48">
        <v>96957</v>
      </c>
      <c r="N149" s="48">
        <v>97214</v>
      </c>
      <c r="O149" s="48">
        <v>97496</v>
      </c>
      <c r="P149" s="48">
        <v>97712</v>
      </c>
      <c r="Q149" s="48">
        <v>97948</v>
      </c>
      <c r="R149" s="48">
        <v>98247</v>
      </c>
      <c r="S149" s="48">
        <v>98543</v>
      </c>
      <c r="T149" s="48">
        <v>98860</v>
      </c>
      <c r="U149" s="48">
        <v>99227</v>
      </c>
      <c r="V149" s="48">
        <v>99486</v>
      </c>
      <c r="W149" s="48">
        <v>99721</v>
      </c>
      <c r="X149" s="48">
        <v>99968</v>
      </c>
      <c r="Y149" s="48">
        <v>100209</v>
      </c>
      <c r="Z149" s="48">
        <v>100516</v>
      </c>
      <c r="AA149" s="48">
        <v>100740</v>
      </c>
      <c r="AB149" s="48">
        <v>100991</v>
      </c>
      <c r="AC149" s="48">
        <v>101232</v>
      </c>
      <c r="AD149" s="48">
        <v>101479</v>
      </c>
      <c r="AE149" s="48">
        <v>101708</v>
      </c>
      <c r="AF149" s="48">
        <v>101954</v>
      </c>
      <c r="AG149" s="48">
        <v>102227</v>
      </c>
      <c r="AH149" s="48">
        <v>102491</v>
      </c>
      <c r="AI149" s="48">
        <v>102825</v>
      </c>
      <c r="AJ149" s="48">
        <v>103060</v>
      </c>
      <c r="AK149" s="48">
        <v>103286</v>
      </c>
      <c r="AL149" s="48" t="s">
        <v>320</v>
      </c>
      <c r="AP149">
        <v>1160.55</v>
      </c>
      <c r="AQ149">
        <v>14.999999999999998</v>
      </c>
      <c r="AS149">
        <v>7737</v>
      </c>
    </row>
    <row r="150" spans="1:45" hidden="1" x14ac:dyDescent="0.25">
      <c r="A150">
        <v>149</v>
      </c>
      <c r="B150">
        <v>2025</v>
      </c>
      <c r="C150">
        <v>4</v>
      </c>
      <c r="D150" t="s">
        <v>163</v>
      </c>
      <c r="E150">
        <v>31</v>
      </c>
      <c r="F150">
        <v>3</v>
      </c>
      <c r="G150" t="s">
        <v>430</v>
      </c>
      <c r="H150" s="48">
        <v>0.29166666666666669</v>
      </c>
      <c r="I150" s="48">
        <v>0.29166666666666669</v>
      </c>
      <c r="J150" s="48">
        <v>0.29166666666666669</v>
      </c>
      <c r="K150" s="48">
        <v>0.29166666666666669</v>
      </c>
      <c r="L150" s="48">
        <v>0.29166666666666669</v>
      </c>
      <c r="M150" s="48">
        <v>0.29166666666666669</v>
      </c>
      <c r="N150" s="48">
        <v>0.29166666666666669</v>
      </c>
      <c r="O150" s="48">
        <v>0.29166666666666669</v>
      </c>
      <c r="P150" s="48">
        <v>0.29166666666666669</v>
      </c>
      <c r="Q150" s="48">
        <v>0.29166666666666669</v>
      </c>
      <c r="R150" s="48">
        <v>0.29166666666666669</v>
      </c>
      <c r="S150" s="48">
        <v>0.29166666666666669</v>
      </c>
      <c r="T150" s="48">
        <v>0.29166666666666669</v>
      </c>
      <c r="U150" s="48">
        <v>0.29166666666666669</v>
      </c>
      <c r="V150" s="48">
        <v>0.29166666666666669</v>
      </c>
      <c r="W150" s="48">
        <v>0.29166666666666669</v>
      </c>
      <c r="X150" s="48">
        <v>0.29166666666666669</v>
      </c>
      <c r="Y150" s="48">
        <v>0.29166666666666669</v>
      </c>
      <c r="Z150" s="48">
        <v>0.29166666666666669</v>
      </c>
      <c r="AA150" s="48">
        <v>0.29166666666666669</v>
      </c>
      <c r="AB150" s="48">
        <v>0.29166666666666669</v>
      </c>
      <c r="AC150" s="48">
        <v>0.29166666666666669</v>
      </c>
      <c r="AD150" s="48">
        <v>0.29166666666666669</v>
      </c>
      <c r="AE150" s="48">
        <v>0.29166666666666669</v>
      </c>
      <c r="AF150" s="48">
        <v>0.29166666666666669</v>
      </c>
      <c r="AG150" s="48">
        <v>0.29166666666666669</v>
      </c>
      <c r="AH150" s="48">
        <v>0.29166666666666669</v>
      </c>
      <c r="AI150" s="48">
        <v>0.29166666666666669</v>
      </c>
      <c r="AJ150" s="48">
        <v>0.29166666666666669</v>
      </c>
      <c r="AK150" s="48">
        <v>0.29166666666666669</v>
      </c>
      <c r="AL150" s="48" t="s">
        <v>320</v>
      </c>
    </row>
    <row r="151" spans="1:45" hidden="1" x14ac:dyDescent="0.25">
      <c r="A151">
        <v>150</v>
      </c>
      <c r="B151">
        <v>2025</v>
      </c>
      <c r="C151">
        <v>4</v>
      </c>
      <c r="D151" t="s">
        <v>163</v>
      </c>
      <c r="E151">
        <v>31</v>
      </c>
      <c r="F151">
        <v>3</v>
      </c>
      <c r="G151" t="s">
        <v>431</v>
      </c>
      <c r="H151" s="48">
        <v>0.91666666666666674</v>
      </c>
      <c r="I151" s="48">
        <v>0.83333333333333326</v>
      </c>
      <c r="J151" s="48">
        <v>0.83333333333333326</v>
      </c>
      <c r="K151" s="48">
        <v>0.83333333333333326</v>
      </c>
      <c r="L151" s="48">
        <v>0.83333333333333326</v>
      </c>
      <c r="M151" s="48">
        <v>0.83333333333333326</v>
      </c>
      <c r="N151" s="48">
        <v>0.83333333333333326</v>
      </c>
      <c r="O151" s="48">
        <v>0.83333333333333326</v>
      </c>
      <c r="P151" s="48">
        <v>0.83333333333333326</v>
      </c>
      <c r="Q151" s="48">
        <v>0.83333333333333326</v>
      </c>
      <c r="R151" s="48">
        <v>0.83333333333333326</v>
      </c>
      <c r="S151" s="48">
        <v>0.83333333333333326</v>
      </c>
      <c r="T151" s="48">
        <v>0.83333333333333326</v>
      </c>
      <c r="U151" s="48">
        <v>0.83333333333333326</v>
      </c>
      <c r="V151" s="48">
        <v>0.83333333333333326</v>
      </c>
      <c r="W151" s="48">
        <v>0.83333333333333326</v>
      </c>
      <c r="X151" s="48">
        <v>0.83333333333333326</v>
      </c>
      <c r="Y151" s="48">
        <v>0.83333333333333326</v>
      </c>
      <c r="Z151" s="48">
        <v>0.83333333333333326</v>
      </c>
      <c r="AA151" s="48">
        <v>0.83333333333333326</v>
      </c>
      <c r="AB151" s="48">
        <v>0.83333333333333326</v>
      </c>
      <c r="AC151" s="48">
        <v>0.83333333333333326</v>
      </c>
      <c r="AD151" s="48">
        <v>0.83333333333333326</v>
      </c>
      <c r="AE151" s="48">
        <v>0.83333333333333326</v>
      </c>
      <c r="AF151" s="48">
        <v>0.83333333333333326</v>
      </c>
      <c r="AG151" s="48">
        <v>0.83333333333333326</v>
      </c>
      <c r="AH151" s="48">
        <v>0.83333333333333326</v>
      </c>
      <c r="AI151" s="48">
        <v>0.83333333333333326</v>
      </c>
      <c r="AJ151" s="48">
        <v>0.83333333333333326</v>
      </c>
      <c r="AK151" s="48">
        <v>0.83333333333333326</v>
      </c>
      <c r="AL151" s="48" t="s">
        <v>320</v>
      </c>
      <c r="AM151">
        <v>30</v>
      </c>
      <c r="AO151">
        <v>61.999999999999943</v>
      </c>
    </row>
    <row r="152" spans="1:45" hidden="1" x14ac:dyDescent="0.25">
      <c r="A152">
        <v>151</v>
      </c>
      <c r="B152">
        <v>2025</v>
      </c>
      <c r="C152">
        <v>4</v>
      </c>
      <c r="D152" t="s">
        <v>163</v>
      </c>
      <c r="E152">
        <v>31</v>
      </c>
      <c r="F152">
        <v>3</v>
      </c>
      <c r="G152" t="s">
        <v>432</v>
      </c>
      <c r="H152" s="48">
        <v>307886</v>
      </c>
      <c r="I152" s="48">
        <v>308021</v>
      </c>
      <c r="J152" s="48">
        <v>308168</v>
      </c>
      <c r="K152" s="48">
        <v>308296</v>
      </c>
      <c r="L152" s="48">
        <v>308451</v>
      </c>
      <c r="M152" s="48">
        <v>308602</v>
      </c>
      <c r="N152" s="48">
        <v>308803</v>
      </c>
      <c r="O152" s="48">
        <v>308942</v>
      </c>
      <c r="P152" s="48">
        <v>309074</v>
      </c>
      <c r="Q152" s="48">
        <v>309227</v>
      </c>
      <c r="R152" s="48">
        <v>309371</v>
      </c>
      <c r="S152" s="48">
        <v>309518</v>
      </c>
      <c r="T152" s="48">
        <v>309660</v>
      </c>
      <c r="U152" s="48">
        <v>309798</v>
      </c>
      <c r="V152" s="48">
        <v>309927</v>
      </c>
      <c r="W152" s="48">
        <v>310125</v>
      </c>
      <c r="X152" s="48">
        <v>310229</v>
      </c>
      <c r="Y152" s="48">
        <v>310370</v>
      </c>
      <c r="Z152" s="48">
        <v>310496</v>
      </c>
      <c r="AA152" s="48">
        <v>310630</v>
      </c>
      <c r="AB152" s="48">
        <v>310826</v>
      </c>
      <c r="AC152" s="48">
        <v>310966</v>
      </c>
      <c r="AD152" s="48">
        <v>311160</v>
      </c>
      <c r="AE152" s="48">
        <v>311316</v>
      </c>
      <c r="AF152" s="48">
        <v>311443</v>
      </c>
      <c r="AG152" s="48">
        <v>311555</v>
      </c>
      <c r="AH152" s="48">
        <v>311689</v>
      </c>
      <c r="AI152" s="48">
        <v>311828</v>
      </c>
      <c r="AJ152" s="48">
        <v>312091</v>
      </c>
      <c r="AK152" s="48">
        <v>312217</v>
      </c>
      <c r="AL152" s="48" t="s">
        <v>320</v>
      </c>
    </row>
    <row r="153" spans="1:45" hidden="1" x14ac:dyDescent="0.25">
      <c r="A153">
        <v>152</v>
      </c>
      <c r="B153">
        <v>2025</v>
      </c>
      <c r="C153">
        <v>4</v>
      </c>
      <c r="D153" t="s">
        <v>163</v>
      </c>
      <c r="E153">
        <v>31</v>
      </c>
      <c r="F153">
        <v>3</v>
      </c>
      <c r="G153" t="s">
        <v>433</v>
      </c>
      <c r="H153" s="48">
        <v>308021</v>
      </c>
      <c r="I153" s="48">
        <v>308168</v>
      </c>
      <c r="J153" s="48">
        <v>308296</v>
      </c>
      <c r="K153" s="48">
        <v>308451</v>
      </c>
      <c r="L153" s="48">
        <v>308602</v>
      </c>
      <c r="M153" s="48">
        <v>308803</v>
      </c>
      <c r="N153" s="48">
        <v>308942</v>
      </c>
      <c r="O153" s="48">
        <v>309074</v>
      </c>
      <c r="P153" s="48">
        <v>309227</v>
      </c>
      <c r="Q153" s="48">
        <v>309371</v>
      </c>
      <c r="R153" s="48">
        <v>309518</v>
      </c>
      <c r="S153" s="48">
        <v>309660</v>
      </c>
      <c r="T153" s="48">
        <v>309798</v>
      </c>
      <c r="U153" s="48">
        <v>309927</v>
      </c>
      <c r="V153" s="48">
        <v>310125</v>
      </c>
      <c r="W153" s="48">
        <v>310229</v>
      </c>
      <c r="X153" s="48">
        <v>310370</v>
      </c>
      <c r="Y153" s="48">
        <v>310496</v>
      </c>
      <c r="Z153" s="48">
        <v>310630</v>
      </c>
      <c r="AA153" s="48">
        <v>310826</v>
      </c>
      <c r="AB153" s="48">
        <v>310966</v>
      </c>
      <c r="AC153" s="48">
        <v>311160</v>
      </c>
      <c r="AD153" s="48">
        <v>311316</v>
      </c>
      <c r="AE153" s="48">
        <v>311443</v>
      </c>
      <c r="AF153" s="48">
        <v>311555</v>
      </c>
      <c r="AG153" s="48">
        <v>311689</v>
      </c>
      <c r="AH153" s="48">
        <v>311828</v>
      </c>
      <c r="AI153" s="48">
        <v>312091</v>
      </c>
      <c r="AJ153" s="48">
        <v>312217</v>
      </c>
      <c r="AK153" s="48">
        <v>312344</v>
      </c>
      <c r="AL153" s="48" t="s">
        <v>320</v>
      </c>
      <c r="AP153">
        <v>668.7</v>
      </c>
      <c r="AQ153">
        <v>15</v>
      </c>
      <c r="AS153">
        <v>4458</v>
      </c>
    </row>
    <row r="154" spans="1:45" hidden="1" x14ac:dyDescent="0.25">
      <c r="A154">
        <v>153</v>
      </c>
      <c r="B154">
        <v>2025</v>
      </c>
      <c r="C154">
        <v>4</v>
      </c>
      <c r="D154" t="s">
        <v>146</v>
      </c>
      <c r="E154">
        <v>31</v>
      </c>
      <c r="F154">
        <v>3</v>
      </c>
      <c r="G154" t="s">
        <v>430</v>
      </c>
      <c r="H154" s="48">
        <v>0.29166666666666669</v>
      </c>
      <c r="I154" s="48">
        <v>0.29166666666666669</v>
      </c>
      <c r="J154" s="48">
        <v>0.29166666666666669</v>
      </c>
      <c r="K154" s="48">
        <v>0.29166666666666669</v>
      </c>
      <c r="L154" s="48">
        <v>0.29166666666666669</v>
      </c>
      <c r="M154" s="48" t="s">
        <v>320</v>
      </c>
      <c r="N154" s="48" t="s">
        <v>320</v>
      </c>
      <c r="O154" s="48" t="s">
        <v>320</v>
      </c>
      <c r="P154" s="48" t="s">
        <v>320</v>
      </c>
      <c r="Q154" s="48" t="s">
        <v>320</v>
      </c>
      <c r="R154" s="48" t="s">
        <v>320</v>
      </c>
      <c r="S154" s="48" t="s">
        <v>320</v>
      </c>
      <c r="T154" s="48" t="s">
        <v>320</v>
      </c>
      <c r="U154" s="48" t="s">
        <v>320</v>
      </c>
      <c r="V154" s="48" t="s">
        <v>320</v>
      </c>
      <c r="W154" s="48" t="s">
        <v>320</v>
      </c>
      <c r="X154" s="48" t="s">
        <v>320</v>
      </c>
      <c r="Y154" s="48" t="s">
        <v>320</v>
      </c>
      <c r="Z154" s="48" t="s">
        <v>320</v>
      </c>
      <c r="AA154" s="48" t="s">
        <v>320</v>
      </c>
      <c r="AB154" s="48" t="s">
        <v>320</v>
      </c>
      <c r="AC154" s="48" t="s">
        <v>320</v>
      </c>
      <c r="AD154" s="48" t="s">
        <v>320</v>
      </c>
      <c r="AE154" s="48" t="s">
        <v>320</v>
      </c>
      <c r="AF154" s="48" t="s">
        <v>320</v>
      </c>
      <c r="AG154" s="48" t="s">
        <v>320</v>
      </c>
      <c r="AH154" s="48" t="s">
        <v>320</v>
      </c>
      <c r="AI154" s="48" t="s">
        <v>320</v>
      </c>
      <c r="AJ154" s="48" t="s">
        <v>320</v>
      </c>
      <c r="AK154" s="48" t="s">
        <v>320</v>
      </c>
      <c r="AL154" s="48" t="s">
        <v>320</v>
      </c>
    </row>
    <row r="155" spans="1:45" hidden="1" x14ac:dyDescent="0.25">
      <c r="A155">
        <v>154</v>
      </c>
      <c r="B155">
        <v>2025</v>
      </c>
      <c r="C155">
        <v>4</v>
      </c>
      <c r="D155" t="s">
        <v>146</v>
      </c>
      <c r="E155">
        <v>31</v>
      </c>
      <c r="F155">
        <v>3</v>
      </c>
      <c r="G155" t="s">
        <v>431</v>
      </c>
      <c r="H155" s="48">
        <v>0.89583333333333326</v>
      </c>
      <c r="I155" s="48">
        <v>0.85416666666666674</v>
      </c>
      <c r="J155" s="48">
        <v>0.85416666666666674</v>
      </c>
      <c r="K155" s="48">
        <v>0.75</v>
      </c>
      <c r="L155" s="48">
        <v>0.75</v>
      </c>
      <c r="M155" s="48" t="s">
        <v>320</v>
      </c>
      <c r="N155" s="48" t="s">
        <v>320</v>
      </c>
      <c r="O155" s="48" t="s">
        <v>320</v>
      </c>
      <c r="P155" s="48" t="s">
        <v>320</v>
      </c>
      <c r="Q155" s="48" t="s">
        <v>320</v>
      </c>
      <c r="R155" s="48" t="s">
        <v>320</v>
      </c>
      <c r="S155" s="48" t="s">
        <v>320</v>
      </c>
      <c r="T155" s="48" t="s">
        <v>320</v>
      </c>
      <c r="U155" s="48" t="s">
        <v>320</v>
      </c>
      <c r="V155" s="48" t="s">
        <v>320</v>
      </c>
      <c r="W155" s="48" t="s">
        <v>320</v>
      </c>
      <c r="X155" s="48" t="s">
        <v>320</v>
      </c>
      <c r="Y155" s="48" t="s">
        <v>320</v>
      </c>
      <c r="Z155" s="48" t="s">
        <v>320</v>
      </c>
      <c r="AA155" s="48" t="s">
        <v>320</v>
      </c>
      <c r="AB155" s="48" t="s">
        <v>320</v>
      </c>
      <c r="AC155" s="48" t="s">
        <v>320</v>
      </c>
      <c r="AD155" s="48" t="s">
        <v>320</v>
      </c>
      <c r="AE155" s="48" t="s">
        <v>320</v>
      </c>
      <c r="AF155" s="48" t="s">
        <v>320</v>
      </c>
      <c r="AG155" s="48" t="s">
        <v>320</v>
      </c>
      <c r="AH155" s="48" t="s">
        <v>320</v>
      </c>
      <c r="AI155" s="48" t="s">
        <v>320</v>
      </c>
      <c r="AJ155" s="48" t="s">
        <v>320</v>
      </c>
      <c r="AK155" s="48" t="s">
        <v>320</v>
      </c>
      <c r="AL155" s="48" t="s">
        <v>320</v>
      </c>
      <c r="AM155">
        <v>5</v>
      </c>
      <c r="AO155">
        <v>64.5</v>
      </c>
      <c r="AR155" t="s">
        <v>330</v>
      </c>
    </row>
    <row r="156" spans="1:45" hidden="1" x14ac:dyDescent="0.25">
      <c r="A156">
        <v>155</v>
      </c>
      <c r="B156">
        <v>2025</v>
      </c>
      <c r="C156">
        <v>4</v>
      </c>
      <c r="D156" t="s">
        <v>146</v>
      </c>
      <c r="E156">
        <v>31</v>
      </c>
      <c r="F156">
        <v>3</v>
      </c>
      <c r="G156" t="s">
        <v>432</v>
      </c>
      <c r="H156" s="48">
        <v>821994</v>
      </c>
      <c r="I156" s="48">
        <v>822225</v>
      </c>
      <c r="J156" s="48">
        <v>822451</v>
      </c>
      <c r="K156" s="48">
        <v>822674</v>
      </c>
      <c r="L156" s="48">
        <v>863878</v>
      </c>
      <c r="M156" s="48" t="s">
        <v>320</v>
      </c>
      <c r="N156" s="48" t="s">
        <v>320</v>
      </c>
      <c r="O156" s="48" t="s">
        <v>320</v>
      </c>
      <c r="P156" s="48" t="s">
        <v>320</v>
      </c>
      <c r="Q156" s="48" t="s">
        <v>320</v>
      </c>
      <c r="R156" s="48" t="s">
        <v>320</v>
      </c>
      <c r="S156" s="48" t="s">
        <v>320</v>
      </c>
      <c r="T156" s="48" t="s">
        <v>320</v>
      </c>
      <c r="U156" s="48" t="s">
        <v>320</v>
      </c>
      <c r="V156" s="48" t="s">
        <v>320</v>
      </c>
      <c r="W156" s="48" t="s">
        <v>320</v>
      </c>
      <c r="X156" s="48" t="s">
        <v>320</v>
      </c>
      <c r="Y156" s="48" t="s">
        <v>320</v>
      </c>
      <c r="Z156" s="48" t="s">
        <v>320</v>
      </c>
      <c r="AA156" s="48" t="s">
        <v>320</v>
      </c>
      <c r="AB156" s="48" t="s">
        <v>320</v>
      </c>
      <c r="AC156" s="48" t="s">
        <v>320</v>
      </c>
      <c r="AD156" s="48" t="s">
        <v>320</v>
      </c>
      <c r="AE156" s="48" t="s">
        <v>320</v>
      </c>
      <c r="AF156" s="48" t="s">
        <v>320</v>
      </c>
      <c r="AG156" s="48" t="s">
        <v>320</v>
      </c>
      <c r="AH156" s="48" t="s">
        <v>320</v>
      </c>
      <c r="AI156" s="48" t="s">
        <v>320</v>
      </c>
      <c r="AJ156" s="48" t="s">
        <v>320</v>
      </c>
      <c r="AK156" s="48" t="s">
        <v>320</v>
      </c>
      <c r="AL156" s="48" t="s">
        <v>330</v>
      </c>
    </row>
    <row r="157" spans="1:45" hidden="1" x14ac:dyDescent="0.25">
      <c r="A157">
        <v>156</v>
      </c>
      <c r="B157">
        <v>2025</v>
      </c>
      <c r="C157">
        <v>4</v>
      </c>
      <c r="D157" t="s">
        <v>146</v>
      </c>
      <c r="E157">
        <v>31</v>
      </c>
      <c r="F157">
        <v>3</v>
      </c>
      <c r="G157" t="s">
        <v>433</v>
      </c>
      <c r="H157" s="48">
        <v>822225</v>
      </c>
      <c r="I157" s="48">
        <v>822451</v>
      </c>
      <c r="J157" s="48">
        <v>822674</v>
      </c>
      <c r="K157" s="48">
        <v>822848</v>
      </c>
      <c r="L157" s="48">
        <v>863999</v>
      </c>
      <c r="M157" s="48" t="s">
        <v>320</v>
      </c>
      <c r="N157" s="48" t="s">
        <v>320</v>
      </c>
      <c r="O157" s="48" t="s">
        <v>320</v>
      </c>
      <c r="P157" s="48" t="s">
        <v>320</v>
      </c>
      <c r="Q157" s="48" t="s">
        <v>320</v>
      </c>
      <c r="R157" s="48" t="s">
        <v>320</v>
      </c>
      <c r="S157" s="48" t="s">
        <v>320</v>
      </c>
      <c r="T157" s="48" t="s">
        <v>320</v>
      </c>
      <c r="U157" s="48" t="s">
        <v>320</v>
      </c>
      <c r="V157" s="48" t="s">
        <v>320</v>
      </c>
      <c r="W157" s="48" t="s">
        <v>320</v>
      </c>
      <c r="X157" s="48" t="s">
        <v>320</v>
      </c>
      <c r="Y157" s="48" t="s">
        <v>320</v>
      </c>
      <c r="Z157" s="48" t="s">
        <v>320</v>
      </c>
      <c r="AA157" s="48" t="s">
        <v>320</v>
      </c>
      <c r="AB157" s="48" t="s">
        <v>320</v>
      </c>
      <c r="AC157" s="48" t="s">
        <v>320</v>
      </c>
      <c r="AD157" s="48" t="s">
        <v>320</v>
      </c>
      <c r="AE157" s="48" t="s">
        <v>320</v>
      </c>
      <c r="AF157" s="48" t="s">
        <v>320</v>
      </c>
      <c r="AG157" s="48" t="s">
        <v>320</v>
      </c>
      <c r="AH157" s="48" t="s">
        <v>320</v>
      </c>
      <c r="AI157" s="48" t="s">
        <v>320</v>
      </c>
      <c r="AJ157" s="48" t="s">
        <v>320</v>
      </c>
      <c r="AK157" s="48" t="s">
        <v>320</v>
      </c>
      <c r="AL157" s="48" t="s">
        <v>320</v>
      </c>
      <c r="AP157">
        <v>146.25</v>
      </c>
      <c r="AQ157">
        <v>15</v>
      </c>
      <c r="AS157">
        <v>975</v>
      </c>
    </row>
    <row r="158" spans="1:45" hidden="1" x14ac:dyDescent="0.25">
      <c r="A158">
        <v>157</v>
      </c>
      <c r="B158">
        <v>2025</v>
      </c>
      <c r="C158">
        <v>4</v>
      </c>
      <c r="D158" t="s">
        <v>147</v>
      </c>
      <c r="E158">
        <v>31</v>
      </c>
      <c r="F158">
        <v>3</v>
      </c>
      <c r="G158" t="s">
        <v>430</v>
      </c>
      <c r="H158" s="48">
        <v>0.29166666666666669</v>
      </c>
      <c r="I158" s="48">
        <v>0.29166666666666669</v>
      </c>
      <c r="J158" s="48">
        <v>0.29166666666666669</v>
      </c>
      <c r="K158" s="48">
        <v>0.29166666666666669</v>
      </c>
      <c r="L158" s="48">
        <v>0.29166666666666669</v>
      </c>
      <c r="M158" s="48" t="s">
        <v>320</v>
      </c>
      <c r="N158" s="48">
        <v>0.29166666666666669</v>
      </c>
      <c r="O158" s="48">
        <v>0.29166666666666669</v>
      </c>
      <c r="P158" s="48">
        <v>0.29166666666666669</v>
      </c>
      <c r="Q158" s="48">
        <v>0.29166666666666669</v>
      </c>
      <c r="R158" s="48">
        <v>0.29166666666666669</v>
      </c>
      <c r="S158" s="48">
        <v>0.29166666666666669</v>
      </c>
      <c r="T158" s="48">
        <v>0.29166666666666669</v>
      </c>
      <c r="U158" s="48">
        <v>0.29166666666666669</v>
      </c>
      <c r="V158" s="48">
        <v>0.29166666666666669</v>
      </c>
      <c r="W158" s="48">
        <v>0.29166666666666669</v>
      </c>
      <c r="X158" s="48">
        <v>0.29166666666666669</v>
      </c>
      <c r="Y158" s="48">
        <v>0.29166666666666669</v>
      </c>
      <c r="Z158" s="48">
        <v>0.29166666666666669</v>
      </c>
      <c r="AA158" s="48">
        <v>0.29166666666666669</v>
      </c>
      <c r="AB158" s="48">
        <v>0.29166666666666669</v>
      </c>
      <c r="AC158" s="48">
        <v>0.29166666666666669</v>
      </c>
      <c r="AD158" s="48">
        <v>0.29166666666666669</v>
      </c>
      <c r="AE158" s="48" t="s">
        <v>320</v>
      </c>
      <c r="AF158" s="48" t="s">
        <v>320</v>
      </c>
      <c r="AG158" s="48" t="s">
        <v>320</v>
      </c>
      <c r="AH158" s="48" t="s">
        <v>320</v>
      </c>
      <c r="AI158" s="48" t="s">
        <v>320</v>
      </c>
      <c r="AJ158" s="48" t="s">
        <v>320</v>
      </c>
      <c r="AK158" s="48" t="s">
        <v>320</v>
      </c>
      <c r="AL158" s="48" t="s">
        <v>320</v>
      </c>
    </row>
    <row r="159" spans="1:45" hidden="1" x14ac:dyDescent="0.25">
      <c r="A159">
        <v>158</v>
      </c>
      <c r="B159">
        <v>2025</v>
      </c>
      <c r="C159">
        <v>4</v>
      </c>
      <c r="D159" t="s">
        <v>147</v>
      </c>
      <c r="E159">
        <v>31</v>
      </c>
      <c r="F159">
        <v>3</v>
      </c>
      <c r="G159" t="s">
        <v>431</v>
      </c>
      <c r="H159" s="48">
        <v>0.75</v>
      </c>
      <c r="I159" s="48">
        <v>0.75</v>
      </c>
      <c r="J159" s="48">
        <v>0.75</v>
      </c>
      <c r="K159" s="48">
        <v>0.75</v>
      </c>
      <c r="L159" s="48">
        <v>0.75</v>
      </c>
      <c r="M159" s="48" t="s">
        <v>320</v>
      </c>
      <c r="N159" s="48">
        <v>0.75</v>
      </c>
      <c r="O159" s="48">
        <v>0.75</v>
      </c>
      <c r="P159" s="48">
        <v>0.75</v>
      </c>
      <c r="Q159" s="48">
        <v>0.75</v>
      </c>
      <c r="R159" s="48">
        <v>0.75</v>
      </c>
      <c r="S159" s="48">
        <v>0.75</v>
      </c>
      <c r="T159" s="48">
        <v>0.75</v>
      </c>
      <c r="U159" s="48">
        <v>0.75</v>
      </c>
      <c r="V159" s="48">
        <v>0.75</v>
      </c>
      <c r="W159" s="48">
        <v>0.75</v>
      </c>
      <c r="X159" s="48">
        <v>0.75</v>
      </c>
      <c r="Y159" s="48">
        <v>0.75</v>
      </c>
      <c r="Z159" s="48">
        <v>0.75</v>
      </c>
      <c r="AA159" s="48">
        <v>0.75</v>
      </c>
      <c r="AB159" s="48">
        <v>0.75</v>
      </c>
      <c r="AC159" s="48">
        <v>0.75</v>
      </c>
      <c r="AD159" s="48">
        <v>0.75</v>
      </c>
      <c r="AE159" s="48" t="s">
        <v>320</v>
      </c>
      <c r="AF159" s="48" t="s">
        <v>320</v>
      </c>
      <c r="AG159" s="48" t="s">
        <v>320</v>
      </c>
      <c r="AH159" s="48" t="s">
        <v>320</v>
      </c>
      <c r="AI159" s="48" t="s">
        <v>320</v>
      </c>
      <c r="AJ159" s="48" t="s">
        <v>320</v>
      </c>
      <c r="AK159" s="48" t="s">
        <v>320</v>
      </c>
      <c r="AL159" s="48" t="s">
        <v>320</v>
      </c>
      <c r="AM159">
        <v>31</v>
      </c>
      <c r="AR159" t="s">
        <v>331</v>
      </c>
    </row>
    <row r="160" spans="1:45" hidden="1" x14ac:dyDescent="0.25">
      <c r="A160">
        <v>159</v>
      </c>
      <c r="B160">
        <v>2025</v>
      </c>
      <c r="C160">
        <v>4</v>
      </c>
      <c r="D160" t="s">
        <v>147</v>
      </c>
      <c r="E160">
        <v>31</v>
      </c>
      <c r="F160">
        <v>3</v>
      </c>
      <c r="G160" t="s">
        <v>432</v>
      </c>
      <c r="H160" s="48">
        <v>406550</v>
      </c>
      <c r="I160" s="48">
        <v>406752</v>
      </c>
      <c r="J160" s="48">
        <v>406947</v>
      </c>
      <c r="K160" s="48">
        <v>407136</v>
      </c>
      <c r="L160" s="48">
        <v>407472</v>
      </c>
      <c r="M160" s="48" t="s">
        <v>320</v>
      </c>
      <c r="N160" s="48">
        <v>407664</v>
      </c>
      <c r="O160" s="48">
        <v>407856</v>
      </c>
      <c r="P160" s="48">
        <v>408223</v>
      </c>
      <c r="Q160" s="48">
        <v>408416</v>
      </c>
      <c r="R160" s="48">
        <v>408619</v>
      </c>
      <c r="S160" s="48">
        <v>408938</v>
      </c>
      <c r="T160" s="48">
        <v>409257</v>
      </c>
      <c r="U160" s="48">
        <v>409459</v>
      </c>
      <c r="V160" s="48">
        <v>409657</v>
      </c>
      <c r="W160" s="48">
        <v>409854</v>
      </c>
      <c r="X160" s="48">
        <v>409920</v>
      </c>
      <c r="Y160" s="48">
        <v>410245</v>
      </c>
      <c r="Z160" s="48">
        <v>410428</v>
      </c>
      <c r="AA160" s="48">
        <v>410590</v>
      </c>
      <c r="AB160" s="48">
        <v>410590</v>
      </c>
      <c r="AC160" s="48">
        <v>410590</v>
      </c>
      <c r="AD160" s="48">
        <v>410590</v>
      </c>
      <c r="AE160" s="48" t="s">
        <v>320</v>
      </c>
      <c r="AF160" s="48" t="s">
        <v>320</v>
      </c>
      <c r="AG160" s="48" t="s">
        <v>320</v>
      </c>
      <c r="AH160" s="48" t="s">
        <v>320</v>
      </c>
      <c r="AI160" s="48" t="s">
        <v>320</v>
      </c>
      <c r="AJ160" s="48" t="s">
        <v>320</v>
      </c>
      <c r="AK160" s="48" t="s">
        <v>320</v>
      </c>
      <c r="AL160" s="48" t="s">
        <v>331</v>
      </c>
    </row>
    <row r="161" spans="1:45" hidden="1" x14ac:dyDescent="0.25">
      <c r="A161">
        <v>160</v>
      </c>
      <c r="B161">
        <v>2025</v>
      </c>
      <c r="C161">
        <v>4</v>
      </c>
      <c r="D161" t="s">
        <v>147</v>
      </c>
      <c r="E161">
        <v>31</v>
      </c>
      <c r="F161">
        <v>3</v>
      </c>
      <c r="G161" t="s">
        <v>433</v>
      </c>
      <c r="H161" s="48">
        <v>406752</v>
      </c>
      <c r="I161" s="48">
        <v>406947</v>
      </c>
      <c r="J161" s="48">
        <v>407136</v>
      </c>
      <c r="K161" s="48">
        <v>407472</v>
      </c>
      <c r="L161" s="48">
        <v>407664</v>
      </c>
      <c r="M161" s="48" t="s">
        <v>320</v>
      </c>
      <c r="N161" s="48">
        <v>407856</v>
      </c>
      <c r="O161" s="48">
        <v>408223</v>
      </c>
      <c r="P161" s="48">
        <v>408416</v>
      </c>
      <c r="Q161" s="48">
        <v>408619</v>
      </c>
      <c r="R161" s="48">
        <v>408938</v>
      </c>
      <c r="S161" s="48">
        <v>409257</v>
      </c>
      <c r="T161" s="48">
        <v>409459</v>
      </c>
      <c r="U161" s="48">
        <v>409657</v>
      </c>
      <c r="V161" s="48">
        <v>409854</v>
      </c>
      <c r="W161" s="48">
        <v>409920</v>
      </c>
      <c r="X161" s="48">
        <v>410245</v>
      </c>
      <c r="Y161" s="48">
        <v>410428</v>
      </c>
      <c r="Z161" s="48">
        <v>410590</v>
      </c>
      <c r="AA161" s="48">
        <v>410590</v>
      </c>
      <c r="AB161" s="48">
        <v>410590</v>
      </c>
      <c r="AC161" s="48">
        <v>410590</v>
      </c>
      <c r="AD161" s="48">
        <v>410590</v>
      </c>
      <c r="AE161" s="48" t="s">
        <v>320</v>
      </c>
      <c r="AF161" s="48" t="s">
        <v>320</v>
      </c>
      <c r="AG161" s="48" t="s">
        <v>320</v>
      </c>
      <c r="AH161" s="48" t="s">
        <v>320</v>
      </c>
      <c r="AI161" s="48" t="s">
        <v>320</v>
      </c>
      <c r="AJ161" s="48" t="s">
        <v>320</v>
      </c>
      <c r="AK161" s="48" t="s">
        <v>320</v>
      </c>
      <c r="AL161" s="48" t="s">
        <v>320</v>
      </c>
      <c r="AP161">
        <v>727.2</v>
      </c>
      <c r="AQ161">
        <v>18</v>
      </c>
      <c r="AS161">
        <v>4040</v>
      </c>
    </row>
    <row r="162" spans="1:45" hidden="1" x14ac:dyDescent="0.25">
      <c r="A162">
        <v>161</v>
      </c>
      <c r="B162">
        <v>2025</v>
      </c>
      <c r="C162">
        <v>4</v>
      </c>
      <c r="D162" t="s">
        <v>164</v>
      </c>
      <c r="E162">
        <v>31</v>
      </c>
      <c r="F162">
        <v>3</v>
      </c>
      <c r="G162" t="s">
        <v>430</v>
      </c>
      <c r="H162" s="48">
        <v>0.29166666666666669</v>
      </c>
      <c r="I162" s="48">
        <v>0.29166666666666669</v>
      </c>
      <c r="J162" s="48">
        <v>0.29166666666666669</v>
      </c>
      <c r="K162" s="48">
        <v>0.29166666666666669</v>
      </c>
      <c r="L162" s="48">
        <v>0.29166666666666669</v>
      </c>
      <c r="M162" s="48">
        <v>0.29166666666666669</v>
      </c>
      <c r="N162" s="48">
        <v>0.29166666666666669</v>
      </c>
      <c r="O162" s="48">
        <v>0.29166666666666669</v>
      </c>
      <c r="P162" s="48">
        <v>0.29166666666666669</v>
      </c>
      <c r="Q162" s="48">
        <v>0.29166666666666669</v>
      </c>
      <c r="R162" s="48">
        <v>0.29166666666666669</v>
      </c>
      <c r="S162" s="48">
        <v>0.29166666666666669</v>
      </c>
      <c r="T162" s="48">
        <v>0.29166666666666669</v>
      </c>
      <c r="U162" s="48">
        <v>0.29166666666666669</v>
      </c>
      <c r="V162" s="48">
        <v>0.29166666666666669</v>
      </c>
      <c r="W162" s="48">
        <v>0.29166666666666669</v>
      </c>
      <c r="X162" s="48">
        <v>0.29166666666666669</v>
      </c>
      <c r="Y162" s="48">
        <v>0.29166666666666669</v>
      </c>
      <c r="Z162" s="48">
        <v>0.29166666666666669</v>
      </c>
      <c r="AA162" s="48">
        <v>0.29166666666666669</v>
      </c>
      <c r="AB162" s="48">
        <v>0.29166666666666669</v>
      </c>
      <c r="AC162" s="48">
        <v>0.29166666666666669</v>
      </c>
      <c r="AD162" s="48">
        <v>0.29166666666666669</v>
      </c>
      <c r="AE162" s="48">
        <v>0.29166666666666669</v>
      </c>
      <c r="AF162" s="48">
        <v>0.29166666666666669</v>
      </c>
      <c r="AG162" s="48">
        <v>0.29166666666666669</v>
      </c>
      <c r="AH162" s="48">
        <v>0.29166666666666669</v>
      </c>
      <c r="AI162" s="48">
        <v>0.29166666666666669</v>
      </c>
      <c r="AJ162" s="48">
        <v>0.29166666666666669</v>
      </c>
      <c r="AK162" s="48">
        <v>0.29166666666666669</v>
      </c>
      <c r="AL162" s="48" t="s">
        <v>320</v>
      </c>
    </row>
    <row r="163" spans="1:45" hidden="1" x14ac:dyDescent="0.25">
      <c r="A163">
        <v>162</v>
      </c>
      <c r="B163">
        <v>2025</v>
      </c>
      <c r="C163">
        <v>4</v>
      </c>
      <c r="D163" t="s">
        <v>164</v>
      </c>
      <c r="E163">
        <v>31</v>
      </c>
      <c r="F163">
        <v>3</v>
      </c>
      <c r="G163" t="s">
        <v>431</v>
      </c>
      <c r="H163" s="48">
        <v>0.83333333333333326</v>
      </c>
      <c r="I163" s="48">
        <v>0.75</v>
      </c>
      <c r="J163" s="48">
        <v>0.8125</v>
      </c>
      <c r="K163" s="48">
        <v>0.85416666666666674</v>
      </c>
      <c r="L163" s="48">
        <v>0.91666666666666674</v>
      </c>
      <c r="M163" s="48">
        <v>0.75</v>
      </c>
      <c r="N163" s="48">
        <v>0.875</v>
      </c>
      <c r="O163" s="48">
        <v>0.85416666666666674</v>
      </c>
      <c r="P163" s="48">
        <v>0.83333333333333326</v>
      </c>
      <c r="Q163" s="48">
        <v>0.75</v>
      </c>
      <c r="R163" s="48">
        <v>0.875</v>
      </c>
      <c r="S163" s="48">
        <v>0.75</v>
      </c>
      <c r="T163" s="48">
        <v>0.8041666666666667</v>
      </c>
      <c r="U163" s="48">
        <v>0.83333333333333326</v>
      </c>
      <c r="V163" s="48">
        <v>0.83333333333333326</v>
      </c>
      <c r="W163" s="48">
        <v>0.75</v>
      </c>
      <c r="X163" s="48">
        <v>0.83333333333333326</v>
      </c>
      <c r="Y163" s="48">
        <v>0.875</v>
      </c>
      <c r="Z163" s="48">
        <v>0.83333333333333326</v>
      </c>
      <c r="AA163" s="48">
        <v>0.95833333333333326</v>
      </c>
      <c r="AB163" s="48">
        <v>0.83333333333333326</v>
      </c>
      <c r="AC163" s="48">
        <v>0.75</v>
      </c>
      <c r="AD163" s="48">
        <v>0.75</v>
      </c>
      <c r="AE163" s="48">
        <v>0.83333333333333326</v>
      </c>
      <c r="AF163" s="48">
        <v>0.75</v>
      </c>
      <c r="AG163" s="48">
        <v>0.83333333333333326</v>
      </c>
      <c r="AH163" s="48">
        <v>0.75</v>
      </c>
      <c r="AI163" s="48">
        <v>0.875</v>
      </c>
      <c r="AJ163" s="48">
        <v>0.875</v>
      </c>
      <c r="AK163" s="48">
        <v>0.75</v>
      </c>
      <c r="AL163" s="48" t="s">
        <v>320</v>
      </c>
      <c r="AM163">
        <v>30</v>
      </c>
      <c r="AO163">
        <v>49.799999999999969</v>
      </c>
    </row>
    <row r="164" spans="1:45" hidden="1" x14ac:dyDescent="0.25">
      <c r="A164">
        <v>163</v>
      </c>
      <c r="B164">
        <v>2025</v>
      </c>
      <c r="C164">
        <v>4</v>
      </c>
      <c r="D164" t="s">
        <v>164</v>
      </c>
      <c r="E164">
        <v>31</v>
      </c>
      <c r="F164">
        <v>3</v>
      </c>
      <c r="G164" t="s">
        <v>432</v>
      </c>
      <c r="H164" s="48">
        <v>22506</v>
      </c>
      <c r="I164" s="48">
        <v>22516</v>
      </c>
      <c r="J164" s="48">
        <v>22541</v>
      </c>
      <c r="K164" s="48">
        <v>22680</v>
      </c>
      <c r="L164" s="48">
        <v>22716</v>
      </c>
      <c r="M164" s="48">
        <v>22810</v>
      </c>
      <c r="N164" s="48">
        <v>22954</v>
      </c>
      <c r="O164" s="48">
        <v>23002</v>
      </c>
      <c r="P164" s="48">
        <v>23052</v>
      </c>
      <c r="Q164" s="48">
        <v>23126</v>
      </c>
      <c r="R164" s="48">
        <v>23162</v>
      </c>
      <c r="S164" s="48">
        <v>23215</v>
      </c>
      <c r="T164" s="48">
        <v>23229</v>
      </c>
      <c r="U164" s="48">
        <v>23373</v>
      </c>
      <c r="V164" s="48">
        <v>23395</v>
      </c>
      <c r="W164" s="48">
        <v>23404</v>
      </c>
      <c r="X164" s="48">
        <v>23411</v>
      </c>
      <c r="Y164" s="48">
        <v>23454</v>
      </c>
      <c r="Z164" s="48">
        <v>23504</v>
      </c>
      <c r="AA164" s="48">
        <v>23560</v>
      </c>
      <c r="AB164" s="48">
        <v>23748</v>
      </c>
      <c r="AC164" s="48">
        <v>23819</v>
      </c>
      <c r="AD164" s="48">
        <v>23824</v>
      </c>
      <c r="AE164" s="48">
        <v>23849</v>
      </c>
      <c r="AF164" s="48">
        <v>23855</v>
      </c>
      <c r="AG164" s="48">
        <v>23862</v>
      </c>
      <c r="AH164" s="48">
        <v>23874</v>
      </c>
      <c r="AI164" s="48">
        <v>23876</v>
      </c>
      <c r="AJ164" s="48">
        <v>23888</v>
      </c>
      <c r="AK164" s="48">
        <v>23987</v>
      </c>
      <c r="AL164" s="48" t="s">
        <v>320</v>
      </c>
    </row>
    <row r="165" spans="1:45" hidden="1" x14ac:dyDescent="0.25">
      <c r="A165">
        <v>164</v>
      </c>
      <c r="B165">
        <v>2025</v>
      </c>
      <c r="C165">
        <v>4</v>
      </c>
      <c r="D165" t="s">
        <v>164</v>
      </c>
      <c r="E165">
        <v>31</v>
      </c>
      <c r="F165">
        <v>3</v>
      </c>
      <c r="G165" t="s">
        <v>433</v>
      </c>
      <c r="H165" s="48">
        <v>22516</v>
      </c>
      <c r="I165" s="48">
        <v>22541</v>
      </c>
      <c r="J165" s="48">
        <v>22680</v>
      </c>
      <c r="K165" s="48">
        <v>22716</v>
      </c>
      <c r="L165" s="48">
        <v>22810</v>
      </c>
      <c r="M165" s="48">
        <v>22954</v>
      </c>
      <c r="N165" s="48">
        <v>23002</v>
      </c>
      <c r="O165" s="48">
        <v>23052</v>
      </c>
      <c r="P165" s="48">
        <v>23126</v>
      </c>
      <c r="Q165" s="48">
        <v>23162</v>
      </c>
      <c r="R165" s="48">
        <v>23215</v>
      </c>
      <c r="S165" s="48">
        <v>23229</v>
      </c>
      <c r="T165" s="48">
        <v>23373</v>
      </c>
      <c r="U165" s="48">
        <v>23395</v>
      </c>
      <c r="V165" s="48">
        <v>23404</v>
      </c>
      <c r="W165" s="48">
        <v>23411</v>
      </c>
      <c r="X165" s="48">
        <v>23454</v>
      </c>
      <c r="Y165" s="48">
        <v>23504</v>
      </c>
      <c r="Z165" s="48">
        <v>23560</v>
      </c>
      <c r="AA165" s="48">
        <v>23748</v>
      </c>
      <c r="AB165" s="48">
        <v>23819</v>
      </c>
      <c r="AC165" s="48">
        <v>23824</v>
      </c>
      <c r="AD165" s="48">
        <v>23849</v>
      </c>
      <c r="AE165" s="48">
        <v>23855</v>
      </c>
      <c r="AF165" s="48">
        <v>23862</v>
      </c>
      <c r="AG165" s="48">
        <v>23874</v>
      </c>
      <c r="AH165" s="48">
        <v>23876</v>
      </c>
      <c r="AI165" s="48">
        <v>23888</v>
      </c>
      <c r="AJ165" s="48">
        <v>23987</v>
      </c>
      <c r="AK165" s="48">
        <v>24007</v>
      </c>
      <c r="AL165" s="48" t="s">
        <v>320</v>
      </c>
      <c r="AP165">
        <v>225.15</v>
      </c>
      <c r="AQ165">
        <v>15</v>
      </c>
      <c r="AS165">
        <v>1501</v>
      </c>
    </row>
    <row r="166" spans="1:45" hidden="1" x14ac:dyDescent="0.25">
      <c r="A166">
        <v>165</v>
      </c>
      <c r="B166">
        <v>2025</v>
      </c>
      <c r="C166">
        <v>4</v>
      </c>
      <c r="D166" t="s">
        <v>165</v>
      </c>
      <c r="E166">
        <v>31</v>
      </c>
      <c r="F166">
        <v>3</v>
      </c>
      <c r="G166" t="s">
        <v>430</v>
      </c>
      <c r="H166" s="48" t="s">
        <v>320</v>
      </c>
      <c r="I166" s="48" t="s">
        <v>320</v>
      </c>
      <c r="J166" s="48" t="s">
        <v>320</v>
      </c>
      <c r="K166" s="48" t="s">
        <v>320</v>
      </c>
      <c r="L166" s="48" t="s">
        <v>320</v>
      </c>
      <c r="M166" s="48">
        <v>0.29166666666666669</v>
      </c>
      <c r="N166" s="48">
        <v>0.29166666666666669</v>
      </c>
      <c r="O166" s="48">
        <v>0.29166666666666669</v>
      </c>
      <c r="P166" s="48">
        <v>0.29166666666666669</v>
      </c>
      <c r="Q166" s="48">
        <v>0.29166666666666669</v>
      </c>
      <c r="R166" s="48">
        <v>0.29166666666666669</v>
      </c>
      <c r="S166" s="48">
        <v>0.29166666666666669</v>
      </c>
      <c r="T166" s="48">
        <v>0.29166666666666669</v>
      </c>
      <c r="U166" s="48">
        <v>0.29166666666666669</v>
      </c>
      <c r="V166" s="48">
        <v>0.29166666666666669</v>
      </c>
      <c r="W166" s="48">
        <v>0.29166666666666669</v>
      </c>
      <c r="X166" s="48">
        <v>0.29166666666666669</v>
      </c>
      <c r="Y166" s="48">
        <v>0.29166666666666669</v>
      </c>
      <c r="Z166" s="48">
        <v>0.29166666666666669</v>
      </c>
      <c r="AA166" s="48">
        <v>0.29166666666666669</v>
      </c>
      <c r="AB166" s="48">
        <v>0.29166666666666669</v>
      </c>
      <c r="AC166" s="48">
        <v>0.29166666666666669</v>
      </c>
      <c r="AD166" s="48">
        <v>0.29166666666666669</v>
      </c>
      <c r="AE166" s="48">
        <v>0.29166666666666669</v>
      </c>
      <c r="AF166" s="48">
        <v>0.29166666666666669</v>
      </c>
      <c r="AG166" s="48">
        <v>0.29166666666666669</v>
      </c>
      <c r="AH166" s="48">
        <v>0.29166666666666669</v>
      </c>
      <c r="AI166" s="48">
        <v>0.29166666666666669</v>
      </c>
      <c r="AJ166" s="48">
        <v>0.29166666666666669</v>
      </c>
      <c r="AK166" s="48">
        <v>0.29166666666666669</v>
      </c>
      <c r="AL166" s="48" t="s">
        <v>320</v>
      </c>
    </row>
    <row r="167" spans="1:45" hidden="1" x14ac:dyDescent="0.25">
      <c r="A167">
        <v>166</v>
      </c>
      <c r="B167">
        <v>2025</v>
      </c>
      <c r="C167">
        <v>4</v>
      </c>
      <c r="D167" t="s">
        <v>165</v>
      </c>
      <c r="E167">
        <v>31</v>
      </c>
      <c r="F167">
        <v>3</v>
      </c>
      <c r="G167" t="s">
        <v>431</v>
      </c>
      <c r="H167" s="48" t="s">
        <v>320</v>
      </c>
      <c r="I167" s="48" t="s">
        <v>320</v>
      </c>
      <c r="J167" s="48" t="s">
        <v>320</v>
      </c>
      <c r="K167" s="48" t="s">
        <v>320</v>
      </c>
      <c r="L167" s="48" t="s">
        <v>320</v>
      </c>
      <c r="M167" s="48">
        <v>0.75</v>
      </c>
      <c r="N167" s="48">
        <v>0.75</v>
      </c>
      <c r="O167" s="48">
        <v>0.83333333333333326</v>
      </c>
      <c r="P167" s="48">
        <v>0.83333333333333326</v>
      </c>
      <c r="Q167" s="48">
        <v>0.83333333333333326</v>
      </c>
      <c r="R167" s="48">
        <v>0.75</v>
      </c>
      <c r="S167" s="48">
        <v>0.75</v>
      </c>
      <c r="T167" s="48">
        <v>0.83333333333333326</v>
      </c>
      <c r="U167" s="48">
        <v>0.83333333333333326</v>
      </c>
      <c r="V167" s="48">
        <v>0.75</v>
      </c>
      <c r="W167" s="48">
        <v>0.75</v>
      </c>
      <c r="X167" s="48">
        <v>0.75</v>
      </c>
      <c r="Y167" s="48">
        <v>0.75</v>
      </c>
      <c r="Z167" s="48">
        <v>0.83333333333333326</v>
      </c>
      <c r="AA167" s="48">
        <v>0.75</v>
      </c>
      <c r="AB167" s="48">
        <v>0.75</v>
      </c>
      <c r="AC167" s="48">
        <v>0.75</v>
      </c>
      <c r="AD167" s="48">
        <v>0.75</v>
      </c>
      <c r="AE167" s="48">
        <v>0.75</v>
      </c>
      <c r="AF167" s="48">
        <v>0.75</v>
      </c>
      <c r="AG167" s="48">
        <v>0.83333333333333326</v>
      </c>
      <c r="AH167" s="48">
        <v>0.75</v>
      </c>
      <c r="AI167" s="48">
        <v>0.91666666666666674</v>
      </c>
      <c r="AJ167" s="48">
        <v>0.875</v>
      </c>
      <c r="AK167" s="48">
        <v>0.75</v>
      </c>
      <c r="AL167" s="48" t="s">
        <v>320</v>
      </c>
      <c r="AM167">
        <v>25</v>
      </c>
      <c r="AO167">
        <v>20.999999999999972</v>
      </c>
    </row>
    <row r="168" spans="1:45" hidden="1" x14ac:dyDescent="0.25">
      <c r="A168">
        <v>167</v>
      </c>
      <c r="B168">
        <v>2025</v>
      </c>
      <c r="C168">
        <v>4</v>
      </c>
      <c r="D168" t="s">
        <v>165</v>
      </c>
      <c r="E168">
        <v>31</v>
      </c>
      <c r="F168">
        <v>3</v>
      </c>
      <c r="G168" t="s">
        <v>432</v>
      </c>
      <c r="H168" s="48" t="s">
        <v>320</v>
      </c>
      <c r="I168" s="48" t="s">
        <v>320</v>
      </c>
      <c r="J168" s="48" t="s">
        <v>320</v>
      </c>
      <c r="K168" s="48" t="s">
        <v>320</v>
      </c>
      <c r="L168" s="48" t="s">
        <v>320</v>
      </c>
      <c r="M168" s="48">
        <v>24783</v>
      </c>
      <c r="N168" s="48">
        <v>24805</v>
      </c>
      <c r="O168" s="48">
        <v>24828</v>
      </c>
      <c r="P168" s="48">
        <v>24872</v>
      </c>
      <c r="Q168" s="48">
        <v>24912</v>
      </c>
      <c r="R168" s="48">
        <v>24939</v>
      </c>
      <c r="S168" s="48">
        <v>24976</v>
      </c>
      <c r="T168" s="48">
        <v>25005</v>
      </c>
      <c r="U168" s="48">
        <v>25045</v>
      </c>
      <c r="V168" s="48">
        <v>25072</v>
      </c>
      <c r="W168" s="48">
        <v>25087</v>
      </c>
      <c r="X168" s="48">
        <v>25099</v>
      </c>
      <c r="Y168" s="48">
        <v>25222</v>
      </c>
      <c r="Z168" s="48">
        <v>25241</v>
      </c>
      <c r="AA168" s="48">
        <v>25264</v>
      </c>
      <c r="AB168" s="48">
        <v>25315</v>
      </c>
      <c r="AC168" s="48">
        <v>25362</v>
      </c>
      <c r="AD168" s="48">
        <v>25413</v>
      </c>
      <c r="AE168" s="48">
        <v>25496</v>
      </c>
      <c r="AF168" s="48">
        <v>25508</v>
      </c>
      <c r="AG168" s="48">
        <v>25519</v>
      </c>
      <c r="AH168" s="48">
        <v>25573</v>
      </c>
      <c r="AI168" s="48">
        <v>25622</v>
      </c>
      <c r="AJ168" s="48">
        <v>25676</v>
      </c>
      <c r="AK168" s="48">
        <v>25714</v>
      </c>
      <c r="AL168" s="48" t="s">
        <v>320</v>
      </c>
    </row>
    <row r="169" spans="1:45" hidden="1" x14ac:dyDescent="0.25">
      <c r="A169">
        <v>168</v>
      </c>
      <c r="B169">
        <v>2025</v>
      </c>
      <c r="C169">
        <v>4</v>
      </c>
      <c r="D169" t="s">
        <v>165</v>
      </c>
      <c r="E169">
        <v>31</v>
      </c>
      <c r="F169">
        <v>3</v>
      </c>
      <c r="G169" t="s">
        <v>433</v>
      </c>
      <c r="H169" s="48" t="s">
        <v>320</v>
      </c>
      <c r="I169" s="48" t="s">
        <v>320</v>
      </c>
      <c r="J169" s="48" t="s">
        <v>320</v>
      </c>
      <c r="K169" s="48" t="s">
        <v>320</v>
      </c>
      <c r="L169" s="48" t="s">
        <v>320</v>
      </c>
      <c r="M169" s="48">
        <v>24805</v>
      </c>
      <c r="N169" s="48">
        <v>24828</v>
      </c>
      <c r="O169" s="48">
        <v>24872</v>
      </c>
      <c r="P169" s="48">
        <v>24912</v>
      </c>
      <c r="Q169" s="48">
        <v>24939</v>
      </c>
      <c r="R169" s="48">
        <v>24974</v>
      </c>
      <c r="S169" s="48">
        <v>25005</v>
      </c>
      <c r="T169" s="48">
        <v>25045</v>
      </c>
      <c r="U169" s="48">
        <v>25071</v>
      </c>
      <c r="V169" s="48">
        <v>25087</v>
      </c>
      <c r="W169" s="48">
        <v>25099</v>
      </c>
      <c r="X169" s="48">
        <v>25221</v>
      </c>
      <c r="Y169" s="48">
        <v>25241</v>
      </c>
      <c r="Z169" s="48">
        <v>25264</v>
      </c>
      <c r="AA169" s="48">
        <v>25315</v>
      </c>
      <c r="AB169" s="48">
        <v>25356</v>
      </c>
      <c r="AC169" s="48">
        <v>25400</v>
      </c>
      <c r="AD169" s="48">
        <v>25496</v>
      </c>
      <c r="AE169" s="48">
        <v>25508</v>
      </c>
      <c r="AF169" s="48">
        <v>25519</v>
      </c>
      <c r="AG169" s="48">
        <v>25573</v>
      </c>
      <c r="AH169" s="48">
        <v>25622</v>
      </c>
      <c r="AI169" s="48">
        <v>25676</v>
      </c>
      <c r="AJ169" s="48">
        <v>25714</v>
      </c>
      <c r="AK169" s="48">
        <v>25772</v>
      </c>
      <c r="AL169" s="48" t="s">
        <v>320</v>
      </c>
      <c r="AP169">
        <v>144.9</v>
      </c>
      <c r="AQ169">
        <v>15</v>
      </c>
      <c r="AS169">
        <v>966</v>
      </c>
    </row>
    <row r="170" spans="1:45" hidden="1" x14ac:dyDescent="0.25">
      <c r="A170">
        <v>169</v>
      </c>
      <c r="B170">
        <v>2025</v>
      </c>
      <c r="C170">
        <v>4</v>
      </c>
      <c r="D170" t="s">
        <v>149</v>
      </c>
      <c r="E170">
        <v>31</v>
      </c>
      <c r="F170">
        <v>3</v>
      </c>
      <c r="G170" t="s">
        <v>430</v>
      </c>
      <c r="H170" s="48" t="s">
        <v>320</v>
      </c>
      <c r="I170" s="48" t="s">
        <v>320</v>
      </c>
      <c r="J170" s="48" t="s">
        <v>320</v>
      </c>
      <c r="K170" s="48" t="s">
        <v>320</v>
      </c>
      <c r="L170" s="48" t="s">
        <v>320</v>
      </c>
      <c r="M170" s="48" t="s">
        <v>320</v>
      </c>
      <c r="N170" s="48" t="s">
        <v>320</v>
      </c>
      <c r="O170" s="48" t="s">
        <v>320</v>
      </c>
      <c r="P170" s="48" t="s">
        <v>320</v>
      </c>
      <c r="Q170" s="48" t="s">
        <v>320</v>
      </c>
      <c r="R170" s="48" t="s">
        <v>320</v>
      </c>
      <c r="S170" s="48" t="s">
        <v>320</v>
      </c>
      <c r="T170" s="48" t="s">
        <v>320</v>
      </c>
      <c r="U170" s="48" t="s">
        <v>320</v>
      </c>
      <c r="V170" s="48" t="s">
        <v>320</v>
      </c>
      <c r="W170" s="48" t="s">
        <v>320</v>
      </c>
      <c r="X170" s="48" t="s">
        <v>320</v>
      </c>
      <c r="Y170" s="48" t="s">
        <v>320</v>
      </c>
      <c r="Z170" s="48" t="s">
        <v>320</v>
      </c>
      <c r="AA170" s="48" t="s">
        <v>320</v>
      </c>
      <c r="AB170" s="48" t="s">
        <v>320</v>
      </c>
      <c r="AC170" s="48" t="s">
        <v>320</v>
      </c>
      <c r="AD170" s="48" t="s">
        <v>320</v>
      </c>
      <c r="AE170" s="48">
        <v>0.29166666666666669</v>
      </c>
      <c r="AF170" s="48">
        <v>0.29166666666666669</v>
      </c>
      <c r="AG170" s="48">
        <v>0.29166666666666669</v>
      </c>
      <c r="AH170" s="48">
        <v>0.29166666666666669</v>
      </c>
      <c r="AI170" s="48">
        <v>0.29166666666666669</v>
      </c>
      <c r="AJ170" s="48">
        <v>0.29166666666666669</v>
      </c>
      <c r="AK170" s="48">
        <v>0.29166666666666669</v>
      </c>
      <c r="AL170" s="48" t="s">
        <v>320</v>
      </c>
    </row>
    <row r="171" spans="1:45" hidden="1" x14ac:dyDescent="0.25">
      <c r="A171">
        <v>170</v>
      </c>
      <c r="B171">
        <v>2025</v>
      </c>
      <c r="C171">
        <v>4</v>
      </c>
      <c r="D171" t="s">
        <v>149</v>
      </c>
      <c r="E171">
        <v>31</v>
      </c>
      <c r="F171">
        <v>3</v>
      </c>
      <c r="G171" t="s">
        <v>431</v>
      </c>
      <c r="H171" s="48" t="s">
        <v>320</v>
      </c>
      <c r="I171" s="48" t="s">
        <v>320</v>
      </c>
      <c r="J171" s="48" t="s">
        <v>320</v>
      </c>
      <c r="K171" s="48" t="s">
        <v>320</v>
      </c>
      <c r="L171" s="48" t="s">
        <v>320</v>
      </c>
      <c r="M171" s="48" t="s">
        <v>320</v>
      </c>
      <c r="N171" s="48" t="s">
        <v>320</v>
      </c>
      <c r="O171" s="48" t="s">
        <v>320</v>
      </c>
      <c r="P171" s="48" t="s">
        <v>320</v>
      </c>
      <c r="Q171" s="48" t="s">
        <v>320</v>
      </c>
      <c r="R171" s="48" t="s">
        <v>320</v>
      </c>
      <c r="S171" s="48" t="s">
        <v>320</v>
      </c>
      <c r="T171" s="48" t="s">
        <v>320</v>
      </c>
      <c r="U171" s="48" t="s">
        <v>320</v>
      </c>
      <c r="V171" s="48" t="s">
        <v>320</v>
      </c>
      <c r="W171" s="48" t="s">
        <v>320</v>
      </c>
      <c r="X171" s="48" t="s">
        <v>320</v>
      </c>
      <c r="Y171" s="48" t="s">
        <v>320</v>
      </c>
      <c r="Z171" s="48" t="s">
        <v>320</v>
      </c>
      <c r="AA171" s="48" t="s">
        <v>320</v>
      </c>
      <c r="AB171" s="48" t="s">
        <v>320</v>
      </c>
      <c r="AC171" s="48" t="s">
        <v>320</v>
      </c>
      <c r="AD171" s="48" t="s">
        <v>320</v>
      </c>
      <c r="AE171" s="48">
        <v>0.75</v>
      </c>
      <c r="AF171" s="48">
        <v>0.75</v>
      </c>
      <c r="AG171" s="48">
        <v>0.75</v>
      </c>
      <c r="AH171" s="48">
        <v>0.75</v>
      </c>
      <c r="AI171" s="48">
        <v>0.75</v>
      </c>
      <c r="AJ171" s="48">
        <v>0.75</v>
      </c>
      <c r="AK171" s="48">
        <v>0.75</v>
      </c>
      <c r="AL171" s="48" t="s">
        <v>320</v>
      </c>
      <c r="AM171">
        <v>7</v>
      </c>
    </row>
    <row r="172" spans="1:45" hidden="1" x14ac:dyDescent="0.25">
      <c r="A172">
        <v>171</v>
      </c>
      <c r="B172">
        <v>2025</v>
      </c>
      <c r="C172">
        <v>4</v>
      </c>
      <c r="D172" t="s">
        <v>149</v>
      </c>
      <c r="E172">
        <v>31</v>
      </c>
      <c r="F172">
        <v>3</v>
      </c>
      <c r="G172" t="s">
        <v>432</v>
      </c>
      <c r="H172" s="48" t="s">
        <v>320</v>
      </c>
      <c r="I172" s="48" t="s">
        <v>320</v>
      </c>
      <c r="J172" s="48" t="s">
        <v>320</v>
      </c>
      <c r="K172" s="48" t="s">
        <v>320</v>
      </c>
      <c r="L172" s="48" t="s">
        <v>320</v>
      </c>
      <c r="M172" s="48" t="s">
        <v>320</v>
      </c>
      <c r="N172" s="48" t="s">
        <v>320</v>
      </c>
      <c r="O172" s="48" t="s">
        <v>320</v>
      </c>
      <c r="P172" s="48" t="s">
        <v>320</v>
      </c>
      <c r="Q172" s="48" t="s">
        <v>320</v>
      </c>
      <c r="R172" s="48" t="s">
        <v>320</v>
      </c>
      <c r="S172" s="48" t="s">
        <v>320</v>
      </c>
      <c r="T172" s="48" t="s">
        <v>320</v>
      </c>
      <c r="U172" s="48" t="s">
        <v>320</v>
      </c>
      <c r="V172" s="48" t="s">
        <v>320</v>
      </c>
      <c r="W172" s="48" t="s">
        <v>320</v>
      </c>
      <c r="X172" s="48" t="s">
        <v>320</v>
      </c>
      <c r="Y172" s="48" t="s">
        <v>320</v>
      </c>
      <c r="Z172" s="48" t="s">
        <v>320</v>
      </c>
      <c r="AA172" s="48" t="s">
        <v>320</v>
      </c>
      <c r="AB172" s="48" t="s">
        <v>320</v>
      </c>
      <c r="AC172" s="48" t="s">
        <v>320</v>
      </c>
      <c r="AD172" s="48" t="s">
        <v>320</v>
      </c>
      <c r="AE172" s="48">
        <v>826977</v>
      </c>
      <c r="AF172" s="48">
        <v>827181</v>
      </c>
      <c r="AG172" s="48">
        <v>827393</v>
      </c>
      <c r="AH172" s="48">
        <v>827595</v>
      </c>
      <c r="AI172" s="48">
        <v>827595</v>
      </c>
      <c r="AJ172" s="48">
        <v>827974</v>
      </c>
      <c r="AK172" s="48">
        <v>828182</v>
      </c>
      <c r="AL172" s="48" t="s">
        <v>320</v>
      </c>
    </row>
    <row r="173" spans="1:45" hidden="1" x14ac:dyDescent="0.25">
      <c r="A173">
        <v>172</v>
      </c>
      <c r="B173">
        <v>2025</v>
      </c>
      <c r="C173">
        <v>4</v>
      </c>
      <c r="D173" t="s">
        <v>149</v>
      </c>
      <c r="E173">
        <v>31</v>
      </c>
      <c r="F173">
        <v>3</v>
      </c>
      <c r="G173" t="s">
        <v>433</v>
      </c>
      <c r="H173" s="48" t="s">
        <v>320</v>
      </c>
      <c r="I173" s="48" t="s">
        <v>320</v>
      </c>
      <c r="J173" s="48" t="s">
        <v>320</v>
      </c>
      <c r="K173" s="48" t="s">
        <v>320</v>
      </c>
      <c r="L173" s="48" t="s">
        <v>320</v>
      </c>
      <c r="M173" s="48" t="s">
        <v>320</v>
      </c>
      <c r="N173" s="48" t="s">
        <v>320</v>
      </c>
      <c r="O173" s="48" t="s">
        <v>320</v>
      </c>
      <c r="P173" s="48" t="s">
        <v>320</v>
      </c>
      <c r="Q173" s="48" t="s">
        <v>320</v>
      </c>
      <c r="R173" s="48" t="s">
        <v>320</v>
      </c>
      <c r="S173" s="48" t="s">
        <v>320</v>
      </c>
      <c r="T173" s="48" t="s">
        <v>320</v>
      </c>
      <c r="U173" s="48" t="s">
        <v>320</v>
      </c>
      <c r="V173" s="48" t="s">
        <v>320</v>
      </c>
      <c r="W173" s="48" t="s">
        <v>320</v>
      </c>
      <c r="X173" s="48" t="s">
        <v>320</v>
      </c>
      <c r="Y173" s="48" t="s">
        <v>320</v>
      </c>
      <c r="Z173" s="48" t="s">
        <v>320</v>
      </c>
      <c r="AA173" s="48" t="s">
        <v>320</v>
      </c>
      <c r="AB173" s="48" t="s">
        <v>320</v>
      </c>
      <c r="AC173" s="48" t="s">
        <v>320</v>
      </c>
      <c r="AD173" s="48" t="s">
        <v>320</v>
      </c>
      <c r="AE173" s="48">
        <v>827181</v>
      </c>
      <c r="AF173" s="48">
        <v>827393</v>
      </c>
      <c r="AG173" s="48">
        <v>827595</v>
      </c>
      <c r="AH173" s="48">
        <v>827770</v>
      </c>
      <c r="AI173" s="48">
        <v>827974</v>
      </c>
      <c r="AJ173" s="48">
        <v>828182</v>
      </c>
      <c r="AK173" s="48">
        <v>828394</v>
      </c>
      <c r="AL173" s="48" t="s">
        <v>320</v>
      </c>
      <c r="AP173">
        <v>286.56</v>
      </c>
      <c r="AQ173">
        <v>18</v>
      </c>
      <c r="AS173">
        <v>1592</v>
      </c>
    </row>
    <row r="174" spans="1:45" hidden="1" x14ac:dyDescent="0.25">
      <c r="A174">
        <v>173</v>
      </c>
      <c r="B174">
        <v>2025</v>
      </c>
      <c r="C174">
        <v>5</v>
      </c>
      <c r="D174" t="s">
        <v>156</v>
      </c>
      <c r="E174">
        <v>31</v>
      </c>
      <c r="F174">
        <v>4</v>
      </c>
      <c r="G174" t="s">
        <v>430</v>
      </c>
      <c r="H174" s="48">
        <v>0.29166666666666669</v>
      </c>
      <c r="I174" s="48">
        <v>0.29166666666666669</v>
      </c>
      <c r="J174" s="48">
        <v>0.29166666666666669</v>
      </c>
      <c r="K174" s="48">
        <v>0.29166666666666669</v>
      </c>
      <c r="L174" s="48">
        <v>0.29166666666666669</v>
      </c>
      <c r="M174" s="48">
        <v>0.29166666666666669</v>
      </c>
      <c r="N174" s="48">
        <v>0.29166666666666669</v>
      </c>
      <c r="O174" s="48">
        <v>0.29166666666666669</v>
      </c>
      <c r="P174" s="48">
        <v>0.29166666666666669</v>
      </c>
      <c r="Q174" s="48">
        <v>0.29166666666666669</v>
      </c>
      <c r="R174" s="48">
        <v>0.29166666666666669</v>
      </c>
      <c r="S174" s="48">
        <v>0.29166666666666669</v>
      </c>
      <c r="T174" s="48">
        <v>0.29166666666666669</v>
      </c>
      <c r="U174" s="48">
        <v>0.29166666666666669</v>
      </c>
      <c r="V174" s="48">
        <v>0.29166666666666669</v>
      </c>
      <c r="W174" s="48">
        <v>0.29166666666666669</v>
      </c>
      <c r="X174" s="48">
        <v>0.29166666666666669</v>
      </c>
      <c r="Y174" s="48">
        <v>0.29166666666666669</v>
      </c>
      <c r="Z174" s="48">
        <v>0.29166666666666669</v>
      </c>
      <c r="AA174" s="48">
        <v>0.29166666666666669</v>
      </c>
      <c r="AB174" s="48">
        <v>0.29166666666666669</v>
      </c>
      <c r="AC174" s="48">
        <v>0.29166666666666669</v>
      </c>
      <c r="AD174" s="48">
        <v>0.29166666666666669</v>
      </c>
      <c r="AE174" s="48">
        <v>0.29166666666666669</v>
      </c>
      <c r="AF174" s="48" t="s">
        <v>320</v>
      </c>
      <c r="AG174" s="48">
        <v>0.29166666666666669</v>
      </c>
      <c r="AH174" s="48">
        <v>0.29166666666666669</v>
      </c>
      <c r="AI174" s="48">
        <v>0.29166666666666669</v>
      </c>
      <c r="AJ174" s="48">
        <v>0.29166666666666669</v>
      </c>
      <c r="AK174" s="48">
        <v>0.29166666666666669</v>
      </c>
      <c r="AL174" s="48">
        <v>0.29166666666666669</v>
      </c>
    </row>
    <row r="175" spans="1:45" hidden="1" x14ac:dyDescent="0.25">
      <c r="A175">
        <v>174</v>
      </c>
      <c r="B175">
        <v>2025</v>
      </c>
      <c r="C175">
        <v>5</v>
      </c>
      <c r="D175" t="s">
        <v>156</v>
      </c>
      <c r="E175">
        <v>31</v>
      </c>
      <c r="F175">
        <v>4</v>
      </c>
      <c r="G175" t="s">
        <v>431</v>
      </c>
      <c r="H175" s="48">
        <v>0.75</v>
      </c>
      <c r="I175" s="48">
        <v>0.75</v>
      </c>
      <c r="J175" s="48">
        <v>0.75</v>
      </c>
      <c r="K175" s="48">
        <v>0.75</v>
      </c>
      <c r="L175" s="48">
        <v>0.75</v>
      </c>
      <c r="M175" s="48">
        <v>0.75</v>
      </c>
      <c r="N175" s="48">
        <v>0.75</v>
      </c>
      <c r="O175" s="48">
        <v>0.75</v>
      </c>
      <c r="P175" s="48">
        <v>0.75</v>
      </c>
      <c r="Q175" s="48">
        <v>0.75</v>
      </c>
      <c r="R175" s="48">
        <v>0.75</v>
      </c>
      <c r="S175" s="48">
        <v>0.75</v>
      </c>
      <c r="T175" s="48">
        <v>0.75</v>
      </c>
      <c r="U175" s="48">
        <v>0.75</v>
      </c>
      <c r="V175" s="48">
        <v>0.75</v>
      </c>
      <c r="W175" s="48">
        <v>0.75</v>
      </c>
      <c r="X175" s="48">
        <v>0.75</v>
      </c>
      <c r="Y175" s="48">
        <v>0.75</v>
      </c>
      <c r="Z175" s="48">
        <v>0.75</v>
      </c>
      <c r="AA175" s="48">
        <v>0.75</v>
      </c>
      <c r="AB175" s="48">
        <v>0.75</v>
      </c>
      <c r="AC175" s="48">
        <v>0.75</v>
      </c>
      <c r="AD175" s="48">
        <v>0.75</v>
      </c>
      <c r="AE175" s="48">
        <v>0.75</v>
      </c>
      <c r="AF175" s="48" t="s">
        <v>320</v>
      </c>
      <c r="AG175" s="48">
        <v>0.75</v>
      </c>
      <c r="AH175" s="48">
        <v>0.75</v>
      </c>
      <c r="AI175" s="48">
        <v>0.75</v>
      </c>
      <c r="AJ175" s="48">
        <v>0.75</v>
      </c>
      <c r="AK175" s="48">
        <v>0.75</v>
      </c>
      <c r="AL175" s="48">
        <v>0.75</v>
      </c>
      <c r="AM175">
        <v>30</v>
      </c>
    </row>
    <row r="176" spans="1:45" hidden="1" x14ac:dyDescent="0.25">
      <c r="A176">
        <v>175</v>
      </c>
      <c r="B176">
        <v>2025</v>
      </c>
      <c r="C176">
        <v>5</v>
      </c>
      <c r="D176" t="s">
        <v>156</v>
      </c>
      <c r="E176">
        <v>31</v>
      </c>
      <c r="F176">
        <v>4</v>
      </c>
      <c r="G176" t="s">
        <v>432</v>
      </c>
      <c r="H176" s="48">
        <v>784370</v>
      </c>
      <c r="I176" s="48">
        <v>784521</v>
      </c>
      <c r="J176" s="48">
        <v>784699</v>
      </c>
      <c r="K176" s="48">
        <v>784825</v>
      </c>
      <c r="L176" s="48">
        <v>785054</v>
      </c>
      <c r="M176" s="48">
        <v>785204</v>
      </c>
      <c r="N176" s="48">
        <v>785384</v>
      </c>
      <c r="O176" s="48">
        <v>785538</v>
      </c>
      <c r="P176" s="48">
        <v>785687</v>
      </c>
      <c r="Q176" s="48">
        <v>785843</v>
      </c>
      <c r="R176" s="48">
        <v>785999</v>
      </c>
      <c r="S176" s="48">
        <v>786095</v>
      </c>
      <c r="T176" s="48">
        <v>786240</v>
      </c>
      <c r="U176" s="48">
        <v>786419</v>
      </c>
      <c r="V176" s="48">
        <v>786569</v>
      </c>
      <c r="W176" s="48">
        <v>786784</v>
      </c>
      <c r="X176" s="48">
        <v>786957</v>
      </c>
      <c r="Y176" s="48">
        <v>787107</v>
      </c>
      <c r="Z176" s="48">
        <v>787554</v>
      </c>
      <c r="AA176" s="48">
        <v>787710</v>
      </c>
      <c r="AB176" s="48">
        <v>787861</v>
      </c>
      <c r="AC176" s="48">
        <v>788039</v>
      </c>
      <c r="AD176" s="48">
        <v>788191</v>
      </c>
      <c r="AE176" s="48">
        <v>788371</v>
      </c>
      <c r="AF176" s="48" t="s">
        <v>320</v>
      </c>
      <c r="AG176" s="48">
        <v>788805</v>
      </c>
      <c r="AH176" s="48">
        <v>788956</v>
      </c>
      <c r="AI176" s="48">
        <v>789108</v>
      </c>
      <c r="AJ176" s="48">
        <v>789296</v>
      </c>
      <c r="AK176" s="48">
        <v>789447</v>
      </c>
      <c r="AL176" s="48">
        <v>789624</v>
      </c>
    </row>
    <row r="177" spans="1:45" hidden="1" x14ac:dyDescent="0.25">
      <c r="A177">
        <v>176</v>
      </c>
      <c r="B177">
        <v>2025</v>
      </c>
      <c r="C177">
        <v>5</v>
      </c>
      <c r="D177" t="s">
        <v>156</v>
      </c>
      <c r="E177">
        <v>31</v>
      </c>
      <c r="F177">
        <v>4</v>
      </c>
      <c r="G177" t="s">
        <v>433</v>
      </c>
      <c r="H177" s="48">
        <v>784521</v>
      </c>
      <c r="I177" s="48">
        <v>784699</v>
      </c>
      <c r="J177" s="48">
        <v>784825</v>
      </c>
      <c r="K177" s="48">
        <v>785054</v>
      </c>
      <c r="L177" s="48">
        <v>785204</v>
      </c>
      <c r="M177" s="48">
        <v>785384</v>
      </c>
      <c r="N177" s="48">
        <v>785538</v>
      </c>
      <c r="O177" s="48">
        <v>785687</v>
      </c>
      <c r="P177" s="48">
        <v>785843</v>
      </c>
      <c r="Q177" s="48">
        <v>785999</v>
      </c>
      <c r="R177" s="48">
        <v>786095</v>
      </c>
      <c r="S177" s="48">
        <v>786240</v>
      </c>
      <c r="T177" s="48">
        <v>786419</v>
      </c>
      <c r="U177" s="48">
        <v>786569</v>
      </c>
      <c r="V177" s="48">
        <v>786784</v>
      </c>
      <c r="W177" s="48">
        <v>786957</v>
      </c>
      <c r="X177" s="48">
        <v>787107</v>
      </c>
      <c r="Y177" s="48">
        <v>787554</v>
      </c>
      <c r="Z177" s="48">
        <v>787710</v>
      </c>
      <c r="AA177" s="48">
        <v>787861</v>
      </c>
      <c r="AB177" s="48">
        <v>788039</v>
      </c>
      <c r="AC177" s="48">
        <v>788191</v>
      </c>
      <c r="AD177" s="48">
        <v>788371</v>
      </c>
      <c r="AE177" s="48">
        <v>788533</v>
      </c>
      <c r="AF177" s="48" t="s">
        <v>320</v>
      </c>
      <c r="AG177" s="48">
        <v>788956</v>
      </c>
      <c r="AH177" s="48">
        <v>789108</v>
      </c>
      <c r="AI177" s="48">
        <v>789296</v>
      </c>
      <c r="AJ177" s="48">
        <v>789447</v>
      </c>
      <c r="AK177" s="48">
        <v>789624</v>
      </c>
      <c r="AL177" s="48">
        <v>789776</v>
      </c>
      <c r="AP177">
        <v>924.12</v>
      </c>
      <c r="AQ177">
        <v>18</v>
      </c>
      <c r="AS177">
        <v>5134</v>
      </c>
    </row>
    <row r="178" spans="1:45" hidden="1" x14ac:dyDescent="0.25">
      <c r="A178">
        <v>177</v>
      </c>
      <c r="B178">
        <v>2025</v>
      </c>
      <c r="C178">
        <v>5</v>
      </c>
      <c r="D178" t="s">
        <v>326</v>
      </c>
      <c r="E178">
        <v>31</v>
      </c>
      <c r="F178">
        <v>4</v>
      </c>
      <c r="G178" t="s">
        <v>430</v>
      </c>
      <c r="H178" s="48" t="s">
        <v>375</v>
      </c>
      <c r="I178" s="48" t="s">
        <v>375</v>
      </c>
      <c r="J178" s="48" t="s">
        <v>375</v>
      </c>
      <c r="K178" s="48" t="s">
        <v>375</v>
      </c>
      <c r="L178" s="48" t="s">
        <v>375</v>
      </c>
      <c r="M178" s="48" t="s">
        <v>375</v>
      </c>
      <c r="N178" s="48" t="s">
        <v>375</v>
      </c>
      <c r="O178" s="48" t="s">
        <v>375</v>
      </c>
      <c r="P178" s="48" t="s">
        <v>375</v>
      </c>
      <c r="Q178" s="48" t="s">
        <v>375</v>
      </c>
      <c r="R178" s="48" t="s">
        <v>375</v>
      </c>
      <c r="S178" s="48" t="s">
        <v>375</v>
      </c>
      <c r="T178" s="48" t="s">
        <v>375</v>
      </c>
      <c r="U178" s="48" t="s">
        <v>375</v>
      </c>
      <c r="V178" s="48" t="s">
        <v>375</v>
      </c>
      <c r="W178" s="48" t="s">
        <v>375</v>
      </c>
      <c r="X178" s="48" t="s">
        <v>375</v>
      </c>
      <c r="Y178" s="48" t="s">
        <v>375</v>
      </c>
      <c r="Z178" s="48" t="s">
        <v>375</v>
      </c>
      <c r="AA178" s="48" t="s">
        <v>375</v>
      </c>
      <c r="AB178" s="48" t="s">
        <v>320</v>
      </c>
      <c r="AC178" s="48" t="s">
        <v>375</v>
      </c>
      <c r="AD178" s="48" t="s">
        <v>375</v>
      </c>
      <c r="AE178" s="48" t="s">
        <v>375</v>
      </c>
      <c r="AF178" s="48" t="s">
        <v>375</v>
      </c>
      <c r="AG178" s="48" t="s">
        <v>375</v>
      </c>
      <c r="AH178" s="48" t="s">
        <v>375</v>
      </c>
      <c r="AI178" s="48" t="s">
        <v>320</v>
      </c>
      <c r="AJ178" s="48" t="s">
        <v>320</v>
      </c>
      <c r="AK178" s="48" t="s">
        <v>320</v>
      </c>
      <c r="AL178" s="48" t="s">
        <v>320</v>
      </c>
    </row>
    <row r="179" spans="1:45" hidden="1" x14ac:dyDescent="0.25">
      <c r="A179">
        <v>178</v>
      </c>
      <c r="B179">
        <v>2025</v>
      </c>
      <c r="C179">
        <v>5</v>
      </c>
      <c r="D179" t="s">
        <v>326</v>
      </c>
      <c r="E179">
        <v>31</v>
      </c>
      <c r="F179">
        <v>4</v>
      </c>
      <c r="G179" t="s">
        <v>431</v>
      </c>
      <c r="H179" s="48" t="s">
        <v>376</v>
      </c>
      <c r="I179" s="48" t="s">
        <v>376</v>
      </c>
      <c r="J179" s="48" t="s">
        <v>376</v>
      </c>
      <c r="K179" s="48" t="s">
        <v>376</v>
      </c>
      <c r="L179" s="48" t="s">
        <v>376</v>
      </c>
      <c r="M179" s="48" t="s">
        <v>376</v>
      </c>
      <c r="N179" s="48" t="s">
        <v>376</v>
      </c>
      <c r="O179" s="48" t="s">
        <v>376</v>
      </c>
      <c r="P179" s="48" t="s">
        <v>376</v>
      </c>
      <c r="Q179" s="48" t="s">
        <v>376</v>
      </c>
      <c r="R179" s="48" t="s">
        <v>376</v>
      </c>
      <c r="S179" s="48" t="s">
        <v>376</v>
      </c>
      <c r="T179" s="48" t="s">
        <v>376</v>
      </c>
      <c r="U179" s="48" t="s">
        <v>376</v>
      </c>
      <c r="V179" s="48" t="s">
        <v>376</v>
      </c>
      <c r="W179" s="48" t="s">
        <v>376</v>
      </c>
      <c r="X179" s="48" t="s">
        <v>376</v>
      </c>
      <c r="Y179" s="48" t="s">
        <v>376</v>
      </c>
      <c r="Z179" s="48" t="s">
        <v>376</v>
      </c>
      <c r="AA179" s="48" t="s">
        <v>376</v>
      </c>
      <c r="AB179" s="48" t="s">
        <v>320</v>
      </c>
      <c r="AC179" s="48" t="s">
        <v>376</v>
      </c>
      <c r="AD179" s="48" t="s">
        <v>376</v>
      </c>
      <c r="AE179" s="48" t="s">
        <v>376</v>
      </c>
      <c r="AF179" s="48" t="s">
        <v>376</v>
      </c>
      <c r="AG179" s="48" t="s">
        <v>376</v>
      </c>
      <c r="AH179" s="48" t="s">
        <v>376</v>
      </c>
      <c r="AI179" s="48" t="s">
        <v>320</v>
      </c>
      <c r="AJ179" s="48" t="s">
        <v>320</v>
      </c>
      <c r="AK179" s="48" t="s">
        <v>320</v>
      </c>
      <c r="AL179" s="48" t="s">
        <v>320</v>
      </c>
      <c r="AM179">
        <v>26</v>
      </c>
    </row>
    <row r="180" spans="1:45" hidden="1" x14ac:dyDescent="0.25">
      <c r="A180">
        <v>179</v>
      </c>
      <c r="B180">
        <v>2025</v>
      </c>
      <c r="C180">
        <v>5</v>
      </c>
      <c r="D180" t="s">
        <v>326</v>
      </c>
      <c r="E180">
        <v>31</v>
      </c>
      <c r="F180">
        <v>4</v>
      </c>
      <c r="G180" t="s">
        <v>432</v>
      </c>
      <c r="H180" s="48">
        <v>256451</v>
      </c>
      <c r="I180" s="48">
        <v>256525</v>
      </c>
      <c r="J180" s="48">
        <v>256655</v>
      </c>
      <c r="K180" s="48">
        <v>256725</v>
      </c>
      <c r="L180" s="48">
        <v>256740</v>
      </c>
      <c r="M180" s="48">
        <v>256745</v>
      </c>
      <c r="N180" s="48">
        <v>256745</v>
      </c>
      <c r="O180" s="48">
        <v>256745</v>
      </c>
      <c r="P180" s="48">
        <v>256745</v>
      </c>
      <c r="Q180" s="48">
        <v>238577</v>
      </c>
      <c r="R180" s="48">
        <v>238601</v>
      </c>
      <c r="S180" s="48">
        <v>238621</v>
      </c>
      <c r="T180" s="48">
        <v>238651</v>
      </c>
      <c r="U180" s="48">
        <v>238688</v>
      </c>
      <c r="V180" s="48">
        <v>238718</v>
      </c>
      <c r="W180" s="48">
        <v>238771</v>
      </c>
      <c r="X180" s="48">
        <v>238815</v>
      </c>
      <c r="Y180" s="48">
        <v>238895</v>
      </c>
      <c r="Z180" s="48">
        <v>238939</v>
      </c>
      <c r="AA180" s="48">
        <v>238971</v>
      </c>
      <c r="AB180" s="48" t="s">
        <v>320</v>
      </c>
      <c r="AC180" s="48">
        <v>239048</v>
      </c>
      <c r="AD180" s="48">
        <v>239123</v>
      </c>
      <c r="AE180" s="48">
        <v>239150</v>
      </c>
      <c r="AF180" s="48">
        <v>239223</v>
      </c>
      <c r="AG180" s="48">
        <v>239336</v>
      </c>
      <c r="AH180" s="48">
        <v>239367</v>
      </c>
      <c r="AI180" s="48" t="s">
        <v>320</v>
      </c>
      <c r="AJ180" s="48" t="s">
        <v>320</v>
      </c>
      <c r="AK180" s="48" t="s">
        <v>320</v>
      </c>
      <c r="AL180" s="48" t="s">
        <v>320</v>
      </c>
    </row>
    <row r="181" spans="1:45" hidden="1" x14ac:dyDescent="0.25">
      <c r="A181">
        <v>180</v>
      </c>
      <c r="B181">
        <v>2025</v>
      </c>
      <c r="C181">
        <v>5</v>
      </c>
      <c r="D181" t="s">
        <v>326</v>
      </c>
      <c r="E181">
        <v>31</v>
      </c>
      <c r="F181">
        <v>4</v>
      </c>
      <c r="G181" t="s">
        <v>433</v>
      </c>
      <c r="H181" s="48">
        <v>256525</v>
      </c>
      <c r="I181" s="48">
        <v>256647</v>
      </c>
      <c r="J181" s="48">
        <v>256725</v>
      </c>
      <c r="K181" s="48">
        <v>256740</v>
      </c>
      <c r="L181" s="48">
        <v>256745</v>
      </c>
      <c r="M181" s="48">
        <v>256745</v>
      </c>
      <c r="N181" s="48">
        <v>256745</v>
      </c>
      <c r="O181" s="48">
        <v>256745</v>
      </c>
      <c r="P181" s="48">
        <v>256745</v>
      </c>
      <c r="Q181" s="48">
        <v>238601</v>
      </c>
      <c r="R181" s="48">
        <v>238621</v>
      </c>
      <c r="S181" s="48">
        <v>238651</v>
      </c>
      <c r="T181" s="48">
        <v>238688</v>
      </c>
      <c r="U181" s="48">
        <v>238718</v>
      </c>
      <c r="V181" s="48">
        <v>238771</v>
      </c>
      <c r="W181" s="48">
        <v>238815</v>
      </c>
      <c r="X181" s="48">
        <v>238865</v>
      </c>
      <c r="Y181" s="48">
        <v>238935</v>
      </c>
      <c r="Z181" s="48">
        <v>238967</v>
      </c>
      <c r="AA181" s="48">
        <v>238996</v>
      </c>
      <c r="AB181" s="48" t="s">
        <v>320</v>
      </c>
      <c r="AC181" s="48">
        <v>239123</v>
      </c>
      <c r="AD181" s="48">
        <v>239150</v>
      </c>
      <c r="AE181" s="48">
        <v>239184</v>
      </c>
      <c r="AF181" s="48">
        <v>239242</v>
      </c>
      <c r="AG181" s="48">
        <v>239367</v>
      </c>
      <c r="AH181" s="48">
        <v>239410</v>
      </c>
      <c r="AI181" s="48" t="s">
        <v>320</v>
      </c>
      <c r="AJ181" s="48" t="s">
        <v>320</v>
      </c>
      <c r="AK181" s="48" t="s">
        <v>320</v>
      </c>
      <c r="AL181" s="48" t="s">
        <v>320</v>
      </c>
      <c r="AP181">
        <v>134.4</v>
      </c>
      <c r="AQ181">
        <v>15</v>
      </c>
      <c r="AS181">
        <v>896</v>
      </c>
    </row>
    <row r="182" spans="1:45" hidden="1" x14ac:dyDescent="0.25">
      <c r="A182">
        <v>181</v>
      </c>
      <c r="B182">
        <v>2025</v>
      </c>
      <c r="C182">
        <v>5</v>
      </c>
      <c r="D182" t="s">
        <v>138</v>
      </c>
      <c r="E182">
        <v>31</v>
      </c>
      <c r="F182">
        <v>4</v>
      </c>
      <c r="G182" t="s">
        <v>430</v>
      </c>
      <c r="H182" s="48" t="s">
        <v>377</v>
      </c>
      <c r="I182" s="48" t="s">
        <v>377</v>
      </c>
      <c r="J182" s="48" t="s">
        <v>377</v>
      </c>
      <c r="K182" s="48" t="s">
        <v>377</v>
      </c>
      <c r="L182" s="48" t="s">
        <v>377</v>
      </c>
      <c r="M182" s="48" t="s">
        <v>377</v>
      </c>
      <c r="N182" s="48" t="s">
        <v>377</v>
      </c>
      <c r="O182" s="48" t="s">
        <v>377</v>
      </c>
      <c r="P182" s="48" t="s">
        <v>377</v>
      </c>
      <c r="Q182" s="48" t="s">
        <v>377</v>
      </c>
      <c r="R182" s="48" t="s">
        <v>377</v>
      </c>
      <c r="S182" s="48" t="s">
        <v>377</v>
      </c>
      <c r="T182" s="48" t="s">
        <v>377</v>
      </c>
      <c r="U182" s="48" t="s">
        <v>377</v>
      </c>
      <c r="V182" s="48" t="s">
        <v>377</v>
      </c>
      <c r="W182" s="48" t="s">
        <v>377</v>
      </c>
      <c r="X182" s="48" t="s">
        <v>377</v>
      </c>
      <c r="Y182" s="48" t="s">
        <v>377</v>
      </c>
      <c r="Z182" s="48" t="s">
        <v>377</v>
      </c>
      <c r="AA182" s="48" t="s">
        <v>377</v>
      </c>
      <c r="AB182" s="48" t="s">
        <v>377</v>
      </c>
      <c r="AC182" s="48" t="s">
        <v>377</v>
      </c>
      <c r="AD182" s="48" t="s">
        <v>377</v>
      </c>
      <c r="AE182" s="48" t="s">
        <v>377</v>
      </c>
      <c r="AF182" s="48" t="s">
        <v>377</v>
      </c>
      <c r="AG182" s="48" t="s">
        <v>377</v>
      </c>
      <c r="AH182" s="48" t="s">
        <v>377</v>
      </c>
      <c r="AI182" s="48" t="s">
        <v>377</v>
      </c>
      <c r="AJ182" s="48" t="s">
        <v>377</v>
      </c>
      <c r="AK182" s="48" t="s">
        <v>377</v>
      </c>
      <c r="AL182" s="48" t="s">
        <v>377</v>
      </c>
    </row>
    <row r="183" spans="1:45" hidden="1" x14ac:dyDescent="0.25">
      <c r="A183">
        <v>182</v>
      </c>
      <c r="B183">
        <v>2025</v>
      </c>
      <c r="C183">
        <v>5</v>
      </c>
      <c r="D183" t="s">
        <v>138</v>
      </c>
      <c r="E183">
        <v>31</v>
      </c>
      <c r="F183">
        <v>4</v>
      </c>
      <c r="G183" t="s">
        <v>431</v>
      </c>
      <c r="H183" s="48">
        <v>0.8125</v>
      </c>
      <c r="I183" s="48">
        <v>0.8125</v>
      </c>
      <c r="J183" s="48">
        <v>0.8125</v>
      </c>
      <c r="K183" s="48">
        <v>0.8125</v>
      </c>
      <c r="L183" s="48">
        <v>0.8125</v>
      </c>
      <c r="M183" s="48">
        <v>0.8125</v>
      </c>
      <c r="N183" s="48">
        <v>0.8125</v>
      </c>
      <c r="O183" s="48">
        <v>0.8125</v>
      </c>
      <c r="P183" s="48">
        <v>0.8125</v>
      </c>
      <c r="Q183" s="48">
        <v>0.8125</v>
      </c>
      <c r="R183" s="48">
        <v>0.8125</v>
      </c>
      <c r="S183" s="48">
        <v>0.8125</v>
      </c>
      <c r="T183" s="48">
        <v>0.8125</v>
      </c>
      <c r="U183" s="48">
        <v>0.8125</v>
      </c>
      <c r="V183" s="48">
        <v>0.8125</v>
      </c>
      <c r="W183" s="48">
        <v>0.8125</v>
      </c>
      <c r="X183" s="48">
        <v>0.8125</v>
      </c>
      <c r="Y183" s="48">
        <v>0.8125</v>
      </c>
      <c r="Z183" s="48">
        <v>0.8125</v>
      </c>
      <c r="AA183" s="48">
        <v>0.8125</v>
      </c>
      <c r="AB183" s="48">
        <v>0.8125</v>
      </c>
      <c r="AC183" s="48">
        <v>0.8125</v>
      </c>
      <c r="AD183" s="48">
        <v>0.8125</v>
      </c>
      <c r="AE183" s="48">
        <v>0.8125</v>
      </c>
      <c r="AF183" s="48">
        <v>0.8125</v>
      </c>
      <c r="AG183" s="48">
        <v>0.8125</v>
      </c>
      <c r="AH183" s="48">
        <v>0.8125</v>
      </c>
      <c r="AI183" s="48">
        <v>0.8125</v>
      </c>
      <c r="AJ183" s="48">
        <v>0.8125</v>
      </c>
      <c r="AK183" s="48">
        <v>0.8125</v>
      </c>
      <c r="AL183" s="48">
        <v>0.8125</v>
      </c>
      <c r="AM183">
        <v>31</v>
      </c>
      <c r="AO183">
        <v>93</v>
      </c>
    </row>
    <row r="184" spans="1:45" hidden="1" x14ac:dyDescent="0.25">
      <c r="A184">
        <v>183</v>
      </c>
      <c r="B184">
        <v>2025</v>
      </c>
      <c r="C184">
        <v>5</v>
      </c>
      <c r="D184" t="s">
        <v>138</v>
      </c>
      <c r="E184">
        <v>31</v>
      </c>
      <c r="F184">
        <v>4</v>
      </c>
      <c r="G184" t="s">
        <v>432</v>
      </c>
      <c r="H184" s="48">
        <v>17461</v>
      </c>
      <c r="I184" s="48">
        <v>17632</v>
      </c>
      <c r="J184" s="48">
        <v>17841</v>
      </c>
      <c r="K184" s="48">
        <v>17971</v>
      </c>
      <c r="L184" s="48">
        <v>18133</v>
      </c>
      <c r="M184" s="48">
        <v>18320</v>
      </c>
      <c r="N184" s="48">
        <v>18503</v>
      </c>
      <c r="O184" s="48">
        <v>18684</v>
      </c>
      <c r="P184" s="48">
        <v>18907</v>
      </c>
      <c r="Q184" s="48">
        <v>19066</v>
      </c>
      <c r="R184" s="48">
        <v>19250</v>
      </c>
      <c r="S184" s="48">
        <v>19391</v>
      </c>
      <c r="T184" s="48">
        <v>19571</v>
      </c>
      <c r="U184" s="48">
        <v>19740</v>
      </c>
      <c r="V184" s="48">
        <v>19893</v>
      </c>
      <c r="W184" s="48">
        <v>20053</v>
      </c>
      <c r="X184" s="48">
        <v>20253</v>
      </c>
      <c r="Y184" s="48">
        <v>20424</v>
      </c>
      <c r="Z184" s="48">
        <v>20516</v>
      </c>
      <c r="AA184" s="48">
        <v>20675</v>
      </c>
      <c r="AB184" s="48">
        <v>20882</v>
      </c>
      <c r="AC184" s="48">
        <v>21038</v>
      </c>
      <c r="AD184" s="48">
        <v>21184</v>
      </c>
      <c r="AE184" s="48">
        <v>21367</v>
      </c>
      <c r="AF184" s="48">
        <v>21557</v>
      </c>
      <c r="AG184" s="48">
        <v>21739</v>
      </c>
      <c r="AH184" s="48">
        <v>21899</v>
      </c>
      <c r="AI184" s="48">
        <v>22158</v>
      </c>
      <c r="AJ184" s="48">
        <v>22320</v>
      </c>
      <c r="AK184" s="48">
        <v>22496</v>
      </c>
      <c r="AL184" s="48">
        <v>22671</v>
      </c>
    </row>
    <row r="185" spans="1:45" hidden="1" x14ac:dyDescent="0.25">
      <c r="A185">
        <v>184</v>
      </c>
      <c r="B185">
        <v>2025</v>
      </c>
      <c r="C185">
        <v>5</v>
      </c>
      <c r="D185" t="s">
        <v>138</v>
      </c>
      <c r="E185">
        <v>31</v>
      </c>
      <c r="F185">
        <v>4</v>
      </c>
      <c r="G185" t="s">
        <v>433</v>
      </c>
      <c r="H185" s="48">
        <v>17632</v>
      </c>
      <c r="I185" s="48">
        <v>17841</v>
      </c>
      <c r="J185" s="48">
        <v>17971</v>
      </c>
      <c r="K185" s="48">
        <v>18133</v>
      </c>
      <c r="L185" s="48">
        <v>18320</v>
      </c>
      <c r="M185" s="48">
        <v>18503</v>
      </c>
      <c r="N185" s="48">
        <v>18684</v>
      </c>
      <c r="O185" s="48">
        <v>18907</v>
      </c>
      <c r="P185" s="48">
        <v>19066</v>
      </c>
      <c r="Q185" s="48">
        <v>19250</v>
      </c>
      <c r="R185" s="48">
        <v>19391</v>
      </c>
      <c r="S185" s="48">
        <v>19571</v>
      </c>
      <c r="T185" s="48">
        <v>19740</v>
      </c>
      <c r="U185" s="48">
        <v>19893</v>
      </c>
      <c r="V185" s="48">
        <v>20053</v>
      </c>
      <c r="W185" s="48">
        <v>20253</v>
      </c>
      <c r="X185" s="48">
        <v>20424</v>
      </c>
      <c r="Y185" s="48">
        <v>20516</v>
      </c>
      <c r="Z185" s="48">
        <v>20675</v>
      </c>
      <c r="AA185" s="48">
        <v>20882</v>
      </c>
      <c r="AB185" s="48">
        <v>21038</v>
      </c>
      <c r="AC185" s="48">
        <v>21184</v>
      </c>
      <c r="AD185" s="48">
        <v>21367</v>
      </c>
      <c r="AE185" s="48">
        <v>21557</v>
      </c>
      <c r="AF185" s="48">
        <v>21739</v>
      </c>
      <c r="AG185" s="48">
        <v>21899</v>
      </c>
      <c r="AH185" s="48">
        <v>22158</v>
      </c>
      <c r="AI185" s="48">
        <v>22320</v>
      </c>
      <c r="AJ185" s="48">
        <v>22496</v>
      </c>
      <c r="AK185" s="48">
        <v>22671</v>
      </c>
      <c r="AL185" s="48">
        <v>22864</v>
      </c>
      <c r="AP185">
        <v>810.45</v>
      </c>
      <c r="AQ185">
        <v>15</v>
      </c>
      <c r="AS185">
        <v>5403</v>
      </c>
    </row>
    <row r="186" spans="1:45" hidden="1" x14ac:dyDescent="0.25">
      <c r="A186">
        <v>185</v>
      </c>
      <c r="B186">
        <v>2025</v>
      </c>
      <c r="C186">
        <v>5</v>
      </c>
      <c r="D186" t="s">
        <v>139</v>
      </c>
      <c r="E186">
        <v>31</v>
      </c>
      <c r="F186">
        <v>4</v>
      </c>
      <c r="G186" t="s">
        <v>430</v>
      </c>
      <c r="H186" s="48" t="s">
        <v>375</v>
      </c>
      <c r="I186" s="48" t="s">
        <v>375</v>
      </c>
      <c r="J186" s="48" t="s">
        <v>375</v>
      </c>
      <c r="K186" s="48" t="s">
        <v>375</v>
      </c>
      <c r="L186" s="48" t="s">
        <v>375</v>
      </c>
      <c r="M186" s="48" t="s">
        <v>375</v>
      </c>
      <c r="N186" s="48" t="s">
        <v>375</v>
      </c>
      <c r="O186" s="48" t="s">
        <v>375</v>
      </c>
      <c r="P186" s="48" t="s">
        <v>375</v>
      </c>
      <c r="Q186" s="48" t="s">
        <v>375</v>
      </c>
      <c r="R186" s="48" t="s">
        <v>375</v>
      </c>
      <c r="S186" s="48" t="s">
        <v>375</v>
      </c>
      <c r="T186" s="48" t="s">
        <v>375</v>
      </c>
      <c r="U186" s="48" t="s">
        <v>375</v>
      </c>
      <c r="V186" s="48" t="s">
        <v>375</v>
      </c>
      <c r="W186" s="48" t="s">
        <v>320</v>
      </c>
      <c r="X186" s="48" t="s">
        <v>320</v>
      </c>
      <c r="Y186" s="48" t="s">
        <v>320</v>
      </c>
      <c r="Z186" s="48" t="s">
        <v>320</v>
      </c>
      <c r="AA186" s="48" t="s">
        <v>320</v>
      </c>
      <c r="AB186" s="48" t="s">
        <v>320</v>
      </c>
      <c r="AC186" s="48" t="s">
        <v>320</v>
      </c>
      <c r="AD186" s="48" t="s">
        <v>320</v>
      </c>
      <c r="AE186" s="48" t="s">
        <v>320</v>
      </c>
      <c r="AF186" s="48" t="s">
        <v>320</v>
      </c>
      <c r="AG186" s="48" t="s">
        <v>320</v>
      </c>
      <c r="AH186" s="48" t="s">
        <v>320</v>
      </c>
      <c r="AI186" s="48" t="s">
        <v>320</v>
      </c>
      <c r="AJ186" s="48" t="s">
        <v>320</v>
      </c>
      <c r="AK186" s="48" t="s">
        <v>320</v>
      </c>
      <c r="AL186" s="48" t="s">
        <v>320</v>
      </c>
    </row>
    <row r="187" spans="1:45" hidden="1" x14ac:dyDescent="0.25">
      <c r="A187">
        <v>186</v>
      </c>
      <c r="B187">
        <v>2025</v>
      </c>
      <c r="C187">
        <v>5</v>
      </c>
      <c r="D187" t="s">
        <v>139</v>
      </c>
      <c r="E187">
        <v>31</v>
      </c>
      <c r="F187">
        <v>4</v>
      </c>
      <c r="G187" t="s">
        <v>431</v>
      </c>
      <c r="H187" s="48" t="s">
        <v>376</v>
      </c>
      <c r="I187" s="48" t="s">
        <v>376</v>
      </c>
      <c r="J187" s="48" t="s">
        <v>376</v>
      </c>
      <c r="K187" s="48" t="s">
        <v>376</v>
      </c>
      <c r="L187" s="48" t="s">
        <v>376</v>
      </c>
      <c r="M187" s="48" t="s">
        <v>376</v>
      </c>
      <c r="N187" s="48" t="s">
        <v>376</v>
      </c>
      <c r="O187" s="48" t="s">
        <v>376</v>
      </c>
      <c r="P187" s="48" t="s">
        <v>376</v>
      </c>
      <c r="Q187" s="48" t="s">
        <v>376</v>
      </c>
      <c r="R187" s="48" t="s">
        <v>376</v>
      </c>
      <c r="S187" s="48" t="s">
        <v>376</v>
      </c>
      <c r="T187" s="48" t="s">
        <v>376</v>
      </c>
      <c r="U187" s="48" t="s">
        <v>376</v>
      </c>
      <c r="V187" s="48" t="s">
        <v>376</v>
      </c>
      <c r="W187" s="48" t="s">
        <v>320</v>
      </c>
      <c r="X187" s="48" t="s">
        <v>320</v>
      </c>
      <c r="Y187" s="48" t="s">
        <v>320</v>
      </c>
      <c r="Z187" s="48" t="s">
        <v>320</v>
      </c>
      <c r="AA187" s="48" t="s">
        <v>320</v>
      </c>
      <c r="AB187" s="48" t="s">
        <v>320</v>
      </c>
      <c r="AC187" s="48" t="s">
        <v>320</v>
      </c>
      <c r="AD187" s="48" t="s">
        <v>320</v>
      </c>
      <c r="AE187" s="48" t="s">
        <v>320</v>
      </c>
      <c r="AF187" s="48" t="s">
        <v>320</v>
      </c>
      <c r="AG187" s="48" t="s">
        <v>320</v>
      </c>
      <c r="AH187" s="48" t="s">
        <v>320</v>
      </c>
      <c r="AI187" s="48" t="s">
        <v>320</v>
      </c>
      <c r="AJ187" s="48" t="s">
        <v>320</v>
      </c>
      <c r="AK187" s="48" t="s">
        <v>320</v>
      </c>
      <c r="AL187" s="48" t="s">
        <v>320</v>
      </c>
      <c r="AM187">
        <v>15</v>
      </c>
    </row>
    <row r="188" spans="1:45" hidden="1" x14ac:dyDescent="0.25">
      <c r="A188">
        <v>187</v>
      </c>
      <c r="B188">
        <v>2025</v>
      </c>
      <c r="C188">
        <v>5</v>
      </c>
      <c r="D188" t="s">
        <v>139</v>
      </c>
      <c r="E188">
        <v>31</v>
      </c>
      <c r="F188">
        <v>4</v>
      </c>
      <c r="G188" t="s">
        <v>432</v>
      </c>
      <c r="H188" s="48">
        <v>351379</v>
      </c>
      <c r="I188" s="48">
        <v>351407</v>
      </c>
      <c r="J188" s="48">
        <v>351429</v>
      </c>
      <c r="K188" s="48">
        <v>351451</v>
      </c>
      <c r="L188" s="48">
        <v>351473</v>
      </c>
      <c r="M188" s="48">
        <v>351503</v>
      </c>
      <c r="N188" s="48">
        <v>351525</v>
      </c>
      <c r="O188" s="48">
        <v>351551</v>
      </c>
      <c r="P188" s="48">
        <v>351595</v>
      </c>
      <c r="Q188" s="48">
        <v>351602</v>
      </c>
      <c r="R188" s="48">
        <v>351649</v>
      </c>
      <c r="S188" s="48">
        <v>351677</v>
      </c>
      <c r="T188" s="48">
        <v>351699</v>
      </c>
      <c r="U188" s="48">
        <v>351724</v>
      </c>
      <c r="V188" s="48">
        <v>351734</v>
      </c>
      <c r="W188" s="48" t="s">
        <v>320</v>
      </c>
      <c r="X188" s="48" t="s">
        <v>320</v>
      </c>
      <c r="Y188" s="48" t="s">
        <v>320</v>
      </c>
      <c r="Z188" s="48" t="s">
        <v>320</v>
      </c>
      <c r="AA188" s="48" t="s">
        <v>320</v>
      </c>
      <c r="AB188" s="48" t="s">
        <v>320</v>
      </c>
      <c r="AC188" s="48" t="s">
        <v>320</v>
      </c>
      <c r="AD188" s="48" t="s">
        <v>320</v>
      </c>
      <c r="AE188" s="48" t="s">
        <v>320</v>
      </c>
      <c r="AF188" s="48" t="s">
        <v>320</v>
      </c>
      <c r="AG188" s="48" t="s">
        <v>320</v>
      </c>
      <c r="AH188" s="48" t="s">
        <v>320</v>
      </c>
      <c r="AI188" s="48" t="s">
        <v>320</v>
      </c>
      <c r="AJ188" s="48" t="s">
        <v>320</v>
      </c>
      <c r="AK188" s="48" t="s">
        <v>320</v>
      </c>
      <c r="AL188" s="48" t="s">
        <v>320</v>
      </c>
    </row>
    <row r="189" spans="1:45" hidden="1" x14ac:dyDescent="0.25">
      <c r="A189">
        <v>188</v>
      </c>
      <c r="B189">
        <v>2025</v>
      </c>
      <c r="C189">
        <v>5</v>
      </c>
      <c r="D189" t="s">
        <v>139</v>
      </c>
      <c r="E189">
        <v>31</v>
      </c>
      <c r="F189">
        <v>4</v>
      </c>
      <c r="G189" t="s">
        <v>433</v>
      </c>
      <c r="H189" s="48">
        <v>351407</v>
      </c>
      <c r="I189" s="48">
        <v>351429</v>
      </c>
      <c r="J189" s="48">
        <v>351451</v>
      </c>
      <c r="K189" s="48">
        <v>351473</v>
      </c>
      <c r="L189" s="48">
        <v>351503</v>
      </c>
      <c r="M189" s="48">
        <v>351525</v>
      </c>
      <c r="N189" s="48">
        <v>351551</v>
      </c>
      <c r="O189" s="48">
        <v>351595</v>
      </c>
      <c r="P189" s="48">
        <v>351602</v>
      </c>
      <c r="Q189" s="48">
        <v>351649</v>
      </c>
      <c r="R189" s="48">
        <v>351677</v>
      </c>
      <c r="S189" s="48">
        <v>351699</v>
      </c>
      <c r="T189" s="48">
        <v>351724</v>
      </c>
      <c r="U189" s="48">
        <v>351734</v>
      </c>
      <c r="V189" s="48">
        <v>351741</v>
      </c>
      <c r="W189" s="48" t="s">
        <v>320</v>
      </c>
      <c r="X189" s="48" t="s">
        <v>320</v>
      </c>
      <c r="Y189" s="48" t="s">
        <v>320</v>
      </c>
      <c r="Z189" s="48" t="s">
        <v>320</v>
      </c>
      <c r="AA189" s="48" t="s">
        <v>320</v>
      </c>
      <c r="AB189" s="48" t="s">
        <v>320</v>
      </c>
      <c r="AC189" s="48" t="s">
        <v>320</v>
      </c>
      <c r="AD189" s="48" t="s">
        <v>320</v>
      </c>
      <c r="AE189" s="48" t="s">
        <v>320</v>
      </c>
      <c r="AF189" s="48" t="s">
        <v>320</v>
      </c>
      <c r="AG189" s="48" t="s">
        <v>320</v>
      </c>
      <c r="AH189" s="48" t="s">
        <v>320</v>
      </c>
      <c r="AI189" s="48" t="s">
        <v>320</v>
      </c>
      <c r="AJ189" s="48" t="s">
        <v>320</v>
      </c>
      <c r="AK189" s="48" t="s">
        <v>320</v>
      </c>
      <c r="AL189" s="48" t="s">
        <v>320</v>
      </c>
      <c r="AM189" t="s">
        <v>320</v>
      </c>
      <c r="AQ189" t="s">
        <v>320</v>
      </c>
    </row>
    <row r="190" spans="1:45" hidden="1" x14ac:dyDescent="0.25">
      <c r="A190">
        <v>189</v>
      </c>
      <c r="B190">
        <v>2025</v>
      </c>
      <c r="C190">
        <v>5</v>
      </c>
      <c r="D190" t="s">
        <v>157</v>
      </c>
      <c r="E190">
        <v>31</v>
      </c>
      <c r="F190">
        <v>4</v>
      </c>
      <c r="G190" t="s">
        <v>430</v>
      </c>
      <c r="H190" s="48">
        <v>0.29166666666666669</v>
      </c>
      <c r="I190" s="48">
        <v>0.29166666666666669</v>
      </c>
      <c r="J190" s="48">
        <v>0.29166666666666669</v>
      </c>
      <c r="K190" s="48">
        <v>0.29166666666666669</v>
      </c>
      <c r="L190" s="48">
        <v>0.29166666666666669</v>
      </c>
      <c r="M190" s="48">
        <v>0.29166666666666669</v>
      </c>
      <c r="N190" s="48">
        <v>0.29166666666666669</v>
      </c>
      <c r="O190" s="48">
        <v>0.29166666666666669</v>
      </c>
      <c r="P190" s="48">
        <v>0.29166666666666669</v>
      </c>
      <c r="Q190" s="48">
        <v>0.29166666666666669</v>
      </c>
      <c r="R190" s="48">
        <v>0.29166666666666669</v>
      </c>
      <c r="S190" s="48">
        <v>0.29166666666666669</v>
      </c>
      <c r="T190" s="48">
        <v>0.29166666666666669</v>
      </c>
      <c r="U190" s="48">
        <v>0.29166666666666669</v>
      </c>
      <c r="V190" s="48">
        <v>0.29166666666666669</v>
      </c>
      <c r="W190" s="48">
        <v>0.29166666666666669</v>
      </c>
      <c r="X190" s="48">
        <v>0.29166666666666669</v>
      </c>
      <c r="Y190" s="48">
        <v>0.29166666666666669</v>
      </c>
      <c r="Z190" s="48">
        <v>0.29166666666666669</v>
      </c>
      <c r="AA190" s="48">
        <v>0.29166666666666669</v>
      </c>
      <c r="AB190" s="48">
        <v>0.29166666666666669</v>
      </c>
      <c r="AC190" s="48">
        <v>0.29166666666666669</v>
      </c>
      <c r="AD190" s="48">
        <v>0.29166666666666669</v>
      </c>
      <c r="AE190" s="48">
        <v>0.29166666666666669</v>
      </c>
      <c r="AF190" s="48">
        <v>0.29166666666666669</v>
      </c>
      <c r="AG190" s="48">
        <v>0.29166666666666669</v>
      </c>
      <c r="AH190" s="48">
        <v>0.29166666666666669</v>
      </c>
      <c r="AI190" s="48">
        <v>0.29166666666666669</v>
      </c>
      <c r="AJ190" s="48">
        <v>0.29166666666666669</v>
      </c>
      <c r="AK190" s="48">
        <v>0.29166666666666669</v>
      </c>
      <c r="AL190" s="48">
        <v>0.29166666666666702</v>
      </c>
    </row>
    <row r="191" spans="1:45" hidden="1" x14ac:dyDescent="0.25">
      <c r="A191">
        <v>190</v>
      </c>
      <c r="B191">
        <v>2025</v>
      </c>
      <c r="C191">
        <v>5</v>
      </c>
      <c r="D191" t="s">
        <v>157</v>
      </c>
      <c r="E191">
        <v>31</v>
      </c>
      <c r="F191">
        <v>4</v>
      </c>
      <c r="G191" t="s">
        <v>431</v>
      </c>
      <c r="H191" s="48">
        <v>0.75</v>
      </c>
      <c r="I191" s="48">
        <v>0.75</v>
      </c>
      <c r="J191" s="48">
        <v>0.75</v>
      </c>
      <c r="K191" s="48">
        <v>0.75</v>
      </c>
      <c r="L191" s="48">
        <v>0.75</v>
      </c>
      <c r="M191" s="48">
        <v>0.75</v>
      </c>
      <c r="N191" s="48">
        <v>0.75</v>
      </c>
      <c r="O191" s="48">
        <v>0.75</v>
      </c>
      <c r="P191" s="48">
        <v>0.75</v>
      </c>
      <c r="Q191" s="48">
        <v>0.75</v>
      </c>
      <c r="R191" s="48">
        <v>0.75</v>
      </c>
      <c r="S191" s="48">
        <v>0.75</v>
      </c>
      <c r="T191" s="48">
        <v>0.75</v>
      </c>
      <c r="U191" s="48">
        <v>0.75</v>
      </c>
      <c r="V191" s="48">
        <v>0.75</v>
      </c>
      <c r="W191" s="48">
        <v>0.75</v>
      </c>
      <c r="X191" s="48">
        <v>0.75</v>
      </c>
      <c r="Y191" s="48">
        <v>0.75</v>
      </c>
      <c r="Z191" s="48">
        <v>0.75</v>
      </c>
      <c r="AA191" s="48">
        <v>0.75</v>
      </c>
      <c r="AB191" s="48">
        <v>0.75</v>
      </c>
      <c r="AC191" s="48">
        <v>0.75</v>
      </c>
      <c r="AD191" s="48">
        <v>0.75</v>
      </c>
      <c r="AE191" s="48">
        <v>0.75</v>
      </c>
      <c r="AF191" s="48">
        <v>0.75</v>
      </c>
      <c r="AG191" s="48">
        <v>0.75</v>
      </c>
      <c r="AH191" s="48">
        <v>0.75</v>
      </c>
      <c r="AI191" s="48">
        <v>0.75</v>
      </c>
      <c r="AJ191" s="48">
        <v>0.75</v>
      </c>
      <c r="AK191" s="48">
        <v>0.75</v>
      </c>
      <c r="AL191" s="48">
        <v>0.75000000000000033</v>
      </c>
      <c r="AM191">
        <v>31</v>
      </c>
    </row>
    <row r="192" spans="1:45" hidden="1" x14ac:dyDescent="0.25">
      <c r="A192">
        <v>191</v>
      </c>
      <c r="B192">
        <v>2025</v>
      </c>
      <c r="C192">
        <v>5</v>
      </c>
      <c r="D192" t="s">
        <v>140</v>
      </c>
      <c r="E192">
        <v>31</v>
      </c>
      <c r="F192">
        <v>4</v>
      </c>
      <c r="G192" t="s">
        <v>430</v>
      </c>
      <c r="H192" s="48" t="s">
        <v>375</v>
      </c>
      <c r="I192" s="48" t="s">
        <v>375</v>
      </c>
      <c r="J192" s="48" t="s">
        <v>375</v>
      </c>
      <c r="K192" s="48" t="s">
        <v>375</v>
      </c>
      <c r="L192" s="48" t="s">
        <v>375</v>
      </c>
      <c r="M192" s="48" t="s">
        <v>375</v>
      </c>
      <c r="N192" s="48" t="s">
        <v>375</v>
      </c>
      <c r="O192" s="48" t="s">
        <v>378</v>
      </c>
      <c r="P192" s="48" t="s">
        <v>375</v>
      </c>
      <c r="Q192" s="48" t="s">
        <v>375</v>
      </c>
      <c r="R192" s="48" t="s">
        <v>375</v>
      </c>
      <c r="S192" s="48" t="s">
        <v>375</v>
      </c>
      <c r="T192" s="48" t="s">
        <v>375</v>
      </c>
      <c r="U192" s="48" t="s">
        <v>375</v>
      </c>
      <c r="V192" s="48" t="s">
        <v>375</v>
      </c>
      <c r="W192" s="48" t="s">
        <v>375</v>
      </c>
      <c r="X192" s="48" t="s">
        <v>375</v>
      </c>
      <c r="Y192" s="48" t="s">
        <v>375</v>
      </c>
      <c r="Z192" s="48" t="s">
        <v>379</v>
      </c>
      <c r="AA192" s="48" t="s">
        <v>379</v>
      </c>
      <c r="AB192" s="48" t="s">
        <v>375</v>
      </c>
      <c r="AC192" s="48" t="s">
        <v>375</v>
      </c>
      <c r="AD192" s="48" t="s">
        <v>375</v>
      </c>
      <c r="AE192" s="48" t="s">
        <v>375</v>
      </c>
      <c r="AF192" s="48" t="s">
        <v>380</v>
      </c>
      <c r="AG192" s="48" t="s">
        <v>375</v>
      </c>
      <c r="AH192" s="48" t="s">
        <v>375</v>
      </c>
      <c r="AI192" s="48" t="s">
        <v>375</v>
      </c>
      <c r="AJ192" s="48" t="s">
        <v>381</v>
      </c>
      <c r="AK192" s="48" t="s">
        <v>375</v>
      </c>
      <c r="AL192" s="48" t="s">
        <v>375</v>
      </c>
    </row>
    <row r="193" spans="1:45" hidden="1" x14ac:dyDescent="0.25">
      <c r="A193">
        <v>192</v>
      </c>
      <c r="B193">
        <v>2025</v>
      </c>
      <c r="C193">
        <v>5</v>
      </c>
      <c r="D193" t="s">
        <v>140</v>
      </c>
      <c r="E193">
        <v>31</v>
      </c>
      <c r="F193">
        <v>4</v>
      </c>
      <c r="G193" t="s">
        <v>431</v>
      </c>
      <c r="H193" s="48">
        <v>0.875</v>
      </c>
      <c r="I193" s="48">
        <v>0.91666666666666674</v>
      </c>
      <c r="J193" s="48">
        <v>0.95833333333333326</v>
      </c>
      <c r="K193" s="48">
        <v>0.875</v>
      </c>
      <c r="L193" s="48">
        <v>0.75</v>
      </c>
      <c r="M193" s="48">
        <v>0.75</v>
      </c>
      <c r="N193" s="48">
        <v>0.75</v>
      </c>
      <c r="O193" s="48">
        <v>0.77083333333333326</v>
      </c>
      <c r="P193" s="48">
        <v>0.9375</v>
      </c>
      <c r="Q193" s="48">
        <v>0.75</v>
      </c>
      <c r="R193" s="48">
        <v>0.75</v>
      </c>
      <c r="S193" s="48">
        <v>0.91666666666666674</v>
      </c>
      <c r="T193" s="48">
        <v>0.95833333333333326</v>
      </c>
      <c r="U193" s="48">
        <v>0.875</v>
      </c>
      <c r="V193" s="48">
        <v>0.91666666666666674</v>
      </c>
      <c r="W193" s="48">
        <v>0.75</v>
      </c>
      <c r="X193" s="48">
        <v>0.75</v>
      </c>
      <c r="Y193" s="48">
        <v>0.75</v>
      </c>
      <c r="Z193" s="48">
        <v>0.66666666666666663</v>
      </c>
      <c r="AA193" s="48">
        <v>0.75</v>
      </c>
      <c r="AB193" s="48">
        <v>0.875</v>
      </c>
      <c r="AC193" s="48">
        <v>0.75</v>
      </c>
      <c r="AD193" s="48">
        <v>0.75</v>
      </c>
      <c r="AE193" s="48">
        <v>0.91666666666666674</v>
      </c>
      <c r="AF193" s="48">
        <v>0.74652777777777768</v>
      </c>
      <c r="AG193" s="48">
        <v>0.75</v>
      </c>
      <c r="AH193" s="48">
        <v>0.75</v>
      </c>
      <c r="AI193" s="48">
        <v>0.75</v>
      </c>
      <c r="AJ193" s="48">
        <v>0.875</v>
      </c>
      <c r="AK193" s="48">
        <v>0.9375</v>
      </c>
      <c r="AL193" s="48">
        <v>0.95833333333333326</v>
      </c>
      <c r="AM193">
        <v>31</v>
      </c>
      <c r="AO193">
        <v>82.499999999999986</v>
      </c>
    </row>
    <row r="194" spans="1:45" hidden="1" x14ac:dyDescent="0.25">
      <c r="A194">
        <v>193</v>
      </c>
      <c r="B194">
        <v>2025</v>
      </c>
      <c r="C194">
        <v>5</v>
      </c>
      <c r="D194" t="s">
        <v>140</v>
      </c>
      <c r="E194">
        <v>31</v>
      </c>
      <c r="F194">
        <v>4</v>
      </c>
      <c r="G194" t="s">
        <v>432</v>
      </c>
      <c r="H194" s="48">
        <v>365221</v>
      </c>
      <c r="I194" s="48">
        <v>365543</v>
      </c>
      <c r="J194" s="48">
        <v>365867</v>
      </c>
      <c r="K194" s="48">
        <v>366173</v>
      </c>
      <c r="L194" s="48">
        <v>366599</v>
      </c>
      <c r="M194" s="48">
        <v>366901</v>
      </c>
      <c r="N194" s="48">
        <v>367066</v>
      </c>
      <c r="O194" s="48">
        <v>367322</v>
      </c>
      <c r="P194" s="48">
        <v>367701</v>
      </c>
      <c r="Q194" s="48">
        <v>368138</v>
      </c>
      <c r="R194" s="48">
        <v>368251</v>
      </c>
      <c r="S194" s="48">
        <v>368446</v>
      </c>
      <c r="T194" s="48">
        <v>368754</v>
      </c>
      <c r="U194" s="48">
        <v>369214</v>
      </c>
      <c r="V194" s="48">
        <v>369521</v>
      </c>
      <c r="W194" s="48">
        <v>369801</v>
      </c>
      <c r="X194" s="48">
        <v>370068</v>
      </c>
      <c r="Y194" s="48">
        <v>370094</v>
      </c>
      <c r="Z194" s="48">
        <v>370470</v>
      </c>
      <c r="AA194" s="48">
        <v>370713</v>
      </c>
      <c r="AB194" s="48">
        <v>371200</v>
      </c>
      <c r="AC194" s="48">
        <v>371549</v>
      </c>
      <c r="AD194" s="48">
        <v>371906</v>
      </c>
      <c r="AE194" s="48">
        <v>372017</v>
      </c>
      <c r="AF194" s="48">
        <v>372594</v>
      </c>
      <c r="AG194" s="48">
        <v>372700</v>
      </c>
      <c r="AH194" s="48">
        <v>372993</v>
      </c>
      <c r="AI194" s="48">
        <v>373212</v>
      </c>
      <c r="AJ194" s="48">
        <v>373322</v>
      </c>
      <c r="AK194" s="48">
        <v>373808</v>
      </c>
      <c r="AL194" s="48">
        <v>374135</v>
      </c>
    </row>
    <row r="195" spans="1:45" hidden="1" x14ac:dyDescent="0.25">
      <c r="A195">
        <v>194</v>
      </c>
      <c r="B195">
        <v>2025</v>
      </c>
      <c r="C195">
        <v>5</v>
      </c>
      <c r="D195" t="s">
        <v>140</v>
      </c>
      <c r="E195">
        <v>31</v>
      </c>
      <c r="F195">
        <v>4</v>
      </c>
      <c r="G195" t="s">
        <v>433</v>
      </c>
      <c r="H195" s="48">
        <v>365497</v>
      </c>
      <c r="I195" s="48">
        <v>365820</v>
      </c>
      <c r="J195" s="48">
        <v>366121</v>
      </c>
      <c r="K195" s="48">
        <v>366567</v>
      </c>
      <c r="L195" s="48">
        <v>366851</v>
      </c>
      <c r="M195" s="48">
        <v>367016</v>
      </c>
      <c r="N195" s="48">
        <v>367310</v>
      </c>
      <c r="O195" s="48">
        <v>367668</v>
      </c>
      <c r="P195" s="48">
        <v>368107</v>
      </c>
      <c r="Q195" s="48">
        <v>368206</v>
      </c>
      <c r="R195" s="48">
        <v>368409</v>
      </c>
      <c r="S195" s="48">
        <v>368718</v>
      </c>
      <c r="T195" s="48">
        <v>369160</v>
      </c>
      <c r="U195" s="48">
        <v>369472</v>
      </c>
      <c r="V195" s="48">
        <v>369771</v>
      </c>
      <c r="W195" s="48">
        <v>370068</v>
      </c>
      <c r="X195" s="48">
        <v>370094</v>
      </c>
      <c r="Y195" s="48">
        <v>370390</v>
      </c>
      <c r="Z195" s="48">
        <v>370705</v>
      </c>
      <c r="AA195" s="48">
        <v>371148</v>
      </c>
      <c r="AB195" s="48">
        <v>371517</v>
      </c>
      <c r="AC195" s="48">
        <v>371855</v>
      </c>
      <c r="AD195" s="48">
        <v>371968</v>
      </c>
      <c r="AE195" s="48">
        <v>372373</v>
      </c>
      <c r="AF195" s="48">
        <v>372652</v>
      </c>
      <c r="AG195" s="48">
        <v>372961</v>
      </c>
      <c r="AH195" s="48">
        <v>373181</v>
      </c>
      <c r="AI195" s="48">
        <v>373305</v>
      </c>
      <c r="AJ195" s="48">
        <v>373778</v>
      </c>
      <c r="AK195" s="48">
        <v>374107</v>
      </c>
      <c r="AL195" s="48">
        <v>374278</v>
      </c>
      <c r="AP195">
        <v>932.88</v>
      </c>
      <c r="AQ195">
        <v>12</v>
      </c>
      <c r="AS195">
        <v>7774</v>
      </c>
    </row>
    <row r="196" spans="1:45" hidden="1" x14ac:dyDescent="0.25">
      <c r="A196">
        <v>195</v>
      </c>
      <c r="B196">
        <v>2025</v>
      </c>
      <c r="C196">
        <v>5</v>
      </c>
      <c r="D196" t="s">
        <v>161</v>
      </c>
      <c r="E196">
        <v>31</v>
      </c>
      <c r="F196">
        <v>4</v>
      </c>
      <c r="G196" t="s">
        <v>430</v>
      </c>
      <c r="H196" s="48" t="s">
        <v>375</v>
      </c>
      <c r="I196" s="48" t="s">
        <v>375</v>
      </c>
      <c r="J196" s="48" t="s">
        <v>375</v>
      </c>
      <c r="K196" s="48" t="s">
        <v>375</v>
      </c>
      <c r="L196" s="48" t="s">
        <v>375</v>
      </c>
      <c r="M196" s="48" t="s">
        <v>375</v>
      </c>
      <c r="N196" s="48" t="s">
        <v>375</v>
      </c>
      <c r="O196" s="48" t="s">
        <v>375</v>
      </c>
      <c r="P196" s="48" t="s">
        <v>375</v>
      </c>
      <c r="Q196" s="48" t="s">
        <v>375</v>
      </c>
      <c r="R196" s="48" t="s">
        <v>375</v>
      </c>
      <c r="S196" s="48" t="s">
        <v>375</v>
      </c>
      <c r="T196" s="48" t="s">
        <v>320</v>
      </c>
      <c r="U196" s="48" t="s">
        <v>375</v>
      </c>
      <c r="V196" s="48" t="s">
        <v>375</v>
      </c>
      <c r="W196" s="48" t="s">
        <v>375</v>
      </c>
      <c r="X196" s="48" t="s">
        <v>320</v>
      </c>
      <c r="Y196" s="48" t="s">
        <v>375</v>
      </c>
      <c r="Z196" s="48" t="s">
        <v>375</v>
      </c>
      <c r="AA196" s="48" t="s">
        <v>375</v>
      </c>
      <c r="AB196" s="48" t="s">
        <v>375</v>
      </c>
      <c r="AC196" s="48" t="s">
        <v>375</v>
      </c>
      <c r="AD196" s="48" t="s">
        <v>375</v>
      </c>
      <c r="AE196" s="48" t="s">
        <v>375</v>
      </c>
      <c r="AF196" s="48" t="s">
        <v>375</v>
      </c>
      <c r="AG196" s="48" t="s">
        <v>375</v>
      </c>
      <c r="AH196" s="48" t="s">
        <v>375</v>
      </c>
      <c r="AI196" s="48" t="s">
        <v>375</v>
      </c>
      <c r="AJ196" s="48" t="s">
        <v>375</v>
      </c>
      <c r="AK196" s="48" t="s">
        <v>375</v>
      </c>
      <c r="AL196" s="48" t="s">
        <v>375</v>
      </c>
    </row>
    <row r="197" spans="1:45" hidden="1" x14ac:dyDescent="0.25">
      <c r="A197">
        <v>196</v>
      </c>
      <c r="B197">
        <v>2025</v>
      </c>
      <c r="C197">
        <v>5</v>
      </c>
      <c r="D197" t="s">
        <v>161</v>
      </c>
      <c r="E197">
        <v>31</v>
      </c>
      <c r="F197">
        <v>4</v>
      </c>
      <c r="G197" t="s">
        <v>431</v>
      </c>
      <c r="H197" s="48">
        <v>0.79166666666666674</v>
      </c>
      <c r="I197" s="48">
        <v>0.83333333333333326</v>
      </c>
      <c r="J197" s="48">
        <v>0.79166666666666674</v>
      </c>
      <c r="K197" s="48">
        <v>0.875</v>
      </c>
      <c r="L197" s="48">
        <v>0.83333333333333326</v>
      </c>
      <c r="M197" s="48">
        <v>0.83333333333333326</v>
      </c>
      <c r="N197" s="48">
        <v>0.79166666666666674</v>
      </c>
      <c r="O197" s="48">
        <v>0.79166666666666674</v>
      </c>
      <c r="P197" s="48">
        <v>0.83333333333333326</v>
      </c>
      <c r="Q197" s="48">
        <v>0.91666666666666674</v>
      </c>
      <c r="R197" s="48">
        <v>0.83333333333333326</v>
      </c>
      <c r="S197" s="48">
        <v>0.79166666666666674</v>
      </c>
      <c r="T197" s="48" t="s">
        <v>320</v>
      </c>
      <c r="U197" s="48">
        <v>0.75</v>
      </c>
      <c r="V197" s="48">
        <v>0.83333333333333326</v>
      </c>
      <c r="W197" s="48">
        <v>0.875</v>
      </c>
      <c r="X197" s="48" t="s">
        <v>320</v>
      </c>
      <c r="Y197" s="48">
        <v>0.83333333333333326</v>
      </c>
      <c r="Z197" s="48">
        <v>0.75</v>
      </c>
      <c r="AA197" s="48">
        <v>0.83333333333333326</v>
      </c>
      <c r="AB197" s="48">
        <v>0.83333333333333326</v>
      </c>
      <c r="AC197" s="48">
        <v>0.95833333333333326</v>
      </c>
      <c r="AD197" s="48">
        <v>0.83333333333333326</v>
      </c>
      <c r="AE197" s="48">
        <v>0.875</v>
      </c>
      <c r="AF197" s="48">
        <v>0.79166666666666674</v>
      </c>
      <c r="AG197" s="48">
        <v>1.0833333333333333</v>
      </c>
      <c r="AH197" s="48">
        <v>1.125</v>
      </c>
      <c r="AI197" s="48">
        <v>0.83333333333333326</v>
      </c>
      <c r="AJ197" s="48">
        <v>0.95833333333333326</v>
      </c>
      <c r="AK197" s="48">
        <v>0.75</v>
      </c>
      <c r="AL197" s="48">
        <v>0.79166666666666674</v>
      </c>
      <c r="AM197">
        <v>29</v>
      </c>
      <c r="AO197">
        <v>68.999999999999972</v>
      </c>
    </row>
    <row r="198" spans="1:45" hidden="1" x14ac:dyDescent="0.25">
      <c r="A198">
        <v>197</v>
      </c>
      <c r="B198">
        <v>2025</v>
      </c>
      <c r="C198">
        <v>5</v>
      </c>
      <c r="D198" t="s">
        <v>161</v>
      </c>
      <c r="E198">
        <v>31</v>
      </c>
      <c r="F198">
        <v>4</v>
      </c>
      <c r="G198" t="s">
        <v>432</v>
      </c>
      <c r="H198" s="48">
        <v>808469</v>
      </c>
      <c r="I198" s="48">
        <v>808614</v>
      </c>
      <c r="J198" s="48">
        <v>808682</v>
      </c>
      <c r="K198" s="48">
        <v>808769</v>
      </c>
      <c r="L198" s="48">
        <v>808814</v>
      </c>
      <c r="M198" s="48">
        <v>808869</v>
      </c>
      <c r="N198" s="48">
        <v>808913</v>
      </c>
      <c r="O198" s="48">
        <v>808968</v>
      </c>
      <c r="P198" s="48">
        <v>809034</v>
      </c>
      <c r="Q198" s="48">
        <v>809106</v>
      </c>
      <c r="R198" s="48">
        <v>809184</v>
      </c>
      <c r="S198" s="48">
        <v>809252</v>
      </c>
      <c r="T198" s="48" t="s">
        <v>320</v>
      </c>
      <c r="U198" s="48">
        <v>809446</v>
      </c>
      <c r="V198" s="48">
        <v>809543</v>
      </c>
      <c r="W198" s="48">
        <v>809627</v>
      </c>
      <c r="X198" s="48" t="s">
        <v>320</v>
      </c>
      <c r="Y198" s="48">
        <v>809848</v>
      </c>
      <c r="Z198" s="48">
        <v>809998</v>
      </c>
      <c r="AA198" s="48">
        <v>810147</v>
      </c>
      <c r="AB198" s="48">
        <v>810245</v>
      </c>
      <c r="AC198" s="48">
        <v>810324</v>
      </c>
      <c r="AD198" s="48">
        <v>810475</v>
      </c>
      <c r="AE198" s="48">
        <v>810547</v>
      </c>
      <c r="AF198" s="48">
        <v>810617</v>
      </c>
      <c r="AG198" s="48">
        <v>810849</v>
      </c>
      <c r="AH198" s="48">
        <v>810925</v>
      </c>
      <c r="AI198" s="48">
        <v>811020</v>
      </c>
      <c r="AJ198" s="48">
        <v>811094</v>
      </c>
      <c r="AK198" s="48">
        <v>811199</v>
      </c>
      <c r="AL198" s="48">
        <v>811327</v>
      </c>
    </row>
    <row r="199" spans="1:45" hidden="1" x14ac:dyDescent="0.25">
      <c r="A199">
        <v>198</v>
      </c>
      <c r="B199">
        <v>2025</v>
      </c>
      <c r="C199">
        <v>5</v>
      </c>
      <c r="D199" t="s">
        <v>161</v>
      </c>
      <c r="E199">
        <v>31</v>
      </c>
      <c r="F199">
        <v>4</v>
      </c>
      <c r="G199" t="s">
        <v>433</v>
      </c>
      <c r="H199" s="48">
        <v>808614</v>
      </c>
      <c r="I199" s="48">
        <v>808682</v>
      </c>
      <c r="J199" s="48">
        <v>808769</v>
      </c>
      <c r="K199" s="48">
        <v>808814</v>
      </c>
      <c r="L199" s="48">
        <v>808869</v>
      </c>
      <c r="M199" s="48">
        <v>808913</v>
      </c>
      <c r="N199" s="48">
        <v>808968</v>
      </c>
      <c r="O199" s="48">
        <v>809034</v>
      </c>
      <c r="P199" s="48">
        <v>809106</v>
      </c>
      <c r="Q199" s="48">
        <v>809184</v>
      </c>
      <c r="R199" s="48">
        <v>809252</v>
      </c>
      <c r="S199" s="48">
        <v>809328</v>
      </c>
      <c r="T199" s="48" t="s">
        <v>320</v>
      </c>
      <c r="U199" s="48">
        <v>809543</v>
      </c>
      <c r="V199" s="48">
        <v>809627</v>
      </c>
      <c r="W199" s="48">
        <v>809751</v>
      </c>
      <c r="X199" s="48" t="s">
        <v>320</v>
      </c>
      <c r="Y199" s="48">
        <v>809998</v>
      </c>
      <c r="Z199" s="48">
        <v>810147</v>
      </c>
      <c r="AA199" s="48">
        <v>810245</v>
      </c>
      <c r="AB199" s="48">
        <v>810324</v>
      </c>
      <c r="AC199" s="48">
        <v>810475</v>
      </c>
      <c r="AD199" s="48">
        <v>810547</v>
      </c>
      <c r="AE199" s="48">
        <v>810617</v>
      </c>
      <c r="AF199" s="48">
        <v>810749</v>
      </c>
      <c r="AG199" s="48">
        <v>810924</v>
      </c>
      <c r="AH199" s="48">
        <v>811020</v>
      </c>
      <c r="AI199" s="48">
        <v>811094</v>
      </c>
      <c r="AJ199" s="48">
        <v>811199</v>
      </c>
      <c r="AK199" s="48">
        <v>811327</v>
      </c>
      <c r="AL199" s="48">
        <v>811432</v>
      </c>
      <c r="AP199">
        <v>397.05</v>
      </c>
      <c r="AQ199">
        <v>15</v>
      </c>
      <c r="AS199">
        <v>2647</v>
      </c>
    </row>
    <row r="200" spans="1:45" hidden="1" x14ac:dyDescent="0.25">
      <c r="A200">
        <v>199</v>
      </c>
      <c r="B200">
        <v>2025</v>
      </c>
      <c r="C200">
        <v>5</v>
      </c>
      <c r="D200" t="s">
        <v>144</v>
      </c>
      <c r="E200">
        <v>31</v>
      </c>
      <c r="F200">
        <v>4</v>
      </c>
      <c r="G200" t="s">
        <v>430</v>
      </c>
      <c r="H200" s="48" t="s">
        <v>375</v>
      </c>
      <c r="I200" s="48" t="s">
        <v>375</v>
      </c>
      <c r="J200" s="48" t="s">
        <v>375</v>
      </c>
      <c r="K200" s="48" t="s">
        <v>375</v>
      </c>
      <c r="L200" s="48" t="s">
        <v>375</v>
      </c>
      <c r="M200" s="48" t="s">
        <v>375</v>
      </c>
      <c r="N200" s="48" t="s">
        <v>375</v>
      </c>
      <c r="O200" s="48" t="s">
        <v>375</v>
      </c>
      <c r="P200" s="48" t="s">
        <v>375</v>
      </c>
      <c r="Q200" s="48" t="s">
        <v>375</v>
      </c>
      <c r="R200" s="48" t="s">
        <v>375</v>
      </c>
      <c r="S200" s="48" t="s">
        <v>375</v>
      </c>
      <c r="T200" s="48" t="s">
        <v>375</v>
      </c>
      <c r="U200" s="48" t="s">
        <v>375</v>
      </c>
      <c r="V200" s="48" t="s">
        <v>375</v>
      </c>
      <c r="W200" s="48" t="s">
        <v>375</v>
      </c>
      <c r="X200" s="48" t="s">
        <v>375</v>
      </c>
      <c r="Y200" s="48" t="s">
        <v>375</v>
      </c>
      <c r="Z200" s="48" t="s">
        <v>375</v>
      </c>
      <c r="AA200" s="48" t="s">
        <v>375</v>
      </c>
      <c r="AB200" s="48" t="s">
        <v>375</v>
      </c>
      <c r="AC200" s="48" t="s">
        <v>375</v>
      </c>
      <c r="AD200" s="48" t="s">
        <v>375</v>
      </c>
      <c r="AE200" s="48" t="s">
        <v>375</v>
      </c>
      <c r="AF200" s="48" t="s">
        <v>375</v>
      </c>
      <c r="AG200" s="48" t="s">
        <v>375</v>
      </c>
      <c r="AH200" s="48" t="s">
        <v>375</v>
      </c>
      <c r="AI200" s="48" t="s">
        <v>375</v>
      </c>
      <c r="AJ200" s="48" t="s">
        <v>375</v>
      </c>
      <c r="AK200" s="48" t="s">
        <v>375</v>
      </c>
      <c r="AL200" s="48" t="s">
        <v>375</v>
      </c>
    </row>
    <row r="201" spans="1:45" hidden="1" x14ac:dyDescent="0.25">
      <c r="A201">
        <v>200</v>
      </c>
      <c r="B201">
        <v>2025</v>
      </c>
      <c r="C201">
        <v>5</v>
      </c>
      <c r="D201" t="s">
        <v>144</v>
      </c>
      <c r="E201">
        <v>31</v>
      </c>
      <c r="F201">
        <v>4</v>
      </c>
      <c r="G201" t="s">
        <v>431</v>
      </c>
      <c r="H201" s="48">
        <v>0.79166666666666674</v>
      </c>
      <c r="I201" s="48">
        <v>0.83333333333333326</v>
      </c>
      <c r="J201" s="48">
        <v>0.75</v>
      </c>
      <c r="K201" s="48">
        <v>0.75</v>
      </c>
      <c r="L201" s="48">
        <v>0.83333333333333326</v>
      </c>
      <c r="M201" s="48">
        <v>0.75</v>
      </c>
      <c r="N201" s="48">
        <v>0.83333333333333326</v>
      </c>
      <c r="O201" s="48">
        <v>0.79166666666666674</v>
      </c>
      <c r="P201" s="48">
        <v>0.83333333333333326</v>
      </c>
      <c r="Q201" s="48">
        <v>0.95833333333333326</v>
      </c>
      <c r="R201" s="48">
        <v>0.875</v>
      </c>
      <c r="S201" s="48">
        <v>0.75</v>
      </c>
      <c r="T201" s="48">
        <v>0.75</v>
      </c>
      <c r="U201" s="48">
        <v>0.83333333333333326</v>
      </c>
      <c r="V201" s="48">
        <v>0.75</v>
      </c>
      <c r="W201" s="48">
        <v>0.875</v>
      </c>
      <c r="X201" s="48">
        <v>0.83333333333333326</v>
      </c>
      <c r="Y201" s="48">
        <v>0.95833333333333326</v>
      </c>
      <c r="Z201" s="48">
        <v>0.83333333333333326</v>
      </c>
      <c r="AA201" s="48">
        <v>0.875</v>
      </c>
      <c r="AB201" s="48">
        <v>0.75</v>
      </c>
      <c r="AC201" s="48">
        <v>0.83333333333333326</v>
      </c>
      <c r="AD201" s="48">
        <v>0.875</v>
      </c>
      <c r="AE201" s="48">
        <v>0.75</v>
      </c>
      <c r="AF201" s="48">
        <v>0.75</v>
      </c>
      <c r="AG201" s="48">
        <v>0.75</v>
      </c>
      <c r="AH201" s="48">
        <v>0.75</v>
      </c>
      <c r="AI201" s="48">
        <v>0.75</v>
      </c>
      <c r="AJ201" s="48">
        <v>0.75</v>
      </c>
      <c r="AK201" s="48">
        <v>0.75</v>
      </c>
      <c r="AL201" s="48">
        <v>0.75</v>
      </c>
      <c r="AM201">
        <v>39</v>
      </c>
      <c r="AO201">
        <v>39.999999999999957</v>
      </c>
      <c r="AR201" s="62" t="s">
        <v>374</v>
      </c>
    </row>
    <row r="202" spans="1:45" hidden="1" x14ac:dyDescent="0.25">
      <c r="A202">
        <v>201</v>
      </c>
      <c r="B202">
        <v>2025</v>
      </c>
      <c r="C202">
        <v>5</v>
      </c>
      <c r="D202" t="s">
        <v>144</v>
      </c>
      <c r="E202">
        <v>31</v>
      </c>
      <c r="F202">
        <v>4</v>
      </c>
      <c r="G202" t="s">
        <v>432</v>
      </c>
      <c r="H202" s="48">
        <v>351602</v>
      </c>
      <c r="I202" s="48">
        <v>351770</v>
      </c>
      <c r="J202" s="48">
        <v>351889</v>
      </c>
      <c r="K202" s="48">
        <v>352123</v>
      </c>
      <c r="L202" s="48">
        <v>352227</v>
      </c>
      <c r="M202" s="48">
        <v>352273</v>
      </c>
      <c r="N202" s="48">
        <v>352339</v>
      </c>
      <c r="O202" s="48">
        <v>352390</v>
      </c>
      <c r="P202" s="48">
        <v>352559</v>
      </c>
      <c r="Q202" s="48">
        <v>352769</v>
      </c>
      <c r="R202" s="48">
        <v>353045</v>
      </c>
      <c r="S202" s="48">
        <v>353365</v>
      </c>
      <c r="T202" s="48">
        <v>353434</v>
      </c>
      <c r="U202" s="48">
        <v>353599</v>
      </c>
      <c r="V202" s="48">
        <v>353654</v>
      </c>
      <c r="W202" s="48">
        <v>353698</v>
      </c>
      <c r="X202" s="48">
        <v>353840</v>
      </c>
      <c r="Y202" s="48">
        <v>354070</v>
      </c>
      <c r="Z202" s="48">
        <v>354281</v>
      </c>
      <c r="AA202" s="48">
        <v>354410</v>
      </c>
      <c r="AB202" s="48">
        <v>354551</v>
      </c>
      <c r="AC202" s="48">
        <v>354746</v>
      </c>
      <c r="AD202" s="48">
        <v>354898</v>
      </c>
      <c r="AE202" s="48">
        <v>354961</v>
      </c>
      <c r="AF202" s="48">
        <v>355064</v>
      </c>
      <c r="AG202" s="48">
        <v>355133</v>
      </c>
      <c r="AH202" s="48">
        <v>355229</v>
      </c>
      <c r="AI202" s="48">
        <v>355326</v>
      </c>
      <c r="AJ202" s="48">
        <v>355392</v>
      </c>
      <c r="AK202" s="48">
        <v>355519</v>
      </c>
      <c r="AL202" s="48">
        <v>355685</v>
      </c>
    </row>
    <row r="203" spans="1:45" hidden="1" x14ac:dyDescent="0.25">
      <c r="A203">
        <v>202</v>
      </c>
      <c r="B203">
        <v>2025</v>
      </c>
      <c r="C203">
        <v>5</v>
      </c>
      <c r="D203" t="s">
        <v>144</v>
      </c>
      <c r="E203">
        <v>31</v>
      </c>
      <c r="F203">
        <v>4</v>
      </c>
      <c r="G203" t="s">
        <v>433</v>
      </c>
      <c r="H203" s="48">
        <v>351770</v>
      </c>
      <c r="I203" s="48">
        <v>351889</v>
      </c>
      <c r="J203" s="48">
        <v>352064</v>
      </c>
      <c r="K203" s="48">
        <v>352227</v>
      </c>
      <c r="L203" s="48">
        <v>352273</v>
      </c>
      <c r="M203" s="48">
        <v>352339</v>
      </c>
      <c r="N203" s="48">
        <v>352390</v>
      </c>
      <c r="O203" s="48">
        <v>352539</v>
      </c>
      <c r="P203" s="48">
        <v>352769</v>
      </c>
      <c r="Q203" s="48">
        <v>353045</v>
      </c>
      <c r="R203" s="48">
        <v>353365</v>
      </c>
      <c r="S203" s="48">
        <v>353434</v>
      </c>
      <c r="T203" s="48">
        <v>353599</v>
      </c>
      <c r="U203" s="48">
        <v>353654</v>
      </c>
      <c r="V203" s="48">
        <v>353698</v>
      </c>
      <c r="W203" s="48">
        <v>353839</v>
      </c>
      <c r="X203" s="48">
        <v>354047</v>
      </c>
      <c r="Y203" s="48">
        <v>354218</v>
      </c>
      <c r="Z203" s="48">
        <v>354410</v>
      </c>
      <c r="AA203" s="48">
        <v>354551</v>
      </c>
      <c r="AB203" s="48">
        <v>354717</v>
      </c>
      <c r="AC203" s="48">
        <v>354898</v>
      </c>
      <c r="AD203" s="48">
        <v>354961</v>
      </c>
      <c r="AE203" s="48">
        <v>355064</v>
      </c>
      <c r="AF203" s="48">
        <v>355132</v>
      </c>
      <c r="AG203" s="48">
        <v>355229</v>
      </c>
      <c r="AH203" s="48">
        <v>355326</v>
      </c>
      <c r="AI203" s="48">
        <v>355390</v>
      </c>
      <c r="AJ203" s="48">
        <v>355519</v>
      </c>
      <c r="AK203" s="48">
        <v>355685</v>
      </c>
      <c r="AL203" s="48">
        <v>355854</v>
      </c>
      <c r="AP203">
        <v>608.1</v>
      </c>
      <c r="AQ203">
        <v>15</v>
      </c>
      <c r="AS203">
        <v>4054</v>
      </c>
    </row>
    <row r="204" spans="1:45" hidden="1" x14ac:dyDescent="0.25">
      <c r="A204">
        <v>203</v>
      </c>
      <c r="B204">
        <v>2025</v>
      </c>
      <c r="C204">
        <v>5</v>
      </c>
      <c r="D204" t="s">
        <v>145</v>
      </c>
      <c r="E204">
        <v>31</v>
      </c>
      <c r="F204">
        <v>4</v>
      </c>
      <c r="G204" t="s">
        <v>430</v>
      </c>
      <c r="H204" s="48" t="s">
        <v>375</v>
      </c>
      <c r="I204" s="48" t="s">
        <v>375</v>
      </c>
      <c r="J204" s="48" t="s">
        <v>375</v>
      </c>
      <c r="K204" s="48" t="s">
        <v>375</v>
      </c>
      <c r="L204" s="48" t="s">
        <v>375</v>
      </c>
      <c r="M204" s="48" t="s">
        <v>375</v>
      </c>
      <c r="N204" s="48" t="s">
        <v>375</v>
      </c>
      <c r="O204" s="48" t="s">
        <v>375</v>
      </c>
      <c r="P204" s="48" t="s">
        <v>375</v>
      </c>
      <c r="Q204" s="48" t="s">
        <v>375</v>
      </c>
      <c r="R204" s="48" t="s">
        <v>375</v>
      </c>
      <c r="S204" s="48" t="s">
        <v>375</v>
      </c>
      <c r="T204" s="48" t="s">
        <v>375</v>
      </c>
      <c r="U204" s="48" t="s">
        <v>375</v>
      </c>
      <c r="V204" s="48" t="s">
        <v>375</v>
      </c>
      <c r="W204" s="48" t="s">
        <v>375</v>
      </c>
      <c r="X204" s="48" t="s">
        <v>375</v>
      </c>
      <c r="Y204" s="48" t="s">
        <v>320</v>
      </c>
      <c r="Z204" s="48" t="s">
        <v>375</v>
      </c>
      <c r="AA204" s="48" t="s">
        <v>375</v>
      </c>
      <c r="AB204" s="48" t="s">
        <v>375</v>
      </c>
      <c r="AC204" s="48" t="s">
        <v>375</v>
      </c>
      <c r="AD204" s="48" t="s">
        <v>375</v>
      </c>
      <c r="AE204" s="48" t="s">
        <v>375</v>
      </c>
      <c r="AF204" s="48" t="s">
        <v>375</v>
      </c>
      <c r="AG204" s="48" t="s">
        <v>375</v>
      </c>
      <c r="AH204" s="48" t="s">
        <v>375</v>
      </c>
      <c r="AI204" s="48" t="s">
        <v>375</v>
      </c>
      <c r="AJ204" s="48" t="s">
        <v>375</v>
      </c>
      <c r="AK204" s="48" t="s">
        <v>375</v>
      </c>
      <c r="AL204" s="48" t="s">
        <v>375</v>
      </c>
    </row>
    <row r="205" spans="1:45" hidden="1" x14ac:dyDescent="0.25">
      <c r="A205">
        <v>204</v>
      </c>
      <c r="B205">
        <v>2025</v>
      </c>
      <c r="C205">
        <v>5</v>
      </c>
      <c r="D205" t="s">
        <v>145</v>
      </c>
      <c r="E205">
        <v>31</v>
      </c>
      <c r="F205">
        <v>4</v>
      </c>
      <c r="G205" t="s">
        <v>431</v>
      </c>
      <c r="H205" s="48" t="s">
        <v>376</v>
      </c>
      <c r="I205" s="48" t="s">
        <v>376</v>
      </c>
      <c r="J205" s="48" t="s">
        <v>376</v>
      </c>
      <c r="K205" s="48" t="s">
        <v>376</v>
      </c>
      <c r="L205" s="48" t="s">
        <v>376</v>
      </c>
      <c r="M205" s="48" t="s">
        <v>376</v>
      </c>
      <c r="N205" s="48" t="s">
        <v>376</v>
      </c>
      <c r="O205" s="48" t="s">
        <v>376</v>
      </c>
      <c r="P205" s="48" t="s">
        <v>376</v>
      </c>
      <c r="Q205" s="48" t="s">
        <v>376</v>
      </c>
      <c r="R205" s="48" t="s">
        <v>376</v>
      </c>
      <c r="S205" s="48" t="s">
        <v>376</v>
      </c>
      <c r="T205" s="48" t="s">
        <v>376</v>
      </c>
      <c r="U205" s="48" t="s">
        <v>376</v>
      </c>
      <c r="V205" s="48" t="s">
        <v>376</v>
      </c>
      <c r="W205" s="48" t="s">
        <v>376</v>
      </c>
      <c r="X205" s="48" t="s">
        <v>376</v>
      </c>
      <c r="Y205" s="48" t="s">
        <v>320</v>
      </c>
      <c r="Z205" s="48" t="s">
        <v>376</v>
      </c>
      <c r="AA205" s="48" t="s">
        <v>376</v>
      </c>
      <c r="AB205" s="48" t="s">
        <v>376</v>
      </c>
      <c r="AC205" s="48" t="s">
        <v>376</v>
      </c>
      <c r="AD205" s="48" t="s">
        <v>376</v>
      </c>
      <c r="AE205" s="48" t="s">
        <v>376</v>
      </c>
      <c r="AF205" s="48" t="s">
        <v>376</v>
      </c>
      <c r="AG205" s="48" t="s">
        <v>376</v>
      </c>
      <c r="AH205" s="48" t="s">
        <v>376</v>
      </c>
      <c r="AI205" s="48" t="s">
        <v>376</v>
      </c>
      <c r="AJ205" s="48" t="s">
        <v>376</v>
      </c>
      <c r="AK205" s="48" t="s">
        <v>376</v>
      </c>
      <c r="AL205" s="48" t="s">
        <v>376</v>
      </c>
      <c r="AM205">
        <v>30</v>
      </c>
    </row>
    <row r="206" spans="1:45" hidden="1" x14ac:dyDescent="0.25">
      <c r="A206">
        <v>205</v>
      </c>
      <c r="B206">
        <v>2025</v>
      </c>
      <c r="C206">
        <v>5</v>
      </c>
      <c r="D206" t="s">
        <v>145</v>
      </c>
      <c r="E206">
        <v>31</v>
      </c>
      <c r="F206">
        <v>4</v>
      </c>
      <c r="G206" t="s">
        <v>432</v>
      </c>
      <c r="H206" s="48">
        <v>884815</v>
      </c>
      <c r="I206" s="48">
        <v>884907</v>
      </c>
      <c r="J206" s="48">
        <v>884994</v>
      </c>
      <c r="K206" s="48">
        <v>885096</v>
      </c>
      <c r="L206" s="48">
        <v>885147</v>
      </c>
      <c r="M206" s="48">
        <v>885208</v>
      </c>
      <c r="N206" s="48">
        <v>885268</v>
      </c>
      <c r="O206" s="48">
        <v>885329</v>
      </c>
      <c r="P206" s="48">
        <v>885469</v>
      </c>
      <c r="Q206" s="48">
        <v>885568</v>
      </c>
      <c r="R206" s="48">
        <v>885630</v>
      </c>
      <c r="S206" s="48">
        <v>885719</v>
      </c>
      <c r="T206" s="48">
        <v>885852</v>
      </c>
      <c r="U206" s="48">
        <v>885950</v>
      </c>
      <c r="V206" s="48">
        <v>886035</v>
      </c>
      <c r="W206" s="48">
        <v>197360</v>
      </c>
      <c r="X206" s="48">
        <v>197417</v>
      </c>
      <c r="Y206" s="48" t="s">
        <v>320</v>
      </c>
      <c r="Z206" s="48">
        <v>197590</v>
      </c>
      <c r="AA206" s="48">
        <v>197675</v>
      </c>
      <c r="AB206" s="48">
        <v>197756</v>
      </c>
      <c r="AC206" s="48">
        <v>197838</v>
      </c>
      <c r="AD206" s="48">
        <v>197926</v>
      </c>
      <c r="AE206" s="48">
        <v>198049</v>
      </c>
      <c r="AF206" s="48">
        <v>198131</v>
      </c>
      <c r="AG206" s="48">
        <v>198218</v>
      </c>
      <c r="AH206" s="48">
        <v>198309</v>
      </c>
      <c r="AI206" s="48">
        <v>198438</v>
      </c>
      <c r="AJ206" s="48">
        <v>198522</v>
      </c>
      <c r="AK206" s="48">
        <v>198648</v>
      </c>
      <c r="AL206" s="48">
        <v>198710</v>
      </c>
    </row>
    <row r="207" spans="1:45" hidden="1" x14ac:dyDescent="0.25">
      <c r="A207">
        <v>206</v>
      </c>
      <c r="B207">
        <v>2025</v>
      </c>
      <c r="C207">
        <v>5</v>
      </c>
      <c r="D207" t="s">
        <v>145</v>
      </c>
      <c r="E207">
        <v>31</v>
      </c>
      <c r="F207">
        <v>4</v>
      </c>
      <c r="G207" t="s">
        <v>433</v>
      </c>
      <c r="H207" s="48">
        <v>884907</v>
      </c>
      <c r="I207" s="48">
        <v>884994</v>
      </c>
      <c r="J207" s="48">
        <v>885096</v>
      </c>
      <c r="K207" s="48">
        <v>885147</v>
      </c>
      <c r="L207" s="48">
        <v>885208</v>
      </c>
      <c r="M207" s="48">
        <v>885268</v>
      </c>
      <c r="N207" s="48">
        <v>885329</v>
      </c>
      <c r="O207" s="48">
        <v>885469</v>
      </c>
      <c r="P207" s="48">
        <v>885568</v>
      </c>
      <c r="Q207" s="48">
        <v>885630</v>
      </c>
      <c r="R207" s="48">
        <v>885719</v>
      </c>
      <c r="S207" s="48">
        <v>885827</v>
      </c>
      <c r="T207" s="48">
        <v>885950</v>
      </c>
      <c r="U207" s="48">
        <v>886035</v>
      </c>
      <c r="V207" s="48">
        <v>886104</v>
      </c>
      <c r="W207" s="48">
        <v>197417</v>
      </c>
      <c r="X207" s="48">
        <v>197500</v>
      </c>
      <c r="Y207" s="48" t="s">
        <v>320</v>
      </c>
      <c r="Z207" s="48">
        <v>197675</v>
      </c>
      <c r="AA207" s="48">
        <v>197756</v>
      </c>
      <c r="AB207" s="48">
        <v>197838</v>
      </c>
      <c r="AC207" s="48">
        <v>197926</v>
      </c>
      <c r="AD207" s="48">
        <v>198049</v>
      </c>
      <c r="AE207" s="48">
        <v>198131</v>
      </c>
      <c r="AF207" s="48">
        <v>198218</v>
      </c>
      <c r="AG207" s="48">
        <v>198309</v>
      </c>
      <c r="AH207" s="48">
        <v>198438</v>
      </c>
      <c r="AI207" s="48">
        <v>198522</v>
      </c>
      <c r="AJ207" s="48">
        <v>198609</v>
      </c>
      <c r="AK207" s="48">
        <v>198710</v>
      </c>
      <c r="AL207" s="48">
        <v>198800</v>
      </c>
      <c r="AP207">
        <v>386.25</v>
      </c>
      <c r="AQ207">
        <v>15</v>
      </c>
      <c r="AS207">
        <v>2575</v>
      </c>
    </row>
    <row r="208" spans="1:45" hidden="1" x14ac:dyDescent="0.25">
      <c r="A208">
        <v>207</v>
      </c>
      <c r="B208">
        <v>2025</v>
      </c>
      <c r="C208">
        <v>5</v>
      </c>
      <c r="D208" t="s">
        <v>162</v>
      </c>
      <c r="E208">
        <v>31</v>
      </c>
      <c r="F208">
        <v>4</v>
      </c>
      <c r="G208" t="s">
        <v>430</v>
      </c>
      <c r="H208" s="48" t="s">
        <v>382</v>
      </c>
      <c r="I208" s="48" t="s">
        <v>382</v>
      </c>
      <c r="J208" s="48" t="s">
        <v>382</v>
      </c>
      <c r="K208" s="48" t="s">
        <v>382</v>
      </c>
      <c r="L208" s="48" t="s">
        <v>382</v>
      </c>
      <c r="M208" s="48" t="s">
        <v>382</v>
      </c>
      <c r="N208" s="48" t="s">
        <v>382</v>
      </c>
      <c r="O208" s="48" t="s">
        <v>382</v>
      </c>
      <c r="P208" s="48" t="s">
        <v>382</v>
      </c>
      <c r="Q208" s="48" t="s">
        <v>382</v>
      </c>
      <c r="R208" s="48" t="s">
        <v>382</v>
      </c>
      <c r="S208" s="48" t="s">
        <v>382</v>
      </c>
      <c r="T208" s="48" t="s">
        <v>382</v>
      </c>
      <c r="U208" s="48" t="s">
        <v>382</v>
      </c>
      <c r="V208" s="48" t="s">
        <v>382</v>
      </c>
      <c r="W208" s="48" t="s">
        <v>382</v>
      </c>
      <c r="X208" s="48" t="s">
        <v>382</v>
      </c>
      <c r="Y208" s="48" t="s">
        <v>382</v>
      </c>
      <c r="Z208" s="48" t="s">
        <v>382</v>
      </c>
      <c r="AA208" s="48" t="s">
        <v>382</v>
      </c>
      <c r="AB208" s="48" t="s">
        <v>382</v>
      </c>
      <c r="AC208" s="48" t="s">
        <v>382</v>
      </c>
      <c r="AD208" s="48" t="s">
        <v>382</v>
      </c>
      <c r="AE208" s="48" t="s">
        <v>382</v>
      </c>
      <c r="AF208" s="48" t="s">
        <v>382</v>
      </c>
      <c r="AG208" s="48" t="s">
        <v>382</v>
      </c>
      <c r="AH208" s="48" t="s">
        <v>382</v>
      </c>
      <c r="AI208" s="48" t="s">
        <v>382</v>
      </c>
      <c r="AJ208" s="48" t="s">
        <v>382</v>
      </c>
      <c r="AK208" s="48" t="s">
        <v>382</v>
      </c>
      <c r="AL208" s="48" t="s">
        <v>382</v>
      </c>
    </row>
    <row r="209" spans="1:45" hidden="1" x14ac:dyDescent="0.25">
      <c r="A209">
        <v>208</v>
      </c>
      <c r="B209">
        <v>2025</v>
      </c>
      <c r="C209">
        <v>5</v>
      </c>
      <c r="D209" t="s">
        <v>162</v>
      </c>
      <c r="E209">
        <v>31</v>
      </c>
      <c r="F209">
        <v>4</v>
      </c>
      <c r="G209" t="s">
        <v>431</v>
      </c>
      <c r="H209" s="48">
        <v>0.79166666666666674</v>
      </c>
      <c r="I209" s="48">
        <v>0.79166666666666674</v>
      </c>
      <c r="J209" s="48">
        <v>0.79166666666666674</v>
      </c>
      <c r="K209" s="48">
        <v>0.83333333333333326</v>
      </c>
      <c r="L209" s="48">
        <v>0.79166666666666674</v>
      </c>
      <c r="M209" s="48">
        <v>0.79166666666666674</v>
      </c>
      <c r="N209" s="48">
        <v>0.83333333333333326</v>
      </c>
      <c r="O209" s="48">
        <v>0.79166666666666674</v>
      </c>
      <c r="P209" s="48">
        <v>0.79166666666666674</v>
      </c>
      <c r="Q209" s="48">
        <v>0.79166666666666674</v>
      </c>
      <c r="R209" s="48">
        <v>0.83333333333333326</v>
      </c>
      <c r="S209" s="48">
        <v>0.79166666666666674</v>
      </c>
      <c r="T209" s="48">
        <v>0.79166666666666674</v>
      </c>
      <c r="U209" s="48">
        <v>0.79166666666666674</v>
      </c>
      <c r="V209" s="48">
        <v>0.79166666666666674</v>
      </c>
      <c r="W209" s="48">
        <v>0.79166666666666674</v>
      </c>
      <c r="X209" s="48">
        <v>0.83333333333333326</v>
      </c>
      <c r="Y209" s="48">
        <v>0.79166666666666674</v>
      </c>
      <c r="Z209" s="48">
        <v>0.79166666666666674</v>
      </c>
      <c r="AA209" s="48">
        <v>0.79166666666666674</v>
      </c>
      <c r="AB209" s="48">
        <v>0.79166666666666674</v>
      </c>
      <c r="AC209" s="48">
        <v>0.79166666666666674</v>
      </c>
      <c r="AD209" s="48">
        <v>0.83333333333333326</v>
      </c>
      <c r="AE209" s="48">
        <v>0.79166666666666674</v>
      </c>
      <c r="AF209" s="48">
        <v>0.79166666666666674</v>
      </c>
      <c r="AG209" s="48">
        <v>0.79166666666666674</v>
      </c>
      <c r="AH209" s="48">
        <v>0.79166666666666674</v>
      </c>
      <c r="AI209" s="48">
        <v>0.83333333333333326</v>
      </c>
      <c r="AJ209" s="48">
        <v>0.79166666666666674</v>
      </c>
      <c r="AK209" s="48">
        <v>0.79166666666666674</v>
      </c>
      <c r="AL209" s="48">
        <v>0.83333333333333326</v>
      </c>
      <c r="AM209">
        <v>31</v>
      </c>
      <c r="AO209">
        <v>99.999999999999986</v>
      </c>
    </row>
    <row r="210" spans="1:45" hidden="1" x14ac:dyDescent="0.25">
      <c r="A210">
        <v>209</v>
      </c>
      <c r="B210">
        <v>2025</v>
      </c>
      <c r="C210">
        <v>5</v>
      </c>
      <c r="D210" t="s">
        <v>162</v>
      </c>
      <c r="E210">
        <v>31</v>
      </c>
      <c r="F210">
        <v>4</v>
      </c>
      <c r="G210" t="s">
        <v>432</v>
      </c>
      <c r="H210" s="48">
        <v>3899</v>
      </c>
      <c r="I210" s="48">
        <v>4126</v>
      </c>
      <c r="J210" s="48">
        <v>4349</v>
      </c>
      <c r="K210" s="48">
        <v>4568</v>
      </c>
      <c r="L210" s="48">
        <v>4809</v>
      </c>
      <c r="M210" s="48">
        <v>5087</v>
      </c>
      <c r="N210" s="48">
        <v>5413</v>
      </c>
      <c r="O210" s="48">
        <v>5658</v>
      </c>
      <c r="P210" s="48">
        <v>5897</v>
      </c>
      <c r="Q210" s="48">
        <v>6144</v>
      </c>
      <c r="R210" s="48">
        <v>6398</v>
      </c>
      <c r="S210" s="48">
        <v>6647</v>
      </c>
      <c r="T210" s="48">
        <v>6886</v>
      </c>
      <c r="U210" s="48">
        <v>7114</v>
      </c>
      <c r="V210" s="48">
        <v>7361</v>
      </c>
      <c r="W210" s="48">
        <v>7592</v>
      </c>
      <c r="X210" s="48">
        <v>7835</v>
      </c>
      <c r="Y210" s="48">
        <v>8119</v>
      </c>
      <c r="Z210" s="48" t="s">
        <v>383</v>
      </c>
      <c r="AA210" s="48" t="s">
        <v>384</v>
      </c>
      <c r="AB210" s="48" t="s">
        <v>385</v>
      </c>
      <c r="AC210" s="48">
        <v>9064</v>
      </c>
      <c r="AD210" s="48">
        <v>9293</v>
      </c>
      <c r="AE210" s="48">
        <v>9528</v>
      </c>
      <c r="AF210" s="48">
        <v>9769</v>
      </c>
      <c r="AG210" s="48">
        <v>10007</v>
      </c>
      <c r="AH210" s="48">
        <v>10252</v>
      </c>
      <c r="AI210" s="48">
        <v>10497</v>
      </c>
      <c r="AJ210" s="48">
        <v>10733</v>
      </c>
      <c r="AK210" s="48">
        <v>10974</v>
      </c>
      <c r="AL210" s="48">
        <v>11258</v>
      </c>
    </row>
    <row r="211" spans="1:45" hidden="1" x14ac:dyDescent="0.25">
      <c r="A211">
        <v>210</v>
      </c>
      <c r="B211">
        <v>2025</v>
      </c>
      <c r="C211">
        <v>5</v>
      </c>
      <c r="D211" t="s">
        <v>162</v>
      </c>
      <c r="E211">
        <v>31</v>
      </c>
      <c r="F211">
        <v>4</v>
      </c>
      <c r="G211" t="s">
        <v>433</v>
      </c>
      <c r="H211" s="48">
        <v>4126</v>
      </c>
      <c r="I211" s="48">
        <v>4349</v>
      </c>
      <c r="J211" s="48">
        <v>4568</v>
      </c>
      <c r="K211" s="48">
        <v>4809</v>
      </c>
      <c r="L211" s="48">
        <v>5087</v>
      </c>
      <c r="M211" s="48">
        <v>5413</v>
      </c>
      <c r="N211" s="48">
        <v>5658</v>
      </c>
      <c r="O211" s="48">
        <v>5897</v>
      </c>
      <c r="P211" s="48">
        <v>6144</v>
      </c>
      <c r="Q211" s="48">
        <v>6398</v>
      </c>
      <c r="R211" s="48">
        <v>6647</v>
      </c>
      <c r="S211" s="48">
        <v>6886</v>
      </c>
      <c r="T211" s="48">
        <v>7114</v>
      </c>
      <c r="U211" s="48">
        <v>7361</v>
      </c>
      <c r="V211" s="48">
        <v>7592</v>
      </c>
      <c r="W211" s="48">
        <v>7835</v>
      </c>
      <c r="X211" s="48">
        <v>8119</v>
      </c>
      <c r="Y211" s="48">
        <v>8356</v>
      </c>
      <c r="Z211" s="48" t="s">
        <v>384</v>
      </c>
      <c r="AA211" s="48" t="s">
        <v>385</v>
      </c>
      <c r="AB211" s="48" t="s">
        <v>386</v>
      </c>
      <c r="AC211" s="48">
        <v>9293</v>
      </c>
      <c r="AD211" s="48">
        <v>9528</v>
      </c>
      <c r="AE211" s="48">
        <v>9769</v>
      </c>
      <c r="AF211" s="48">
        <v>10007</v>
      </c>
      <c r="AG211" s="48">
        <v>10252</v>
      </c>
      <c r="AH211" s="48">
        <v>10497</v>
      </c>
      <c r="AI211" s="48">
        <v>10733</v>
      </c>
      <c r="AJ211" s="48">
        <v>10974</v>
      </c>
      <c r="AK211" s="48">
        <v>11258</v>
      </c>
      <c r="AL211" s="48">
        <v>11497</v>
      </c>
      <c r="AP211">
        <v>1139.6999999999998</v>
      </c>
      <c r="AQ211">
        <v>14.999999999999998</v>
      </c>
      <c r="AS211">
        <v>7598</v>
      </c>
    </row>
    <row r="212" spans="1:45" hidden="1" x14ac:dyDescent="0.25">
      <c r="A212">
        <v>211</v>
      </c>
      <c r="B212">
        <v>2025</v>
      </c>
      <c r="C212">
        <v>5</v>
      </c>
      <c r="D212" t="s">
        <v>163</v>
      </c>
      <c r="E212">
        <v>31</v>
      </c>
      <c r="F212">
        <v>4</v>
      </c>
      <c r="G212" t="s">
        <v>430</v>
      </c>
      <c r="H212" s="48" t="s">
        <v>375</v>
      </c>
      <c r="I212" s="48" t="s">
        <v>375</v>
      </c>
      <c r="J212" s="48" t="s">
        <v>375</v>
      </c>
      <c r="K212" s="48" t="s">
        <v>375</v>
      </c>
      <c r="L212" s="48" t="s">
        <v>375</v>
      </c>
      <c r="M212" s="48" t="s">
        <v>375</v>
      </c>
      <c r="N212" s="48" t="s">
        <v>375</v>
      </c>
      <c r="O212" s="48" t="s">
        <v>375</v>
      </c>
      <c r="P212" s="48" t="s">
        <v>375</v>
      </c>
      <c r="Q212" s="48" t="s">
        <v>375</v>
      </c>
      <c r="R212" s="48" t="s">
        <v>375</v>
      </c>
      <c r="S212" s="48" t="s">
        <v>375</v>
      </c>
      <c r="T212" s="48" t="s">
        <v>375</v>
      </c>
      <c r="U212" s="48" t="s">
        <v>375</v>
      </c>
      <c r="V212" s="48" t="s">
        <v>375</v>
      </c>
      <c r="W212" s="48" t="s">
        <v>375</v>
      </c>
      <c r="X212" s="48" t="s">
        <v>375</v>
      </c>
      <c r="Y212" s="48" t="s">
        <v>375</v>
      </c>
      <c r="Z212" s="48" t="s">
        <v>375</v>
      </c>
      <c r="AA212" s="48" t="s">
        <v>375</v>
      </c>
      <c r="AB212" s="48" t="s">
        <v>375</v>
      </c>
      <c r="AC212" s="48" t="s">
        <v>375</v>
      </c>
      <c r="AD212" s="48" t="s">
        <v>375</v>
      </c>
      <c r="AE212" s="48" t="s">
        <v>375</v>
      </c>
      <c r="AF212" s="48" t="s">
        <v>375</v>
      </c>
      <c r="AG212" s="48" t="s">
        <v>375</v>
      </c>
      <c r="AH212" s="48" t="s">
        <v>375</v>
      </c>
      <c r="AI212" s="48" t="s">
        <v>375</v>
      </c>
      <c r="AJ212" s="48" t="s">
        <v>375</v>
      </c>
      <c r="AK212" s="48" t="s">
        <v>375</v>
      </c>
      <c r="AL212" s="48" t="s">
        <v>375</v>
      </c>
    </row>
    <row r="213" spans="1:45" hidden="1" x14ac:dyDescent="0.25">
      <c r="A213">
        <v>212</v>
      </c>
      <c r="B213">
        <v>2025</v>
      </c>
      <c r="C213">
        <v>5</v>
      </c>
      <c r="D213" t="s">
        <v>163</v>
      </c>
      <c r="E213">
        <v>31</v>
      </c>
      <c r="F213">
        <v>4</v>
      </c>
      <c r="G213" t="s">
        <v>431</v>
      </c>
      <c r="H213" s="48">
        <v>0.83333333333333326</v>
      </c>
      <c r="I213" s="48">
        <v>0.83333333333333326</v>
      </c>
      <c r="J213" s="48">
        <v>0.83333333333333326</v>
      </c>
      <c r="K213" s="48">
        <v>0.83333333333333326</v>
      </c>
      <c r="L213" s="48">
        <v>0.83333333333333326</v>
      </c>
      <c r="M213" s="48">
        <v>0.83333333333333326</v>
      </c>
      <c r="N213" s="48">
        <v>0.83333333333333326</v>
      </c>
      <c r="O213" s="48">
        <v>0.83333333333333326</v>
      </c>
      <c r="P213" s="48">
        <v>0.83333333333333326</v>
      </c>
      <c r="Q213" s="48">
        <v>0.83333333333333326</v>
      </c>
      <c r="R213" s="48">
        <v>0.83333333333333326</v>
      </c>
      <c r="S213" s="48">
        <v>0.83333333333333326</v>
      </c>
      <c r="T213" s="48">
        <v>0.83333333333333326</v>
      </c>
      <c r="U213" s="48">
        <v>0.83333333333333326</v>
      </c>
      <c r="V213" s="48">
        <v>0.83333333333333326</v>
      </c>
      <c r="W213" s="48">
        <v>0.83333333333333326</v>
      </c>
      <c r="X213" s="48">
        <v>0.83333333333333326</v>
      </c>
      <c r="Y213" s="48">
        <v>0.83333333333333326</v>
      </c>
      <c r="Z213" s="48">
        <v>0.83333333333333326</v>
      </c>
      <c r="AA213" s="48">
        <v>0.83333333333333326</v>
      </c>
      <c r="AB213" s="48">
        <v>0.83333333333333326</v>
      </c>
      <c r="AC213" s="48">
        <v>0.83333333333333326</v>
      </c>
      <c r="AD213" s="48">
        <v>0.83333333333333326</v>
      </c>
      <c r="AE213" s="48">
        <v>0.83333333333333326</v>
      </c>
      <c r="AF213" s="48">
        <v>0.83333333333333326</v>
      </c>
      <c r="AG213" s="48">
        <v>0.83333333333333326</v>
      </c>
      <c r="AH213" s="48">
        <v>0.83333333333333326</v>
      </c>
      <c r="AI213" s="48">
        <v>0.83333333333333326</v>
      </c>
      <c r="AJ213" s="48">
        <v>0.83333333333333326</v>
      </c>
      <c r="AK213" s="48">
        <v>0.83333333333333326</v>
      </c>
      <c r="AL213" s="48">
        <v>0.83333333333333326</v>
      </c>
      <c r="AM213">
        <v>31</v>
      </c>
      <c r="AO213">
        <v>61.999999999999943</v>
      </c>
    </row>
    <row r="214" spans="1:45" hidden="1" x14ac:dyDescent="0.25">
      <c r="A214">
        <v>213</v>
      </c>
      <c r="B214">
        <v>2025</v>
      </c>
      <c r="C214">
        <v>5</v>
      </c>
      <c r="D214" t="s">
        <v>163</v>
      </c>
      <c r="E214">
        <v>31</v>
      </c>
      <c r="F214">
        <v>4</v>
      </c>
      <c r="G214" t="s">
        <v>432</v>
      </c>
      <c r="H214" s="48">
        <v>312344</v>
      </c>
      <c r="I214" s="48">
        <v>312500</v>
      </c>
      <c r="J214" s="48">
        <v>312648</v>
      </c>
      <c r="K214" s="48">
        <v>312807</v>
      </c>
      <c r="L214" s="48">
        <v>312936</v>
      </c>
      <c r="M214" s="48">
        <v>313043</v>
      </c>
      <c r="N214" s="48">
        <v>313191</v>
      </c>
      <c r="O214" s="48">
        <v>313381</v>
      </c>
      <c r="P214" s="48">
        <v>313513</v>
      </c>
      <c r="Q214" s="48">
        <v>313631</v>
      </c>
      <c r="R214" s="48">
        <v>313759</v>
      </c>
      <c r="S214" s="48">
        <v>313910</v>
      </c>
      <c r="T214" s="48">
        <v>314051</v>
      </c>
      <c r="U214" s="48">
        <v>314171</v>
      </c>
      <c r="V214" s="48">
        <v>314320</v>
      </c>
      <c r="W214" s="48">
        <v>314501</v>
      </c>
      <c r="X214" s="48">
        <v>314667</v>
      </c>
      <c r="Y214" s="48">
        <v>314879</v>
      </c>
      <c r="Z214" s="48">
        <v>315057</v>
      </c>
      <c r="AA214" s="48">
        <v>315305</v>
      </c>
      <c r="AB214" s="48">
        <v>315481</v>
      </c>
      <c r="AC214" s="48">
        <v>315583</v>
      </c>
      <c r="AD214" s="48">
        <v>315714</v>
      </c>
      <c r="AE214" s="48">
        <v>315892</v>
      </c>
      <c r="AF214" s="48">
        <v>316009</v>
      </c>
      <c r="AG214" s="48">
        <v>316178</v>
      </c>
      <c r="AH214" s="48">
        <v>316286</v>
      </c>
      <c r="AI214" s="48">
        <v>316400</v>
      </c>
      <c r="AJ214" s="48">
        <v>316518</v>
      </c>
      <c r="AK214" s="48">
        <v>316708</v>
      </c>
      <c r="AL214" s="48">
        <v>316886</v>
      </c>
    </row>
    <row r="215" spans="1:45" hidden="1" x14ac:dyDescent="0.25">
      <c r="A215">
        <v>214</v>
      </c>
      <c r="B215">
        <v>2025</v>
      </c>
      <c r="C215">
        <v>5</v>
      </c>
      <c r="D215" t="s">
        <v>163</v>
      </c>
      <c r="E215">
        <v>31</v>
      </c>
      <c r="F215">
        <v>4</v>
      </c>
      <c r="G215" t="s">
        <v>433</v>
      </c>
      <c r="H215" s="48">
        <v>312500</v>
      </c>
      <c r="I215" s="48">
        <v>312648</v>
      </c>
      <c r="J215" s="48">
        <v>312807</v>
      </c>
      <c r="K215" s="48">
        <v>312936</v>
      </c>
      <c r="L215" s="48">
        <v>313043</v>
      </c>
      <c r="M215" s="48">
        <v>313191</v>
      </c>
      <c r="N215" s="48">
        <v>313381</v>
      </c>
      <c r="O215" s="48">
        <v>313513</v>
      </c>
      <c r="P215" s="48">
        <v>313631</v>
      </c>
      <c r="Q215" s="48">
        <v>313759</v>
      </c>
      <c r="R215" s="48">
        <v>313910</v>
      </c>
      <c r="S215" s="48">
        <v>314051</v>
      </c>
      <c r="T215" s="48">
        <v>314171</v>
      </c>
      <c r="U215" s="48">
        <v>314320</v>
      </c>
      <c r="V215" s="48">
        <v>314501</v>
      </c>
      <c r="W215" s="48">
        <v>314667</v>
      </c>
      <c r="X215" s="48">
        <v>314879</v>
      </c>
      <c r="Y215" s="48">
        <v>315057</v>
      </c>
      <c r="Z215" s="48">
        <v>315305</v>
      </c>
      <c r="AA215" s="48">
        <v>315481</v>
      </c>
      <c r="AB215" s="48">
        <v>315583</v>
      </c>
      <c r="AC215" s="48">
        <v>315714</v>
      </c>
      <c r="AD215" s="48">
        <v>315892</v>
      </c>
      <c r="AE215" s="48">
        <v>316009</v>
      </c>
      <c r="AF215" s="48">
        <v>316178</v>
      </c>
      <c r="AG215" s="48">
        <v>316286</v>
      </c>
      <c r="AH215" s="48">
        <v>316400</v>
      </c>
      <c r="AI215" s="48">
        <v>316518</v>
      </c>
      <c r="AJ215" s="48">
        <v>316708</v>
      </c>
      <c r="AK215" s="48">
        <v>316886</v>
      </c>
      <c r="AL215" s="48">
        <v>317003</v>
      </c>
      <c r="AP215">
        <v>698.85</v>
      </c>
      <c r="AQ215">
        <v>15</v>
      </c>
      <c r="AS215">
        <v>4659</v>
      </c>
    </row>
    <row r="216" spans="1:45" hidden="1" x14ac:dyDescent="0.25">
      <c r="A216">
        <v>215</v>
      </c>
      <c r="B216">
        <v>2025</v>
      </c>
      <c r="C216">
        <v>5</v>
      </c>
      <c r="D216" t="s">
        <v>164</v>
      </c>
      <c r="E216">
        <v>31</v>
      </c>
      <c r="F216">
        <v>4</v>
      </c>
      <c r="G216" t="s">
        <v>430</v>
      </c>
      <c r="H216" s="48" t="s">
        <v>375</v>
      </c>
      <c r="I216" s="48" t="s">
        <v>375</v>
      </c>
      <c r="J216" s="48" t="s">
        <v>375</v>
      </c>
      <c r="K216" s="48" t="s">
        <v>375</v>
      </c>
      <c r="L216" s="48" t="s">
        <v>375</v>
      </c>
      <c r="M216" s="48" t="s">
        <v>375</v>
      </c>
      <c r="N216" s="48" t="s">
        <v>375</v>
      </c>
      <c r="O216" s="48" t="s">
        <v>375</v>
      </c>
      <c r="P216" s="48" t="s">
        <v>375</v>
      </c>
      <c r="Q216" s="48" t="s">
        <v>375</v>
      </c>
      <c r="R216" s="48" t="s">
        <v>375</v>
      </c>
      <c r="S216" s="48" t="s">
        <v>375</v>
      </c>
      <c r="T216" s="48" t="s">
        <v>375</v>
      </c>
      <c r="U216" s="48" t="s">
        <v>375</v>
      </c>
      <c r="V216" s="48" t="s">
        <v>375</v>
      </c>
      <c r="W216" s="48" t="s">
        <v>375</v>
      </c>
      <c r="X216" s="48" t="s">
        <v>375</v>
      </c>
      <c r="Y216" s="48" t="s">
        <v>375</v>
      </c>
      <c r="Z216" s="48" t="s">
        <v>375</v>
      </c>
      <c r="AA216" s="48" t="s">
        <v>375</v>
      </c>
      <c r="AB216" s="48" t="s">
        <v>375</v>
      </c>
      <c r="AC216" s="48" t="s">
        <v>375</v>
      </c>
      <c r="AD216" s="48" t="s">
        <v>375</v>
      </c>
      <c r="AE216" s="48" t="s">
        <v>375</v>
      </c>
      <c r="AF216" s="48" t="s">
        <v>375</v>
      </c>
      <c r="AG216" s="48" t="s">
        <v>375</v>
      </c>
      <c r="AH216" s="48" t="s">
        <v>375</v>
      </c>
      <c r="AI216" s="48" t="s">
        <v>375</v>
      </c>
      <c r="AJ216" s="48" t="s">
        <v>375</v>
      </c>
      <c r="AK216" s="48" t="s">
        <v>375</v>
      </c>
      <c r="AL216" s="48" t="s">
        <v>375</v>
      </c>
    </row>
    <row r="217" spans="1:45" hidden="1" x14ac:dyDescent="0.25">
      <c r="A217">
        <v>216</v>
      </c>
      <c r="B217">
        <v>2025</v>
      </c>
      <c r="C217">
        <v>5</v>
      </c>
      <c r="D217" t="s">
        <v>164</v>
      </c>
      <c r="E217">
        <v>31</v>
      </c>
      <c r="F217">
        <v>4</v>
      </c>
      <c r="G217" t="s">
        <v>431</v>
      </c>
      <c r="H217" s="48">
        <v>0.75</v>
      </c>
      <c r="I217" s="48">
        <v>0.83333333333333326</v>
      </c>
      <c r="J217" s="48">
        <v>0.79166666666666674</v>
      </c>
      <c r="K217" s="48">
        <v>0.75</v>
      </c>
      <c r="L217" s="48">
        <v>0.75</v>
      </c>
      <c r="M217" s="48">
        <v>0.83333333333333326</v>
      </c>
      <c r="N217" s="48">
        <v>0.79166666666666674</v>
      </c>
      <c r="O217" s="48">
        <v>0.875</v>
      </c>
      <c r="P217" s="48">
        <v>0.79166666666666674</v>
      </c>
      <c r="Q217" s="48">
        <v>1</v>
      </c>
      <c r="R217" s="48">
        <v>0.75</v>
      </c>
      <c r="S217" s="48">
        <v>0.83333333333333326</v>
      </c>
      <c r="T217" s="48">
        <v>0.83333333333333326</v>
      </c>
      <c r="U217" s="48">
        <v>0.75</v>
      </c>
      <c r="V217" s="48">
        <v>0.75</v>
      </c>
      <c r="W217" s="48">
        <v>0.95833333333333326</v>
      </c>
      <c r="X217" s="48">
        <v>0.83333333333333326</v>
      </c>
      <c r="Y217" s="48">
        <v>0.875</v>
      </c>
      <c r="Z217" s="48">
        <v>0.75</v>
      </c>
      <c r="AA217" s="48">
        <v>0.79166666666666674</v>
      </c>
      <c r="AB217" s="48">
        <v>0.75</v>
      </c>
      <c r="AC217" s="48">
        <v>0.83333333333333326</v>
      </c>
      <c r="AD217" s="48">
        <v>0.75</v>
      </c>
      <c r="AE217" s="48">
        <v>0.83333333333333326</v>
      </c>
      <c r="AF217" s="48">
        <v>0.79166666666666674</v>
      </c>
      <c r="AG217" s="48">
        <v>0.75</v>
      </c>
      <c r="AH217" s="48">
        <v>0.75</v>
      </c>
      <c r="AI217" s="48">
        <v>0.75</v>
      </c>
      <c r="AJ217" s="48">
        <v>0.83333333333333326</v>
      </c>
      <c r="AK217" s="48">
        <v>0.75</v>
      </c>
      <c r="AL217" s="48">
        <v>0.75</v>
      </c>
      <c r="AM217">
        <v>31</v>
      </c>
      <c r="AO217">
        <v>37.999999999999972</v>
      </c>
    </row>
    <row r="218" spans="1:45" hidden="1" x14ac:dyDescent="0.25">
      <c r="A218">
        <v>217</v>
      </c>
      <c r="B218">
        <v>2025</v>
      </c>
      <c r="C218">
        <v>5</v>
      </c>
      <c r="D218" t="s">
        <v>164</v>
      </c>
      <c r="E218">
        <v>31</v>
      </c>
      <c r="F218">
        <v>4</v>
      </c>
      <c r="G218" t="s">
        <v>432</v>
      </c>
      <c r="H218" s="48">
        <v>24007</v>
      </c>
      <c r="I218" s="48">
        <v>24062</v>
      </c>
      <c r="J218" s="48">
        <v>24071</v>
      </c>
      <c r="K218" s="48">
        <v>24075</v>
      </c>
      <c r="L218" s="48">
        <v>24094</v>
      </c>
      <c r="M218" s="48">
        <v>24104</v>
      </c>
      <c r="N218" s="48">
        <v>24145</v>
      </c>
      <c r="O218" s="48">
        <v>24154</v>
      </c>
      <c r="P218" s="48">
        <v>24270</v>
      </c>
      <c r="Q218" s="48">
        <v>24276</v>
      </c>
      <c r="R218" s="48">
        <v>24373</v>
      </c>
      <c r="S218" s="48">
        <v>24376</v>
      </c>
      <c r="T218" s="48">
        <v>24397</v>
      </c>
      <c r="U218" s="48">
        <v>24422</v>
      </c>
      <c r="V218" s="48">
        <v>24434</v>
      </c>
      <c r="W218" s="48">
        <v>24440</v>
      </c>
      <c r="X218" s="48">
        <v>24580</v>
      </c>
      <c r="Y218" s="48">
        <v>24631</v>
      </c>
      <c r="Z218" s="48">
        <v>24699</v>
      </c>
      <c r="AA218" s="48">
        <v>24706</v>
      </c>
      <c r="AB218" s="48">
        <v>24712</v>
      </c>
      <c r="AC218" s="48">
        <v>24727</v>
      </c>
      <c r="AD218" s="48">
        <v>24760</v>
      </c>
      <c r="AE218" s="48">
        <v>24769</v>
      </c>
      <c r="AF218" s="48">
        <v>24785</v>
      </c>
      <c r="AG218" s="48">
        <v>24791</v>
      </c>
      <c r="AH218" s="48">
        <v>24799</v>
      </c>
      <c r="AI218" s="48">
        <v>24813</v>
      </c>
      <c r="AJ218" s="48">
        <v>24829</v>
      </c>
      <c r="AK218" s="48">
        <v>24848</v>
      </c>
      <c r="AL218" s="48">
        <v>24869</v>
      </c>
    </row>
    <row r="219" spans="1:45" hidden="1" x14ac:dyDescent="0.25">
      <c r="A219">
        <v>218</v>
      </c>
      <c r="B219">
        <v>2025</v>
      </c>
      <c r="C219">
        <v>5</v>
      </c>
      <c r="D219" t="s">
        <v>164</v>
      </c>
      <c r="E219">
        <v>31</v>
      </c>
      <c r="F219">
        <v>4</v>
      </c>
      <c r="G219" t="s">
        <v>433</v>
      </c>
      <c r="H219" s="48">
        <v>24062</v>
      </c>
      <c r="I219" s="48">
        <v>24071</v>
      </c>
      <c r="J219" s="48">
        <v>24075</v>
      </c>
      <c r="K219" s="48">
        <v>24094</v>
      </c>
      <c r="L219" s="48">
        <v>24104</v>
      </c>
      <c r="M219" s="48">
        <v>24145</v>
      </c>
      <c r="N219" s="48">
        <v>24154</v>
      </c>
      <c r="O219" s="48">
        <v>24270</v>
      </c>
      <c r="P219" s="48">
        <v>24276</v>
      </c>
      <c r="Q219" s="48">
        <v>24373</v>
      </c>
      <c r="R219" s="48">
        <v>24376</v>
      </c>
      <c r="S219" s="48">
        <v>24397</v>
      </c>
      <c r="T219" s="48">
        <v>24422</v>
      </c>
      <c r="U219" s="48">
        <v>24434</v>
      </c>
      <c r="V219" s="48">
        <v>24440</v>
      </c>
      <c r="W219" s="48">
        <v>24580</v>
      </c>
      <c r="X219" s="48">
        <v>24631</v>
      </c>
      <c r="Y219" s="48">
        <v>24699</v>
      </c>
      <c r="Z219" s="48">
        <v>24706</v>
      </c>
      <c r="AA219" s="48">
        <v>24712</v>
      </c>
      <c r="AB219" s="48">
        <v>24727</v>
      </c>
      <c r="AC219" s="48">
        <v>24760</v>
      </c>
      <c r="AD219" s="48">
        <v>24769</v>
      </c>
      <c r="AE219" s="48">
        <v>24785</v>
      </c>
      <c r="AF219" s="48">
        <v>24791</v>
      </c>
      <c r="AG219" s="48">
        <v>24799</v>
      </c>
      <c r="AH219" s="48">
        <v>24813</v>
      </c>
      <c r="AI219" s="48">
        <v>24829</v>
      </c>
      <c r="AJ219" s="48">
        <v>24848</v>
      </c>
      <c r="AK219" s="48">
        <v>24869</v>
      </c>
      <c r="AL219" s="48">
        <v>24877</v>
      </c>
      <c r="AP219">
        <v>130.5</v>
      </c>
      <c r="AQ219">
        <v>15</v>
      </c>
      <c r="AS219">
        <v>870</v>
      </c>
    </row>
    <row r="220" spans="1:45" hidden="1" x14ac:dyDescent="0.25">
      <c r="A220">
        <v>219</v>
      </c>
      <c r="B220">
        <v>2025</v>
      </c>
      <c r="C220">
        <v>5</v>
      </c>
      <c r="D220" t="s">
        <v>165</v>
      </c>
      <c r="E220">
        <v>31</v>
      </c>
      <c r="F220">
        <v>4</v>
      </c>
      <c r="G220" t="s">
        <v>430</v>
      </c>
      <c r="H220" s="48" t="s">
        <v>375</v>
      </c>
      <c r="I220" s="48" t="s">
        <v>375</v>
      </c>
      <c r="J220" s="48" t="s">
        <v>375</v>
      </c>
      <c r="K220" s="48" t="s">
        <v>375</v>
      </c>
      <c r="L220" s="48" t="s">
        <v>375</v>
      </c>
      <c r="M220" s="48" t="s">
        <v>375</v>
      </c>
      <c r="N220" s="48" t="s">
        <v>375</v>
      </c>
      <c r="O220" s="48" t="s">
        <v>375</v>
      </c>
      <c r="P220" s="48" t="s">
        <v>375</v>
      </c>
      <c r="Q220" s="48" t="s">
        <v>375</v>
      </c>
      <c r="R220" s="48" t="s">
        <v>375</v>
      </c>
      <c r="S220" s="48" t="s">
        <v>375</v>
      </c>
      <c r="T220" s="48" t="s">
        <v>375</v>
      </c>
      <c r="U220" s="48" t="s">
        <v>375</v>
      </c>
      <c r="V220" s="48" t="s">
        <v>375</v>
      </c>
      <c r="W220" s="48" t="s">
        <v>375</v>
      </c>
      <c r="X220" s="48" t="s">
        <v>375</v>
      </c>
      <c r="Y220" s="48" t="s">
        <v>375</v>
      </c>
      <c r="Z220" s="48" t="s">
        <v>375</v>
      </c>
      <c r="AA220" s="48" t="s">
        <v>375</v>
      </c>
      <c r="AB220" s="48" t="s">
        <v>375</v>
      </c>
      <c r="AC220" s="48" t="s">
        <v>375</v>
      </c>
      <c r="AD220" s="48" t="s">
        <v>375</v>
      </c>
      <c r="AE220" s="48" t="s">
        <v>375</v>
      </c>
      <c r="AF220" s="48" t="s">
        <v>375</v>
      </c>
      <c r="AG220" s="48" t="s">
        <v>375</v>
      </c>
      <c r="AH220" s="48" t="s">
        <v>375</v>
      </c>
      <c r="AI220" s="48" t="s">
        <v>375</v>
      </c>
      <c r="AJ220" s="48" t="s">
        <v>375</v>
      </c>
      <c r="AK220" s="48" t="s">
        <v>375</v>
      </c>
      <c r="AL220" s="48" t="s">
        <v>375</v>
      </c>
    </row>
    <row r="221" spans="1:45" hidden="1" x14ac:dyDescent="0.25">
      <c r="A221">
        <v>220</v>
      </c>
      <c r="B221">
        <v>2025</v>
      </c>
      <c r="C221">
        <v>5</v>
      </c>
      <c r="D221" t="s">
        <v>165</v>
      </c>
      <c r="E221">
        <v>31</v>
      </c>
      <c r="F221">
        <v>4</v>
      </c>
      <c r="G221" t="s">
        <v>431</v>
      </c>
      <c r="H221" s="48">
        <v>0.83333333333333326</v>
      </c>
      <c r="I221" s="48">
        <v>0.75</v>
      </c>
      <c r="J221" s="48">
        <v>0.83333333333333326</v>
      </c>
      <c r="K221" s="48">
        <v>0.75</v>
      </c>
      <c r="L221" s="48">
        <v>0.83333333333333326</v>
      </c>
      <c r="M221" s="48">
        <v>0.83333333333333326</v>
      </c>
      <c r="N221" s="48">
        <v>0.75</v>
      </c>
      <c r="O221" s="48">
        <v>0.875</v>
      </c>
      <c r="P221" s="48">
        <v>0.95833333333333326</v>
      </c>
      <c r="Q221" s="48">
        <v>0.875</v>
      </c>
      <c r="R221" s="48">
        <v>0.83333333333333326</v>
      </c>
      <c r="S221" s="48">
        <v>0.83333333333333326</v>
      </c>
      <c r="T221" s="48">
        <v>0.83333333333333326</v>
      </c>
      <c r="U221" s="48">
        <v>0.75</v>
      </c>
      <c r="V221" s="48">
        <v>0.83333333333333326</v>
      </c>
      <c r="W221" s="48">
        <v>0.83333333333333326</v>
      </c>
      <c r="X221" s="48">
        <v>0.83333333333333326</v>
      </c>
      <c r="Y221" s="48">
        <v>0.83333333333333326</v>
      </c>
      <c r="Z221" s="48">
        <v>0.75</v>
      </c>
      <c r="AA221" s="48">
        <v>0.83333333333333326</v>
      </c>
      <c r="AB221" s="48">
        <v>0.75</v>
      </c>
      <c r="AC221" s="48">
        <v>0.875</v>
      </c>
      <c r="AD221" s="48">
        <v>0.75</v>
      </c>
      <c r="AE221" s="48">
        <v>0.83333333333333326</v>
      </c>
      <c r="AF221" s="48">
        <v>0.75</v>
      </c>
      <c r="AG221" s="48">
        <v>0.75</v>
      </c>
      <c r="AH221" s="48">
        <v>0.875</v>
      </c>
      <c r="AI221" s="48">
        <v>0.875</v>
      </c>
      <c r="AJ221" s="48">
        <v>0.83333333333333326</v>
      </c>
      <c r="AK221" s="48">
        <v>0.91666666666666674</v>
      </c>
      <c r="AL221" s="48">
        <v>0.75</v>
      </c>
      <c r="AM221">
        <v>31</v>
      </c>
      <c r="AO221">
        <v>51.999999999999957</v>
      </c>
    </row>
    <row r="222" spans="1:45" hidden="1" x14ac:dyDescent="0.25">
      <c r="A222">
        <v>221</v>
      </c>
      <c r="B222">
        <v>2025</v>
      </c>
      <c r="C222">
        <v>5</v>
      </c>
      <c r="D222" t="s">
        <v>165</v>
      </c>
      <c r="E222">
        <v>31</v>
      </c>
      <c r="F222">
        <v>4</v>
      </c>
      <c r="G222" t="s">
        <v>432</v>
      </c>
      <c r="H222" s="48">
        <v>25737</v>
      </c>
      <c r="I222" s="48">
        <v>25768</v>
      </c>
      <c r="J222" s="48">
        <v>25796</v>
      </c>
      <c r="K222" s="48">
        <v>25820</v>
      </c>
      <c r="L222" s="48">
        <v>25838</v>
      </c>
      <c r="M222" s="48">
        <v>25877</v>
      </c>
      <c r="N222" s="48">
        <v>25900</v>
      </c>
      <c r="O222" s="48">
        <v>25960</v>
      </c>
      <c r="P222" s="48">
        <v>25992</v>
      </c>
      <c r="Q222" s="48">
        <v>26022</v>
      </c>
      <c r="R222" s="48">
        <v>26043</v>
      </c>
      <c r="S222" s="48">
        <v>26077</v>
      </c>
      <c r="T222" s="48">
        <v>26113</v>
      </c>
      <c r="U222" s="48">
        <v>26147</v>
      </c>
      <c r="V222" s="48">
        <v>26177</v>
      </c>
      <c r="W222" s="48">
        <v>26201</v>
      </c>
      <c r="X222" s="48">
        <v>26235</v>
      </c>
      <c r="Y222" s="48">
        <v>26259</v>
      </c>
      <c r="Z222" s="48">
        <v>26274</v>
      </c>
      <c r="AA222" s="48">
        <v>26295</v>
      </c>
      <c r="AB222" s="48">
        <v>26321</v>
      </c>
      <c r="AC222" s="48">
        <v>26345</v>
      </c>
      <c r="AD222" s="48">
        <v>26367</v>
      </c>
      <c r="AE222" s="48">
        <v>26384</v>
      </c>
      <c r="AF222" s="48">
        <v>26410</v>
      </c>
      <c r="AG222" s="48">
        <v>26422</v>
      </c>
      <c r="AH222" s="48">
        <v>26465</v>
      </c>
      <c r="AI222" s="48">
        <v>26554</v>
      </c>
      <c r="AJ222" s="48">
        <v>26602</v>
      </c>
      <c r="AK222" s="48">
        <v>26623</v>
      </c>
      <c r="AL222" s="48">
        <v>26661</v>
      </c>
    </row>
    <row r="223" spans="1:45" hidden="1" x14ac:dyDescent="0.25">
      <c r="A223">
        <v>222</v>
      </c>
      <c r="B223">
        <v>2025</v>
      </c>
      <c r="C223">
        <v>5</v>
      </c>
      <c r="D223" t="s">
        <v>165</v>
      </c>
      <c r="E223">
        <v>31</v>
      </c>
      <c r="F223">
        <v>4</v>
      </c>
      <c r="G223" t="s">
        <v>433</v>
      </c>
      <c r="H223" s="48">
        <v>25768</v>
      </c>
      <c r="I223" s="48">
        <v>25796</v>
      </c>
      <c r="J223" s="48">
        <v>25820</v>
      </c>
      <c r="K223" s="48">
        <v>25838</v>
      </c>
      <c r="L223" s="48">
        <v>25877</v>
      </c>
      <c r="M223" s="48">
        <v>25900</v>
      </c>
      <c r="N223" s="48">
        <v>25960</v>
      </c>
      <c r="O223" s="48">
        <v>25992</v>
      </c>
      <c r="P223" s="48">
        <v>26022</v>
      </c>
      <c r="Q223" s="48">
        <v>26043</v>
      </c>
      <c r="R223" s="48">
        <v>26077</v>
      </c>
      <c r="S223" s="48">
        <v>26113</v>
      </c>
      <c r="T223" s="48">
        <v>26147</v>
      </c>
      <c r="U223" s="48">
        <v>26173</v>
      </c>
      <c r="V223" s="48">
        <v>26201</v>
      </c>
      <c r="W223" s="48">
        <v>26235</v>
      </c>
      <c r="X223" s="48">
        <v>26259</v>
      </c>
      <c r="Y223" s="48">
        <v>26274</v>
      </c>
      <c r="Z223" s="48">
        <v>26295</v>
      </c>
      <c r="AA223" s="48">
        <v>26321</v>
      </c>
      <c r="AB223" s="48">
        <v>26345</v>
      </c>
      <c r="AC223" s="48">
        <v>26367</v>
      </c>
      <c r="AD223" s="48">
        <v>26384</v>
      </c>
      <c r="AE223" s="48">
        <v>26410</v>
      </c>
      <c r="AF223" s="48">
        <v>26422</v>
      </c>
      <c r="AG223" s="48">
        <v>26465</v>
      </c>
      <c r="AH223" s="48">
        <v>26554</v>
      </c>
      <c r="AI223" s="48">
        <v>26598</v>
      </c>
      <c r="AJ223" s="48">
        <v>26623</v>
      </c>
      <c r="AK223" s="48">
        <v>26648</v>
      </c>
      <c r="AL223" s="48">
        <v>26676</v>
      </c>
      <c r="AP223">
        <v>137.69999999999999</v>
      </c>
      <c r="AQ223">
        <v>15</v>
      </c>
      <c r="AS223">
        <v>918</v>
      </c>
    </row>
    <row r="224" spans="1:45" hidden="1" x14ac:dyDescent="0.25">
      <c r="A224">
        <v>223</v>
      </c>
      <c r="B224">
        <v>2025</v>
      </c>
      <c r="C224">
        <v>5</v>
      </c>
      <c r="D224" t="s">
        <v>149</v>
      </c>
      <c r="E224">
        <v>31</v>
      </c>
      <c r="F224">
        <v>4</v>
      </c>
      <c r="G224" t="s">
        <v>430</v>
      </c>
      <c r="H224" s="48">
        <v>0.29166666666666669</v>
      </c>
      <c r="I224" s="48">
        <v>0.29166666666666669</v>
      </c>
      <c r="J224" s="48">
        <v>0.29166666666666669</v>
      </c>
      <c r="K224" s="48" t="s">
        <v>320</v>
      </c>
      <c r="L224" s="48">
        <v>0.29166666666666669</v>
      </c>
      <c r="M224" s="48">
        <v>0.29166666666666669</v>
      </c>
      <c r="N224" s="48">
        <v>0.29166666666666669</v>
      </c>
      <c r="O224" s="48">
        <v>0.29166666666666669</v>
      </c>
      <c r="P224" s="48" t="s">
        <v>320</v>
      </c>
      <c r="Q224" s="48">
        <v>0.29166666666666669</v>
      </c>
      <c r="R224" s="48">
        <v>0.29166666666666669</v>
      </c>
      <c r="S224" s="48">
        <v>0.29166666666666669</v>
      </c>
      <c r="T224" s="48">
        <v>0.29166666666666669</v>
      </c>
      <c r="U224" s="48">
        <v>0.29166666666666669</v>
      </c>
      <c r="V224" s="48">
        <v>0.29166666666666669</v>
      </c>
      <c r="W224" s="48">
        <v>0.29166666666666669</v>
      </c>
      <c r="X224" s="48">
        <v>0.29166666666666669</v>
      </c>
      <c r="Y224" s="48">
        <v>0.29166666666666669</v>
      </c>
      <c r="Z224" s="48">
        <v>0.29166666666666669</v>
      </c>
      <c r="AA224" s="48">
        <v>0.29166666666666669</v>
      </c>
      <c r="AB224" s="48">
        <v>0.29166666666666669</v>
      </c>
      <c r="AC224" s="48">
        <v>0.29166666666666669</v>
      </c>
      <c r="AD224" s="48">
        <v>0.29166666666666669</v>
      </c>
      <c r="AE224" s="48">
        <v>0.29166666666666669</v>
      </c>
      <c r="AF224" s="48" t="s">
        <v>320</v>
      </c>
      <c r="AG224" s="48">
        <v>0.29166666666666669</v>
      </c>
      <c r="AH224" s="48">
        <v>0.29166666666666669</v>
      </c>
      <c r="AI224" s="48">
        <v>0.29166666666666669</v>
      </c>
      <c r="AJ224" s="48">
        <v>0.29166666666666669</v>
      </c>
      <c r="AK224" s="48">
        <v>0.29166666666666669</v>
      </c>
      <c r="AL224" s="48">
        <v>0.29166666666666669</v>
      </c>
    </row>
    <row r="225" spans="1:45" hidden="1" x14ac:dyDescent="0.25">
      <c r="A225">
        <v>224</v>
      </c>
      <c r="B225">
        <v>2025</v>
      </c>
      <c r="C225">
        <v>5</v>
      </c>
      <c r="D225" t="s">
        <v>149</v>
      </c>
      <c r="E225">
        <v>31</v>
      </c>
      <c r="F225">
        <v>4</v>
      </c>
      <c r="G225" t="s">
        <v>431</v>
      </c>
      <c r="H225" s="48">
        <v>0.75</v>
      </c>
      <c r="I225" s="48">
        <v>0.75</v>
      </c>
      <c r="J225" s="48">
        <v>0.75</v>
      </c>
      <c r="K225" s="48" t="s">
        <v>320</v>
      </c>
      <c r="L225" s="48">
        <v>0.75</v>
      </c>
      <c r="M225" s="48">
        <v>0.75</v>
      </c>
      <c r="N225" s="48">
        <v>0.75</v>
      </c>
      <c r="O225" s="48">
        <v>0.75</v>
      </c>
      <c r="P225" s="48" t="s">
        <v>320</v>
      </c>
      <c r="Q225" s="48">
        <v>0.75</v>
      </c>
      <c r="R225" s="48">
        <v>0.75</v>
      </c>
      <c r="S225" s="48">
        <v>0.75</v>
      </c>
      <c r="T225" s="48">
        <v>0.75</v>
      </c>
      <c r="U225" s="48">
        <v>0.75</v>
      </c>
      <c r="V225" s="48">
        <v>0.75</v>
      </c>
      <c r="W225" s="48">
        <v>0.75</v>
      </c>
      <c r="X225" s="48">
        <v>0.75</v>
      </c>
      <c r="Y225" s="48">
        <v>0.75</v>
      </c>
      <c r="Z225" s="48">
        <v>0.75</v>
      </c>
      <c r="AA225" s="48">
        <v>0.75</v>
      </c>
      <c r="AB225" s="48">
        <v>0.75</v>
      </c>
      <c r="AC225" s="48">
        <v>0.75</v>
      </c>
      <c r="AD225" s="48">
        <v>0.75</v>
      </c>
      <c r="AE225" s="48">
        <v>0.75</v>
      </c>
      <c r="AF225" s="48" t="s">
        <v>320</v>
      </c>
      <c r="AG225" s="48">
        <v>0.75</v>
      </c>
      <c r="AH225" s="48">
        <v>0.75</v>
      </c>
      <c r="AI225" s="48">
        <v>0.75</v>
      </c>
      <c r="AJ225" s="48">
        <v>0.75</v>
      </c>
      <c r="AK225" s="48">
        <v>0.75</v>
      </c>
      <c r="AL225" s="48">
        <v>0.75</v>
      </c>
      <c r="AM225">
        <v>28</v>
      </c>
    </row>
    <row r="226" spans="1:45" hidden="1" x14ac:dyDescent="0.25">
      <c r="A226">
        <v>225</v>
      </c>
      <c r="B226">
        <v>2025</v>
      </c>
      <c r="C226">
        <v>5</v>
      </c>
      <c r="D226" t="s">
        <v>149</v>
      </c>
      <c r="E226">
        <v>31</v>
      </c>
      <c r="F226">
        <v>4</v>
      </c>
      <c r="G226" t="s">
        <v>432</v>
      </c>
      <c r="H226" s="48">
        <v>828394</v>
      </c>
      <c r="I226" s="48">
        <v>828602</v>
      </c>
      <c r="J226" s="48">
        <v>828807</v>
      </c>
      <c r="K226" s="48" t="s">
        <v>320</v>
      </c>
      <c r="L226" s="48">
        <v>828947</v>
      </c>
      <c r="M226" s="48">
        <v>829153</v>
      </c>
      <c r="N226" s="48">
        <v>829362</v>
      </c>
      <c r="O226" s="48">
        <v>829566</v>
      </c>
      <c r="P226" s="48" t="s">
        <v>320</v>
      </c>
      <c r="Q226" s="48">
        <v>829766</v>
      </c>
      <c r="R226" s="48">
        <v>829963</v>
      </c>
      <c r="S226" s="48">
        <v>830125</v>
      </c>
      <c r="T226" s="48">
        <v>830326</v>
      </c>
      <c r="U226" s="48">
        <v>830532</v>
      </c>
      <c r="V226" s="48">
        <v>830729</v>
      </c>
      <c r="W226" s="48">
        <v>830951</v>
      </c>
      <c r="X226" s="48">
        <v>831157</v>
      </c>
      <c r="Y226" s="48">
        <v>831362</v>
      </c>
      <c r="Z226" s="48">
        <v>831563</v>
      </c>
      <c r="AA226" s="48">
        <v>831767</v>
      </c>
      <c r="AB226" s="48">
        <v>831972</v>
      </c>
      <c r="AC226" s="48">
        <v>832179</v>
      </c>
      <c r="AD226" s="48">
        <v>832381</v>
      </c>
      <c r="AE226" s="48">
        <v>832586</v>
      </c>
      <c r="AF226" s="48" t="s">
        <v>320</v>
      </c>
      <c r="AG226" s="48">
        <v>832804</v>
      </c>
      <c r="AH226" s="48">
        <v>833037</v>
      </c>
      <c r="AI226" s="48">
        <v>833241</v>
      </c>
      <c r="AJ226" s="48">
        <v>833443</v>
      </c>
      <c r="AK226" s="48">
        <v>833651</v>
      </c>
      <c r="AL226" s="48">
        <v>833856</v>
      </c>
    </row>
    <row r="227" spans="1:45" hidden="1" x14ac:dyDescent="0.25">
      <c r="A227">
        <v>226</v>
      </c>
      <c r="B227">
        <v>2025</v>
      </c>
      <c r="C227">
        <v>5</v>
      </c>
      <c r="D227" t="s">
        <v>149</v>
      </c>
      <c r="E227">
        <v>31</v>
      </c>
      <c r="F227">
        <v>4</v>
      </c>
      <c r="G227" t="s">
        <v>433</v>
      </c>
      <c r="H227" s="48">
        <v>828602</v>
      </c>
      <c r="I227" s="48">
        <v>828807</v>
      </c>
      <c r="J227" s="48">
        <v>828947</v>
      </c>
      <c r="K227" s="48" t="s">
        <v>320</v>
      </c>
      <c r="L227" s="48">
        <v>829153</v>
      </c>
      <c r="M227" s="48">
        <v>829362</v>
      </c>
      <c r="N227" s="48">
        <v>829566</v>
      </c>
      <c r="O227" s="48">
        <v>829766</v>
      </c>
      <c r="P227" s="48" t="s">
        <v>320</v>
      </c>
      <c r="Q227" s="48">
        <v>829963</v>
      </c>
      <c r="R227" s="48">
        <v>830125</v>
      </c>
      <c r="S227" s="48">
        <v>830326</v>
      </c>
      <c r="T227" s="48">
        <v>830532</v>
      </c>
      <c r="U227" s="48">
        <v>830729</v>
      </c>
      <c r="V227" s="48">
        <v>830951</v>
      </c>
      <c r="W227" s="48">
        <v>831157</v>
      </c>
      <c r="X227" s="48">
        <v>831362</v>
      </c>
      <c r="Y227" s="48">
        <v>831563</v>
      </c>
      <c r="Z227" s="48">
        <v>831767</v>
      </c>
      <c r="AA227" s="48">
        <v>831972</v>
      </c>
      <c r="AB227" s="48">
        <v>832179</v>
      </c>
      <c r="AC227" s="48">
        <v>832381</v>
      </c>
      <c r="AD227" s="48">
        <v>832586</v>
      </c>
      <c r="AE227" s="48">
        <v>832804</v>
      </c>
      <c r="AF227" s="48" t="s">
        <v>320</v>
      </c>
      <c r="AG227" s="48">
        <v>833037</v>
      </c>
      <c r="AH227" s="48">
        <v>833241</v>
      </c>
      <c r="AI227" s="48">
        <v>833443</v>
      </c>
      <c r="AJ227" s="48">
        <v>833651</v>
      </c>
      <c r="AK227" s="48">
        <v>833856</v>
      </c>
      <c r="AL227" s="48">
        <v>834069</v>
      </c>
      <c r="AP227">
        <v>1021.5</v>
      </c>
      <c r="AQ227">
        <v>18</v>
      </c>
      <c r="AS227">
        <v>5675</v>
      </c>
    </row>
    <row r="228" spans="1:45" hidden="1" x14ac:dyDescent="0.25">
      <c r="A228">
        <v>227</v>
      </c>
      <c r="B228">
        <v>2025</v>
      </c>
      <c r="C228">
        <v>5</v>
      </c>
      <c r="D228" t="s">
        <v>166</v>
      </c>
      <c r="E228">
        <v>31</v>
      </c>
      <c r="F228">
        <v>4</v>
      </c>
      <c r="G228" t="s">
        <v>430</v>
      </c>
      <c r="H228" s="48" t="s">
        <v>320</v>
      </c>
      <c r="I228" s="48" t="s">
        <v>375</v>
      </c>
      <c r="J228" s="48" t="s">
        <v>375</v>
      </c>
      <c r="K228" s="48" t="s">
        <v>375</v>
      </c>
      <c r="L228" s="48" t="s">
        <v>375</v>
      </c>
      <c r="M228" s="48" t="s">
        <v>375</v>
      </c>
      <c r="N228" s="48" t="s">
        <v>375</v>
      </c>
      <c r="O228" s="48" t="s">
        <v>375</v>
      </c>
      <c r="P228" s="48" t="s">
        <v>375</v>
      </c>
      <c r="Q228" s="48" t="s">
        <v>375</v>
      </c>
      <c r="R228" s="48" t="s">
        <v>375</v>
      </c>
      <c r="S228" s="48" t="s">
        <v>375</v>
      </c>
      <c r="T228" s="48" t="s">
        <v>375</v>
      </c>
      <c r="U228" s="48" t="s">
        <v>375</v>
      </c>
      <c r="V228" s="48" t="s">
        <v>375</v>
      </c>
      <c r="W228" s="48" t="s">
        <v>375</v>
      </c>
      <c r="X228" s="48" t="s">
        <v>375</v>
      </c>
      <c r="Y228" s="48" t="s">
        <v>375</v>
      </c>
      <c r="Z228" s="48" t="s">
        <v>375</v>
      </c>
      <c r="AA228" s="48" t="s">
        <v>375</v>
      </c>
      <c r="AB228" s="48" t="s">
        <v>375</v>
      </c>
      <c r="AC228" s="48" t="s">
        <v>375</v>
      </c>
      <c r="AD228" s="48" t="s">
        <v>375</v>
      </c>
      <c r="AE228" s="48" t="s">
        <v>375</v>
      </c>
      <c r="AF228" s="48" t="s">
        <v>375</v>
      </c>
      <c r="AG228" s="48" t="s">
        <v>375</v>
      </c>
      <c r="AH228" s="48" t="s">
        <v>375</v>
      </c>
      <c r="AI228" s="48" t="s">
        <v>375</v>
      </c>
      <c r="AJ228" s="48" t="s">
        <v>375</v>
      </c>
      <c r="AK228" s="48" t="s">
        <v>375</v>
      </c>
      <c r="AL228" s="48" t="s">
        <v>375</v>
      </c>
    </row>
    <row r="229" spans="1:45" hidden="1" x14ac:dyDescent="0.25">
      <c r="A229">
        <v>228</v>
      </c>
      <c r="B229">
        <v>2025</v>
      </c>
      <c r="C229">
        <v>5</v>
      </c>
      <c r="D229" t="s">
        <v>166</v>
      </c>
      <c r="E229">
        <v>31</v>
      </c>
      <c r="F229">
        <v>4</v>
      </c>
      <c r="G229" t="s">
        <v>431</v>
      </c>
      <c r="H229" s="48" t="s">
        <v>320</v>
      </c>
      <c r="I229" s="48">
        <v>0.75</v>
      </c>
      <c r="J229" s="48">
        <v>0.83333333333333326</v>
      </c>
      <c r="K229" s="48">
        <v>0.75</v>
      </c>
      <c r="L229" s="48">
        <v>0.95833333333333326</v>
      </c>
      <c r="M229" s="48">
        <v>0.75</v>
      </c>
      <c r="N229" s="48">
        <v>0.95833333333333326</v>
      </c>
      <c r="O229" s="48">
        <v>0.83333333333333326</v>
      </c>
      <c r="P229" s="48">
        <v>0.79166666666666674</v>
      </c>
      <c r="Q229" s="48">
        <v>0.75</v>
      </c>
      <c r="R229" s="48">
        <v>0.75</v>
      </c>
      <c r="S229" s="48">
        <v>0.75</v>
      </c>
      <c r="T229" s="48">
        <v>0.75</v>
      </c>
      <c r="U229" s="48">
        <v>0.75</v>
      </c>
      <c r="V229" s="48">
        <v>0.83333333333333326</v>
      </c>
      <c r="W229" s="48">
        <v>0.83333333333333326</v>
      </c>
      <c r="X229" s="48">
        <v>0.75</v>
      </c>
      <c r="Y229" s="48">
        <v>0.79166666666666674</v>
      </c>
      <c r="Z229" s="48">
        <v>0.79166666666666674</v>
      </c>
      <c r="AA229" s="48">
        <v>0.83333333333333326</v>
      </c>
      <c r="AB229" s="48">
        <v>0.91666666666666674</v>
      </c>
      <c r="AC229" s="48">
        <v>0.875</v>
      </c>
      <c r="AD229" s="48">
        <v>0.875</v>
      </c>
      <c r="AE229" s="48">
        <v>1</v>
      </c>
      <c r="AF229" s="48">
        <v>0.95833333333333326</v>
      </c>
      <c r="AG229" s="48">
        <v>0.83333333333333326</v>
      </c>
      <c r="AH229" s="48">
        <v>0.79166666666666674</v>
      </c>
      <c r="AI229" s="48">
        <v>0.75</v>
      </c>
      <c r="AJ229" s="48">
        <v>0.83333333333333326</v>
      </c>
      <c r="AK229" s="48">
        <v>0.75</v>
      </c>
      <c r="AL229" s="48">
        <v>0.75</v>
      </c>
      <c r="AM229">
        <v>30</v>
      </c>
      <c r="AO229">
        <v>48.999999999999972</v>
      </c>
    </row>
    <row r="230" spans="1:45" hidden="1" x14ac:dyDescent="0.25">
      <c r="A230">
        <v>229</v>
      </c>
      <c r="B230">
        <v>2025</v>
      </c>
      <c r="C230">
        <v>5</v>
      </c>
      <c r="D230" t="s">
        <v>166</v>
      </c>
      <c r="E230">
        <v>31</v>
      </c>
      <c r="F230">
        <v>4</v>
      </c>
      <c r="G230" t="s">
        <v>432</v>
      </c>
      <c r="H230" s="48" t="s">
        <v>320</v>
      </c>
      <c r="I230" s="48">
        <v>262769</v>
      </c>
      <c r="J230" s="48">
        <v>262837</v>
      </c>
      <c r="K230" s="48">
        <v>262902</v>
      </c>
      <c r="L230" s="48">
        <v>262977</v>
      </c>
      <c r="M230" s="48">
        <v>263104</v>
      </c>
      <c r="N230" s="48">
        <v>263157</v>
      </c>
      <c r="O230" s="48">
        <v>263245</v>
      </c>
      <c r="P230" s="48">
        <v>263345</v>
      </c>
      <c r="Q230" s="48">
        <v>263431</v>
      </c>
      <c r="R230" s="48">
        <v>263543</v>
      </c>
      <c r="S230" s="48">
        <v>263686</v>
      </c>
      <c r="T230" s="48">
        <v>263746</v>
      </c>
      <c r="U230" s="48">
        <v>263835</v>
      </c>
      <c r="V230" s="48">
        <v>263898</v>
      </c>
      <c r="W230" s="48">
        <v>263969</v>
      </c>
      <c r="X230" s="48">
        <v>264026</v>
      </c>
      <c r="Y230" s="48">
        <v>264070</v>
      </c>
      <c r="Z230" s="48">
        <v>264097</v>
      </c>
      <c r="AA230" s="48">
        <v>264133</v>
      </c>
      <c r="AB230" s="48">
        <v>264168</v>
      </c>
      <c r="AC230" s="48">
        <v>264228</v>
      </c>
      <c r="AD230" s="48">
        <v>264302</v>
      </c>
      <c r="AE230" s="48">
        <v>264384</v>
      </c>
      <c r="AF230" s="48">
        <v>264475</v>
      </c>
      <c r="AG230" s="48">
        <v>264567</v>
      </c>
      <c r="AH230" s="48">
        <v>264640</v>
      </c>
      <c r="AI230" s="48">
        <v>264685</v>
      </c>
      <c r="AJ230" s="48">
        <v>264731</v>
      </c>
      <c r="AK230" s="48">
        <v>264775</v>
      </c>
      <c r="AL230" s="48">
        <v>264814</v>
      </c>
    </row>
    <row r="231" spans="1:45" hidden="1" x14ac:dyDescent="0.25">
      <c r="A231">
        <v>230</v>
      </c>
      <c r="B231">
        <v>2025</v>
      </c>
      <c r="C231">
        <v>5</v>
      </c>
      <c r="D231" t="s">
        <v>166</v>
      </c>
      <c r="E231">
        <v>31</v>
      </c>
      <c r="F231">
        <v>4</v>
      </c>
      <c r="G231" t="s">
        <v>433</v>
      </c>
      <c r="H231" s="48" t="s">
        <v>320</v>
      </c>
      <c r="I231" s="48">
        <v>262837</v>
      </c>
      <c r="J231" s="48">
        <v>262902</v>
      </c>
      <c r="K231" s="48">
        <v>262977</v>
      </c>
      <c r="L231" s="48">
        <v>263104</v>
      </c>
      <c r="M231" s="48">
        <v>263157</v>
      </c>
      <c r="N231" s="48">
        <v>263245</v>
      </c>
      <c r="O231" s="48">
        <v>263345</v>
      </c>
      <c r="P231" s="48">
        <v>263431</v>
      </c>
      <c r="Q231" s="48">
        <v>263543</v>
      </c>
      <c r="R231" s="48">
        <v>263686</v>
      </c>
      <c r="S231" s="48">
        <v>263746</v>
      </c>
      <c r="T231" s="48">
        <v>263835</v>
      </c>
      <c r="U231" s="48">
        <v>263898</v>
      </c>
      <c r="V231" s="48">
        <v>263969</v>
      </c>
      <c r="W231" s="48">
        <v>264026</v>
      </c>
      <c r="X231" s="48">
        <v>264070</v>
      </c>
      <c r="Y231" s="48">
        <v>264097</v>
      </c>
      <c r="Z231" s="48">
        <v>264133</v>
      </c>
      <c r="AA231" s="48">
        <v>264168</v>
      </c>
      <c r="AB231" s="48">
        <v>264228</v>
      </c>
      <c r="AC231" s="48">
        <v>264302</v>
      </c>
      <c r="AD231" s="48">
        <v>264384</v>
      </c>
      <c r="AE231" s="48">
        <v>264475</v>
      </c>
      <c r="AF231" s="48">
        <v>264567</v>
      </c>
      <c r="AG231" s="48">
        <v>264640</v>
      </c>
      <c r="AH231" s="48">
        <v>264685</v>
      </c>
      <c r="AI231" s="48">
        <v>264731</v>
      </c>
      <c r="AJ231" s="48">
        <v>264775</v>
      </c>
      <c r="AK231" s="48">
        <v>264814</v>
      </c>
      <c r="AL231" s="48">
        <v>264848</v>
      </c>
      <c r="AP231">
        <v>311.85000000000002</v>
      </c>
      <c r="AQ231">
        <v>15</v>
      </c>
      <c r="AS231">
        <v>2079</v>
      </c>
    </row>
    <row r="232" spans="1:45" hidden="1" x14ac:dyDescent="0.25">
      <c r="A232">
        <v>231</v>
      </c>
      <c r="B232">
        <v>2025</v>
      </c>
      <c r="C232">
        <v>5</v>
      </c>
      <c r="D232" t="s">
        <v>159</v>
      </c>
      <c r="E232">
        <v>31</v>
      </c>
      <c r="F232">
        <v>4</v>
      </c>
      <c r="G232" t="s">
        <v>430</v>
      </c>
      <c r="H232" s="48" t="s">
        <v>320</v>
      </c>
      <c r="I232" s="48" t="s">
        <v>320</v>
      </c>
      <c r="J232" s="48" t="s">
        <v>320</v>
      </c>
      <c r="K232" s="48" t="s">
        <v>320</v>
      </c>
      <c r="L232" s="48" t="s">
        <v>320</v>
      </c>
      <c r="M232" s="48" t="s">
        <v>320</v>
      </c>
      <c r="N232" s="48" t="s">
        <v>320</v>
      </c>
      <c r="O232" s="48" t="s">
        <v>320</v>
      </c>
      <c r="P232" s="48" t="s">
        <v>320</v>
      </c>
      <c r="Q232" s="48" t="s">
        <v>320</v>
      </c>
      <c r="R232" s="48" t="s">
        <v>320</v>
      </c>
      <c r="S232" s="48" t="s">
        <v>320</v>
      </c>
      <c r="T232" s="48" t="s">
        <v>320</v>
      </c>
      <c r="U232" s="48" t="s">
        <v>320</v>
      </c>
      <c r="V232" s="48" t="s">
        <v>320</v>
      </c>
      <c r="W232" s="48" t="s">
        <v>320</v>
      </c>
      <c r="X232" s="48" t="s">
        <v>320</v>
      </c>
      <c r="Y232" s="48" t="s">
        <v>320</v>
      </c>
      <c r="Z232" s="48" t="s">
        <v>320</v>
      </c>
      <c r="AA232" s="48" t="s">
        <v>320</v>
      </c>
      <c r="AB232" s="48" t="s">
        <v>320</v>
      </c>
      <c r="AC232" s="48" t="s">
        <v>320</v>
      </c>
      <c r="AD232" s="48" t="s">
        <v>320</v>
      </c>
      <c r="AE232" s="48" t="s">
        <v>320</v>
      </c>
      <c r="AF232" s="48" t="s">
        <v>320</v>
      </c>
      <c r="AG232" s="48" t="s">
        <v>320</v>
      </c>
      <c r="AH232" s="48" t="s">
        <v>320</v>
      </c>
      <c r="AI232" s="48" t="s">
        <v>375</v>
      </c>
      <c r="AJ232" s="48" t="s">
        <v>375</v>
      </c>
      <c r="AK232" s="48" t="s">
        <v>375</v>
      </c>
      <c r="AL232" s="48" t="s">
        <v>375</v>
      </c>
    </row>
    <row r="233" spans="1:45" hidden="1" x14ac:dyDescent="0.25">
      <c r="A233">
        <v>232</v>
      </c>
      <c r="B233">
        <v>2025</v>
      </c>
      <c r="C233">
        <v>5</v>
      </c>
      <c r="D233" t="s">
        <v>159</v>
      </c>
      <c r="E233">
        <v>31</v>
      </c>
      <c r="F233">
        <v>4</v>
      </c>
      <c r="G233" t="s">
        <v>431</v>
      </c>
      <c r="H233" s="48" t="s">
        <v>320</v>
      </c>
      <c r="I233" s="48" t="s">
        <v>320</v>
      </c>
      <c r="J233" s="48" t="s">
        <v>320</v>
      </c>
      <c r="K233" s="48" t="s">
        <v>320</v>
      </c>
      <c r="L233" s="48" t="s">
        <v>320</v>
      </c>
      <c r="M233" s="48" t="s">
        <v>320</v>
      </c>
      <c r="N233" s="48" t="s">
        <v>320</v>
      </c>
      <c r="O233" s="48" t="s">
        <v>320</v>
      </c>
      <c r="P233" s="48" t="s">
        <v>320</v>
      </c>
      <c r="Q233" s="48" t="s">
        <v>320</v>
      </c>
      <c r="R233" s="48" t="s">
        <v>320</v>
      </c>
      <c r="S233" s="48" t="s">
        <v>320</v>
      </c>
      <c r="T233" s="48" t="s">
        <v>320</v>
      </c>
      <c r="U233" s="48" t="s">
        <v>320</v>
      </c>
      <c r="V233" s="48" t="s">
        <v>320</v>
      </c>
      <c r="W233" s="48" t="s">
        <v>320</v>
      </c>
      <c r="X233" s="48" t="s">
        <v>320</v>
      </c>
      <c r="Y233" s="48" t="s">
        <v>320</v>
      </c>
      <c r="Z233" s="48" t="s">
        <v>320</v>
      </c>
      <c r="AA233" s="48" t="s">
        <v>320</v>
      </c>
      <c r="AB233" s="48" t="s">
        <v>320</v>
      </c>
      <c r="AC233" s="48" t="s">
        <v>320</v>
      </c>
      <c r="AD233" s="48" t="s">
        <v>320</v>
      </c>
      <c r="AE233" s="48" t="s">
        <v>320</v>
      </c>
      <c r="AF233" s="48" t="s">
        <v>320</v>
      </c>
      <c r="AG233" s="48" t="s">
        <v>320</v>
      </c>
      <c r="AH233" s="48" t="s">
        <v>320</v>
      </c>
      <c r="AI233" s="48" t="s">
        <v>376</v>
      </c>
      <c r="AJ233" s="48">
        <v>0.75</v>
      </c>
      <c r="AK233" s="48" t="s">
        <v>376</v>
      </c>
      <c r="AL233" s="48" t="s">
        <v>376</v>
      </c>
      <c r="AM233">
        <v>4</v>
      </c>
    </row>
    <row r="234" spans="1:45" hidden="1" x14ac:dyDescent="0.25">
      <c r="A234">
        <v>233</v>
      </c>
      <c r="B234">
        <v>2025</v>
      </c>
      <c r="C234">
        <v>5</v>
      </c>
      <c r="D234" t="s">
        <v>159</v>
      </c>
      <c r="E234">
        <v>31</v>
      </c>
      <c r="F234">
        <v>4</v>
      </c>
      <c r="G234" t="s">
        <v>432</v>
      </c>
      <c r="H234" s="48" t="s">
        <v>320</v>
      </c>
      <c r="I234" s="48" t="s">
        <v>320</v>
      </c>
      <c r="J234" s="48" t="s">
        <v>320</v>
      </c>
      <c r="K234" s="48" t="s">
        <v>320</v>
      </c>
      <c r="L234" s="48" t="s">
        <v>320</v>
      </c>
      <c r="M234" s="48" t="s">
        <v>320</v>
      </c>
      <c r="N234" s="48" t="s">
        <v>320</v>
      </c>
      <c r="O234" s="48" t="s">
        <v>320</v>
      </c>
      <c r="P234" s="48" t="s">
        <v>320</v>
      </c>
      <c r="Q234" s="48" t="s">
        <v>320</v>
      </c>
      <c r="R234" s="48" t="s">
        <v>320</v>
      </c>
      <c r="S234" s="48" t="s">
        <v>320</v>
      </c>
      <c r="T234" s="48" t="s">
        <v>320</v>
      </c>
      <c r="U234" s="48" t="s">
        <v>320</v>
      </c>
      <c r="V234" s="48" t="s">
        <v>320</v>
      </c>
      <c r="W234" s="48" t="s">
        <v>320</v>
      </c>
      <c r="X234" s="48" t="s">
        <v>320</v>
      </c>
      <c r="Y234" s="48" t="s">
        <v>320</v>
      </c>
      <c r="Z234" s="48" t="s">
        <v>320</v>
      </c>
      <c r="AA234" s="48" t="s">
        <v>320</v>
      </c>
      <c r="AB234" s="48" t="s">
        <v>320</v>
      </c>
      <c r="AC234" s="48" t="s">
        <v>320</v>
      </c>
      <c r="AD234" s="48" t="s">
        <v>320</v>
      </c>
      <c r="AE234" s="48" t="s">
        <v>320</v>
      </c>
      <c r="AF234" s="48" t="s">
        <v>320</v>
      </c>
      <c r="AG234" s="48" t="s">
        <v>320</v>
      </c>
      <c r="AH234" s="48" t="s">
        <v>320</v>
      </c>
      <c r="AI234" s="48">
        <v>321621</v>
      </c>
      <c r="AJ234" s="48">
        <v>321636</v>
      </c>
      <c r="AK234" s="48">
        <v>321702</v>
      </c>
      <c r="AL234" s="48">
        <v>321748</v>
      </c>
    </row>
    <row r="235" spans="1:45" hidden="1" x14ac:dyDescent="0.25">
      <c r="A235">
        <v>234</v>
      </c>
      <c r="B235">
        <v>2025</v>
      </c>
      <c r="C235">
        <v>5</v>
      </c>
      <c r="D235" t="s">
        <v>159</v>
      </c>
      <c r="E235">
        <v>31</v>
      </c>
      <c r="F235">
        <v>4</v>
      </c>
      <c r="G235" t="s">
        <v>433</v>
      </c>
      <c r="H235" s="48" t="s">
        <v>320</v>
      </c>
      <c r="I235" s="48" t="s">
        <v>320</v>
      </c>
      <c r="J235" s="48" t="s">
        <v>320</v>
      </c>
      <c r="K235" s="48" t="s">
        <v>320</v>
      </c>
      <c r="L235" s="48" t="s">
        <v>320</v>
      </c>
      <c r="M235" s="48" t="s">
        <v>320</v>
      </c>
      <c r="N235" s="48" t="s">
        <v>320</v>
      </c>
      <c r="O235" s="48" t="s">
        <v>320</v>
      </c>
      <c r="P235" s="48" t="s">
        <v>320</v>
      </c>
      <c r="Q235" s="48" t="s">
        <v>320</v>
      </c>
      <c r="R235" s="48" t="s">
        <v>320</v>
      </c>
      <c r="S235" s="48" t="s">
        <v>320</v>
      </c>
      <c r="T235" s="48" t="s">
        <v>320</v>
      </c>
      <c r="U235" s="48" t="s">
        <v>320</v>
      </c>
      <c r="V235" s="48" t="s">
        <v>320</v>
      </c>
      <c r="W235" s="48" t="s">
        <v>320</v>
      </c>
      <c r="X235" s="48" t="s">
        <v>320</v>
      </c>
      <c r="Y235" s="48" t="s">
        <v>320</v>
      </c>
      <c r="Z235" s="48" t="s">
        <v>320</v>
      </c>
      <c r="AA235" s="48" t="s">
        <v>320</v>
      </c>
      <c r="AB235" s="48" t="s">
        <v>320</v>
      </c>
      <c r="AC235" s="48" t="s">
        <v>320</v>
      </c>
      <c r="AD235" s="48" t="s">
        <v>320</v>
      </c>
      <c r="AE235" s="48" t="s">
        <v>320</v>
      </c>
      <c r="AF235" s="48" t="s">
        <v>320</v>
      </c>
      <c r="AG235" s="48" t="s">
        <v>320</v>
      </c>
      <c r="AH235" s="48" t="s">
        <v>320</v>
      </c>
      <c r="AI235" s="48">
        <v>321636</v>
      </c>
      <c r="AJ235" s="48">
        <v>321702</v>
      </c>
      <c r="AK235" s="48">
        <v>321748</v>
      </c>
      <c r="AL235" s="48">
        <v>321779</v>
      </c>
      <c r="AP235">
        <v>23.7</v>
      </c>
      <c r="AQ235">
        <v>15</v>
      </c>
      <c r="AS235">
        <v>158</v>
      </c>
    </row>
    <row r="236" spans="1:45" hidden="1" x14ac:dyDescent="0.25">
      <c r="A236">
        <v>235</v>
      </c>
      <c r="B236">
        <v>2025</v>
      </c>
      <c r="C236">
        <v>5</v>
      </c>
      <c r="D236" t="s">
        <v>150</v>
      </c>
      <c r="E236">
        <v>31</v>
      </c>
      <c r="F236">
        <v>4</v>
      </c>
      <c r="G236" t="s">
        <v>430</v>
      </c>
      <c r="H236" s="48" t="s">
        <v>320</v>
      </c>
      <c r="I236" s="48" t="s">
        <v>320</v>
      </c>
      <c r="J236" s="48" t="s">
        <v>320</v>
      </c>
      <c r="K236" s="48" t="s">
        <v>320</v>
      </c>
      <c r="L236" s="48" t="s">
        <v>320</v>
      </c>
      <c r="M236" s="48" t="s">
        <v>320</v>
      </c>
      <c r="N236" s="48" t="s">
        <v>320</v>
      </c>
      <c r="O236" s="48" t="s">
        <v>320</v>
      </c>
      <c r="P236" s="48" t="s">
        <v>320</v>
      </c>
      <c r="Q236" s="48" t="s">
        <v>320</v>
      </c>
      <c r="R236" s="48" t="s">
        <v>320</v>
      </c>
      <c r="S236" s="48" t="s">
        <v>320</v>
      </c>
      <c r="T236" s="48" t="s">
        <v>320</v>
      </c>
      <c r="U236" s="48" t="s">
        <v>320</v>
      </c>
      <c r="V236" s="48" t="s">
        <v>320</v>
      </c>
      <c r="W236" s="48" t="s">
        <v>320</v>
      </c>
      <c r="X236" s="48" t="s">
        <v>320</v>
      </c>
      <c r="Y236" s="48" t="s">
        <v>320</v>
      </c>
      <c r="Z236" s="48" t="s">
        <v>320</v>
      </c>
      <c r="AA236" s="48" t="s">
        <v>320</v>
      </c>
      <c r="AB236" s="48" t="s">
        <v>320</v>
      </c>
      <c r="AC236" s="48" t="s">
        <v>320</v>
      </c>
      <c r="AD236" s="48" t="s">
        <v>320</v>
      </c>
      <c r="AE236" s="48" t="s">
        <v>320</v>
      </c>
      <c r="AF236" s="48" t="s">
        <v>320</v>
      </c>
      <c r="AG236" s="48" t="s">
        <v>320</v>
      </c>
      <c r="AH236" s="48" t="s">
        <v>320</v>
      </c>
      <c r="AI236" s="48" t="s">
        <v>375</v>
      </c>
      <c r="AJ236" s="48" t="s">
        <v>375</v>
      </c>
      <c r="AK236" s="48" t="s">
        <v>375</v>
      </c>
      <c r="AL236" s="48" t="s">
        <v>375</v>
      </c>
    </row>
    <row r="237" spans="1:45" hidden="1" x14ac:dyDescent="0.25">
      <c r="A237">
        <v>236</v>
      </c>
      <c r="B237">
        <v>2025</v>
      </c>
      <c r="C237">
        <v>5</v>
      </c>
      <c r="D237" t="s">
        <v>150</v>
      </c>
      <c r="E237">
        <v>31</v>
      </c>
      <c r="F237">
        <v>4</v>
      </c>
      <c r="G237" t="s">
        <v>431</v>
      </c>
      <c r="H237" s="48" t="s">
        <v>320</v>
      </c>
      <c r="I237" s="48" t="s">
        <v>320</v>
      </c>
      <c r="J237" s="48" t="s">
        <v>320</v>
      </c>
      <c r="K237" s="48" t="s">
        <v>320</v>
      </c>
      <c r="L237" s="48" t="s">
        <v>320</v>
      </c>
      <c r="M237" s="48" t="s">
        <v>320</v>
      </c>
      <c r="N237" s="48" t="s">
        <v>320</v>
      </c>
      <c r="O237" s="48" t="s">
        <v>320</v>
      </c>
      <c r="P237" s="48" t="s">
        <v>320</v>
      </c>
      <c r="Q237" s="48" t="s">
        <v>320</v>
      </c>
      <c r="R237" s="48" t="s">
        <v>320</v>
      </c>
      <c r="S237" s="48" t="s">
        <v>320</v>
      </c>
      <c r="T237" s="48" t="s">
        <v>320</v>
      </c>
      <c r="U237" s="48" t="s">
        <v>320</v>
      </c>
      <c r="V237" s="48" t="s">
        <v>320</v>
      </c>
      <c r="W237" s="48" t="s">
        <v>320</v>
      </c>
      <c r="X237" s="48" t="s">
        <v>320</v>
      </c>
      <c r="Y237" s="48" t="s">
        <v>320</v>
      </c>
      <c r="Z237" s="48" t="s">
        <v>320</v>
      </c>
      <c r="AA237" s="48" t="s">
        <v>320</v>
      </c>
      <c r="AB237" s="48" t="s">
        <v>320</v>
      </c>
      <c r="AC237" s="48" t="s">
        <v>320</v>
      </c>
      <c r="AD237" s="48" t="s">
        <v>320</v>
      </c>
      <c r="AE237" s="48" t="s">
        <v>320</v>
      </c>
      <c r="AF237" s="48" t="s">
        <v>320</v>
      </c>
      <c r="AG237" s="48" t="s">
        <v>320</v>
      </c>
      <c r="AH237" s="48" t="s">
        <v>320</v>
      </c>
      <c r="AI237" s="48" t="s">
        <v>376</v>
      </c>
      <c r="AJ237" s="48" t="s">
        <v>376</v>
      </c>
      <c r="AK237" s="48" t="s">
        <v>376</v>
      </c>
      <c r="AL237" s="48" t="s">
        <v>376</v>
      </c>
      <c r="AM237">
        <v>4</v>
      </c>
    </row>
    <row r="238" spans="1:45" hidden="1" x14ac:dyDescent="0.25">
      <c r="A238">
        <v>237</v>
      </c>
      <c r="B238">
        <v>2025</v>
      </c>
      <c r="C238">
        <v>5</v>
      </c>
      <c r="D238" t="s">
        <v>150</v>
      </c>
      <c r="E238">
        <v>31</v>
      </c>
      <c r="F238">
        <v>4</v>
      </c>
      <c r="G238" t="s">
        <v>432</v>
      </c>
      <c r="H238" s="48" t="s">
        <v>320</v>
      </c>
      <c r="I238" s="48" t="s">
        <v>320</v>
      </c>
      <c r="J238" s="48" t="s">
        <v>320</v>
      </c>
      <c r="K238" s="48" t="s">
        <v>320</v>
      </c>
      <c r="L238" s="48" t="s">
        <v>320</v>
      </c>
      <c r="M238" s="48" t="s">
        <v>320</v>
      </c>
      <c r="N238" s="48" t="s">
        <v>320</v>
      </c>
      <c r="O238" s="48" t="s">
        <v>320</v>
      </c>
      <c r="P238" s="48" t="s">
        <v>320</v>
      </c>
      <c r="Q238" s="48" t="s">
        <v>320</v>
      </c>
      <c r="R238" s="48" t="s">
        <v>320</v>
      </c>
      <c r="S238" s="48" t="s">
        <v>320</v>
      </c>
      <c r="T238" s="48" t="s">
        <v>320</v>
      </c>
      <c r="U238" s="48" t="s">
        <v>320</v>
      </c>
      <c r="V238" s="48" t="s">
        <v>320</v>
      </c>
      <c r="W238" s="48" t="s">
        <v>320</v>
      </c>
      <c r="X238" s="48" t="s">
        <v>320</v>
      </c>
      <c r="Y238" s="48" t="s">
        <v>320</v>
      </c>
      <c r="Z238" s="48" t="s">
        <v>320</v>
      </c>
      <c r="AA238" s="48" t="s">
        <v>320</v>
      </c>
      <c r="AB238" s="48" t="s">
        <v>320</v>
      </c>
      <c r="AC238" s="48" t="s">
        <v>320</v>
      </c>
      <c r="AD238" s="48" t="s">
        <v>320</v>
      </c>
      <c r="AE238" s="48" t="s">
        <v>320</v>
      </c>
      <c r="AF238" s="48" t="s">
        <v>320</v>
      </c>
      <c r="AG238" s="48" t="s">
        <v>320</v>
      </c>
      <c r="AH238" s="48" t="s">
        <v>320</v>
      </c>
      <c r="AI238" s="48">
        <v>769160</v>
      </c>
      <c r="AJ238" s="48">
        <v>769526</v>
      </c>
      <c r="AK238" s="48">
        <v>769616</v>
      </c>
      <c r="AL238" s="48">
        <v>769705</v>
      </c>
    </row>
    <row r="239" spans="1:45" hidden="1" x14ac:dyDescent="0.25">
      <c r="A239">
        <v>238</v>
      </c>
      <c r="B239">
        <v>2025</v>
      </c>
      <c r="C239">
        <v>5</v>
      </c>
      <c r="D239" t="s">
        <v>150</v>
      </c>
      <c r="E239">
        <v>31</v>
      </c>
      <c r="F239">
        <v>4</v>
      </c>
      <c r="G239" t="s">
        <v>433</v>
      </c>
      <c r="H239" s="48" t="s">
        <v>320</v>
      </c>
      <c r="I239" s="48" t="s">
        <v>320</v>
      </c>
      <c r="J239" s="48" t="s">
        <v>320</v>
      </c>
      <c r="K239" s="48" t="s">
        <v>320</v>
      </c>
      <c r="L239" s="48" t="s">
        <v>320</v>
      </c>
      <c r="M239" s="48" t="s">
        <v>320</v>
      </c>
      <c r="N239" s="48" t="s">
        <v>320</v>
      </c>
      <c r="O239" s="48" t="s">
        <v>320</v>
      </c>
      <c r="P239" s="48" t="s">
        <v>320</v>
      </c>
      <c r="Q239" s="48" t="s">
        <v>320</v>
      </c>
      <c r="R239" s="48" t="s">
        <v>320</v>
      </c>
      <c r="S239" s="48" t="s">
        <v>320</v>
      </c>
      <c r="T239" s="48" t="s">
        <v>320</v>
      </c>
      <c r="U239" s="48" t="s">
        <v>320</v>
      </c>
      <c r="V239" s="48" t="s">
        <v>320</v>
      </c>
      <c r="W239" s="48" t="s">
        <v>320</v>
      </c>
      <c r="X239" s="48" t="s">
        <v>320</v>
      </c>
      <c r="Y239" s="48" t="s">
        <v>320</v>
      </c>
      <c r="Z239" s="48" t="s">
        <v>320</v>
      </c>
      <c r="AA239" s="48" t="s">
        <v>320</v>
      </c>
      <c r="AB239" s="48" t="s">
        <v>320</v>
      </c>
      <c r="AC239" s="48" t="s">
        <v>320</v>
      </c>
      <c r="AD239" s="48" t="s">
        <v>320</v>
      </c>
      <c r="AE239" s="48" t="s">
        <v>320</v>
      </c>
      <c r="AF239" s="48" t="s">
        <v>320</v>
      </c>
      <c r="AG239" s="48" t="s">
        <v>320</v>
      </c>
      <c r="AH239" s="48" t="s">
        <v>320</v>
      </c>
      <c r="AI239" s="48">
        <v>769207</v>
      </c>
      <c r="AJ239" s="48">
        <v>769615</v>
      </c>
      <c r="AK239" s="48">
        <v>769705</v>
      </c>
      <c r="AL239" s="48">
        <v>769776</v>
      </c>
      <c r="AP239">
        <v>44.4</v>
      </c>
      <c r="AQ239">
        <v>15</v>
      </c>
      <c r="AS239">
        <v>296</v>
      </c>
    </row>
    <row r="240" spans="1:45" hidden="1" x14ac:dyDescent="0.25">
      <c r="A240">
        <v>239</v>
      </c>
      <c r="B240">
        <v>2025</v>
      </c>
      <c r="C240">
        <v>6</v>
      </c>
      <c r="D240" t="s">
        <v>152</v>
      </c>
      <c r="E240">
        <v>31</v>
      </c>
      <c r="F240">
        <v>5</v>
      </c>
      <c r="G240" t="s">
        <v>430</v>
      </c>
      <c r="H240" s="48" t="s">
        <v>377</v>
      </c>
      <c r="I240" s="48" t="s">
        <v>377</v>
      </c>
      <c r="J240" s="48" t="s">
        <v>377</v>
      </c>
      <c r="K240" s="48" t="s">
        <v>377</v>
      </c>
      <c r="L240" s="48" t="s">
        <v>377</v>
      </c>
      <c r="M240" s="48" t="s">
        <v>320</v>
      </c>
      <c r="N240" s="48" t="s">
        <v>377</v>
      </c>
      <c r="O240" s="48" t="s">
        <v>377</v>
      </c>
      <c r="P240" s="48" t="s">
        <v>377</v>
      </c>
      <c r="Q240" s="48" t="s">
        <v>377</v>
      </c>
      <c r="R240" s="48" t="s">
        <v>377</v>
      </c>
      <c r="S240" s="48" t="s">
        <v>377</v>
      </c>
      <c r="T240" s="48" t="s">
        <v>377</v>
      </c>
      <c r="U240" s="48" t="s">
        <v>377</v>
      </c>
      <c r="V240" s="48" t="s">
        <v>377</v>
      </c>
      <c r="W240" s="48" t="s">
        <v>377</v>
      </c>
      <c r="X240" s="48" t="s">
        <v>377</v>
      </c>
      <c r="Y240" s="48" t="s">
        <v>377</v>
      </c>
      <c r="Z240" s="48" t="s">
        <v>387</v>
      </c>
      <c r="AA240" s="48" t="s">
        <v>387</v>
      </c>
      <c r="AB240" s="48" t="s">
        <v>387</v>
      </c>
      <c r="AC240" s="48" t="s">
        <v>387</v>
      </c>
      <c r="AD240" s="48" t="s">
        <v>387</v>
      </c>
      <c r="AE240" s="48" t="s">
        <v>387</v>
      </c>
      <c r="AF240" s="48" t="s">
        <v>387</v>
      </c>
      <c r="AG240" s="48" t="s">
        <v>387</v>
      </c>
      <c r="AH240" s="48" t="s">
        <v>387</v>
      </c>
      <c r="AI240" s="48" t="s">
        <v>387</v>
      </c>
      <c r="AJ240" s="48" t="s">
        <v>387</v>
      </c>
      <c r="AK240" s="48" t="s">
        <v>387</v>
      </c>
      <c r="AL240" s="48" t="s">
        <v>320</v>
      </c>
    </row>
    <row r="241" spans="1:45" hidden="1" x14ac:dyDescent="0.25">
      <c r="A241">
        <v>240</v>
      </c>
      <c r="B241">
        <v>2025</v>
      </c>
      <c r="C241">
        <v>6</v>
      </c>
      <c r="D241" t="s">
        <v>152</v>
      </c>
      <c r="E241">
        <v>31</v>
      </c>
      <c r="F241">
        <v>5</v>
      </c>
      <c r="G241" t="s">
        <v>431</v>
      </c>
      <c r="H241" s="48">
        <v>0.8125</v>
      </c>
      <c r="I241" s="48">
        <v>0.8125</v>
      </c>
      <c r="J241" s="48">
        <v>0.8125</v>
      </c>
      <c r="K241" s="48">
        <v>0.8125</v>
      </c>
      <c r="L241" s="48">
        <v>0.8125</v>
      </c>
      <c r="M241" s="48" t="s">
        <v>320</v>
      </c>
      <c r="N241" s="48">
        <v>1.1458333333333333</v>
      </c>
      <c r="O241" s="48">
        <v>0.8125</v>
      </c>
      <c r="P241" s="48">
        <v>0.8125</v>
      </c>
      <c r="Q241" s="48">
        <v>0.8125</v>
      </c>
      <c r="R241" s="48">
        <v>0.8125</v>
      </c>
      <c r="S241" s="48">
        <v>0.8125</v>
      </c>
      <c r="T241" s="48">
        <v>0.8125</v>
      </c>
      <c r="U241" s="48">
        <v>0.8125</v>
      </c>
      <c r="V241" s="48">
        <v>0.8125</v>
      </c>
      <c r="W241" s="48">
        <v>0.8125</v>
      </c>
      <c r="X241" s="48">
        <v>0.8125</v>
      </c>
      <c r="Y241" s="48">
        <v>0.8125</v>
      </c>
      <c r="Z241" s="48">
        <v>0.78125</v>
      </c>
      <c r="AA241" s="48">
        <v>0.78125</v>
      </c>
      <c r="AB241" s="48">
        <v>0.78125</v>
      </c>
      <c r="AC241" s="48">
        <v>0.78125</v>
      </c>
      <c r="AD241" s="48">
        <v>0.78125</v>
      </c>
      <c r="AE241" s="48">
        <v>0.78125</v>
      </c>
      <c r="AF241" s="48">
        <v>0.78125</v>
      </c>
      <c r="AG241" s="48">
        <v>0.78125</v>
      </c>
      <c r="AH241" s="48">
        <v>0.78125</v>
      </c>
      <c r="AI241" s="48">
        <v>0.78125</v>
      </c>
      <c r="AJ241" s="48">
        <v>0.86458333333333326</v>
      </c>
      <c r="AK241" s="48">
        <v>0.86458333333333326</v>
      </c>
      <c r="AL241" s="48" t="s">
        <v>320</v>
      </c>
      <c r="AM241">
        <v>29</v>
      </c>
      <c r="AO241">
        <v>63</v>
      </c>
      <c r="AR241" s="57" t="s">
        <v>334</v>
      </c>
    </row>
    <row r="242" spans="1:45" hidden="1" x14ac:dyDescent="0.25">
      <c r="A242">
        <v>241</v>
      </c>
      <c r="B242">
        <v>2025</v>
      </c>
      <c r="C242">
        <v>6</v>
      </c>
      <c r="D242" t="s">
        <v>152</v>
      </c>
      <c r="E242">
        <v>31</v>
      </c>
      <c r="F242">
        <v>5</v>
      </c>
      <c r="G242" t="s">
        <v>432</v>
      </c>
      <c r="H242" s="48">
        <v>57651</v>
      </c>
      <c r="I242" s="48">
        <v>57801</v>
      </c>
      <c r="J242" s="48">
        <v>57953</v>
      </c>
      <c r="K242" s="48">
        <v>58104</v>
      </c>
      <c r="L242" s="48">
        <v>58254</v>
      </c>
      <c r="M242" s="48" t="s">
        <v>320</v>
      </c>
      <c r="N242" s="48">
        <v>58406</v>
      </c>
      <c r="O242" s="48">
        <v>58556</v>
      </c>
      <c r="P242" s="48">
        <v>58707</v>
      </c>
      <c r="Q242" s="48">
        <v>58857</v>
      </c>
      <c r="R242" s="48">
        <v>59008</v>
      </c>
      <c r="S242" s="48">
        <v>59158</v>
      </c>
      <c r="T242" s="48">
        <v>59309</v>
      </c>
      <c r="U242" s="48">
        <v>59459</v>
      </c>
      <c r="V242" s="48">
        <v>59606</v>
      </c>
      <c r="W242" s="48">
        <v>59752</v>
      </c>
      <c r="X242" s="48">
        <v>59902</v>
      </c>
      <c r="Y242" s="48">
        <v>60054</v>
      </c>
      <c r="Z242" s="48">
        <v>60109</v>
      </c>
      <c r="AA242" s="48">
        <v>60137</v>
      </c>
      <c r="AB242" s="48">
        <v>60164</v>
      </c>
      <c r="AC242" s="48">
        <v>60189</v>
      </c>
      <c r="AD242" s="48">
        <v>60213</v>
      </c>
      <c r="AE242" s="48">
        <v>60238</v>
      </c>
      <c r="AF242" s="48">
        <v>60248</v>
      </c>
      <c r="AG242" s="48">
        <v>60267</v>
      </c>
      <c r="AH242" s="48">
        <v>60288</v>
      </c>
      <c r="AI242" s="48">
        <v>60355</v>
      </c>
      <c r="AJ242" s="48">
        <v>42273</v>
      </c>
      <c r="AK242" s="48">
        <v>42344</v>
      </c>
      <c r="AL242" s="48" t="s">
        <v>320</v>
      </c>
    </row>
    <row r="243" spans="1:45" hidden="1" x14ac:dyDescent="0.25">
      <c r="A243">
        <v>242</v>
      </c>
      <c r="B243">
        <v>2025</v>
      </c>
      <c r="C243">
        <v>6</v>
      </c>
      <c r="D243" t="s">
        <v>152</v>
      </c>
      <c r="E243">
        <v>31</v>
      </c>
      <c r="F243">
        <v>5</v>
      </c>
      <c r="G243" t="s">
        <v>433</v>
      </c>
      <c r="H243" s="48">
        <v>57801</v>
      </c>
      <c r="I243" s="48">
        <v>57953</v>
      </c>
      <c r="J243" s="48">
        <v>58104</v>
      </c>
      <c r="K243" s="48">
        <v>58254</v>
      </c>
      <c r="L243" s="48">
        <v>58406</v>
      </c>
      <c r="M243" s="48" t="s">
        <v>320</v>
      </c>
      <c r="N243" s="48">
        <v>58556</v>
      </c>
      <c r="O243" s="48">
        <v>58707</v>
      </c>
      <c r="P243" s="48">
        <v>58857</v>
      </c>
      <c r="Q243" s="48">
        <v>59008</v>
      </c>
      <c r="R243" s="48">
        <v>59158</v>
      </c>
      <c r="S243" s="48">
        <v>59309</v>
      </c>
      <c r="T243" s="48">
        <v>59459</v>
      </c>
      <c r="U243" s="48">
        <v>59606</v>
      </c>
      <c r="V243" s="48">
        <v>59752</v>
      </c>
      <c r="W243" s="48">
        <v>59902</v>
      </c>
      <c r="X243" s="48">
        <v>60054</v>
      </c>
      <c r="Y243" s="48">
        <v>60109</v>
      </c>
      <c r="Z243" s="48">
        <v>60137</v>
      </c>
      <c r="AA243" s="48">
        <v>60164</v>
      </c>
      <c r="AB243" s="48">
        <v>60189</v>
      </c>
      <c r="AC243" s="48">
        <v>60213</v>
      </c>
      <c r="AD243" s="48">
        <v>60238</v>
      </c>
      <c r="AE243" s="48">
        <v>60248</v>
      </c>
      <c r="AF243" s="48">
        <v>60267</v>
      </c>
      <c r="AG243" s="48">
        <v>60288</v>
      </c>
      <c r="AH243" s="48">
        <v>60355</v>
      </c>
      <c r="AI243" s="48">
        <v>60450</v>
      </c>
      <c r="AJ243" s="48">
        <v>42344</v>
      </c>
      <c r="AK243" s="48">
        <v>42399</v>
      </c>
      <c r="AL243" s="48" t="s">
        <v>320</v>
      </c>
      <c r="AP243">
        <v>438.75</v>
      </c>
      <c r="AQ243">
        <v>15</v>
      </c>
      <c r="AS243">
        <v>2925</v>
      </c>
    </row>
    <row r="244" spans="1:45" hidden="1" x14ac:dyDescent="0.25">
      <c r="A244">
        <v>243</v>
      </c>
      <c r="B244">
        <v>2025</v>
      </c>
      <c r="C244">
        <v>6</v>
      </c>
      <c r="D244" t="s">
        <v>165</v>
      </c>
      <c r="E244">
        <v>31</v>
      </c>
      <c r="F244">
        <v>5</v>
      </c>
      <c r="G244" t="s">
        <v>430</v>
      </c>
      <c r="H244" s="48" t="s">
        <v>375</v>
      </c>
      <c r="I244" s="48" t="s">
        <v>375</v>
      </c>
      <c r="J244" s="48" t="s">
        <v>375</v>
      </c>
      <c r="K244" s="48" t="s">
        <v>375</v>
      </c>
      <c r="L244" s="48" t="s">
        <v>375</v>
      </c>
      <c r="M244" s="48" t="s">
        <v>320</v>
      </c>
      <c r="N244" s="48" t="s">
        <v>375</v>
      </c>
      <c r="O244" s="48" t="s">
        <v>375</v>
      </c>
      <c r="P244" s="48" t="s">
        <v>375</v>
      </c>
      <c r="Q244" s="48" t="s">
        <v>375</v>
      </c>
      <c r="R244" s="48" t="s">
        <v>375</v>
      </c>
      <c r="S244" s="48" t="s">
        <v>375</v>
      </c>
      <c r="T244" s="48" t="s">
        <v>375</v>
      </c>
      <c r="U244" s="48" t="s">
        <v>375</v>
      </c>
      <c r="V244" s="48" t="s">
        <v>375</v>
      </c>
      <c r="W244" s="48" t="s">
        <v>375</v>
      </c>
      <c r="X244" s="48" t="s">
        <v>375</v>
      </c>
      <c r="Y244" s="48" t="s">
        <v>375</v>
      </c>
      <c r="Z244" s="48" t="s">
        <v>375</v>
      </c>
      <c r="AA244" s="48" t="s">
        <v>375</v>
      </c>
      <c r="AB244" s="48" t="s">
        <v>375</v>
      </c>
      <c r="AC244" s="48" t="s">
        <v>320</v>
      </c>
      <c r="AD244" s="48" t="s">
        <v>375</v>
      </c>
      <c r="AE244" s="48" t="s">
        <v>375</v>
      </c>
      <c r="AF244" s="48" t="s">
        <v>375</v>
      </c>
      <c r="AG244" s="48" t="s">
        <v>375</v>
      </c>
      <c r="AH244" s="48" t="s">
        <v>375</v>
      </c>
      <c r="AI244" s="48" t="s">
        <v>375</v>
      </c>
      <c r="AJ244" s="48" t="s">
        <v>375</v>
      </c>
      <c r="AK244" s="48" t="s">
        <v>375</v>
      </c>
      <c r="AL244" s="48" t="s">
        <v>320</v>
      </c>
    </row>
    <row r="245" spans="1:45" hidden="1" x14ac:dyDescent="0.25">
      <c r="A245">
        <v>244</v>
      </c>
      <c r="B245">
        <v>2025</v>
      </c>
      <c r="C245">
        <v>6</v>
      </c>
      <c r="D245" t="s">
        <v>165</v>
      </c>
      <c r="E245">
        <v>31</v>
      </c>
      <c r="F245">
        <v>5</v>
      </c>
      <c r="G245" t="s">
        <v>431</v>
      </c>
      <c r="H245" s="48">
        <v>0.83333333333333326</v>
      </c>
      <c r="I245" s="48">
        <v>0.91666666666666674</v>
      </c>
      <c r="J245" s="48">
        <v>0.75</v>
      </c>
      <c r="K245" s="48">
        <v>0.83333333333333326</v>
      </c>
      <c r="L245" s="48">
        <v>0.75</v>
      </c>
      <c r="M245" s="48" t="s">
        <v>320</v>
      </c>
      <c r="N245" s="48">
        <v>0.75</v>
      </c>
      <c r="O245" s="48">
        <v>0.75</v>
      </c>
      <c r="P245" s="48">
        <v>0.91666666666666674</v>
      </c>
      <c r="Q245" s="48">
        <v>0.91666666666666674</v>
      </c>
      <c r="R245" s="48">
        <v>0.83333333333333326</v>
      </c>
      <c r="S245" s="48">
        <v>0.83333333333333326</v>
      </c>
      <c r="T245" s="48">
        <v>0.875</v>
      </c>
      <c r="U245" s="48">
        <v>0.875</v>
      </c>
      <c r="V245" s="48">
        <v>0.875</v>
      </c>
      <c r="W245" s="48">
        <v>0.91666666666666674</v>
      </c>
      <c r="X245" s="48">
        <v>0.875</v>
      </c>
      <c r="Y245" s="48">
        <v>0.875</v>
      </c>
      <c r="Z245" s="48">
        <v>0.875</v>
      </c>
      <c r="AA245" s="48">
        <v>0.83333333333333326</v>
      </c>
      <c r="AB245" s="48">
        <v>0.83333333333333326</v>
      </c>
      <c r="AC245" s="48" t="s">
        <v>320</v>
      </c>
      <c r="AD245" s="48">
        <v>0.95833333333333326</v>
      </c>
      <c r="AE245" s="48">
        <v>0.83333333333333326</v>
      </c>
      <c r="AF245" s="48">
        <v>0.91666666666666674</v>
      </c>
      <c r="AG245" s="48">
        <v>0.875</v>
      </c>
      <c r="AH245" s="48">
        <v>1</v>
      </c>
      <c r="AI245" s="48">
        <v>0.83333333333333326</v>
      </c>
      <c r="AJ245" s="48">
        <v>1</v>
      </c>
      <c r="AK245" s="48">
        <v>0.83333333333333326</v>
      </c>
      <c r="AL245" s="48" t="s">
        <v>320</v>
      </c>
      <c r="AM245">
        <v>28</v>
      </c>
      <c r="AO245">
        <v>75.999999999999986</v>
      </c>
    </row>
    <row r="246" spans="1:45" hidden="1" x14ac:dyDescent="0.25">
      <c r="A246">
        <v>245</v>
      </c>
      <c r="B246">
        <v>2025</v>
      </c>
      <c r="C246">
        <v>6</v>
      </c>
      <c r="D246" t="s">
        <v>165</v>
      </c>
      <c r="E246">
        <v>31</v>
      </c>
      <c r="F246">
        <v>5</v>
      </c>
      <c r="G246" t="s">
        <v>432</v>
      </c>
      <c r="H246" s="48">
        <v>26697</v>
      </c>
      <c r="I246" s="48">
        <v>26713</v>
      </c>
      <c r="J246" s="48">
        <v>26758</v>
      </c>
      <c r="K246" s="48">
        <v>26776</v>
      </c>
      <c r="L246" s="48">
        <v>26801</v>
      </c>
      <c r="M246" s="48" t="s">
        <v>320</v>
      </c>
      <c r="N246" s="48">
        <v>27196</v>
      </c>
      <c r="O246" s="48">
        <v>27251</v>
      </c>
      <c r="P246" s="48">
        <v>27271</v>
      </c>
      <c r="Q246" s="48">
        <v>27309</v>
      </c>
      <c r="R246" s="48">
        <v>27340</v>
      </c>
      <c r="S246" s="48">
        <v>27359</v>
      </c>
      <c r="T246" s="48">
        <v>27420</v>
      </c>
      <c r="U246" s="48">
        <v>27466</v>
      </c>
      <c r="V246" s="48">
        <v>27504</v>
      </c>
      <c r="W246" s="48">
        <v>27585</v>
      </c>
      <c r="X246" s="48">
        <v>27613</v>
      </c>
      <c r="Y246" s="48">
        <v>27650</v>
      </c>
      <c r="Z246" s="48">
        <v>27686</v>
      </c>
      <c r="AA246" s="48">
        <v>27721</v>
      </c>
      <c r="AB246" s="48">
        <v>27744</v>
      </c>
      <c r="AC246" s="48" t="s">
        <v>320</v>
      </c>
      <c r="AD246" s="48">
        <v>27777</v>
      </c>
      <c r="AE246" s="48">
        <v>27827</v>
      </c>
      <c r="AF246" s="48">
        <v>27840</v>
      </c>
      <c r="AG246" s="48">
        <v>27882</v>
      </c>
      <c r="AH246" s="48">
        <v>27929</v>
      </c>
      <c r="AI246" s="48">
        <v>27955</v>
      </c>
      <c r="AJ246" s="48">
        <v>27986</v>
      </c>
      <c r="AK246" s="48">
        <v>28027</v>
      </c>
      <c r="AL246" s="48" t="s">
        <v>320</v>
      </c>
    </row>
    <row r="247" spans="1:45" hidden="1" x14ac:dyDescent="0.25">
      <c r="A247">
        <v>246</v>
      </c>
      <c r="B247">
        <v>2025</v>
      </c>
      <c r="C247">
        <v>6</v>
      </c>
      <c r="D247" t="s">
        <v>165</v>
      </c>
      <c r="E247">
        <v>31</v>
      </c>
      <c r="F247">
        <v>5</v>
      </c>
      <c r="G247" t="s">
        <v>433</v>
      </c>
      <c r="H247" s="48">
        <v>26710</v>
      </c>
      <c r="I247" s="48">
        <v>26754</v>
      </c>
      <c r="J247" s="48">
        <v>26776</v>
      </c>
      <c r="K247" s="48">
        <v>26801</v>
      </c>
      <c r="L247" s="48">
        <v>26895</v>
      </c>
      <c r="M247" s="48" t="s">
        <v>320</v>
      </c>
      <c r="N247" s="48">
        <v>27251</v>
      </c>
      <c r="O247" s="48">
        <v>27271</v>
      </c>
      <c r="P247" s="48">
        <v>27308</v>
      </c>
      <c r="Q247" s="48">
        <v>27333</v>
      </c>
      <c r="R247" s="48">
        <v>27359</v>
      </c>
      <c r="S247" s="48">
        <v>27420</v>
      </c>
      <c r="T247" s="48">
        <v>27466</v>
      </c>
      <c r="U247" s="48">
        <v>27504</v>
      </c>
      <c r="V247" s="48">
        <v>27545</v>
      </c>
      <c r="W247" s="48">
        <v>27613</v>
      </c>
      <c r="X247" s="48">
        <v>27650</v>
      </c>
      <c r="Y247" s="48">
        <v>27686</v>
      </c>
      <c r="Z247" s="48">
        <v>27721</v>
      </c>
      <c r="AA247" s="48">
        <v>27744</v>
      </c>
      <c r="AB247" s="48">
        <v>27777</v>
      </c>
      <c r="AC247" s="48" t="s">
        <v>320</v>
      </c>
      <c r="AD247" s="48">
        <v>27827</v>
      </c>
      <c r="AE247" s="48">
        <v>27840</v>
      </c>
      <c r="AF247" s="48">
        <v>27882</v>
      </c>
      <c r="AG247" s="48">
        <v>27929</v>
      </c>
      <c r="AH247" s="48">
        <v>27955</v>
      </c>
      <c r="AI247" s="48">
        <v>27986</v>
      </c>
      <c r="AJ247" s="48">
        <v>28027</v>
      </c>
      <c r="AK247" s="48">
        <v>28054</v>
      </c>
      <c r="AL247" s="48" t="s">
        <v>320</v>
      </c>
      <c r="AP247">
        <v>150.15</v>
      </c>
      <c r="AQ247">
        <v>15</v>
      </c>
      <c r="AS247">
        <v>1001</v>
      </c>
    </row>
    <row r="248" spans="1:45" hidden="1" x14ac:dyDescent="0.25">
      <c r="A248">
        <v>247</v>
      </c>
      <c r="B248">
        <v>2025</v>
      </c>
      <c r="C248">
        <v>6</v>
      </c>
      <c r="D248" t="s">
        <v>162</v>
      </c>
      <c r="E248">
        <v>31</v>
      </c>
      <c r="F248">
        <v>5</v>
      </c>
      <c r="G248" t="s">
        <v>430</v>
      </c>
      <c r="H248" s="48" t="s">
        <v>382</v>
      </c>
      <c r="I248" s="48" t="s">
        <v>382</v>
      </c>
      <c r="J248" s="48" t="s">
        <v>382</v>
      </c>
      <c r="K248" s="48" t="s">
        <v>382</v>
      </c>
      <c r="L248" s="48" t="s">
        <v>382</v>
      </c>
      <c r="M248" s="48" t="s">
        <v>382</v>
      </c>
      <c r="N248" s="48" t="s">
        <v>320</v>
      </c>
      <c r="O248" s="48" t="s">
        <v>382</v>
      </c>
      <c r="P248" s="48" t="s">
        <v>382</v>
      </c>
      <c r="Q248" s="48" t="s">
        <v>382</v>
      </c>
      <c r="R248" s="48" t="s">
        <v>382</v>
      </c>
      <c r="S248" s="48" t="s">
        <v>382</v>
      </c>
      <c r="T248" s="48" t="s">
        <v>382</v>
      </c>
      <c r="U248" s="48" t="s">
        <v>382</v>
      </c>
      <c r="V248" s="48" t="s">
        <v>382</v>
      </c>
      <c r="W248" s="48" t="s">
        <v>382</v>
      </c>
      <c r="X248" s="48" t="s">
        <v>382</v>
      </c>
      <c r="Y248" s="48" t="s">
        <v>382</v>
      </c>
      <c r="Z248" s="48" t="s">
        <v>382</v>
      </c>
      <c r="AA248" s="48" t="s">
        <v>382</v>
      </c>
      <c r="AB248" s="48" t="s">
        <v>382</v>
      </c>
      <c r="AC248" s="48" t="s">
        <v>382</v>
      </c>
      <c r="AD248" s="48" t="s">
        <v>382</v>
      </c>
      <c r="AE248" s="48" t="s">
        <v>382</v>
      </c>
      <c r="AF248" s="48" t="s">
        <v>382</v>
      </c>
      <c r="AG248" s="48" t="s">
        <v>382</v>
      </c>
      <c r="AH248" s="48" t="s">
        <v>382</v>
      </c>
      <c r="AI248" s="48" t="s">
        <v>382</v>
      </c>
      <c r="AJ248" s="48" t="s">
        <v>382</v>
      </c>
      <c r="AK248" s="48" t="s">
        <v>382</v>
      </c>
      <c r="AL248" s="48" t="s">
        <v>320</v>
      </c>
    </row>
    <row r="249" spans="1:45" hidden="1" x14ac:dyDescent="0.25">
      <c r="A249">
        <v>248</v>
      </c>
      <c r="B249">
        <v>2025</v>
      </c>
      <c r="C249">
        <v>6</v>
      </c>
      <c r="D249" t="s">
        <v>162</v>
      </c>
      <c r="E249">
        <v>31</v>
      </c>
      <c r="F249">
        <v>5</v>
      </c>
      <c r="G249" t="s">
        <v>431</v>
      </c>
      <c r="H249" s="48">
        <v>0.79166666666666674</v>
      </c>
      <c r="I249" s="48">
        <v>0.79166666666666674</v>
      </c>
      <c r="J249" s="48">
        <v>0.79166666666666674</v>
      </c>
      <c r="K249" s="48">
        <v>0.83333333333333326</v>
      </c>
      <c r="L249" s="48">
        <v>0.79166666666666674</v>
      </c>
      <c r="M249" s="48">
        <v>1.125</v>
      </c>
      <c r="N249" s="48" t="s">
        <v>320</v>
      </c>
      <c r="O249" s="48">
        <v>1</v>
      </c>
      <c r="P249" s="48">
        <v>0.83333333333333326</v>
      </c>
      <c r="Q249" s="48">
        <v>0.79166666666666674</v>
      </c>
      <c r="R249" s="48">
        <v>0.79166666666666674</v>
      </c>
      <c r="S249" s="48">
        <v>0.79166666666666674</v>
      </c>
      <c r="T249" s="48">
        <v>0.79166666666666674</v>
      </c>
      <c r="U249" s="48">
        <v>0.79166666666666674</v>
      </c>
      <c r="V249" s="48">
        <v>0.79166666666666674</v>
      </c>
      <c r="W249" s="48">
        <v>0.79166666666666674</v>
      </c>
      <c r="X249" s="48">
        <v>0.79166666666666674</v>
      </c>
      <c r="Y249" s="48">
        <v>0.79166666666666674</v>
      </c>
      <c r="Z249" s="48">
        <v>0.79166666666666674</v>
      </c>
      <c r="AA249" s="48">
        <v>0.83333333333333326</v>
      </c>
      <c r="AB249" s="48">
        <v>0.83333333333333326</v>
      </c>
      <c r="AC249" s="48">
        <v>0.79166666666666674</v>
      </c>
      <c r="AD249" s="48">
        <v>0.79166666666666674</v>
      </c>
      <c r="AE249" s="48">
        <v>0.79166666666666674</v>
      </c>
      <c r="AF249" s="48">
        <v>0.79166666666666674</v>
      </c>
      <c r="AG249" s="48">
        <v>0.79166666666666674</v>
      </c>
      <c r="AH249" s="48">
        <v>0.83333333333333326</v>
      </c>
      <c r="AI249" s="48">
        <v>0.79166666666666674</v>
      </c>
      <c r="AJ249" s="48">
        <v>0.79166666666666674</v>
      </c>
      <c r="AK249" s="48">
        <v>0.79166666666666674</v>
      </c>
      <c r="AL249" s="48" t="s">
        <v>320</v>
      </c>
      <c r="AM249">
        <v>29</v>
      </c>
      <c r="AO249">
        <v>104.99999999999999</v>
      </c>
      <c r="AR249" s="57" t="s">
        <v>335</v>
      </c>
    </row>
    <row r="250" spans="1:45" hidden="1" x14ac:dyDescent="0.25">
      <c r="A250">
        <v>249</v>
      </c>
      <c r="B250">
        <v>2025</v>
      </c>
      <c r="C250">
        <v>6</v>
      </c>
      <c r="D250" t="s">
        <v>162</v>
      </c>
      <c r="E250">
        <v>31</v>
      </c>
      <c r="F250">
        <v>5</v>
      </c>
      <c r="G250" t="s">
        <v>432</v>
      </c>
      <c r="H250" s="48">
        <v>11497</v>
      </c>
      <c r="I250" s="48">
        <v>11780</v>
      </c>
      <c r="J250" s="48">
        <v>12095</v>
      </c>
      <c r="K250" s="48">
        <v>12358</v>
      </c>
      <c r="L250" s="48">
        <v>12637</v>
      </c>
      <c r="M250" s="48">
        <v>12895</v>
      </c>
      <c r="N250" s="48" t="s">
        <v>320</v>
      </c>
      <c r="O250" s="48">
        <v>13134</v>
      </c>
      <c r="P250" s="48">
        <v>13428</v>
      </c>
      <c r="Q250" s="48">
        <v>13692</v>
      </c>
      <c r="R250" s="48">
        <v>13935</v>
      </c>
      <c r="S250" s="48">
        <v>14186</v>
      </c>
      <c r="T250" s="48">
        <v>14431</v>
      </c>
      <c r="U250" s="48">
        <v>14658</v>
      </c>
      <c r="V250" s="48">
        <v>14907</v>
      </c>
      <c r="W250" s="48">
        <v>15168</v>
      </c>
      <c r="X250" s="48">
        <v>15416</v>
      </c>
      <c r="Y250" s="48">
        <v>15653</v>
      </c>
      <c r="Z250" s="48">
        <v>15904</v>
      </c>
      <c r="AA250" s="48">
        <v>16143</v>
      </c>
      <c r="AB250" s="48">
        <v>16382</v>
      </c>
      <c r="AC250" s="48">
        <v>16613</v>
      </c>
      <c r="AD250" s="48">
        <v>16857</v>
      </c>
      <c r="AE250" s="48">
        <v>17086</v>
      </c>
      <c r="AF250" s="48">
        <v>17280</v>
      </c>
      <c r="AG250" s="48">
        <v>17482</v>
      </c>
      <c r="AH250" s="48">
        <v>84309</v>
      </c>
      <c r="AI250" s="48">
        <v>84501</v>
      </c>
      <c r="AJ250" s="48">
        <v>84677</v>
      </c>
      <c r="AK250" s="48">
        <v>84870</v>
      </c>
      <c r="AL250" s="48" t="s">
        <v>320</v>
      </c>
    </row>
    <row r="251" spans="1:45" hidden="1" x14ac:dyDescent="0.25">
      <c r="A251">
        <v>250</v>
      </c>
      <c r="B251">
        <v>2025</v>
      </c>
      <c r="C251">
        <v>6</v>
      </c>
      <c r="D251" t="s">
        <v>162</v>
      </c>
      <c r="E251">
        <v>31</v>
      </c>
      <c r="F251">
        <v>5</v>
      </c>
      <c r="G251" t="s">
        <v>433</v>
      </c>
      <c r="H251" s="48">
        <v>11780</v>
      </c>
      <c r="I251" s="48">
        <v>12095</v>
      </c>
      <c r="J251" s="48">
        <v>12358</v>
      </c>
      <c r="K251" s="48">
        <v>12637</v>
      </c>
      <c r="L251" s="48">
        <v>12895</v>
      </c>
      <c r="M251" s="48">
        <v>13134</v>
      </c>
      <c r="N251" s="48" t="s">
        <v>320</v>
      </c>
      <c r="O251" s="48">
        <v>13428</v>
      </c>
      <c r="P251" s="48">
        <v>13692</v>
      </c>
      <c r="Q251" s="48">
        <v>13935</v>
      </c>
      <c r="R251" s="48">
        <v>14186</v>
      </c>
      <c r="S251" s="48">
        <v>14431</v>
      </c>
      <c r="T251" s="48">
        <v>14685</v>
      </c>
      <c r="U251" s="48">
        <v>14907</v>
      </c>
      <c r="V251" s="48">
        <v>15168</v>
      </c>
      <c r="W251" s="48">
        <v>15416</v>
      </c>
      <c r="X251" s="48">
        <v>15653</v>
      </c>
      <c r="Y251" s="48">
        <v>15904</v>
      </c>
      <c r="Z251" s="48">
        <v>16143</v>
      </c>
      <c r="AA251" s="48">
        <v>16382</v>
      </c>
      <c r="AB251" s="48">
        <v>16613</v>
      </c>
      <c r="AC251" s="48">
        <v>16857</v>
      </c>
      <c r="AD251" s="48">
        <v>17086</v>
      </c>
      <c r="AE251" s="48">
        <v>17280</v>
      </c>
      <c r="AF251" s="48">
        <v>17482</v>
      </c>
      <c r="AG251" s="48">
        <v>17695</v>
      </c>
      <c r="AH251" s="48">
        <v>84501</v>
      </c>
      <c r="AI251" s="48">
        <v>84677</v>
      </c>
      <c r="AJ251" s="48">
        <v>84870</v>
      </c>
      <c r="AK251" s="48">
        <v>85049</v>
      </c>
      <c r="AL251" s="48" t="s">
        <v>320</v>
      </c>
      <c r="AP251">
        <v>1044.7499999999998</v>
      </c>
      <c r="AQ251">
        <v>14.999999999999998</v>
      </c>
      <c r="AS251">
        <v>6965</v>
      </c>
    </row>
    <row r="252" spans="1:45" hidden="1" x14ac:dyDescent="0.25">
      <c r="A252">
        <v>251</v>
      </c>
      <c r="B252">
        <v>2025</v>
      </c>
      <c r="C252">
        <v>6</v>
      </c>
      <c r="D252" t="s">
        <v>150</v>
      </c>
      <c r="E252">
        <v>31</v>
      </c>
      <c r="F252">
        <v>5</v>
      </c>
      <c r="G252" t="s">
        <v>430</v>
      </c>
      <c r="H252" s="48" t="s">
        <v>375</v>
      </c>
      <c r="I252" s="48" t="s">
        <v>375</v>
      </c>
      <c r="J252" s="48" t="s">
        <v>375</v>
      </c>
      <c r="K252" s="48" t="s">
        <v>375</v>
      </c>
      <c r="L252" s="48" t="s">
        <v>375</v>
      </c>
      <c r="M252" s="48" t="s">
        <v>320</v>
      </c>
      <c r="N252" s="48" t="s">
        <v>320</v>
      </c>
      <c r="O252" s="48" t="s">
        <v>375</v>
      </c>
      <c r="P252" s="48" t="s">
        <v>375</v>
      </c>
      <c r="Q252" s="48" t="s">
        <v>375</v>
      </c>
      <c r="R252" s="48" t="s">
        <v>375</v>
      </c>
      <c r="S252" s="48" t="s">
        <v>375</v>
      </c>
      <c r="T252" s="48" t="s">
        <v>375</v>
      </c>
      <c r="U252" s="48" t="s">
        <v>375</v>
      </c>
      <c r="V252" s="48" t="s">
        <v>375</v>
      </c>
      <c r="W252" s="48" t="s">
        <v>375</v>
      </c>
      <c r="X252" s="48" t="s">
        <v>375</v>
      </c>
      <c r="Y252" s="48" t="s">
        <v>375</v>
      </c>
      <c r="Z252" s="48" t="s">
        <v>377</v>
      </c>
      <c r="AA252" s="48" t="s">
        <v>377</v>
      </c>
      <c r="AB252" s="48" t="s">
        <v>377</v>
      </c>
      <c r="AC252" s="48" t="s">
        <v>377</v>
      </c>
      <c r="AD252" s="48" t="s">
        <v>377</v>
      </c>
      <c r="AE252" s="48" t="s">
        <v>377</v>
      </c>
      <c r="AF252" s="48" t="s">
        <v>377</v>
      </c>
      <c r="AG252" s="48" t="s">
        <v>377</v>
      </c>
      <c r="AH252" s="48" t="s">
        <v>377</v>
      </c>
      <c r="AI252" s="48" t="s">
        <v>377</v>
      </c>
      <c r="AJ252" s="48" t="s">
        <v>377</v>
      </c>
      <c r="AK252" s="48" t="s">
        <v>377</v>
      </c>
      <c r="AL252" s="48" t="s">
        <v>320</v>
      </c>
    </row>
    <row r="253" spans="1:45" hidden="1" x14ac:dyDescent="0.25">
      <c r="A253">
        <v>252</v>
      </c>
      <c r="B253">
        <v>2025</v>
      </c>
      <c r="C253">
        <v>6</v>
      </c>
      <c r="D253" t="s">
        <v>150</v>
      </c>
      <c r="E253">
        <v>31</v>
      </c>
      <c r="F253">
        <v>5</v>
      </c>
      <c r="G253" t="s">
        <v>431</v>
      </c>
      <c r="H253" s="48">
        <v>0.75</v>
      </c>
      <c r="I253" s="48">
        <v>0.75</v>
      </c>
      <c r="J253" s="48">
        <v>0.75</v>
      </c>
      <c r="K253" s="48">
        <v>0.79166666666666674</v>
      </c>
      <c r="L253" s="48">
        <v>0.75</v>
      </c>
      <c r="M253" s="48" t="s">
        <v>320</v>
      </c>
      <c r="N253" s="48" t="s">
        <v>320</v>
      </c>
      <c r="O253" s="48">
        <v>0.75</v>
      </c>
      <c r="P253" s="48">
        <v>0.75</v>
      </c>
      <c r="Q253" s="48">
        <v>0.91666666666666674</v>
      </c>
      <c r="R253" s="48">
        <v>0.83333333333333326</v>
      </c>
      <c r="S253" s="48">
        <v>0.75</v>
      </c>
      <c r="T253" s="48">
        <v>0.75</v>
      </c>
      <c r="U253" s="48">
        <v>0.75</v>
      </c>
      <c r="V253" s="48">
        <v>0.875</v>
      </c>
      <c r="W253" s="48">
        <v>0.75</v>
      </c>
      <c r="X253" s="48">
        <v>0.75</v>
      </c>
      <c r="Y253" s="48">
        <v>0.79166666666666674</v>
      </c>
      <c r="Z253" s="48">
        <v>0.8125</v>
      </c>
      <c r="AA253" s="48">
        <v>0.8125</v>
      </c>
      <c r="AB253" s="48">
        <v>0.8125</v>
      </c>
      <c r="AC253" s="48">
        <v>0.8125</v>
      </c>
      <c r="AD253" s="48">
        <v>0.8125</v>
      </c>
      <c r="AE253" s="48">
        <v>0.8125</v>
      </c>
      <c r="AF253" s="48">
        <v>0.8125</v>
      </c>
      <c r="AG253" s="48">
        <v>0.8125</v>
      </c>
      <c r="AH253" s="48">
        <v>0.8125</v>
      </c>
      <c r="AI253" s="48">
        <v>0.8125</v>
      </c>
      <c r="AJ253" s="48">
        <v>0.8125</v>
      </c>
      <c r="AK253" s="48">
        <v>0.72916666666666663</v>
      </c>
      <c r="AL253" s="48" t="s">
        <v>320</v>
      </c>
      <c r="AM253">
        <v>28</v>
      </c>
      <c r="AO253">
        <v>44.999999999999993</v>
      </c>
    </row>
    <row r="254" spans="1:45" hidden="1" x14ac:dyDescent="0.25">
      <c r="A254">
        <v>253</v>
      </c>
      <c r="B254">
        <v>2025</v>
      </c>
      <c r="C254">
        <v>6</v>
      </c>
      <c r="D254" t="s">
        <v>150</v>
      </c>
      <c r="E254">
        <v>31</v>
      </c>
      <c r="F254">
        <v>5</v>
      </c>
      <c r="G254" t="s">
        <v>432</v>
      </c>
      <c r="H254" s="48">
        <v>769836</v>
      </c>
      <c r="I254" s="48">
        <v>770031</v>
      </c>
      <c r="J254" s="48">
        <v>770073</v>
      </c>
      <c r="K254" s="48">
        <v>770145</v>
      </c>
      <c r="L254" s="48">
        <v>770185</v>
      </c>
      <c r="M254" s="48" t="s">
        <v>320</v>
      </c>
      <c r="N254" s="48" t="s">
        <v>320</v>
      </c>
      <c r="O254" s="48">
        <v>770880</v>
      </c>
      <c r="P254" s="48">
        <v>771037</v>
      </c>
      <c r="Q254" s="48">
        <v>771125</v>
      </c>
      <c r="R254" s="48">
        <v>771205</v>
      </c>
      <c r="S254" s="48">
        <v>771261</v>
      </c>
      <c r="T254" s="48">
        <v>771376</v>
      </c>
      <c r="U254" s="48">
        <v>771426</v>
      </c>
      <c r="V254" s="48">
        <v>771485</v>
      </c>
      <c r="W254" s="48">
        <v>771582</v>
      </c>
      <c r="X254" s="48">
        <v>771686</v>
      </c>
      <c r="Y254" s="48">
        <v>771917</v>
      </c>
      <c r="Z254" s="48">
        <v>772093</v>
      </c>
      <c r="AA254" s="48">
        <v>772240</v>
      </c>
      <c r="AB254" s="48">
        <v>772458</v>
      </c>
      <c r="AC254" s="48">
        <v>772721</v>
      </c>
      <c r="AD254" s="48">
        <v>772917</v>
      </c>
      <c r="AE254" s="48">
        <v>773150</v>
      </c>
      <c r="AF254" s="48">
        <v>773363</v>
      </c>
      <c r="AG254" s="48">
        <v>773598</v>
      </c>
      <c r="AH254" s="48">
        <v>773888</v>
      </c>
      <c r="AI254" s="48">
        <v>774074</v>
      </c>
      <c r="AJ254" s="48">
        <v>774562</v>
      </c>
      <c r="AK254" s="48">
        <v>774742</v>
      </c>
      <c r="AL254" s="48" t="s">
        <v>320</v>
      </c>
    </row>
    <row r="255" spans="1:45" hidden="1" x14ac:dyDescent="0.25">
      <c r="A255">
        <v>254</v>
      </c>
      <c r="B255">
        <v>2025</v>
      </c>
      <c r="C255">
        <v>6</v>
      </c>
      <c r="D255" t="s">
        <v>150</v>
      </c>
      <c r="E255">
        <v>31</v>
      </c>
      <c r="F255">
        <v>5</v>
      </c>
      <c r="G255" t="s">
        <v>433</v>
      </c>
      <c r="H255" s="48">
        <v>770031</v>
      </c>
      <c r="I255" s="48">
        <v>770073</v>
      </c>
      <c r="J255" s="48">
        <v>770144</v>
      </c>
      <c r="K255" s="48">
        <v>770185</v>
      </c>
      <c r="L255" s="48">
        <v>770284</v>
      </c>
      <c r="M255" s="48" t="s">
        <v>320</v>
      </c>
      <c r="N255" s="48" t="s">
        <v>320</v>
      </c>
      <c r="O255" s="48">
        <v>770916</v>
      </c>
      <c r="P255" s="48">
        <v>771125</v>
      </c>
      <c r="Q255" s="48">
        <v>771205</v>
      </c>
      <c r="R255" s="48">
        <v>771261</v>
      </c>
      <c r="S255" s="48">
        <v>771376</v>
      </c>
      <c r="T255" s="48">
        <v>771426</v>
      </c>
      <c r="U255" s="48">
        <v>771485</v>
      </c>
      <c r="V255" s="48">
        <v>771582</v>
      </c>
      <c r="W255" s="48">
        <v>771686</v>
      </c>
      <c r="X255" s="48">
        <v>771817</v>
      </c>
      <c r="Y255" s="48">
        <v>772093</v>
      </c>
      <c r="Z255" s="48">
        <v>772240</v>
      </c>
      <c r="AA255" s="48">
        <v>772418</v>
      </c>
      <c r="AB255" s="48">
        <v>772651</v>
      </c>
      <c r="AC255" s="48">
        <v>772917</v>
      </c>
      <c r="AD255" s="48">
        <v>773104</v>
      </c>
      <c r="AE255" s="48">
        <v>773333</v>
      </c>
      <c r="AF255" s="48">
        <v>773558</v>
      </c>
      <c r="AG255" s="48">
        <v>773787</v>
      </c>
      <c r="AH255" s="48">
        <v>774074</v>
      </c>
      <c r="AI255" s="48">
        <v>774262</v>
      </c>
      <c r="AJ255" s="48">
        <v>774742</v>
      </c>
      <c r="AK255" s="48">
        <v>774895</v>
      </c>
      <c r="AL255" s="48" t="s">
        <v>320</v>
      </c>
      <c r="AP255">
        <v>1084.2</v>
      </c>
      <c r="AQ255">
        <v>15</v>
      </c>
      <c r="AS255">
        <v>3614</v>
      </c>
    </row>
    <row r="256" spans="1:45" hidden="1" x14ac:dyDescent="0.25">
      <c r="A256">
        <v>255</v>
      </c>
      <c r="B256">
        <v>2025</v>
      </c>
      <c r="C256">
        <v>6</v>
      </c>
      <c r="D256" t="s">
        <v>161</v>
      </c>
      <c r="E256">
        <v>31</v>
      </c>
      <c r="F256">
        <v>5</v>
      </c>
      <c r="G256" t="s">
        <v>430</v>
      </c>
      <c r="H256" s="48" t="s">
        <v>375</v>
      </c>
      <c r="I256" s="48" t="s">
        <v>375</v>
      </c>
      <c r="J256" s="48" t="s">
        <v>375</v>
      </c>
      <c r="K256" s="48" t="s">
        <v>375</v>
      </c>
      <c r="L256" s="48" t="s">
        <v>375</v>
      </c>
      <c r="M256" s="48" t="s">
        <v>320</v>
      </c>
      <c r="N256" s="48" t="s">
        <v>320</v>
      </c>
      <c r="O256" s="48" t="s">
        <v>375</v>
      </c>
      <c r="P256" s="48" t="s">
        <v>375</v>
      </c>
      <c r="Q256" s="48" t="s">
        <v>375</v>
      </c>
      <c r="R256" s="48" t="s">
        <v>375</v>
      </c>
      <c r="S256" s="48" t="s">
        <v>375</v>
      </c>
      <c r="T256" s="48" t="s">
        <v>375</v>
      </c>
      <c r="U256" s="48" t="s">
        <v>375</v>
      </c>
      <c r="V256" s="48" t="s">
        <v>375</v>
      </c>
      <c r="W256" s="48" t="s">
        <v>375</v>
      </c>
      <c r="X256" s="48" t="s">
        <v>375</v>
      </c>
      <c r="Y256" s="48" t="s">
        <v>375</v>
      </c>
      <c r="Z256" s="48" t="s">
        <v>375</v>
      </c>
      <c r="AA256" s="48" t="s">
        <v>375</v>
      </c>
      <c r="AB256" s="48" t="s">
        <v>375</v>
      </c>
      <c r="AC256" s="48" t="s">
        <v>320</v>
      </c>
      <c r="AD256" s="48" t="s">
        <v>375</v>
      </c>
      <c r="AE256" s="48" t="s">
        <v>375</v>
      </c>
      <c r="AF256" s="48" t="s">
        <v>375</v>
      </c>
      <c r="AG256" s="48" t="s">
        <v>375</v>
      </c>
      <c r="AH256" s="48" t="s">
        <v>375</v>
      </c>
      <c r="AI256" s="48" t="s">
        <v>375</v>
      </c>
      <c r="AJ256" s="48" t="s">
        <v>375</v>
      </c>
      <c r="AK256" s="48" t="s">
        <v>375</v>
      </c>
      <c r="AL256" s="48" t="s">
        <v>320</v>
      </c>
    </row>
    <row r="257" spans="1:45" hidden="1" x14ac:dyDescent="0.25">
      <c r="A257">
        <v>256</v>
      </c>
      <c r="B257">
        <v>2025</v>
      </c>
      <c r="C257">
        <v>6</v>
      </c>
      <c r="D257" t="s">
        <v>161</v>
      </c>
      <c r="E257">
        <v>31</v>
      </c>
      <c r="F257">
        <v>5</v>
      </c>
      <c r="G257" t="s">
        <v>431</v>
      </c>
      <c r="H257" s="48" t="s">
        <v>388</v>
      </c>
      <c r="I257" s="48" t="s">
        <v>388</v>
      </c>
      <c r="J257" s="48" t="s">
        <v>376</v>
      </c>
      <c r="K257" s="48" t="s">
        <v>388</v>
      </c>
      <c r="L257" s="48" t="s">
        <v>376</v>
      </c>
      <c r="M257" s="48" t="s">
        <v>320</v>
      </c>
      <c r="N257" s="48" t="s">
        <v>320</v>
      </c>
      <c r="O257" s="48" t="s">
        <v>388</v>
      </c>
      <c r="P257" s="48" t="s">
        <v>389</v>
      </c>
      <c r="Q257" s="48" t="s">
        <v>376</v>
      </c>
      <c r="R257" s="48" t="s">
        <v>390</v>
      </c>
      <c r="S257" s="48" t="s">
        <v>388</v>
      </c>
      <c r="T257" s="48" t="s">
        <v>388</v>
      </c>
      <c r="U257" s="48" t="s">
        <v>388</v>
      </c>
      <c r="V257" s="48" t="s">
        <v>389</v>
      </c>
      <c r="W257" s="48" t="s">
        <v>376</v>
      </c>
      <c r="X257" s="48" t="s">
        <v>390</v>
      </c>
      <c r="Y257" s="48" t="s">
        <v>388</v>
      </c>
      <c r="Z257" s="48" t="s">
        <v>388</v>
      </c>
      <c r="AA257" s="48" t="s">
        <v>389</v>
      </c>
      <c r="AB257" s="48" t="s">
        <v>376</v>
      </c>
      <c r="AC257" s="48" t="s">
        <v>320</v>
      </c>
      <c r="AD257" s="48" t="s">
        <v>389</v>
      </c>
      <c r="AE257" s="48" t="s">
        <v>390</v>
      </c>
      <c r="AF257" s="48" t="s">
        <v>388</v>
      </c>
      <c r="AG257" s="48" t="s">
        <v>390</v>
      </c>
      <c r="AH257" s="48" t="s">
        <v>388</v>
      </c>
      <c r="AI257" s="48" t="s">
        <v>388</v>
      </c>
      <c r="AJ257" s="48" t="s">
        <v>389</v>
      </c>
      <c r="AK257" s="48" t="s">
        <v>389</v>
      </c>
      <c r="AL257" s="48" t="s">
        <v>320</v>
      </c>
      <c r="AM257">
        <v>27</v>
      </c>
      <c r="AO257">
        <v>35.999999999999986</v>
      </c>
    </row>
    <row r="258" spans="1:45" hidden="1" x14ac:dyDescent="0.25">
      <c r="A258">
        <v>257</v>
      </c>
      <c r="B258">
        <v>2025</v>
      </c>
      <c r="C258">
        <v>6</v>
      </c>
      <c r="D258" t="s">
        <v>161</v>
      </c>
      <c r="E258">
        <v>31</v>
      </c>
      <c r="F258">
        <v>5</v>
      </c>
      <c r="G258" t="s">
        <v>432</v>
      </c>
      <c r="H258" s="48">
        <v>811432</v>
      </c>
      <c r="I258" s="48">
        <v>811504</v>
      </c>
      <c r="J258" s="48">
        <v>811588</v>
      </c>
      <c r="K258" s="48">
        <v>811675</v>
      </c>
      <c r="L258" s="48">
        <v>811894</v>
      </c>
      <c r="M258" s="48" t="s">
        <v>320</v>
      </c>
      <c r="N258" s="48" t="s">
        <v>320</v>
      </c>
      <c r="O258" s="48">
        <v>812029</v>
      </c>
      <c r="P258" s="48">
        <v>812094</v>
      </c>
      <c r="Q258" s="48">
        <v>812165</v>
      </c>
      <c r="R258" s="48">
        <v>812248</v>
      </c>
      <c r="S258" s="48">
        <v>812317</v>
      </c>
      <c r="T258" s="48">
        <v>812395</v>
      </c>
      <c r="U258" s="48">
        <v>812552</v>
      </c>
      <c r="V258" s="48">
        <v>812633</v>
      </c>
      <c r="W258" s="48">
        <v>812678</v>
      </c>
      <c r="X258" s="48">
        <v>812729</v>
      </c>
      <c r="Y258" s="48">
        <v>812864</v>
      </c>
      <c r="Z258" s="48">
        <v>812923</v>
      </c>
      <c r="AA258" s="48">
        <v>812983</v>
      </c>
      <c r="AB258" s="48">
        <v>813035</v>
      </c>
      <c r="AC258" s="48" t="s">
        <v>320</v>
      </c>
      <c r="AD258" s="48">
        <v>813221</v>
      </c>
      <c r="AE258" s="48">
        <v>813305</v>
      </c>
      <c r="AF258" s="48">
        <v>813398</v>
      </c>
      <c r="AG258" s="48">
        <v>813476</v>
      </c>
      <c r="AH258" s="48">
        <v>813551</v>
      </c>
      <c r="AI258" s="48">
        <v>813667</v>
      </c>
      <c r="AJ258" s="48">
        <v>813754</v>
      </c>
      <c r="AK258" s="48">
        <v>813885</v>
      </c>
      <c r="AL258" s="48" t="s">
        <v>320</v>
      </c>
    </row>
    <row r="259" spans="1:45" hidden="1" x14ac:dyDescent="0.25">
      <c r="A259">
        <v>258</v>
      </c>
      <c r="B259">
        <v>2025</v>
      </c>
      <c r="C259">
        <v>6</v>
      </c>
      <c r="D259" t="s">
        <v>161</v>
      </c>
      <c r="E259">
        <v>31</v>
      </c>
      <c r="F259">
        <v>5</v>
      </c>
      <c r="G259" t="s">
        <v>433</v>
      </c>
      <c r="H259" s="48">
        <v>811504</v>
      </c>
      <c r="I259" s="48">
        <v>811588</v>
      </c>
      <c r="J259" s="48">
        <v>811675</v>
      </c>
      <c r="K259" s="48">
        <v>811894</v>
      </c>
      <c r="L259" s="48">
        <v>811982</v>
      </c>
      <c r="M259" s="48" t="s">
        <v>320</v>
      </c>
      <c r="N259" s="48" t="s">
        <v>320</v>
      </c>
      <c r="O259" s="48">
        <v>812094</v>
      </c>
      <c r="P259" s="48">
        <v>812165</v>
      </c>
      <c r="Q259" s="48">
        <v>812248</v>
      </c>
      <c r="R259" s="48">
        <v>812317</v>
      </c>
      <c r="S259" s="48">
        <v>812395</v>
      </c>
      <c r="T259" s="48">
        <v>812552</v>
      </c>
      <c r="U259" s="48">
        <v>812633</v>
      </c>
      <c r="V259" s="48">
        <v>812678</v>
      </c>
      <c r="W259" s="48">
        <v>812729</v>
      </c>
      <c r="X259" s="48">
        <v>812864</v>
      </c>
      <c r="Y259" s="48">
        <v>812923</v>
      </c>
      <c r="Z259" s="48">
        <v>812983</v>
      </c>
      <c r="AA259" s="48">
        <v>813035</v>
      </c>
      <c r="AB259" s="48">
        <v>813126</v>
      </c>
      <c r="AC259" s="48" t="s">
        <v>320</v>
      </c>
      <c r="AD259" s="48">
        <v>813305</v>
      </c>
      <c r="AE259" s="48">
        <v>813398</v>
      </c>
      <c r="AF259" s="48">
        <v>813476</v>
      </c>
      <c r="AG259" s="48">
        <v>813551</v>
      </c>
      <c r="AH259" s="48">
        <v>813667</v>
      </c>
      <c r="AI259" s="48">
        <v>813754</v>
      </c>
      <c r="AJ259" s="48">
        <v>813885</v>
      </c>
      <c r="AK259" s="48">
        <v>813922</v>
      </c>
      <c r="AL259" s="48" t="s">
        <v>320</v>
      </c>
      <c r="AP259">
        <v>352.2</v>
      </c>
      <c r="AQ259">
        <v>15</v>
      </c>
      <c r="AS259">
        <v>2348</v>
      </c>
    </row>
    <row r="260" spans="1:45" hidden="1" x14ac:dyDescent="0.25">
      <c r="A260">
        <v>259</v>
      </c>
      <c r="B260">
        <v>2025</v>
      </c>
      <c r="C260">
        <v>6</v>
      </c>
      <c r="D260" t="s">
        <v>157</v>
      </c>
      <c r="E260">
        <v>31</v>
      </c>
      <c r="F260">
        <v>5</v>
      </c>
      <c r="G260" t="s">
        <v>430</v>
      </c>
      <c r="H260" s="48">
        <v>0.29166666666666669</v>
      </c>
      <c r="I260" s="48">
        <v>0.29166666666666669</v>
      </c>
      <c r="J260" s="48">
        <v>0.29166666666666669</v>
      </c>
      <c r="K260" s="48">
        <v>0.29166666666666669</v>
      </c>
      <c r="L260" s="48">
        <v>0.29166666666666669</v>
      </c>
      <c r="M260" s="48">
        <v>0.29166666666666669</v>
      </c>
      <c r="N260" s="48">
        <v>0.29166666666666669</v>
      </c>
      <c r="O260" s="48">
        <v>0.29166666666666669</v>
      </c>
      <c r="P260" s="48">
        <v>0.29166666666666669</v>
      </c>
      <c r="Q260" s="48">
        <v>0.29166666666666669</v>
      </c>
      <c r="R260" s="48">
        <v>0.29166666666666669</v>
      </c>
      <c r="S260" s="48">
        <v>0.29166666666666669</v>
      </c>
      <c r="T260" s="48">
        <v>0.29166666666666669</v>
      </c>
      <c r="U260" s="48">
        <v>0.29166666666666669</v>
      </c>
      <c r="V260" s="48">
        <v>0.29166666666666669</v>
      </c>
      <c r="W260" s="48">
        <v>0.29166666666666669</v>
      </c>
      <c r="X260" s="48">
        <v>0.29166666666666669</v>
      </c>
      <c r="Y260" s="48">
        <v>0.29166666666666669</v>
      </c>
      <c r="Z260" s="48">
        <v>0.29166666666666669</v>
      </c>
      <c r="AA260" s="48">
        <v>0.29166666666666669</v>
      </c>
      <c r="AB260" s="48">
        <v>0.29166666666666669</v>
      </c>
      <c r="AC260" s="48">
        <v>0.29166666666666669</v>
      </c>
      <c r="AD260" s="48">
        <v>0.29166666666666669</v>
      </c>
      <c r="AE260" s="48">
        <v>0.29166666666666669</v>
      </c>
      <c r="AF260" s="48">
        <v>0.29166666666666669</v>
      </c>
      <c r="AG260" s="48">
        <v>0.29166666666666669</v>
      </c>
      <c r="AH260" s="48">
        <v>0.29166666666666669</v>
      </c>
      <c r="AI260" s="48">
        <v>0.29166666666666669</v>
      </c>
      <c r="AJ260" s="48">
        <v>0.29166666666666669</v>
      </c>
      <c r="AK260" s="48">
        <v>0.29166666666666669</v>
      </c>
      <c r="AL260" s="48" t="s">
        <v>320</v>
      </c>
    </row>
    <row r="261" spans="1:45" hidden="1" x14ac:dyDescent="0.25">
      <c r="A261">
        <v>260</v>
      </c>
      <c r="B261">
        <v>2025</v>
      </c>
      <c r="C261">
        <v>6</v>
      </c>
      <c r="D261" t="s">
        <v>157</v>
      </c>
      <c r="E261">
        <v>31</v>
      </c>
      <c r="F261">
        <v>5</v>
      </c>
      <c r="G261" t="s">
        <v>431</v>
      </c>
      <c r="H261" s="48">
        <v>0.75</v>
      </c>
      <c r="I261" s="48">
        <v>0.75</v>
      </c>
      <c r="J261" s="48">
        <v>0.75</v>
      </c>
      <c r="K261" s="48">
        <v>0.75</v>
      </c>
      <c r="L261" s="48">
        <v>0.75</v>
      </c>
      <c r="M261" s="48">
        <v>0.75</v>
      </c>
      <c r="N261" s="48">
        <v>0.75</v>
      </c>
      <c r="O261" s="48">
        <v>0.75</v>
      </c>
      <c r="P261" s="48">
        <v>0.75</v>
      </c>
      <c r="Q261" s="48">
        <v>0.75</v>
      </c>
      <c r="R261" s="48">
        <v>0.75</v>
      </c>
      <c r="S261" s="48">
        <v>0.75</v>
      </c>
      <c r="T261" s="48">
        <v>0.75</v>
      </c>
      <c r="U261" s="48">
        <v>0.75</v>
      </c>
      <c r="V261" s="48">
        <v>0.75</v>
      </c>
      <c r="W261" s="48">
        <v>0.75</v>
      </c>
      <c r="X261" s="48">
        <v>0.75</v>
      </c>
      <c r="Y261" s="48">
        <v>0.75</v>
      </c>
      <c r="Z261" s="48">
        <v>0.75</v>
      </c>
      <c r="AA261" s="48">
        <v>0.75</v>
      </c>
      <c r="AB261" s="48">
        <v>0.75</v>
      </c>
      <c r="AC261" s="48">
        <v>0.75</v>
      </c>
      <c r="AD261" s="48">
        <v>0.75</v>
      </c>
      <c r="AE261" s="48">
        <v>0.75</v>
      </c>
      <c r="AF261" s="48">
        <v>0.75</v>
      </c>
      <c r="AG261" s="48">
        <v>0.75</v>
      </c>
      <c r="AH261" s="48">
        <v>0.75</v>
      </c>
      <c r="AI261" s="48">
        <v>0.75</v>
      </c>
      <c r="AJ261" s="48">
        <v>0.75</v>
      </c>
      <c r="AK261" s="48">
        <v>0.75</v>
      </c>
      <c r="AL261" s="48" t="s">
        <v>320</v>
      </c>
      <c r="AM261">
        <v>30</v>
      </c>
    </row>
    <row r="262" spans="1:45" hidden="1" x14ac:dyDescent="0.25">
      <c r="A262">
        <v>261</v>
      </c>
      <c r="B262">
        <v>2025</v>
      </c>
      <c r="C262">
        <v>6</v>
      </c>
      <c r="D262" t="s">
        <v>151</v>
      </c>
      <c r="E262">
        <v>31</v>
      </c>
      <c r="F262">
        <v>5</v>
      </c>
      <c r="G262" t="s">
        <v>430</v>
      </c>
      <c r="H262" s="48" t="s">
        <v>320</v>
      </c>
      <c r="I262" s="48" t="s">
        <v>320</v>
      </c>
      <c r="J262" s="48" t="s">
        <v>320</v>
      </c>
      <c r="K262" s="48" t="s">
        <v>320</v>
      </c>
      <c r="L262" s="48" t="s">
        <v>320</v>
      </c>
      <c r="M262" s="48" t="s">
        <v>320</v>
      </c>
      <c r="N262" s="48" t="s">
        <v>320</v>
      </c>
      <c r="O262" s="48" t="s">
        <v>320</v>
      </c>
      <c r="P262" s="48" t="s">
        <v>320</v>
      </c>
      <c r="Q262" s="48" t="s">
        <v>320</v>
      </c>
      <c r="R262" s="48" t="s">
        <v>320</v>
      </c>
      <c r="S262" s="48" t="s">
        <v>320</v>
      </c>
      <c r="T262" s="48" t="s">
        <v>375</v>
      </c>
      <c r="U262" s="48" t="s">
        <v>375</v>
      </c>
      <c r="V262" s="48" t="s">
        <v>375</v>
      </c>
      <c r="W262" s="48" t="s">
        <v>375</v>
      </c>
      <c r="X262" s="48" t="s">
        <v>375</v>
      </c>
      <c r="Y262" s="48" t="s">
        <v>375</v>
      </c>
      <c r="Z262" s="48" t="s">
        <v>375</v>
      </c>
      <c r="AA262" s="48" t="s">
        <v>375</v>
      </c>
      <c r="AB262" s="48" t="s">
        <v>375</v>
      </c>
      <c r="AC262" s="48" t="s">
        <v>375</v>
      </c>
      <c r="AD262" s="48" t="s">
        <v>375</v>
      </c>
      <c r="AE262" s="48" t="s">
        <v>375</v>
      </c>
      <c r="AF262" s="48" t="s">
        <v>375</v>
      </c>
      <c r="AG262" s="48" t="s">
        <v>375</v>
      </c>
      <c r="AH262" s="48" t="s">
        <v>375</v>
      </c>
      <c r="AI262" s="48" t="s">
        <v>375</v>
      </c>
      <c r="AJ262" s="48" t="s">
        <v>375</v>
      </c>
      <c r="AK262" s="48" t="s">
        <v>375</v>
      </c>
      <c r="AL262" s="48" t="s">
        <v>320</v>
      </c>
    </row>
    <row r="263" spans="1:45" hidden="1" x14ac:dyDescent="0.25">
      <c r="A263">
        <v>262</v>
      </c>
      <c r="B263">
        <v>2025</v>
      </c>
      <c r="C263">
        <v>6</v>
      </c>
      <c r="D263" t="s">
        <v>151</v>
      </c>
      <c r="E263">
        <v>31</v>
      </c>
      <c r="F263">
        <v>5</v>
      </c>
      <c r="G263" t="s">
        <v>431</v>
      </c>
      <c r="H263" s="48" t="s">
        <v>320</v>
      </c>
      <c r="I263" s="48" t="s">
        <v>320</v>
      </c>
      <c r="J263" s="48" t="s">
        <v>320</v>
      </c>
      <c r="K263" s="48" t="s">
        <v>320</v>
      </c>
      <c r="L263" s="48" t="s">
        <v>320</v>
      </c>
      <c r="M263" s="48" t="s">
        <v>320</v>
      </c>
      <c r="N263" s="48" t="s">
        <v>320</v>
      </c>
      <c r="O263" s="48" t="s">
        <v>320</v>
      </c>
      <c r="P263" s="48" t="s">
        <v>320</v>
      </c>
      <c r="Q263" s="48" t="s">
        <v>320</v>
      </c>
      <c r="R263" s="48" t="s">
        <v>320</v>
      </c>
      <c r="S263" s="48" t="s">
        <v>320</v>
      </c>
      <c r="T263" s="48">
        <v>0.25</v>
      </c>
      <c r="U263" s="48">
        <v>0.25</v>
      </c>
      <c r="V263" s="48">
        <v>0.25</v>
      </c>
      <c r="W263" s="48">
        <v>0.25</v>
      </c>
      <c r="X263" s="48">
        <v>0.25</v>
      </c>
      <c r="Y263" s="48">
        <v>0.75</v>
      </c>
      <c r="Z263" s="48">
        <v>0.25</v>
      </c>
      <c r="AA263" s="48">
        <v>0.25</v>
      </c>
      <c r="AB263" s="48">
        <v>0.25</v>
      </c>
      <c r="AC263" s="48">
        <v>0.25</v>
      </c>
      <c r="AD263" s="48">
        <v>0.25</v>
      </c>
      <c r="AE263" s="48">
        <v>0.25</v>
      </c>
      <c r="AF263" s="48">
        <v>0.25</v>
      </c>
      <c r="AG263" s="48">
        <v>0.25</v>
      </c>
      <c r="AH263" s="48">
        <v>0.25</v>
      </c>
      <c r="AI263" s="48">
        <v>0.25</v>
      </c>
      <c r="AJ263" s="48">
        <v>0.25</v>
      </c>
      <c r="AK263" s="48">
        <v>0.25</v>
      </c>
      <c r="AL263" s="48" t="s">
        <v>320</v>
      </c>
      <c r="AM263">
        <v>1</v>
      </c>
      <c r="AN263">
        <v>17</v>
      </c>
    </row>
    <row r="264" spans="1:45" hidden="1" x14ac:dyDescent="0.25">
      <c r="A264">
        <v>263</v>
      </c>
      <c r="B264">
        <v>2025</v>
      </c>
      <c r="C264">
        <v>6</v>
      </c>
      <c r="D264" t="s">
        <v>151</v>
      </c>
      <c r="E264">
        <v>31</v>
      </c>
      <c r="F264">
        <v>5</v>
      </c>
      <c r="G264" t="s">
        <v>432</v>
      </c>
      <c r="H264" s="48" t="s">
        <v>320</v>
      </c>
      <c r="I264" s="48" t="s">
        <v>320</v>
      </c>
      <c r="J264" s="48" t="s">
        <v>320</v>
      </c>
      <c r="K264" s="48" t="s">
        <v>320</v>
      </c>
      <c r="L264" s="48" t="s">
        <v>320</v>
      </c>
      <c r="M264" s="48" t="s">
        <v>320</v>
      </c>
      <c r="N264" s="48" t="s">
        <v>320</v>
      </c>
      <c r="O264" s="48" t="s">
        <v>320</v>
      </c>
      <c r="P264" s="48" t="s">
        <v>320</v>
      </c>
      <c r="Q264" s="48" t="s">
        <v>320</v>
      </c>
      <c r="R264" s="48" t="s">
        <v>320</v>
      </c>
      <c r="S264" s="48" t="s">
        <v>320</v>
      </c>
      <c r="T264" s="48">
        <v>0</v>
      </c>
      <c r="U264" s="48">
        <v>0</v>
      </c>
      <c r="V264" s="48">
        <v>0</v>
      </c>
      <c r="W264" s="48">
        <v>0</v>
      </c>
      <c r="X264" s="48">
        <v>0</v>
      </c>
      <c r="Y264" s="48">
        <v>264369</v>
      </c>
      <c r="Z264" s="48">
        <v>264435</v>
      </c>
      <c r="AA264" s="48">
        <v>264515</v>
      </c>
      <c r="AB264" s="48">
        <v>264647</v>
      </c>
      <c r="AC264" s="48">
        <v>264735</v>
      </c>
      <c r="AD264" s="48">
        <v>264869</v>
      </c>
      <c r="AE264" s="48">
        <v>264940</v>
      </c>
      <c r="AF264" s="48">
        <v>264961</v>
      </c>
      <c r="AG264" s="48">
        <v>265104</v>
      </c>
      <c r="AH264" s="48">
        <v>265215</v>
      </c>
      <c r="AI264" s="48">
        <v>265323</v>
      </c>
      <c r="AJ264" s="48">
        <v>265430</v>
      </c>
      <c r="AK264" s="48">
        <v>265548</v>
      </c>
      <c r="AL264" s="48" t="s">
        <v>320</v>
      </c>
    </row>
    <row r="265" spans="1:45" hidden="1" x14ac:dyDescent="0.25">
      <c r="A265">
        <v>264</v>
      </c>
      <c r="B265">
        <v>2025</v>
      </c>
      <c r="C265">
        <v>6</v>
      </c>
      <c r="D265" t="s">
        <v>151</v>
      </c>
      <c r="E265">
        <v>31</v>
      </c>
      <c r="F265">
        <v>5</v>
      </c>
      <c r="G265" t="s">
        <v>433</v>
      </c>
      <c r="H265" s="48" t="s">
        <v>320</v>
      </c>
      <c r="I265" s="48" t="s">
        <v>320</v>
      </c>
      <c r="J265" s="48" t="s">
        <v>320</v>
      </c>
      <c r="K265" s="48" t="s">
        <v>320</v>
      </c>
      <c r="L265" s="48" t="s">
        <v>320</v>
      </c>
      <c r="M265" s="48" t="s">
        <v>320</v>
      </c>
      <c r="N265" s="48" t="s">
        <v>320</v>
      </c>
      <c r="O265" s="48" t="s">
        <v>320</v>
      </c>
      <c r="P265" s="48" t="s">
        <v>320</v>
      </c>
      <c r="Q265" s="48" t="s">
        <v>320</v>
      </c>
      <c r="R265" s="48" t="s">
        <v>320</v>
      </c>
      <c r="S265" s="48" t="s">
        <v>320</v>
      </c>
      <c r="T265" s="48">
        <v>36</v>
      </c>
      <c r="U265" s="48">
        <v>36</v>
      </c>
      <c r="V265" s="48">
        <v>36</v>
      </c>
      <c r="W265" s="48">
        <v>36</v>
      </c>
      <c r="X265" s="48">
        <v>36</v>
      </c>
      <c r="Y265" s="48">
        <v>264435</v>
      </c>
      <c r="Z265" s="48">
        <v>264515</v>
      </c>
      <c r="AA265" s="48">
        <v>264647</v>
      </c>
      <c r="AB265" s="48">
        <v>264735</v>
      </c>
      <c r="AC265" s="48">
        <v>264869</v>
      </c>
      <c r="AD265" s="48">
        <v>264940</v>
      </c>
      <c r="AE265" s="48">
        <v>264961</v>
      </c>
      <c r="AF265" s="48">
        <v>265104</v>
      </c>
      <c r="AG265" s="48">
        <v>265215</v>
      </c>
      <c r="AH265" s="48">
        <v>265323</v>
      </c>
      <c r="AI265" s="48">
        <v>265430</v>
      </c>
      <c r="AJ265" s="48">
        <v>265548</v>
      </c>
      <c r="AK265" s="48">
        <v>265679</v>
      </c>
      <c r="AL265" s="48" t="s">
        <v>320</v>
      </c>
      <c r="AP265">
        <v>223.5</v>
      </c>
      <c r="AQ265">
        <v>15</v>
      </c>
      <c r="AS265">
        <v>1490</v>
      </c>
    </row>
    <row r="266" spans="1:45" hidden="1" x14ac:dyDescent="0.25">
      <c r="A266">
        <v>265</v>
      </c>
      <c r="B266">
        <v>2025</v>
      </c>
      <c r="C266">
        <v>6</v>
      </c>
      <c r="D266" t="s">
        <v>149</v>
      </c>
      <c r="E266">
        <v>31</v>
      </c>
      <c r="F266">
        <v>5</v>
      </c>
      <c r="G266" t="s">
        <v>430</v>
      </c>
      <c r="H266" s="48" t="s">
        <v>375</v>
      </c>
      <c r="I266" s="48" t="s">
        <v>375</v>
      </c>
      <c r="J266" s="48" t="s">
        <v>375</v>
      </c>
      <c r="K266" s="48" t="s">
        <v>375</v>
      </c>
      <c r="L266" s="48" t="s">
        <v>375</v>
      </c>
      <c r="M266" s="48" t="s">
        <v>375</v>
      </c>
      <c r="N266" s="48" t="s">
        <v>375</v>
      </c>
      <c r="O266" s="48" t="s">
        <v>375</v>
      </c>
      <c r="P266" s="48" t="s">
        <v>375</v>
      </c>
      <c r="Q266" s="48" t="s">
        <v>375</v>
      </c>
      <c r="R266" s="48" t="s">
        <v>375</v>
      </c>
      <c r="S266" s="48" t="s">
        <v>375</v>
      </c>
      <c r="T266" s="48" t="s">
        <v>375</v>
      </c>
      <c r="U266" s="48" t="s">
        <v>375</v>
      </c>
      <c r="V266" s="48" t="s">
        <v>375</v>
      </c>
      <c r="W266" s="48" t="s">
        <v>375</v>
      </c>
      <c r="X266" s="48" t="s">
        <v>375</v>
      </c>
      <c r="Y266" s="48" t="s">
        <v>375</v>
      </c>
      <c r="Z266" s="48" t="s">
        <v>375</v>
      </c>
      <c r="AA266" s="48" t="s">
        <v>375</v>
      </c>
      <c r="AB266" s="48" t="s">
        <v>375</v>
      </c>
      <c r="AC266" s="48" t="s">
        <v>375</v>
      </c>
      <c r="AD266" s="48" t="s">
        <v>375</v>
      </c>
      <c r="AE266" s="48" t="s">
        <v>375</v>
      </c>
      <c r="AF266" s="48" t="s">
        <v>375</v>
      </c>
      <c r="AG266" s="48" t="s">
        <v>375</v>
      </c>
      <c r="AH266" s="48" t="s">
        <v>375</v>
      </c>
      <c r="AI266" s="48" t="s">
        <v>375</v>
      </c>
      <c r="AJ266" s="48" t="s">
        <v>375</v>
      </c>
      <c r="AK266" s="48" t="s">
        <v>375</v>
      </c>
      <c r="AL266" s="48" t="s">
        <v>320</v>
      </c>
    </row>
    <row r="267" spans="1:45" hidden="1" x14ac:dyDescent="0.25">
      <c r="A267">
        <v>266</v>
      </c>
      <c r="B267">
        <v>2025</v>
      </c>
      <c r="C267">
        <v>6</v>
      </c>
      <c r="D267" t="s">
        <v>149</v>
      </c>
      <c r="E267">
        <v>31</v>
      </c>
      <c r="F267">
        <v>5</v>
      </c>
      <c r="G267" t="s">
        <v>431</v>
      </c>
      <c r="H267" s="48" t="s">
        <v>376</v>
      </c>
      <c r="I267" s="48" t="s">
        <v>376</v>
      </c>
      <c r="J267" s="48" t="s">
        <v>376</v>
      </c>
      <c r="K267" s="48" t="s">
        <v>376</v>
      </c>
      <c r="L267" s="48" t="s">
        <v>376</v>
      </c>
      <c r="M267" s="48" t="s">
        <v>376</v>
      </c>
      <c r="N267" s="48" t="s">
        <v>376</v>
      </c>
      <c r="O267" s="48" t="s">
        <v>376</v>
      </c>
      <c r="P267" s="48" t="s">
        <v>376</v>
      </c>
      <c r="Q267" s="48" t="s">
        <v>376</v>
      </c>
      <c r="R267" s="48" t="s">
        <v>376</v>
      </c>
      <c r="S267" s="48" t="s">
        <v>376</v>
      </c>
      <c r="T267" s="48" t="s">
        <v>376</v>
      </c>
      <c r="U267" s="48" t="s">
        <v>376</v>
      </c>
      <c r="V267" s="48" t="s">
        <v>376</v>
      </c>
      <c r="W267" s="48" t="s">
        <v>376</v>
      </c>
      <c r="X267" s="48" t="s">
        <v>376</v>
      </c>
      <c r="Y267" s="48" t="s">
        <v>376</v>
      </c>
      <c r="Z267" s="48" t="s">
        <v>376</v>
      </c>
      <c r="AA267" s="48" t="s">
        <v>376</v>
      </c>
      <c r="AB267" s="48" t="s">
        <v>376</v>
      </c>
      <c r="AC267" s="48" t="s">
        <v>376</v>
      </c>
      <c r="AD267" s="48" t="s">
        <v>376</v>
      </c>
      <c r="AE267" s="48" t="s">
        <v>376</v>
      </c>
      <c r="AF267" s="48" t="s">
        <v>376</v>
      </c>
      <c r="AG267" s="48" t="s">
        <v>376</v>
      </c>
      <c r="AH267" s="48" t="s">
        <v>376</v>
      </c>
      <c r="AI267" s="48" t="s">
        <v>376</v>
      </c>
      <c r="AJ267" s="48" t="s">
        <v>376</v>
      </c>
      <c r="AK267" s="48" t="s">
        <v>376</v>
      </c>
      <c r="AL267" s="48" t="s">
        <v>320</v>
      </c>
      <c r="AM267">
        <v>32</v>
      </c>
      <c r="AR267" t="s">
        <v>338</v>
      </c>
    </row>
    <row r="268" spans="1:45" hidden="1" x14ac:dyDescent="0.25">
      <c r="A268">
        <v>267</v>
      </c>
      <c r="B268">
        <v>2025</v>
      </c>
      <c r="C268">
        <v>6</v>
      </c>
      <c r="D268" t="s">
        <v>149</v>
      </c>
      <c r="E268">
        <v>31</v>
      </c>
      <c r="F268">
        <v>5</v>
      </c>
      <c r="G268" t="s">
        <v>432</v>
      </c>
      <c r="H268" s="48">
        <v>834069</v>
      </c>
      <c r="I268" s="48">
        <v>834240</v>
      </c>
      <c r="J268" s="48">
        <v>834446</v>
      </c>
      <c r="K268" s="48">
        <v>834654</v>
      </c>
      <c r="L268" s="48">
        <v>834836</v>
      </c>
      <c r="M268" s="48">
        <v>834836</v>
      </c>
      <c r="N268" s="48">
        <v>835044</v>
      </c>
      <c r="O268" s="48">
        <v>835044</v>
      </c>
      <c r="P268" s="48">
        <v>835248</v>
      </c>
      <c r="Q268" s="48">
        <v>835414</v>
      </c>
      <c r="R268" s="48">
        <v>835625</v>
      </c>
      <c r="S268" s="48">
        <v>835829</v>
      </c>
      <c r="T268" s="48">
        <v>836037</v>
      </c>
      <c r="U268" s="48">
        <v>836246</v>
      </c>
      <c r="V268" s="48">
        <v>836246</v>
      </c>
      <c r="W268" s="48">
        <v>836451</v>
      </c>
      <c r="X268" s="48">
        <v>836638</v>
      </c>
      <c r="Y268" s="48">
        <v>836928</v>
      </c>
      <c r="Z268" s="48">
        <v>837138</v>
      </c>
      <c r="AA268" s="48">
        <v>837347</v>
      </c>
      <c r="AB268" s="48">
        <v>837552</v>
      </c>
      <c r="AC268" s="48">
        <v>837552</v>
      </c>
      <c r="AD268" s="48">
        <v>837764</v>
      </c>
      <c r="AE268" s="48">
        <v>837985</v>
      </c>
      <c r="AF268" s="48">
        <v>838192</v>
      </c>
      <c r="AG268" s="48">
        <v>838401</v>
      </c>
      <c r="AH268" s="48">
        <v>838609</v>
      </c>
      <c r="AI268" s="48">
        <v>838751</v>
      </c>
      <c r="AJ268" s="48">
        <v>838933</v>
      </c>
      <c r="AK268" s="48">
        <v>839127</v>
      </c>
      <c r="AL268" s="48" t="s">
        <v>320</v>
      </c>
    </row>
    <row r="269" spans="1:45" hidden="1" x14ac:dyDescent="0.25">
      <c r="A269">
        <v>268</v>
      </c>
      <c r="B269">
        <v>2025</v>
      </c>
      <c r="C269">
        <v>6</v>
      </c>
      <c r="D269" t="s">
        <v>149</v>
      </c>
      <c r="E269">
        <v>31</v>
      </c>
      <c r="F269">
        <v>5</v>
      </c>
      <c r="G269" t="s">
        <v>433</v>
      </c>
      <c r="H269" s="48">
        <v>834240</v>
      </c>
      <c r="I269" s="48">
        <v>834446</v>
      </c>
      <c r="J269" s="48">
        <v>834654</v>
      </c>
      <c r="K269" s="48">
        <v>834836</v>
      </c>
      <c r="L269" s="48">
        <v>835044</v>
      </c>
      <c r="M269" s="48">
        <v>835044</v>
      </c>
      <c r="N269" s="48">
        <v>835248</v>
      </c>
      <c r="O269" s="48">
        <v>835248</v>
      </c>
      <c r="P269" s="48">
        <v>835414</v>
      </c>
      <c r="Q269" s="48">
        <v>835625</v>
      </c>
      <c r="R269" s="48">
        <v>835829</v>
      </c>
      <c r="S269" s="48">
        <v>836037</v>
      </c>
      <c r="T269" s="48">
        <v>836246</v>
      </c>
      <c r="U269" s="48">
        <v>836451</v>
      </c>
      <c r="V269" s="48">
        <v>836451</v>
      </c>
      <c r="W269" s="48">
        <v>836638</v>
      </c>
      <c r="X269" s="48">
        <v>836928</v>
      </c>
      <c r="Y269" s="48">
        <v>837138</v>
      </c>
      <c r="Z269" s="48">
        <v>837347</v>
      </c>
      <c r="AA269" s="48">
        <v>837552</v>
      </c>
      <c r="AB269" s="48">
        <v>837764</v>
      </c>
      <c r="AC269" s="48">
        <v>837764</v>
      </c>
      <c r="AD269" s="48">
        <v>837985</v>
      </c>
      <c r="AE269" s="48">
        <v>838192</v>
      </c>
      <c r="AF269" s="48">
        <v>838401</v>
      </c>
      <c r="AG269" s="48">
        <v>838609</v>
      </c>
      <c r="AH269" s="48">
        <v>838751</v>
      </c>
      <c r="AI269" s="48">
        <v>838933</v>
      </c>
      <c r="AJ269" s="48">
        <v>839127</v>
      </c>
      <c r="AK269" s="48">
        <v>839336</v>
      </c>
      <c r="AL269" s="48" t="s">
        <v>320</v>
      </c>
      <c r="AP269">
        <v>1097.28</v>
      </c>
      <c r="AQ269">
        <v>18</v>
      </c>
      <c r="AS269">
        <v>6096</v>
      </c>
    </row>
    <row r="270" spans="1:45" hidden="1" x14ac:dyDescent="0.25">
      <c r="A270">
        <v>269</v>
      </c>
      <c r="B270">
        <v>2025</v>
      </c>
      <c r="C270">
        <v>6</v>
      </c>
      <c r="D270" t="s">
        <v>139</v>
      </c>
      <c r="E270">
        <v>31</v>
      </c>
      <c r="F270">
        <v>5</v>
      </c>
      <c r="G270" t="s">
        <v>430</v>
      </c>
      <c r="H270" s="48" t="s">
        <v>375</v>
      </c>
      <c r="I270" s="48" t="s">
        <v>375</v>
      </c>
      <c r="J270" s="48" t="s">
        <v>375</v>
      </c>
      <c r="K270" s="48" t="s">
        <v>375</v>
      </c>
      <c r="L270" s="48" t="s">
        <v>375</v>
      </c>
      <c r="M270" s="48" t="s">
        <v>375</v>
      </c>
      <c r="N270" s="48" t="s">
        <v>375</v>
      </c>
      <c r="O270" s="48" t="s">
        <v>375</v>
      </c>
      <c r="P270" s="48" t="s">
        <v>375</v>
      </c>
      <c r="Q270" s="48" t="s">
        <v>375</v>
      </c>
      <c r="R270" s="48" t="s">
        <v>375</v>
      </c>
      <c r="S270" s="48" t="s">
        <v>375</v>
      </c>
      <c r="T270" s="48" t="s">
        <v>375</v>
      </c>
      <c r="U270" s="48" t="s">
        <v>375</v>
      </c>
      <c r="V270" s="48" t="s">
        <v>375</v>
      </c>
      <c r="W270" s="48" t="s">
        <v>320</v>
      </c>
      <c r="X270" s="48" t="s">
        <v>320</v>
      </c>
      <c r="Y270" s="48" t="s">
        <v>320</v>
      </c>
      <c r="Z270" s="48" t="s">
        <v>320</v>
      </c>
      <c r="AA270" s="48" t="s">
        <v>320</v>
      </c>
      <c r="AB270" s="48" t="s">
        <v>320</v>
      </c>
      <c r="AC270" s="48" t="s">
        <v>320</v>
      </c>
      <c r="AD270" s="48" t="s">
        <v>320</v>
      </c>
      <c r="AE270" s="48" t="s">
        <v>320</v>
      </c>
      <c r="AF270" s="48" t="s">
        <v>320</v>
      </c>
      <c r="AG270" s="48" t="s">
        <v>320</v>
      </c>
      <c r="AH270" s="48" t="s">
        <v>320</v>
      </c>
      <c r="AI270" s="48" t="s">
        <v>320</v>
      </c>
      <c r="AJ270" s="48" t="s">
        <v>320</v>
      </c>
      <c r="AK270" s="48" t="s">
        <v>320</v>
      </c>
      <c r="AL270" s="48" t="s">
        <v>320</v>
      </c>
    </row>
    <row r="271" spans="1:45" hidden="1" x14ac:dyDescent="0.25">
      <c r="A271">
        <v>270</v>
      </c>
      <c r="B271">
        <v>2025</v>
      </c>
      <c r="C271">
        <v>6</v>
      </c>
      <c r="D271" t="s">
        <v>139</v>
      </c>
      <c r="E271">
        <v>31</v>
      </c>
      <c r="F271">
        <v>5</v>
      </c>
      <c r="G271" t="s">
        <v>431</v>
      </c>
      <c r="H271" s="48" t="s">
        <v>376</v>
      </c>
      <c r="I271" s="48" t="s">
        <v>376</v>
      </c>
      <c r="J271" s="48" t="s">
        <v>376</v>
      </c>
      <c r="K271" s="48" t="s">
        <v>376</v>
      </c>
      <c r="L271" s="48" t="s">
        <v>376</v>
      </c>
      <c r="M271" s="48" t="s">
        <v>376</v>
      </c>
      <c r="N271" s="48" t="s">
        <v>376</v>
      </c>
      <c r="O271" s="48" t="s">
        <v>376</v>
      </c>
      <c r="P271" s="48" t="s">
        <v>376</v>
      </c>
      <c r="Q271" s="48" t="s">
        <v>376</v>
      </c>
      <c r="R271" s="48" t="s">
        <v>376</v>
      </c>
      <c r="S271" s="48" t="s">
        <v>376</v>
      </c>
      <c r="T271" s="48" t="s">
        <v>376</v>
      </c>
      <c r="U271" s="48" t="s">
        <v>376</v>
      </c>
      <c r="V271" s="48" t="s">
        <v>376</v>
      </c>
      <c r="W271" s="48" t="s">
        <v>320</v>
      </c>
      <c r="X271" s="48" t="s">
        <v>320</v>
      </c>
      <c r="Y271" s="48" t="s">
        <v>320</v>
      </c>
      <c r="Z271" s="48" t="s">
        <v>320</v>
      </c>
      <c r="AA271" s="48" t="s">
        <v>320</v>
      </c>
      <c r="AB271" s="48" t="s">
        <v>320</v>
      </c>
      <c r="AC271" s="48" t="s">
        <v>320</v>
      </c>
      <c r="AD271" s="48" t="s">
        <v>320</v>
      </c>
      <c r="AE271" s="48" t="s">
        <v>320</v>
      </c>
      <c r="AF271" s="48" t="s">
        <v>320</v>
      </c>
      <c r="AG271" s="48" t="s">
        <v>320</v>
      </c>
      <c r="AH271" s="48" t="s">
        <v>320</v>
      </c>
      <c r="AI271" s="48" t="s">
        <v>320</v>
      </c>
      <c r="AJ271" s="48" t="s">
        <v>320</v>
      </c>
      <c r="AK271" s="48" t="s">
        <v>320</v>
      </c>
      <c r="AL271" s="48" t="s">
        <v>320</v>
      </c>
      <c r="AM271">
        <v>15</v>
      </c>
    </row>
    <row r="272" spans="1:45" hidden="1" x14ac:dyDescent="0.25">
      <c r="A272">
        <v>271</v>
      </c>
      <c r="B272">
        <v>2025</v>
      </c>
      <c r="C272">
        <v>6</v>
      </c>
      <c r="D272" t="s">
        <v>139</v>
      </c>
      <c r="E272">
        <v>31</v>
      </c>
      <c r="F272">
        <v>5</v>
      </c>
      <c r="G272" t="s">
        <v>432</v>
      </c>
      <c r="H272" s="48">
        <v>352220</v>
      </c>
      <c r="I272" s="48">
        <v>352227</v>
      </c>
      <c r="J272" s="48">
        <v>352241</v>
      </c>
      <c r="K272" s="48">
        <v>352265</v>
      </c>
      <c r="L272" s="48">
        <v>352285</v>
      </c>
      <c r="M272" s="48">
        <v>353321</v>
      </c>
      <c r="N272" s="48">
        <v>352404</v>
      </c>
      <c r="O272" s="48">
        <v>352406</v>
      </c>
      <c r="P272" s="48">
        <v>352437</v>
      </c>
      <c r="Q272" s="48">
        <v>352462</v>
      </c>
      <c r="R272" s="48">
        <v>352496</v>
      </c>
      <c r="S272" s="48">
        <v>352521</v>
      </c>
      <c r="T272" s="48">
        <v>352545</v>
      </c>
      <c r="U272" s="48">
        <v>352568</v>
      </c>
      <c r="V272" s="48">
        <v>352605</v>
      </c>
      <c r="W272" s="48" t="s">
        <v>320</v>
      </c>
      <c r="X272" s="48" t="s">
        <v>320</v>
      </c>
      <c r="Y272" s="48" t="s">
        <v>320</v>
      </c>
      <c r="Z272" s="48" t="s">
        <v>320</v>
      </c>
      <c r="AA272" s="48" t="s">
        <v>320</v>
      </c>
      <c r="AB272" s="48" t="s">
        <v>320</v>
      </c>
      <c r="AC272" s="48" t="s">
        <v>320</v>
      </c>
      <c r="AD272" s="48" t="s">
        <v>320</v>
      </c>
      <c r="AE272" s="48" t="s">
        <v>320</v>
      </c>
      <c r="AF272" s="48" t="s">
        <v>320</v>
      </c>
      <c r="AG272" s="48" t="s">
        <v>320</v>
      </c>
      <c r="AH272" s="48" t="s">
        <v>320</v>
      </c>
      <c r="AI272" s="48" t="s">
        <v>320</v>
      </c>
      <c r="AJ272" s="48" t="s">
        <v>320</v>
      </c>
      <c r="AK272" s="48" t="s">
        <v>320</v>
      </c>
      <c r="AL272" s="48" t="s">
        <v>320</v>
      </c>
    </row>
    <row r="273" spans="1:45" hidden="1" x14ac:dyDescent="0.25">
      <c r="A273">
        <v>272</v>
      </c>
      <c r="B273">
        <v>2025</v>
      </c>
      <c r="C273">
        <v>6</v>
      </c>
      <c r="D273" t="s">
        <v>139</v>
      </c>
      <c r="E273">
        <v>31</v>
      </c>
      <c r="F273">
        <v>5</v>
      </c>
      <c r="G273" t="s">
        <v>433</v>
      </c>
      <c r="H273" s="48">
        <v>352227</v>
      </c>
      <c r="I273" s="48">
        <v>352241</v>
      </c>
      <c r="J273" s="48">
        <v>352265</v>
      </c>
      <c r="K273" s="48">
        <v>352285</v>
      </c>
      <c r="L273" s="48">
        <v>353321</v>
      </c>
      <c r="M273" s="48">
        <v>352404</v>
      </c>
      <c r="N273" s="48">
        <v>352406</v>
      </c>
      <c r="O273" s="48">
        <v>352437</v>
      </c>
      <c r="P273" s="48">
        <v>352462</v>
      </c>
      <c r="Q273" s="48">
        <v>352496</v>
      </c>
      <c r="R273" s="48">
        <v>352521</v>
      </c>
      <c r="S273" s="48">
        <v>352545</v>
      </c>
      <c r="T273" s="48">
        <v>352568</v>
      </c>
      <c r="U273" s="48">
        <v>352605</v>
      </c>
      <c r="V273" s="48">
        <v>352636</v>
      </c>
      <c r="W273" s="48" t="s">
        <v>320</v>
      </c>
      <c r="X273" s="48" t="s">
        <v>320</v>
      </c>
      <c r="Y273" s="48" t="s">
        <v>320</v>
      </c>
      <c r="Z273" s="48" t="s">
        <v>320</v>
      </c>
      <c r="AA273" s="48" t="s">
        <v>320</v>
      </c>
      <c r="AB273" s="48" t="s">
        <v>320</v>
      </c>
      <c r="AC273" s="48" t="s">
        <v>320</v>
      </c>
      <c r="AD273" s="48" t="s">
        <v>320</v>
      </c>
      <c r="AE273" s="48" t="s">
        <v>320</v>
      </c>
      <c r="AF273" s="48" t="s">
        <v>320</v>
      </c>
      <c r="AG273" s="48" t="s">
        <v>320</v>
      </c>
      <c r="AH273" s="48" t="s">
        <v>320</v>
      </c>
      <c r="AI273" s="48" t="s">
        <v>320</v>
      </c>
      <c r="AJ273" s="48" t="s">
        <v>320</v>
      </c>
      <c r="AK273" s="48" t="s">
        <v>320</v>
      </c>
      <c r="AL273" s="48" t="s">
        <v>320</v>
      </c>
      <c r="AM273" t="s">
        <v>320</v>
      </c>
      <c r="AQ273" t="s">
        <v>320</v>
      </c>
    </row>
    <row r="274" spans="1:45" hidden="1" x14ac:dyDescent="0.25">
      <c r="A274">
        <v>273</v>
      </c>
      <c r="B274">
        <v>2025</v>
      </c>
      <c r="C274">
        <v>6</v>
      </c>
      <c r="D274" t="s">
        <v>167</v>
      </c>
      <c r="E274">
        <v>31</v>
      </c>
      <c r="F274">
        <v>5</v>
      </c>
      <c r="G274" t="s">
        <v>430</v>
      </c>
      <c r="H274" s="48" t="s">
        <v>375</v>
      </c>
      <c r="I274" s="48" t="s">
        <v>375</v>
      </c>
      <c r="J274" s="48" t="s">
        <v>375</v>
      </c>
      <c r="K274" s="48" t="s">
        <v>375</v>
      </c>
      <c r="L274" s="48" t="s">
        <v>375</v>
      </c>
      <c r="M274" s="48" t="s">
        <v>320</v>
      </c>
      <c r="N274" s="48" t="s">
        <v>320</v>
      </c>
      <c r="O274" s="48" t="s">
        <v>375</v>
      </c>
      <c r="P274" s="48" t="s">
        <v>375</v>
      </c>
      <c r="Q274" s="48" t="s">
        <v>375</v>
      </c>
      <c r="R274" s="48" t="s">
        <v>375</v>
      </c>
      <c r="S274" s="48" t="s">
        <v>375</v>
      </c>
      <c r="T274" s="48" t="s">
        <v>375</v>
      </c>
      <c r="U274" s="48" t="s">
        <v>375</v>
      </c>
      <c r="V274" s="48" t="s">
        <v>375</v>
      </c>
      <c r="W274" s="48" t="s">
        <v>375</v>
      </c>
      <c r="X274" s="48" t="s">
        <v>375</v>
      </c>
      <c r="Y274" s="48" t="s">
        <v>375</v>
      </c>
      <c r="Z274" s="48" t="s">
        <v>375</v>
      </c>
      <c r="AA274" s="48" t="s">
        <v>375</v>
      </c>
      <c r="AB274" s="48" t="s">
        <v>375</v>
      </c>
      <c r="AC274" s="48" t="s">
        <v>320</v>
      </c>
      <c r="AD274" s="48" t="s">
        <v>375</v>
      </c>
      <c r="AE274" s="48" t="s">
        <v>375</v>
      </c>
      <c r="AF274" s="48" t="s">
        <v>375</v>
      </c>
      <c r="AG274" s="48" t="s">
        <v>375</v>
      </c>
      <c r="AH274" s="48" t="s">
        <v>375</v>
      </c>
      <c r="AI274" s="48" t="s">
        <v>375</v>
      </c>
      <c r="AJ274" s="48" t="s">
        <v>375</v>
      </c>
      <c r="AK274" s="48" t="s">
        <v>375</v>
      </c>
      <c r="AL274" s="48" t="s">
        <v>320</v>
      </c>
    </row>
    <row r="275" spans="1:45" hidden="1" x14ac:dyDescent="0.25">
      <c r="A275">
        <v>274</v>
      </c>
      <c r="B275">
        <v>2025</v>
      </c>
      <c r="C275">
        <v>6</v>
      </c>
      <c r="D275" t="s">
        <v>167</v>
      </c>
      <c r="E275">
        <v>31</v>
      </c>
      <c r="F275">
        <v>5</v>
      </c>
      <c r="G275" t="s">
        <v>431</v>
      </c>
      <c r="H275" s="48" t="s">
        <v>376</v>
      </c>
      <c r="I275" s="48" t="s">
        <v>376</v>
      </c>
      <c r="J275" s="48" t="s">
        <v>376</v>
      </c>
      <c r="K275" s="48" t="s">
        <v>376</v>
      </c>
      <c r="L275" s="48" t="s">
        <v>376</v>
      </c>
      <c r="M275" s="48" t="s">
        <v>320</v>
      </c>
      <c r="N275" s="48" t="s">
        <v>320</v>
      </c>
      <c r="O275" s="48" t="s">
        <v>376</v>
      </c>
      <c r="P275" s="48" t="s">
        <v>376</v>
      </c>
      <c r="Q275" s="48" t="s">
        <v>376</v>
      </c>
      <c r="R275" s="48" t="s">
        <v>376</v>
      </c>
      <c r="S275" s="48" t="s">
        <v>376</v>
      </c>
      <c r="T275" s="48" t="s">
        <v>376</v>
      </c>
      <c r="U275" s="48" t="s">
        <v>376</v>
      </c>
      <c r="V275" s="48" t="s">
        <v>376</v>
      </c>
      <c r="W275" s="48" t="s">
        <v>376</v>
      </c>
      <c r="X275" s="48" t="s">
        <v>376</v>
      </c>
      <c r="Y275" s="48" t="s">
        <v>376</v>
      </c>
      <c r="Z275" s="48" t="s">
        <v>376</v>
      </c>
      <c r="AA275" s="48" t="s">
        <v>376</v>
      </c>
      <c r="AB275" s="48" t="s">
        <v>376</v>
      </c>
      <c r="AC275" s="48" t="s">
        <v>320</v>
      </c>
      <c r="AD275" s="48" t="s">
        <v>376</v>
      </c>
      <c r="AE275" s="48" t="s">
        <v>376</v>
      </c>
      <c r="AF275" s="48" t="s">
        <v>376</v>
      </c>
      <c r="AG275" s="48" t="s">
        <v>376</v>
      </c>
      <c r="AH275" s="48" t="s">
        <v>376</v>
      </c>
      <c r="AI275" s="48" t="s">
        <v>376</v>
      </c>
      <c r="AJ275" s="48" t="s">
        <v>376</v>
      </c>
      <c r="AK275" s="48" t="s">
        <v>376</v>
      </c>
      <c r="AL275" s="48" t="s">
        <v>320</v>
      </c>
      <c r="AM275">
        <v>27</v>
      </c>
    </row>
    <row r="276" spans="1:45" hidden="1" x14ac:dyDescent="0.25">
      <c r="A276">
        <v>275</v>
      </c>
      <c r="B276">
        <v>2025</v>
      </c>
      <c r="C276">
        <v>6</v>
      </c>
      <c r="D276" t="s">
        <v>167</v>
      </c>
      <c r="E276">
        <v>31</v>
      </c>
      <c r="F276">
        <v>5</v>
      </c>
      <c r="G276" t="s">
        <v>432</v>
      </c>
      <c r="H276" s="48">
        <v>198800</v>
      </c>
      <c r="I276" s="48">
        <v>198944</v>
      </c>
      <c r="J276" s="48">
        <v>199054</v>
      </c>
      <c r="K276" s="48">
        <v>199118</v>
      </c>
      <c r="L276" s="48">
        <v>199191</v>
      </c>
      <c r="M276" s="48" t="s">
        <v>320</v>
      </c>
      <c r="N276" s="48" t="s">
        <v>320</v>
      </c>
      <c r="O276" s="48">
        <v>199416</v>
      </c>
      <c r="P276" s="48">
        <v>199468</v>
      </c>
      <c r="Q276" s="48">
        <v>199551</v>
      </c>
      <c r="R276" s="48">
        <v>199678</v>
      </c>
      <c r="S276" s="48">
        <v>199796</v>
      </c>
      <c r="T276" s="48">
        <v>199910</v>
      </c>
      <c r="U276" s="48">
        <v>199995</v>
      </c>
      <c r="V276" s="48">
        <v>200140</v>
      </c>
      <c r="W276" s="48">
        <v>200247</v>
      </c>
      <c r="X276" s="48">
        <v>200293</v>
      </c>
      <c r="Y276" s="48">
        <v>200375</v>
      </c>
      <c r="Z276" s="48">
        <v>200435</v>
      </c>
      <c r="AA276" s="48">
        <v>200538</v>
      </c>
      <c r="AB276" s="48">
        <v>200694</v>
      </c>
      <c r="AC276" s="48" t="s">
        <v>320</v>
      </c>
      <c r="AD276" s="48">
        <v>200855</v>
      </c>
      <c r="AE276" s="48">
        <v>200946</v>
      </c>
      <c r="AF276" s="48">
        <v>200992</v>
      </c>
      <c r="AG276" s="48">
        <v>201093</v>
      </c>
      <c r="AH276" s="48">
        <v>201215</v>
      </c>
      <c r="AI276" s="48">
        <v>201319</v>
      </c>
      <c r="AJ276" s="48">
        <v>201401</v>
      </c>
      <c r="AK276" s="48">
        <v>201470</v>
      </c>
      <c r="AL276" s="48" t="s">
        <v>320</v>
      </c>
    </row>
    <row r="277" spans="1:45" hidden="1" x14ac:dyDescent="0.25">
      <c r="A277">
        <v>276</v>
      </c>
      <c r="B277">
        <v>2025</v>
      </c>
      <c r="C277">
        <v>6</v>
      </c>
      <c r="D277" t="s">
        <v>167</v>
      </c>
      <c r="E277">
        <v>31</v>
      </c>
      <c r="F277">
        <v>5</v>
      </c>
      <c r="G277" t="s">
        <v>433</v>
      </c>
      <c r="H277" s="48">
        <v>198889</v>
      </c>
      <c r="I277" s="48">
        <v>199054</v>
      </c>
      <c r="J277" s="48">
        <v>199118</v>
      </c>
      <c r="K277" s="48">
        <v>199191</v>
      </c>
      <c r="L277" s="48">
        <v>199270</v>
      </c>
      <c r="M277" s="48" t="s">
        <v>320</v>
      </c>
      <c r="N277" s="48" t="s">
        <v>320</v>
      </c>
      <c r="O277" s="48">
        <v>199468</v>
      </c>
      <c r="P277" s="48">
        <v>199551</v>
      </c>
      <c r="Q277" s="48">
        <v>199655</v>
      </c>
      <c r="R277" s="48">
        <v>199769</v>
      </c>
      <c r="S277" s="48">
        <v>199910</v>
      </c>
      <c r="T277" s="48">
        <v>199995</v>
      </c>
      <c r="U277" s="48">
        <v>200140</v>
      </c>
      <c r="V277" s="48">
        <v>200247</v>
      </c>
      <c r="W277" s="48">
        <v>200293</v>
      </c>
      <c r="X277" s="48">
        <v>200375</v>
      </c>
      <c r="Y277" s="48">
        <v>200435</v>
      </c>
      <c r="Z277" s="48">
        <v>200538</v>
      </c>
      <c r="AA277" s="48">
        <v>200694</v>
      </c>
      <c r="AB277" s="48">
        <v>200823</v>
      </c>
      <c r="AC277" s="48" t="s">
        <v>320</v>
      </c>
      <c r="AD277" s="48">
        <v>200946</v>
      </c>
      <c r="AE277" s="48">
        <v>200992</v>
      </c>
      <c r="AF277" s="48">
        <v>201043</v>
      </c>
      <c r="AG277" s="48">
        <v>201215</v>
      </c>
      <c r="AH277" s="48">
        <v>201319</v>
      </c>
      <c r="AI277" s="48">
        <v>201401</v>
      </c>
      <c r="AJ277" s="48">
        <v>201470</v>
      </c>
      <c r="AK277" s="48">
        <v>201549</v>
      </c>
      <c r="AL277" s="48" t="s">
        <v>320</v>
      </c>
      <c r="AP277">
        <v>438.75</v>
      </c>
      <c r="AQ277">
        <v>15</v>
      </c>
      <c r="AR277" s="57" t="s">
        <v>341</v>
      </c>
      <c r="AS277">
        <v>2416</v>
      </c>
    </row>
    <row r="278" spans="1:45" hidden="1" x14ac:dyDescent="0.25">
      <c r="A278">
        <v>277</v>
      </c>
      <c r="B278">
        <v>2025</v>
      </c>
      <c r="C278">
        <v>6</v>
      </c>
      <c r="D278" t="s">
        <v>158</v>
      </c>
      <c r="E278">
        <v>31</v>
      </c>
      <c r="F278">
        <v>5</v>
      </c>
      <c r="G278" t="s">
        <v>430</v>
      </c>
      <c r="H278" s="48" t="s">
        <v>320</v>
      </c>
      <c r="I278" s="48" t="s">
        <v>320</v>
      </c>
      <c r="J278" s="48" t="s">
        <v>320</v>
      </c>
      <c r="K278" s="48">
        <v>0.29166666666666669</v>
      </c>
      <c r="L278" s="48">
        <v>0.29166666666666669</v>
      </c>
      <c r="M278" s="48">
        <v>0.29166666666666669</v>
      </c>
      <c r="N278" s="48">
        <v>0.29166666666666669</v>
      </c>
      <c r="O278" s="48">
        <v>0.29166666666666669</v>
      </c>
      <c r="P278" s="48">
        <v>0.29166666666666669</v>
      </c>
      <c r="Q278" s="48">
        <v>0.29166666666666669</v>
      </c>
      <c r="R278" s="48">
        <v>0.29166666666666669</v>
      </c>
      <c r="S278" s="48">
        <v>0.29166666666666669</v>
      </c>
      <c r="T278" s="48">
        <v>0.29166666666666669</v>
      </c>
      <c r="U278" s="48">
        <v>0.29166666666666669</v>
      </c>
      <c r="V278" s="48">
        <v>0.29166666666666669</v>
      </c>
      <c r="W278" s="48">
        <v>0.29166666666666669</v>
      </c>
      <c r="X278" s="48">
        <v>0.29166666666666669</v>
      </c>
      <c r="Y278" s="48">
        <v>0.29166666666666669</v>
      </c>
      <c r="Z278" s="48">
        <v>0.29166666666666669</v>
      </c>
      <c r="AA278" s="48">
        <v>0.29166666666666669</v>
      </c>
      <c r="AB278" s="48">
        <v>0.29166666666666669</v>
      </c>
      <c r="AC278" s="48">
        <v>0.29166666666666669</v>
      </c>
      <c r="AD278" s="48">
        <v>0.29166666666666669</v>
      </c>
      <c r="AE278" s="48">
        <v>0.29166666666666669</v>
      </c>
      <c r="AF278" s="48">
        <v>0.29166666666666669</v>
      </c>
      <c r="AG278" s="48">
        <v>0.29166666666666669</v>
      </c>
      <c r="AH278" s="48">
        <v>0.29166666666666669</v>
      </c>
      <c r="AI278" s="48">
        <v>0.29166666666666669</v>
      </c>
      <c r="AJ278" s="48">
        <v>0.29166666666666669</v>
      </c>
      <c r="AK278" s="48">
        <v>0.29166666666666669</v>
      </c>
      <c r="AL278" s="48" t="s">
        <v>320</v>
      </c>
    </row>
    <row r="279" spans="1:45" hidden="1" x14ac:dyDescent="0.25">
      <c r="A279">
        <v>278</v>
      </c>
      <c r="B279">
        <v>2025</v>
      </c>
      <c r="C279">
        <v>6</v>
      </c>
      <c r="D279" t="s">
        <v>158</v>
      </c>
      <c r="E279">
        <v>31</v>
      </c>
      <c r="F279">
        <v>5</v>
      </c>
      <c r="G279" t="s">
        <v>431</v>
      </c>
      <c r="H279" s="48" t="s">
        <v>320</v>
      </c>
      <c r="I279" s="48" t="s">
        <v>320</v>
      </c>
      <c r="J279" s="48" t="s">
        <v>320</v>
      </c>
      <c r="K279" s="48">
        <v>0.75</v>
      </c>
      <c r="L279" s="48">
        <v>0.75</v>
      </c>
      <c r="M279" s="48">
        <v>0.75</v>
      </c>
      <c r="N279" s="48">
        <v>0.75</v>
      </c>
      <c r="O279" s="48">
        <v>0.75</v>
      </c>
      <c r="P279" s="48">
        <v>0.75</v>
      </c>
      <c r="Q279" s="48">
        <v>0.75</v>
      </c>
      <c r="R279" s="48">
        <v>0.75</v>
      </c>
      <c r="S279" s="48">
        <v>0.75</v>
      </c>
      <c r="T279" s="48">
        <v>0.75</v>
      </c>
      <c r="U279" s="48">
        <v>0.75</v>
      </c>
      <c r="V279" s="48">
        <v>0.75</v>
      </c>
      <c r="W279" s="48">
        <v>0.75</v>
      </c>
      <c r="X279" s="48">
        <v>0.75</v>
      </c>
      <c r="Y279" s="48">
        <v>0.75</v>
      </c>
      <c r="Z279" s="48">
        <v>0.75</v>
      </c>
      <c r="AA279" s="48">
        <v>0.75</v>
      </c>
      <c r="AB279" s="48">
        <v>0.75</v>
      </c>
      <c r="AC279" s="48">
        <v>0.75</v>
      </c>
      <c r="AD279" s="48">
        <v>0.75</v>
      </c>
      <c r="AE279" s="48">
        <v>0.75</v>
      </c>
      <c r="AF279" s="48">
        <v>0.75</v>
      </c>
      <c r="AG279" s="48">
        <v>0.75</v>
      </c>
      <c r="AH279" s="48">
        <v>0.75</v>
      </c>
      <c r="AI279" s="48">
        <v>0.75</v>
      </c>
      <c r="AJ279" s="48">
        <v>0.75</v>
      </c>
      <c r="AK279" s="48">
        <v>0.75</v>
      </c>
      <c r="AL279" s="48" t="s">
        <v>320</v>
      </c>
      <c r="AM279">
        <v>27</v>
      </c>
    </row>
    <row r="280" spans="1:45" hidden="1" x14ac:dyDescent="0.25">
      <c r="A280">
        <v>279</v>
      </c>
      <c r="B280">
        <v>2025</v>
      </c>
      <c r="C280">
        <v>6</v>
      </c>
      <c r="D280" t="s">
        <v>140</v>
      </c>
      <c r="E280">
        <v>31</v>
      </c>
      <c r="F280">
        <v>5</v>
      </c>
      <c r="G280" t="s">
        <v>430</v>
      </c>
      <c r="H280" s="48" t="s">
        <v>391</v>
      </c>
      <c r="I280" s="48" t="s">
        <v>392</v>
      </c>
      <c r="J280" s="48" t="s">
        <v>393</v>
      </c>
      <c r="K280" s="48" t="s">
        <v>394</v>
      </c>
      <c r="L280" s="48" t="s">
        <v>395</v>
      </c>
      <c r="M280" s="48" t="s">
        <v>396</v>
      </c>
      <c r="N280" s="48" t="s">
        <v>320</v>
      </c>
      <c r="O280" s="48" t="s">
        <v>387</v>
      </c>
      <c r="P280" s="48" t="s">
        <v>397</v>
      </c>
      <c r="Q280" s="48" t="s">
        <v>398</v>
      </c>
      <c r="R280" s="48" t="s">
        <v>399</v>
      </c>
      <c r="S280" s="48" t="s">
        <v>397</v>
      </c>
      <c r="T280" s="48" t="s">
        <v>400</v>
      </c>
      <c r="U280" s="48" t="s">
        <v>375</v>
      </c>
      <c r="V280" s="48" t="s">
        <v>401</v>
      </c>
      <c r="W280" s="48" t="s">
        <v>401</v>
      </c>
      <c r="X280" s="48" t="s">
        <v>402</v>
      </c>
      <c r="Y280" s="48" t="s">
        <v>375</v>
      </c>
      <c r="Z280" s="48" t="s">
        <v>375</v>
      </c>
      <c r="AA280" s="48" t="s">
        <v>403</v>
      </c>
      <c r="AB280" s="48" t="s">
        <v>404</v>
      </c>
      <c r="AC280" s="48" t="s">
        <v>375</v>
      </c>
      <c r="AD280" s="48" t="s">
        <v>375</v>
      </c>
      <c r="AE280" s="48" t="s">
        <v>405</v>
      </c>
      <c r="AF280" s="48" t="s">
        <v>375</v>
      </c>
      <c r="AG280" s="48" t="s">
        <v>375</v>
      </c>
      <c r="AH280" s="48" t="s">
        <v>375</v>
      </c>
      <c r="AI280" s="48" t="s">
        <v>402</v>
      </c>
      <c r="AJ280" s="48" t="s">
        <v>375</v>
      </c>
      <c r="AK280" s="48" t="s">
        <v>375</v>
      </c>
      <c r="AL280" s="48" t="s">
        <v>320</v>
      </c>
    </row>
    <row r="281" spans="1:45" hidden="1" x14ac:dyDescent="0.25">
      <c r="A281">
        <v>280</v>
      </c>
      <c r="B281">
        <v>2025</v>
      </c>
      <c r="C281">
        <v>6</v>
      </c>
      <c r="D281" t="s">
        <v>140</v>
      </c>
      <c r="E281">
        <v>31</v>
      </c>
      <c r="F281">
        <v>5</v>
      </c>
      <c r="G281" t="s">
        <v>431</v>
      </c>
      <c r="H281" s="48">
        <v>0.81805555555555554</v>
      </c>
      <c r="I281" s="48">
        <v>0.7895833333333333</v>
      </c>
      <c r="J281" s="48">
        <v>0.87986111111111109</v>
      </c>
      <c r="K281" s="48">
        <v>0.97083333333333321</v>
      </c>
      <c r="L281" s="48">
        <v>0.85416666666666663</v>
      </c>
      <c r="M281" s="48">
        <v>0.76111111111111107</v>
      </c>
      <c r="N281" s="48" t="s">
        <v>320</v>
      </c>
      <c r="O281" s="48">
        <v>1.1145833333333333</v>
      </c>
      <c r="P281" s="48">
        <v>0.83125000000000004</v>
      </c>
      <c r="Q281" s="48">
        <v>0.87291666666666667</v>
      </c>
      <c r="R281" s="48">
        <v>0.89305555555555549</v>
      </c>
      <c r="S281" s="48">
        <v>0.89375000000000004</v>
      </c>
      <c r="T281" s="48">
        <v>0.7416666666666667</v>
      </c>
      <c r="U281" s="48">
        <v>0.75</v>
      </c>
      <c r="V281" s="48">
        <v>0.82638888888888884</v>
      </c>
      <c r="W281" s="48">
        <v>0.74305555555555558</v>
      </c>
      <c r="X281" s="48">
        <v>0.89583333333333326</v>
      </c>
      <c r="Y281" s="48">
        <v>0.91666666666666674</v>
      </c>
      <c r="Z281" s="48">
        <v>1</v>
      </c>
      <c r="AA281" s="48">
        <v>0.73888888888888893</v>
      </c>
      <c r="AB281" s="48">
        <v>0.96111111111111103</v>
      </c>
      <c r="AC281" s="48">
        <v>0.9375</v>
      </c>
      <c r="AD281" s="48">
        <v>0.75</v>
      </c>
      <c r="AE281" s="48">
        <v>0.61458333333333326</v>
      </c>
      <c r="AF281" s="48">
        <v>0.75</v>
      </c>
      <c r="AG281" s="48">
        <v>0.85416666666666674</v>
      </c>
      <c r="AH281" s="48">
        <v>0.75</v>
      </c>
      <c r="AI281" s="48">
        <v>0.5625</v>
      </c>
      <c r="AJ281" s="48">
        <v>1.0208333333333333</v>
      </c>
      <c r="AK281" s="48">
        <v>0.875</v>
      </c>
      <c r="AL281" s="48" t="s">
        <v>320</v>
      </c>
      <c r="AM281">
        <v>29</v>
      </c>
      <c r="AO281">
        <v>89.499999999999986</v>
      </c>
    </row>
    <row r="282" spans="1:45" hidden="1" x14ac:dyDescent="0.25">
      <c r="A282">
        <v>281</v>
      </c>
      <c r="B282">
        <v>2025</v>
      </c>
      <c r="C282">
        <v>6</v>
      </c>
      <c r="D282" t="s">
        <v>140</v>
      </c>
      <c r="E282">
        <v>31</v>
      </c>
      <c r="F282">
        <v>5</v>
      </c>
      <c r="G282" t="s">
        <v>432</v>
      </c>
      <c r="H282" s="48">
        <v>374307</v>
      </c>
      <c r="I282" s="48">
        <v>374772</v>
      </c>
      <c r="J282" s="48">
        <v>375060</v>
      </c>
      <c r="K282" s="48">
        <v>375343</v>
      </c>
      <c r="L282" s="48">
        <v>375628</v>
      </c>
      <c r="M282" s="48">
        <v>375794</v>
      </c>
      <c r="N282" s="48" t="s">
        <v>320</v>
      </c>
      <c r="O282" s="48">
        <v>376143</v>
      </c>
      <c r="P282" s="48">
        <v>376673</v>
      </c>
      <c r="Q282" s="48">
        <v>376975</v>
      </c>
      <c r="R282" s="48">
        <v>377302</v>
      </c>
      <c r="S282" s="48">
        <v>377505</v>
      </c>
      <c r="T282" s="48">
        <v>377929</v>
      </c>
      <c r="U282" s="48">
        <v>378118</v>
      </c>
      <c r="V282" s="48">
        <v>378407</v>
      </c>
      <c r="W282" s="48">
        <v>378877</v>
      </c>
      <c r="X282" s="48">
        <v>378974</v>
      </c>
      <c r="Y282" s="48">
        <v>379721</v>
      </c>
      <c r="Z282" s="48">
        <v>380077</v>
      </c>
      <c r="AA282" s="48">
        <v>380257</v>
      </c>
      <c r="AB282" s="48">
        <v>380526</v>
      </c>
      <c r="AC282" s="48">
        <v>380887</v>
      </c>
      <c r="AD282" s="48">
        <v>381386</v>
      </c>
      <c r="AE282" s="48">
        <v>381561</v>
      </c>
      <c r="AF282" s="48">
        <v>382172</v>
      </c>
      <c r="AG282" s="48">
        <v>382428</v>
      </c>
      <c r="AH282" s="48">
        <v>382766</v>
      </c>
      <c r="AI282" s="48">
        <v>382842</v>
      </c>
      <c r="AJ282" s="48">
        <v>383260</v>
      </c>
      <c r="AK282" s="48">
        <v>383617</v>
      </c>
      <c r="AL282" s="48" t="s">
        <v>320</v>
      </c>
    </row>
    <row r="283" spans="1:45" hidden="1" x14ac:dyDescent="0.25">
      <c r="A283">
        <v>282</v>
      </c>
      <c r="B283">
        <v>2025</v>
      </c>
      <c r="C283">
        <v>6</v>
      </c>
      <c r="D283" t="s">
        <v>140</v>
      </c>
      <c r="E283">
        <v>31</v>
      </c>
      <c r="F283">
        <v>5</v>
      </c>
      <c r="G283" t="s">
        <v>433</v>
      </c>
      <c r="H283" s="48">
        <v>374722</v>
      </c>
      <c r="I283" s="48">
        <v>375009</v>
      </c>
      <c r="J283" s="48">
        <v>375310</v>
      </c>
      <c r="K283" s="48">
        <v>375598</v>
      </c>
      <c r="L283" s="48">
        <v>375773</v>
      </c>
      <c r="M283" s="48">
        <v>376094</v>
      </c>
      <c r="N283" s="48" t="s">
        <v>320</v>
      </c>
      <c r="O283" s="48">
        <v>376602</v>
      </c>
      <c r="P283" s="48">
        <v>376940</v>
      </c>
      <c r="Q283" s="48">
        <v>377250</v>
      </c>
      <c r="R283" s="48">
        <v>377473</v>
      </c>
      <c r="S283" s="48">
        <v>377916</v>
      </c>
      <c r="T283" s="48">
        <v>378095</v>
      </c>
      <c r="U283" s="48">
        <v>378407</v>
      </c>
      <c r="V283" s="48">
        <v>378827</v>
      </c>
      <c r="W283" s="48">
        <v>378962</v>
      </c>
      <c r="X283" s="48">
        <v>379577</v>
      </c>
      <c r="Y283" s="48">
        <v>380038</v>
      </c>
      <c r="Z283" s="48">
        <v>380207</v>
      </c>
      <c r="AA283" s="48">
        <v>380450</v>
      </c>
      <c r="AB283" s="48">
        <v>380847</v>
      </c>
      <c r="AC283" s="48">
        <v>381336</v>
      </c>
      <c r="AD283" s="48">
        <v>381537</v>
      </c>
      <c r="AE283" s="48">
        <v>382172</v>
      </c>
      <c r="AF283" s="48">
        <v>382389</v>
      </c>
      <c r="AG283" s="48">
        <v>382715</v>
      </c>
      <c r="AH283" s="48">
        <v>382823</v>
      </c>
      <c r="AI283" s="48">
        <v>383220</v>
      </c>
      <c r="AJ283" s="48">
        <v>383590</v>
      </c>
      <c r="AK283" s="48">
        <v>383867</v>
      </c>
      <c r="AL283" s="48" t="s">
        <v>320</v>
      </c>
      <c r="AP283">
        <v>1012.68</v>
      </c>
      <c r="AQ283">
        <v>12</v>
      </c>
      <c r="AS283">
        <v>8439</v>
      </c>
    </row>
    <row r="284" spans="1:45" hidden="1" x14ac:dyDescent="0.25">
      <c r="A284">
        <v>283</v>
      </c>
      <c r="B284">
        <v>2025</v>
      </c>
      <c r="C284">
        <v>6</v>
      </c>
      <c r="D284" t="s">
        <v>166</v>
      </c>
      <c r="E284">
        <v>31</v>
      </c>
      <c r="F284">
        <v>5</v>
      </c>
      <c r="G284" t="s">
        <v>430</v>
      </c>
      <c r="H284" s="48" t="s">
        <v>375</v>
      </c>
      <c r="I284" s="48" t="s">
        <v>375</v>
      </c>
      <c r="J284" s="48" t="s">
        <v>375</v>
      </c>
      <c r="K284" s="48" t="s">
        <v>375</v>
      </c>
      <c r="L284" s="48" t="s">
        <v>375</v>
      </c>
      <c r="M284" s="48" t="s">
        <v>320</v>
      </c>
      <c r="N284" s="48" t="s">
        <v>320</v>
      </c>
      <c r="O284" s="48" t="s">
        <v>375</v>
      </c>
      <c r="P284" s="48" t="s">
        <v>375</v>
      </c>
      <c r="Q284" s="48" t="s">
        <v>375</v>
      </c>
      <c r="R284" s="48" t="s">
        <v>375</v>
      </c>
      <c r="S284" s="48" t="s">
        <v>375</v>
      </c>
      <c r="T284" s="48" t="s">
        <v>375</v>
      </c>
      <c r="U284" s="48" t="s">
        <v>375</v>
      </c>
      <c r="V284" s="48" t="s">
        <v>375</v>
      </c>
      <c r="W284" s="48" t="s">
        <v>375</v>
      </c>
      <c r="X284" s="48" t="s">
        <v>375</v>
      </c>
      <c r="Y284" s="48" t="s">
        <v>375</v>
      </c>
      <c r="Z284" s="48" t="s">
        <v>375</v>
      </c>
      <c r="AA284" s="48" t="s">
        <v>375</v>
      </c>
      <c r="AB284" s="48" t="s">
        <v>375</v>
      </c>
      <c r="AC284" s="48" t="s">
        <v>320</v>
      </c>
      <c r="AD284" s="48" t="s">
        <v>375</v>
      </c>
      <c r="AE284" s="48" t="s">
        <v>375</v>
      </c>
      <c r="AF284" s="48" t="s">
        <v>375</v>
      </c>
      <c r="AG284" s="48" t="s">
        <v>375</v>
      </c>
      <c r="AH284" s="48" t="s">
        <v>375</v>
      </c>
      <c r="AI284" s="48" t="s">
        <v>375</v>
      </c>
      <c r="AJ284" s="48" t="s">
        <v>375</v>
      </c>
      <c r="AK284" s="48" t="s">
        <v>375</v>
      </c>
      <c r="AL284" s="48" t="s">
        <v>320</v>
      </c>
    </row>
    <row r="285" spans="1:45" hidden="1" x14ac:dyDescent="0.25">
      <c r="A285">
        <v>284</v>
      </c>
      <c r="B285">
        <v>2025</v>
      </c>
      <c r="C285">
        <v>6</v>
      </c>
      <c r="D285" t="s">
        <v>166</v>
      </c>
      <c r="E285">
        <v>31</v>
      </c>
      <c r="F285">
        <v>5</v>
      </c>
      <c r="G285" t="s">
        <v>431</v>
      </c>
      <c r="H285" s="48">
        <v>0.75</v>
      </c>
      <c r="I285" s="48">
        <v>0.79166666666666674</v>
      </c>
      <c r="J285" s="48">
        <v>0.75</v>
      </c>
      <c r="K285" s="48">
        <v>0.79166666666666674</v>
      </c>
      <c r="L285" s="48">
        <v>0.75</v>
      </c>
      <c r="M285" s="48" t="s">
        <v>320</v>
      </c>
      <c r="N285" s="48" t="s">
        <v>320</v>
      </c>
      <c r="O285" s="48">
        <v>0.75</v>
      </c>
      <c r="P285" s="48">
        <v>0.83333333333333326</v>
      </c>
      <c r="Q285" s="48">
        <v>0.79166666666666674</v>
      </c>
      <c r="R285" s="48">
        <v>0.83333333333333326</v>
      </c>
      <c r="S285" s="48">
        <v>0.83333333333333326</v>
      </c>
      <c r="T285" s="48">
        <v>0.83333333333333326</v>
      </c>
      <c r="U285" s="48">
        <v>0.79166666666666674</v>
      </c>
      <c r="V285" s="48">
        <v>0.75</v>
      </c>
      <c r="W285" s="48">
        <v>0.875</v>
      </c>
      <c r="X285" s="48">
        <v>0.95833333333333326</v>
      </c>
      <c r="Y285" s="48">
        <v>0.83333333333333326</v>
      </c>
      <c r="Z285" s="48">
        <v>0.83333333333333326</v>
      </c>
      <c r="AA285" s="48">
        <v>0.83333333333333326</v>
      </c>
      <c r="AB285" s="48">
        <v>0.83333333333333326</v>
      </c>
      <c r="AC285" s="48" t="s">
        <v>320</v>
      </c>
      <c r="AD285" s="48">
        <v>1</v>
      </c>
      <c r="AE285" s="48">
        <v>0.875</v>
      </c>
      <c r="AF285" s="48">
        <v>0.83333333333333326</v>
      </c>
      <c r="AG285" s="48">
        <v>0.83333333333333326</v>
      </c>
      <c r="AH285" s="48">
        <v>0.83333333333333326</v>
      </c>
      <c r="AI285" s="48">
        <v>0.79166666666666674</v>
      </c>
      <c r="AJ285" s="48">
        <v>0.83333333333333326</v>
      </c>
      <c r="AK285" s="48">
        <v>0.875</v>
      </c>
      <c r="AL285" s="48" t="s">
        <v>320</v>
      </c>
      <c r="AM285">
        <v>27</v>
      </c>
      <c r="AO285">
        <v>48.999999999999957</v>
      </c>
    </row>
    <row r="286" spans="1:45" hidden="1" x14ac:dyDescent="0.25">
      <c r="A286">
        <v>285</v>
      </c>
      <c r="B286">
        <v>2025</v>
      </c>
      <c r="C286">
        <v>6</v>
      </c>
      <c r="D286" t="s">
        <v>166</v>
      </c>
      <c r="E286">
        <v>31</v>
      </c>
      <c r="F286">
        <v>5</v>
      </c>
      <c r="G286" t="s">
        <v>432</v>
      </c>
      <c r="H286" s="48">
        <v>264848</v>
      </c>
      <c r="I286" s="48">
        <v>264889</v>
      </c>
      <c r="J286" s="48">
        <v>264937</v>
      </c>
      <c r="K286" s="48">
        <v>264945</v>
      </c>
      <c r="L286" s="48">
        <v>264994</v>
      </c>
      <c r="M286" s="48" t="s">
        <v>320</v>
      </c>
      <c r="N286" s="48" t="s">
        <v>320</v>
      </c>
      <c r="O286" s="48">
        <v>265045</v>
      </c>
      <c r="P286" s="48">
        <v>265084</v>
      </c>
      <c r="Q286" s="48">
        <v>265192</v>
      </c>
      <c r="R286" s="48">
        <v>265264</v>
      </c>
      <c r="S286" s="48">
        <v>265335</v>
      </c>
      <c r="T286" s="48">
        <v>265394</v>
      </c>
      <c r="U286" s="48">
        <v>265478</v>
      </c>
      <c r="V286" s="48">
        <v>265553</v>
      </c>
      <c r="W286" s="48">
        <v>265583</v>
      </c>
      <c r="X286" s="48">
        <v>265636</v>
      </c>
      <c r="Y286" s="48">
        <v>265695</v>
      </c>
      <c r="Z286" s="48">
        <v>265773</v>
      </c>
      <c r="AA286" s="48">
        <v>265828</v>
      </c>
      <c r="AB286" s="48">
        <v>265893</v>
      </c>
      <c r="AC286" s="48" t="s">
        <v>320</v>
      </c>
      <c r="AD286" s="48">
        <v>265974</v>
      </c>
      <c r="AE286" s="48">
        <v>266045</v>
      </c>
      <c r="AF286" s="48">
        <v>266103</v>
      </c>
      <c r="AG286" s="48">
        <v>266162</v>
      </c>
      <c r="AH286" s="48">
        <v>266245</v>
      </c>
      <c r="AI286" s="48">
        <v>266289</v>
      </c>
      <c r="AJ286" s="48">
        <v>266376</v>
      </c>
      <c r="AK286" s="48">
        <v>266430</v>
      </c>
      <c r="AL286" s="48" t="s">
        <v>320</v>
      </c>
    </row>
    <row r="287" spans="1:45" hidden="1" x14ac:dyDescent="0.25">
      <c r="A287">
        <v>286</v>
      </c>
      <c r="B287">
        <v>2025</v>
      </c>
      <c r="C287">
        <v>6</v>
      </c>
      <c r="D287" t="s">
        <v>166</v>
      </c>
      <c r="E287">
        <v>31</v>
      </c>
      <c r="F287">
        <v>5</v>
      </c>
      <c r="G287" t="s">
        <v>433</v>
      </c>
      <c r="H287" s="48">
        <v>264889</v>
      </c>
      <c r="I287" s="48">
        <v>264937</v>
      </c>
      <c r="J287" s="48">
        <v>264945</v>
      </c>
      <c r="K287" s="48">
        <v>264994</v>
      </c>
      <c r="L287" s="48">
        <v>265045</v>
      </c>
      <c r="M287" s="48" t="s">
        <v>320</v>
      </c>
      <c r="N287" s="48" t="s">
        <v>320</v>
      </c>
      <c r="O287" s="48">
        <v>265084</v>
      </c>
      <c r="P287" s="48">
        <v>265192</v>
      </c>
      <c r="Q287" s="48">
        <v>265264</v>
      </c>
      <c r="R287" s="48">
        <v>265335</v>
      </c>
      <c r="S287" s="48">
        <v>265394</v>
      </c>
      <c r="T287" s="48">
        <v>265478</v>
      </c>
      <c r="U287" s="48">
        <v>265553</v>
      </c>
      <c r="V287" s="48">
        <v>265583</v>
      </c>
      <c r="W287" s="48">
        <v>265636</v>
      </c>
      <c r="X287" s="48">
        <v>265695</v>
      </c>
      <c r="Y287" s="48">
        <v>265773</v>
      </c>
      <c r="Z287" s="48">
        <v>265828</v>
      </c>
      <c r="AA287" s="48">
        <v>265893</v>
      </c>
      <c r="AB287" s="48">
        <v>265974</v>
      </c>
      <c r="AC287" s="48" t="s">
        <v>320</v>
      </c>
      <c r="AD287" s="48">
        <v>266045</v>
      </c>
      <c r="AE287" s="48">
        <v>266103</v>
      </c>
      <c r="AF287" s="48">
        <v>266162</v>
      </c>
      <c r="AG287" s="48">
        <v>266245</v>
      </c>
      <c r="AH287" s="48">
        <v>266289</v>
      </c>
      <c r="AI287" s="48">
        <v>266376</v>
      </c>
      <c r="AJ287" s="48">
        <v>266430</v>
      </c>
      <c r="AK287" s="48">
        <v>266512</v>
      </c>
      <c r="AL287" s="48" t="s">
        <v>320</v>
      </c>
      <c r="AP287">
        <v>249.6</v>
      </c>
      <c r="AQ287">
        <v>15</v>
      </c>
      <c r="AS287">
        <v>1664</v>
      </c>
    </row>
    <row r="288" spans="1:45" hidden="1" x14ac:dyDescent="0.25">
      <c r="A288">
        <v>287</v>
      </c>
      <c r="B288">
        <v>2025</v>
      </c>
      <c r="C288">
        <v>6</v>
      </c>
      <c r="D288" t="s">
        <v>144</v>
      </c>
      <c r="E288">
        <v>31</v>
      </c>
      <c r="F288">
        <v>5</v>
      </c>
      <c r="G288" t="s">
        <v>430</v>
      </c>
      <c r="H288" s="48" t="s">
        <v>375</v>
      </c>
      <c r="I288" s="48" t="s">
        <v>375</v>
      </c>
      <c r="J288" s="48" t="s">
        <v>375</v>
      </c>
      <c r="K288" s="48" t="s">
        <v>375</v>
      </c>
      <c r="L288" s="48" t="s">
        <v>375</v>
      </c>
      <c r="M288" s="48" t="s">
        <v>320</v>
      </c>
      <c r="N288" s="48" t="s">
        <v>375</v>
      </c>
      <c r="O288" s="48" t="s">
        <v>375</v>
      </c>
      <c r="P288" s="48" t="s">
        <v>375</v>
      </c>
      <c r="Q288" s="48" t="s">
        <v>375</v>
      </c>
      <c r="R288" s="48" t="s">
        <v>375</v>
      </c>
      <c r="S288" s="48" t="s">
        <v>375</v>
      </c>
      <c r="T288" s="48" t="s">
        <v>375</v>
      </c>
      <c r="U288" s="48" t="s">
        <v>375</v>
      </c>
      <c r="V288" s="48" t="s">
        <v>375</v>
      </c>
      <c r="W288" s="48" t="s">
        <v>375</v>
      </c>
      <c r="X288" s="48" t="s">
        <v>375</v>
      </c>
      <c r="Y288" s="48" t="s">
        <v>375</v>
      </c>
      <c r="Z288" s="48" t="s">
        <v>375</v>
      </c>
      <c r="AA288" s="48" t="s">
        <v>375</v>
      </c>
      <c r="AB288" s="48" t="s">
        <v>375</v>
      </c>
      <c r="AC288" s="48" t="s">
        <v>320</v>
      </c>
      <c r="AD288" s="48" t="s">
        <v>375</v>
      </c>
      <c r="AE288" s="48" t="s">
        <v>375</v>
      </c>
      <c r="AF288" s="48" t="s">
        <v>375</v>
      </c>
      <c r="AG288" s="48" t="s">
        <v>375</v>
      </c>
      <c r="AH288" s="48" t="s">
        <v>375</v>
      </c>
      <c r="AI288" s="48" t="s">
        <v>375</v>
      </c>
      <c r="AJ288" s="48" t="s">
        <v>375</v>
      </c>
      <c r="AK288" s="48" t="s">
        <v>375</v>
      </c>
      <c r="AL288" s="48" t="s">
        <v>320</v>
      </c>
    </row>
    <row r="289" spans="1:45" hidden="1" x14ac:dyDescent="0.25">
      <c r="A289">
        <v>288</v>
      </c>
      <c r="B289">
        <v>2025</v>
      </c>
      <c r="C289">
        <v>6</v>
      </c>
      <c r="D289" t="s">
        <v>144</v>
      </c>
      <c r="E289">
        <v>31</v>
      </c>
      <c r="F289">
        <v>5</v>
      </c>
      <c r="G289" t="s">
        <v>431</v>
      </c>
      <c r="H289" s="48" t="s">
        <v>406</v>
      </c>
      <c r="I289" s="48" t="s">
        <v>406</v>
      </c>
      <c r="J289" s="48" t="s">
        <v>406</v>
      </c>
      <c r="K289" s="48" t="s">
        <v>406</v>
      </c>
      <c r="L289" s="48" t="s">
        <v>406</v>
      </c>
      <c r="M289" s="48" t="s">
        <v>320</v>
      </c>
      <c r="N289" s="48">
        <v>0.75</v>
      </c>
      <c r="O289" s="48" t="s">
        <v>406</v>
      </c>
      <c r="P289" s="48" t="s">
        <v>406</v>
      </c>
      <c r="Q289" s="48" t="s">
        <v>406</v>
      </c>
      <c r="R289" s="48" t="s">
        <v>406</v>
      </c>
      <c r="S289" s="48" t="s">
        <v>406</v>
      </c>
      <c r="T289" s="48" t="s">
        <v>406</v>
      </c>
      <c r="U289" s="48" t="s">
        <v>406</v>
      </c>
      <c r="V289" s="48" t="s">
        <v>406</v>
      </c>
      <c r="W289" s="48" t="s">
        <v>406</v>
      </c>
      <c r="X289" s="48" t="s">
        <v>406</v>
      </c>
      <c r="Y289" s="48" t="s">
        <v>406</v>
      </c>
      <c r="Z289" s="48" t="s">
        <v>406</v>
      </c>
      <c r="AA289" s="48" t="s">
        <v>406</v>
      </c>
      <c r="AB289" s="48" t="s">
        <v>406</v>
      </c>
      <c r="AC289" s="48" t="s">
        <v>320</v>
      </c>
      <c r="AD289" s="48" t="s">
        <v>406</v>
      </c>
      <c r="AE289" s="48" t="s">
        <v>406</v>
      </c>
      <c r="AF289" s="48" t="s">
        <v>406</v>
      </c>
      <c r="AG289" s="48" t="s">
        <v>406</v>
      </c>
      <c r="AH289" s="48" t="s">
        <v>406</v>
      </c>
      <c r="AI289" s="48" t="s">
        <v>406</v>
      </c>
      <c r="AJ289" s="48" t="s">
        <v>406</v>
      </c>
      <c r="AK289" s="48" t="s">
        <v>406</v>
      </c>
      <c r="AL289" s="48" t="s">
        <v>320</v>
      </c>
      <c r="AM289">
        <v>-15</v>
      </c>
      <c r="AN289">
        <v>35</v>
      </c>
      <c r="AR289" t="s">
        <v>339</v>
      </c>
    </row>
    <row r="290" spans="1:45" hidden="1" x14ac:dyDescent="0.25">
      <c r="A290">
        <v>289</v>
      </c>
      <c r="B290">
        <v>2025</v>
      </c>
      <c r="C290">
        <v>6</v>
      </c>
      <c r="D290" t="s">
        <v>144</v>
      </c>
      <c r="E290">
        <v>31</v>
      </c>
      <c r="F290">
        <v>5</v>
      </c>
      <c r="G290" t="s">
        <v>432</v>
      </c>
      <c r="H290" s="48">
        <v>355850</v>
      </c>
      <c r="I290" s="48">
        <v>355914</v>
      </c>
      <c r="J290" s="48">
        <v>355990</v>
      </c>
      <c r="K290" s="48">
        <v>356041</v>
      </c>
      <c r="L290" s="48">
        <v>356140</v>
      </c>
      <c r="M290" s="48" t="s">
        <v>320</v>
      </c>
      <c r="N290" s="48">
        <v>356531</v>
      </c>
      <c r="O290" s="48">
        <v>356711</v>
      </c>
      <c r="P290" s="48">
        <v>356761</v>
      </c>
      <c r="Q290" s="48">
        <v>356813</v>
      </c>
      <c r="R290" s="48">
        <v>356881</v>
      </c>
      <c r="S290" s="48">
        <v>357040</v>
      </c>
      <c r="T290" s="48">
        <v>357226</v>
      </c>
      <c r="U290" s="48">
        <v>357325</v>
      </c>
      <c r="V290" s="48">
        <v>357384</v>
      </c>
      <c r="W290" s="48">
        <v>357691</v>
      </c>
      <c r="X290" s="48">
        <v>357815</v>
      </c>
      <c r="Y290" s="48">
        <v>357911</v>
      </c>
      <c r="Z290" s="48">
        <v>358007</v>
      </c>
      <c r="AA290" s="48">
        <v>358080</v>
      </c>
      <c r="AB290" s="48">
        <v>358163</v>
      </c>
      <c r="AC290" s="48" t="s">
        <v>320</v>
      </c>
      <c r="AD290" s="48">
        <v>358466</v>
      </c>
      <c r="AE290" s="48">
        <v>358637</v>
      </c>
      <c r="AF290" s="48">
        <v>358701</v>
      </c>
      <c r="AG290" s="48">
        <v>358773</v>
      </c>
      <c r="AH290" s="48">
        <v>358855</v>
      </c>
      <c r="AI290" s="48">
        <v>358938</v>
      </c>
      <c r="AJ290" s="48">
        <v>359022</v>
      </c>
      <c r="AK290" s="48">
        <v>359102</v>
      </c>
      <c r="AL290" s="48" t="s">
        <v>320</v>
      </c>
    </row>
    <row r="291" spans="1:45" hidden="1" x14ac:dyDescent="0.25">
      <c r="A291">
        <v>290</v>
      </c>
      <c r="B291">
        <v>2025</v>
      </c>
      <c r="C291">
        <v>6</v>
      </c>
      <c r="D291" t="s">
        <v>144</v>
      </c>
      <c r="E291">
        <v>31</v>
      </c>
      <c r="F291">
        <v>5</v>
      </c>
      <c r="G291" t="s">
        <v>433</v>
      </c>
      <c r="H291" s="48">
        <v>355914</v>
      </c>
      <c r="I291" s="48">
        <v>355990</v>
      </c>
      <c r="J291" s="48">
        <v>356041</v>
      </c>
      <c r="K291" s="48">
        <v>356140</v>
      </c>
      <c r="L291" s="48">
        <v>356345</v>
      </c>
      <c r="M291" s="48" t="s">
        <v>320</v>
      </c>
      <c r="N291" s="48">
        <v>356593</v>
      </c>
      <c r="O291" s="48">
        <v>356759</v>
      </c>
      <c r="P291" s="48">
        <v>356813</v>
      </c>
      <c r="Q291" s="48">
        <v>356880</v>
      </c>
      <c r="R291" s="48">
        <v>357034</v>
      </c>
      <c r="S291" s="48">
        <v>357226</v>
      </c>
      <c r="T291" s="48">
        <v>357324</v>
      </c>
      <c r="U291" s="48">
        <v>357384</v>
      </c>
      <c r="V291" s="48">
        <v>357690</v>
      </c>
      <c r="W291" s="48">
        <v>357815</v>
      </c>
      <c r="X291" s="48">
        <v>357911</v>
      </c>
      <c r="Y291" s="48">
        <v>358000</v>
      </c>
      <c r="Z291" s="48">
        <v>358080</v>
      </c>
      <c r="AA291" s="48">
        <v>358163</v>
      </c>
      <c r="AB291" s="48">
        <v>358298</v>
      </c>
      <c r="AC291" s="48" t="s">
        <v>320</v>
      </c>
      <c r="AD291" s="48">
        <v>358636</v>
      </c>
      <c r="AE291" s="48">
        <v>358701</v>
      </c>
      <c r="AF291" s="48">
        <v>358772</v>
      </c>
      <c r="AG291" s="48">
        <v>358854</v>
      </c>
      <c r="AH291" s="48">
        <v>358938</v>
      </c>
      <c r="AI291" s="48">
        <v>359022</v>
      </c>
      <c r="AJ291" s="48">
        <v>359102</v>
      </c>
      <c r="AK291" s="48">
        <v>359190</v>
      </c>
      <c r="AL291" s="48" t="s">
        <v>320</v>
      </c>
      <c r="AP291">
        <v>427.05</v>
      </c>
      <c r="AQ291">
        <v>15</v>
      </c>
      <c r="AS291">
        <v>2847</v>
      </c>
    </row>
    <row r="292" spans="1:45" hidden="1" x14ac:dyDescent="0.25">
      <c r="A292">
        <v>291</v>
      </c>
      <c r="B292">
        <v>2025</v>
      </c>
      <c r="C292">
        <v>6</v>
      </c>
      <c r="D292" t="s">
        <v>159</v>
      </c>
      <c r="E292">
        <v>31</v>
      </c>
      <c r="F292">
        <v>5</v>
      </c>
      <c r="G292" t="s">
        <v>430</v>
      </c>
      <c r="H292" s="48" t="s">
        <v>375</v>
      </c>
      <c r="I292" s="48" t="s">
        <v>375</v>
      </c>
      <c r="J292" s="48" t="s">
        <v>375</v>
      </c>
      <c r="K292" s="48" t="s">
        <v>375</v>
      </c>
      <c r="L292" s="48" t="s">
        <v>375</v>
      </c>
      <c r="M292" s="48" t="s">
        <v>320</v>
      </c>
      <c r="N292" s="48" t="s">
        <v>320</v>
      </c>
      <c r="O292" s="48" t="s">
        <v>375</v>
      </c>
      <c r="P292" s="48" t="s">
        <v>375</v>
      </c>
      <c r="Q292" s="48" t="s">
        <v>375</v>
      </c>
      <c r="R292" s="48" t="s">
        <v>375</v>
      </c>
      <c r="S292" s="48" t="s">
        <v>375</v>
      </c>
      <c r="T292" s="48" t="s">
        <v>375</v>
      </c>
      <c r="U292" s="48" t="s">
        <v>375</v>
      </c>
      <c r="V292" s="48" t="s">
        <v>375</v>
      </c>
      <c r="W292" s="48" t="s">
        <v>375</v>
      </c>
      <c r="X292" s="48" t="s">
        <v>375</v>
      </c>
      <c r="Y292" s="48" t="s">
        <v>375</v>
      </c>
      <c r="Z292" s="48" t="s">
        <v>375</v>
      </c>
      <c r="AA292" s="48" t="s">
        <v>375</v>
      </c>
      <c r="AB292" s="48" t="s">
        <v>375</v>
      </c>
      <c r="AC292" s="48" t="s">
        <v>320</v>
      </c>
      <c r="AD292" s="48" t="s">
        <v>375</v>
      </c>
      <c r="AE292" s="48" t="s">
        <v>375</v>
      </c>
      <c r="AF292" s="48" t="s">
        <v>375</v>
      </c>
      <c r="AG292" s="48" t="s">
        <v>375</v>
      </c>
      <c r="AH292" s="48" t="s">
        <v>375</v>
      </c>
      <c r="AI292" s="48" t="s">
        <v>375</v>
      </c>
      <c r="AJ292" s="48" t="s">
        <v>375</v>
      </c>
      <c r="AK292" s="48" t="s">
        <v>375</v>
      </c>
      <c r="AL292" s="48" t="s">
        <v>320</v>
      </c>
    </row>
    <row r="293" spans="1:45" hidden="1" x14ac:dyDescent="0.25">
      <c r="A293">
        <v>292</v>
      </c>
      <c r="B293">
        <v>2025</v>
      </c>
      <c r="C293">
        <v>6</v>
      </c>
      <c r="D293" t="s">
        <v>159</v>
      </c>
      <c r="E293">
        <v>31</v>
      </c>
      <c r="F293">
        <v>5</v>
      </c>
      <c r="G293" t="s">
        <v>431</v>
      </c>
      <c r="H293" s="48" t="s">
        <v>376</v>
      </c>
      <c r="I293" s="48" t="s">
        <v>376</v>
      </c>
      <c r="J293" s="48" t="s">
        <v>376</v>
      </c>
      <c r="K293" s="48" t="s">
        <v>376</v>
      </c>
      <c r="L293" s="48" t="s">
        <v>376</v>
      </c>
      <c r="M293" s="48" t="s">
        <v>320</v>
      </c>
      <c r="N293" s="48" t="s">
        <v>320</v>
      </c>
      <c r="O293" s="48" t="s">
        <v>376</v>
      </c>
      <c r="P293" s="48" t="s">
        <v>376</v>
      </c>
      <c r="Q293" s="48" t="s">
        <v>376</v>
      </c>
      <c r="R293" s="48" t="s">
        <v>376</v>
      </c>
      <c r="S293" s="48" t="s">
        <v>376</v>
      </c>
      <c r="T293" s="48" t="s">
        <v>376</v>
      </c>
      <c r="U293" s="48" t="s">
        <v>376</v>
      </c>
      <c r="V293" s="48" t="s">
        <v>376</v>
      </c>
      <c r="W293" s="48" t="s">
        <v>376</v>
      </c>
      <c r="X293" s="48" t="s">
        <v>376</v>
      </c>
      <c r="Y293" s="48" t="s">
        <v>376</v>
      </c>
      <c r="Z293" s="48" t="s">
        <v>376</v>
      </c>
      <c r="AA293" s="48" t="s">
        <v>376</v>
      </c>
      <c r="AB293" s="48" t="s">
        <v>376</v>
      </c>
      <c r="AC293" s="48" t="s">
        <v>320</v>
      </c>
      <c r="AD293" s="48" t="s">
        <v>376</v>
      </c>
      <c r="AE293" s="48" t="s">
        <v>376</v>
      </c>
      <c r="AF293" s="48" t="s">
        <v>376</v>
      </c>
      <c r="AG293" s="48" t="s">
        <v>376</v>
      </c>
      <c r="AH293" s="48" t="s">
        <v>376</v>
      </c>
      <c r="AI293" s="48" t="s">
        <v>376</v>
      </c>
      <c r="AJ293" s="48" t="s">
        <v>376</v>
      </c>
      <c r="AK293" s="48" t="s">
        <v>376</v>
      </c>
      <c r="AL293" s="48" t="s">
        <v>320</v>
      </c>
      <c r="AM293">
        <v>27</v>
      </c>
    </row>
    <row r="294" spans="1:45" hidden="1" x14ac:dyDescent="0.25">
      <c r="A294">
        <v>293</v>
      </c>
      <c r="B294">
        <v>2025</v>
      </c>
      <c r="C294">
        <v>6</v>
      </c>
      <c r="D294" t="s">
        <v>159</v>
      </c>
      <c r="E294">
        <v>31</v>
      </c>
      <c r="F294">
        <v>5</v>
      </c>
      <c r="G294" t="s">
        <v>432</v>
      </c>
      <c r="H294" s="48">
        <v>321770</v>
      </c>
      <c r="I294" s="48">
        <v>321826</v>
      </c>
      <c r="J294" s="48">
        <v>321867</v>
      </c>
      <c r="K294" s="48">
        <v>321889</v>
      </c>
      <c r="L294" s="48">
        <v>321923</v>
      </c>
      <c r="M294" s="48" t="s">
        <v>320</v>
      </c>
      <c r="N294" s="48" t="s">
        <v>320</v>
      </c>
      <c r="O294" s="48">
        <v>322737</v>
      </c>
      <c r="P294" s="48">
        <v>322778</v>
      </c>
      <c r="Q294" s="48">
        <v>322830</v>
      </c>
      <c r="R294" s="48">
        <v>322860</v>
      </c>
      <c r="S294" s="48">
        <v>322948</v>
      </c>
      <c r="T294" s="48">
        <v>322997</v>
      </c>
      <c r="U294" s="48">
        <v>323041</v>
      </c>
      <c r="V294" s="48">
        <v>323204</v>
      </c>
      <c r="W294" s="48">
        <v>323230</v>
      </c>
      <c r="X294" s="48">
        <v>323264</v>
      </c>
      <c r="Y294" s="48">
        <v>323288</v>
      </c>
      <c r="Z294" s="48">
        <v>323326</v>
      </c>
      <c r="AA294" s="48">
        <v>323364</v>
      </c>
      <c r="AB294" s="48">
        <v>323403</v>
      </c>
      <c r="AC294" s="48" t="s">
        <v>320</v>
      </c>
      <c r="AD294" s="48">
        <v>323431</v>
      </c>
      <c r="AE294" s="48">
        <v>323621</v>
      </c>
      <c r="AF294" s="48">
        <v>323646</v>
      </c>
      <c r="AG294" s="48">
        <v>323685</v>
      </c>
      <c r="AH294" s="48">
        <v>323716</v>
      </c>
      <c r="AI294" s="48">
        <v>323862</v>
      </c>
      <c r="AJ294" s="48">
        <v>323893</v>
      </c>
      <c r="AK294" s="48">
        <v>323933</v>
      </c>
      <c r="AL294" s="48" t="s">
        <v>320</v>
      </c>
    </row>
    <row r="295" spans="1:45" hidden="1" x14ac:dyDescent="0.25">
      <c r="A295">
        <v>294</v>
      </c>
      <c r="B295">
        <v>2025</v>
      </c>
      <c r="C295">
        <v>6</v>
      </c>
      <c r="D295" t="s">
        <v>159</v>
      </c>
      <c r="E295">
        <v>31</v>
      </c>
      <c r="F295">
        <v>5</v>
      </c>
      <c r="G295" t="s">
        <v>433</v>
      </c>
      <c r="H295" s="48">
        <v>321826</v>
      </c>
      <c r="I295" s="48">
        <v>321864</v>
      </c>
      <c r="J295" s="48">
        <v>321889</v>
      </c>
      <c r="K295" s="48">
        <v>321923</v>
      </c>
      <c r="L295" s="48">
        <v>321990</v>
      </c>
      <c r="M295" s="48" t="s">
        <v>320</v>
      </c>
      <c r="N295" s="48" t="s">
        <v>320</v>
      </c>
      <c r="O295" s="48">
        <v>322778</v>
      </c>
      <c r="P295" s="48">
        <v>322830</v>
      </c>
      <c r="Q295" s="48">
        <v>322860</v>
      </c>
      <c r="R295" s="48">
        <v>322910</v>
      </c>
      <c r="S295" s="48">
        <v>322997</v>
      </c>
      <c r="T295" s="48">
        <v>323041</v>
      </c>
      <c r="U295" s="48">
        <v>323195</v>
      </c>
      <c r="V295" s="48">
        <v>323230</v>
      </c>
      <c r="W295" s="48">
        <v>323264</v>
      </c>
      <c r="X295" s="48">
        <v>323288</v>
      </c>
      <c r="Y295" s="48">
        <v>323326</v>
      </c>
      <c r="Z295" s="48">
        <v>323364</v>
      </c>
      <c r="AA295" s="48">
        <v>323403</v>
      </c>
      <c r="AB295" s="48">
        <v>323431</v>
      </c>
      <c r="AC295" s="48" t="s">
        <v>320</v>
      </c>
      <c r="AD295" s="48">
        <v>323621</v>
      </c>
      <c r="AE295" s="48">
        <v>323646</v>
      </c>
      <c r="AF295" s="48">
        <v>323685</v>
      </c>
      <c r="AG295" s="48">
        <v>323716</v>
      </c>
      <c r="AH295" s="48">
        <v>323862</v>
      </c>
      <c r="AI295" s="48">
        <v>323893</v>
      </c>
      <c r="AJ295" s="48">
        <v>323933</v>
      </c>
      <c r="AK295" s="48">
        <v>323963</v>
      </c>
      <c r="AL295" s="48" t="s">
        <v>320</v>
      </c>
      <c r="AP295">
        <v>418.8</v>
      </c>
      <c r="AQ295">
        <v>15</v>
      </c>
      <c r="AR295" t="s">
        <v>340</v>
      </c>
      <c r="AS295">
        <v>1396</v>
      </c>
    </row>
    <row r="296" spans="1:45" hidden="1" x14ac:dyDescent="0.25">
      <c r="A296">
        <v>295</v>
      </c>
      <c r="B296">
        <v>2025</v>
      </c>
      <c r="C296">
        <v>6</v>
      </c>
      <c r="D296" t="s">
        <v>156</v>
      </c>
      <c r="E296">
        <v>31</v>
      </c>
      <c r="F296">
        <v>5</v>
      </c>
      <c r="G296" t="s">
        <v>430</v>
      </c>
      <c r="H296" s="48" t="s">
        <v>382</v>
      </c>
      <c r="I296" s="48" t="s">
        <v>382</v>
      </c>
      <c r="J296" s="48" t="s">
        <v>382</v>
      </c>
      <c r="K296" s="48" t="s">
        <v>382</v>
      </c>
      <c r="L296" s="48" t="s">
        <v>382</v>
      </c>
      <c r="M296" s="48" t="s">
        <v>382</v>
      </c>
      <c r="N296" s="48" t="s">
        <v>382</v>
      </c>
      <c r="O296" s="48" t="s">
        <v>382</v>
      </c>
      <c r="P296" s="48" t="s">
        <v>382</v>
      </c>
      <c r="Q296" s="48" t="s">
        <v>382</v>
      </c>
      <c r="R296" s="48" t="s">
        <v>382</v>
      </c>
      <c r="S296" s="48" t="s">
        <v>382</v>
      </c>
      <c r="T296" s="48" t="s">
        <v>382</v>
      </c>
      <c r="U296" s="48" t="s">
        <v>382</v>
      </c>
      <c r="V296" s="48" t="s">
        <v>382</v>
      </c>
      <c r="W296" s="48" t="s">
        <v>382</v>
      </c>
      <c r="X296" s="48" t="s">
        <v>382</v>
      </c>
      <c r="Y296" s="48" t="s">
        <v>382</v>
      </c>
      <c r="Z296" s="48" t="s">
        <v>382</v>
      </c>
      <c r="AA296" s="48" t="s">
        <v>382</v>
      </c>
      <c r="AB296" s="48" t="s">
        <v>382</v>
      </c>
      <c r="AC296" s="48" t="s">
        <v>382</v>
      </c>
      <c r="AD296" s="48" t="s">
        <v>382</v>
      </c>
      <c r="AE296" s="48" t="s">
        <v>382</v>
      </c>
      <c r="AF296" s="48" t="s">
        <v>382</v>
      </c>
      <c r="AG296" s="48" t="s">
        <v>382</v>
      </c>
      <c r="AH296" s="48" t="s">
        <v>382</v>
      </c>
      <c r="AI296" s="48" t="s">
        <v>382</v>
      </c>
      <c r="AJ296" s="48" t="s">
        <v>382</v>
      </c>
      <c r="AK296" s="48" t="s">
        <v>382</v>
      </c>
      <c r="AL296" s="48" t="s">
        <v>320</v>
      </c>
    </row>
    <row r="297" spans="1:45" hidden="1" x14ac:dyDescent="0.25">
      <c r="A297">
        <v>296</v>
      </c>
      <c r="B297">
        <v>2025</v>
      </c>
      <c r="C297">
        <v>6</v>
      </c>
      <c r="D297" t="s">
        <v>156</v>
      </c>
      <c r="E297">
        <v>31</v>
      </c>
      <c r="F297">
        <v>5</v>
      </c>
      <c r="G297" t="s">
        <v>431</v>
      </c>
      <c r="H297" s="48">
        <v>0.66666666666666663</v>
      </c>
      <c r="I297" s="48">
        <v>0.66666666666666663</v>
      </c>
      <c r="J297" s="48">
        <v>0.66666666666666663</v>
      </c>
      <c r="K297" s="48">
        <v>0.66666666666666663</v>
      </c>
      <c r="L297" s="48">
        <v>0.66666666666666663</v>
      </c>
      <c r="M297" s="48">
        <v>0.66666666666666663</v>
      </c>
      <c r="N297" s="48">
        <v>0.66666666666666663</v>
      </c>
      <c r="O297" s="48">
        <v>0.66666666666666663</v>
      </c>
      <c r="P297" s="48">
        <v>0.66666666666666663</v>
      </c>
      <c r="Q297" s="48">
        <v>0.66666666666666663</v>
      </c>
      <c r="R297" s="48">
        <v>0.66666666666666663</v>
      </c>
      <c r="S297" s="48">
        <v>0.66666666666666663</v>
      </c>
      <c r="T297" s="48">
        <v>0.66666666666666663</v>
      </c>
      <c r="U297" s="48">
        <v>0.66666666666666663</v>
      </c>
      <c r="V297" s="48">
        <v>0.66666666666666663</v>
      </c>
      <c r="W297" s="48">
        <v>0.66666666666666663</v>
      </c>
      <c r="X297" s="48">
        <v>0.66666666666666663</v>
      </c>
      <c r="Y297" s="48">
        <v>0.66666666666666663</v>
      </c>
      <c r="Z297" s="48">
        <v>0.66666666666666663</v>
      </c>
      <c r="AA297" s="48">
        <v>0.66666666666666663</v>
      </c>
      <c r="AB297" s="48">
        <v>0.66666666666666663</v>
      </c>
      <c r="AC297" s="48">
        <v>0.66666666666666663</v>
      </c>
      <c r="AD297" s="48">
        <v>0.66666666666666663</v>
      </c>
      <c r="AE297" s="48">
        <v>0.66666666666666663</v>
      </c>
      <c r="AF297" s="48">
        <v>0.66666666666666663</v>
      </c>
      <c r="AG297" s="48">
        <v>0.66666666666666663</v>
      </c>
      <c r="AH297" s="48">
        <v>0.66666666666666663</v>
      </c>
      <c r="AI297" s="48">
        <v>0.66666666666666663</v>
      </c>
      <c r="AJ297" s="48">
        <v>0.66666666666666663</v>
      </c>
      <c r="AK297" s="48">
        <v>0.66666666666666663</v>
      </c>
      <c r="AL297" s="48" t="s">
        <v>320</v>
      </c>
      <c r="AM297">
        <v>30</v>
      </c>
    </row>
    <row r="298" spans="1:45" hidden="1" x14ac:dyDescent="0.25">
      <c r="A298">
        <v>297</v>
      </c>
      <c r="B298">
        <v>2025</v>
      </c>
      <c r="C298">
        <v>6</v>
      </c>
      <c r="D298" t="s">
        <v>156</v>
      </c>
      <c r="E298">
        <v>31</v>
      </c>
      <c r="F298">
        <v>5</v>
      </c>
      <c r="G298" t="s">
        <v>432</v>
      </c>
      <c r="H298" s="48" t="s">
        <v>320</v>
      </c>
      <c r="I298" s="48">
        <v>789789</v>
      </c>
      <c r="J298" s="48">
        <v>789968</v>
      </c>
      <c r="K298" s="48">
        <v>790255</v>
      </c>
      <c r="L298" s="48">
        <v>790426</v>
      </c>
      <c r="M298" s="48" t="s">
        <v>320</v>
      </c>
      <c r="N298" s="48" t="s">
        <v>320</v>
      </c>
      <c r="O298" s="48" t="s">
        <v>320</v>
      </c>
      <c r="P298" s="48">
        <v>790926</v>
      </c>
      <c r="Q298" s="48">
        <v>791106</v>
      </c>
      <c r="R298" s="48">
        <v>791256</v>
      </c>
      <c r="S298" s="48">
        <v>791436</v>
      </c>
      <c r="T298" s="48">
        <v>791592</v>
      </c>
      <c r="U298" s="48">
        <v>791772</v>
      </c>
      <c r="V298" s="48">
        <v>791873</v>
      </c>
      <c r="W298" s="48">
        <v>791934</v>
      </c>
      <c r="X298" s="48">
        <v>792114</v>
      </c>
      <c r="Y298" s="48">
        <v>792265</v>
      </c>
      <c r="Z298" s="48">
        <v>792556</v>
      </c>
      <c r="AA298" s="48">
        <v>792708</v>
      </c>
      <c r="AB298" s="48">
        <v>792886</v>
      </c>
      <c r="AC298" s="48">
        <v>793049</v>
      </c>
      <c r="AD298" s="48">
        <v>793180</v>
      </c>
      <c r="AE298" s="48">
        <v>793296</v>
      </c>
      <c r="AF298" s="48">
        <v>793447</v>
      </c>
      <c r="AG298" s="48">
        <v>793627</v>
      </c>
      <c r="AH298" s="48">
        <v>793806</v>
      </c>
      <c r="AI298" s="48">
        <v>793985</v>
      </c>
      <c r="AJ298" s="48">
        <v>794211</v>
      </c>
      <c r="AK298" s="48">
        <v>794302</v>
      </c>
      <c r="AL298" s="48" t="s">
        <v>320</v>
      </c>
    </row>
    <row r="299" spans="1:45" hidden="1" x14ac:dyDescent="0.25">
      <c r="A299">
        <v>298</v>
      </c>
      <c r="B299">
        <v>2025</v>
      </c>
      <c r="C299">
        <v>6</v>
      </c>
      <c r="D299" t="s">
        <v>156</v>
      </c>
      <c r="E299">
        <v>31</v>
      </c>
      <c r="F299">
        <v>5</v>
      </c>
      <c r="G299" t="s">
        <v>433</v>
      </c>
      <c r="H299" s="48" t="s">
        <v>320</v>
      </c>
      <c r="I299" s="48">
        <v>789968</v>
      </c>
      <c r="J299" s="48">
        <v>790255</v>
      </c>
      <c r="K299" s="48">
        <v>790426</v>
      </c>
      <c r="L299" s="48">
        <v>790606</v>
      </c>
      <c r="M299" s="48" t="s">
        <v>320</v>
      </c>
      <c r="N299" s="48" t="s">
        <v>320</v>
      </c>
      <c r="O299" s="48" t="s">
        <v>320</v>
      </c>
      <c r="P299" s="48">
        <v>791106</v>
      </c>
      <c r="Q299" s="48">
        <v>791256</v>
      </c>
      <c r="R299" s="48">
        <v>791436</v>
      </c>
      <c r="S299" s="48">
        <v>791592</v>
      </c>
      <c r="T299" s="48">
        <v>791772</v>
      </c>
      <c r="U299" s="48">
        <v>791873</v>
      </c>
      <c r="V299" s="48">
        <v>791934</v>
      </c>
      <c r="W299" s="48">
        <v>792114</v>
      </c>
      <c r="X299" s="48">
        <v>792265</v>
      </c>
      <c r="Y299" s="48">
        <v>792556</v>
      </c>
      <c r="Z299" s="48">
        <v>792708</v>
      </c>
      <c r="AA299" s="48">
        <v>792886</v>
      </c>
      <c r="AB299" s="48">
        <v>793049</v>
      </c>
      <c r="AC299" s="48">
        <v>793180</v>
      </c>
      <c r="AD299" s="48">
        <v>793296</v>
      </c>
      <c r="AE299" s="48">
        <v>793447</v>
      </c>
      <c r="AF299" s="48">
        <v>793627</v>
      </c>
      <c r="AG299" s="48">
        <v>793806</v>
      </c>
      <c r="AH299" s="48">
        <v>793985</v>
      </c>
      <c r="AI299" s="48">
        <v>794211</v>
      </c>
      <c r="AJ299" s="48">
        <v>794302</v>
      </c>
      <c r="AK299" s="48">
        <v>794490</v>
      </c>
      <c r="AL299" s="48" t="s">
        <v>320</v>
      </c>
      <c r="AP299">
        <v>788.58</v>
      </c>
      <c r="AQ299">
        <v>18</v>
      </c>
      <c r="AS299">
        <v>4381</v>
      </c>
    </row>
    <row r="300" spans="1:45" hidden="1" x14ac:dyDescent="0.25">
      <c r="A300">
        <v>299</v>
      </c>
      <c r="B300">
        <v>2025</v>
      </c>
      <c r="C300">
        <v>6</v>
      </c>
      <c r="D300" t="s">
        <v>164</v>
      </c>
      <c r="E300">
        <v>31</v>
      </c>
      <c r="F300">
        <v>5</v>
      </c>
      <c r="G300" t="s">
        <v>430</v>
      </c>
      <c r="H300" s="48" t="s">
        <v>375</v>
      </c>
      <c r="I300" s="48" t="s">
        <v>375</v>
      </c>
      <c r="J300" s="48" t="s">
        <v>375</v>
      </c>
      <c r="K300" s="48" t="s">
        <v>375</v>
      </c>
      <c r="L300" s="48" t="s">
        <v>375</v>
      </c>
      <c r="M300" s="48" t="s">
        <v>320</v>
      </c>
      <c r="N300" s="48" t="s">
        <v>375</v>
      </c>
      <c r="O300" s="48" t="s">
        <v>375</v>
      </c>
      <c r="P300" s="48" t="s">
        <v>375</v>
      </c>
      <c r="Q300" s="48" t="s">
        <v>375</v>
      </c>
      <c r="R300" s="48" t="s">
        <v>375</v>
      </c>
      <c r="S300" s="48" t="s">
        <v>375</v>
      </c>
      <c r="T300" s="48" t="s">
        <v>375</v>
      </c>
      <c r="U300" s="48" t="s">
        <v>375</v>
      </c>
      <c r="V300" s="48" t="s">
        <v>375</v>
      </c>
      <c r="W300" s="48" t="s">
        <v>375</v>
      </c>
      <c r="X300" s="48" t="s">
        <v>375</v>
      </c>
      <c r="Y300" s="48" t="s">
        <v>375</v>
      </c>
      <c r="Z300" s="48" t="s">
        <v>375</v>
      </c>
      <c r="AA300" s="48" t="s">
        <v>375</v>
      </c>
      <c r="AB300" s="48" t="s">
        <v>375</v>
      </c>
      <c r="AC300" s="48" t="s">
        <v>375</v>
      </c>
      <c r="AD300" s="48" t="s">
        <v>375</v>
      </c>
      <c r="AE300" s="48" t="s">
        <v>375</v>
      </c>
      <c r="AF300" s="48" t="s">
        <v>375</v>
      </c>
      <c r="AG300" s="48" t="s">
        <v>375</v>
      </c>
      <c r="AH300" s="48" t="s">
        <v>375</v>
      </c>
      <c r="AI300" s="48" t="s">
        <v>375</v>
      </c>
      <c r="AJ300" s="48" t="s">
        <v>375</v>
      </c>
      <c r="AK300" s="48" t="s">
        <v>375</v>
      </c>
      <c r="AL300" s="48" t="s">
        <v>320</v>
      </c>
    </row>
    <row r="301" spans="1:45" hidden="1" x14ac:dyDescent="0.25">
      <c r="A301">
        <v>300</v>
      </c>
      <c r="B301">
        <v>2025</v>
      </c>
      <c r="C301">
        <v>6</v>
      </c>
      <c r="D301" t="s">
        <v>164</v>
      </c>
      <c r="E301">
        <v>31</v>
      </c>
      <c r="F301">
        <v>5</v>
      </c>
      <c r="G301" t="s">
        <v>431</v>
      </c>
      <c r="H301" s="48">
        <v>0.83333333333333326</v>
      </c>
      <c r="I301" s="48">
        <v>0.75</v>
      </c>
      <c r="J301" s="48">
        <v>0.83333333333333326</v>
      </c>
      <c r="K301" s="48">
        <v>0.83333333333333326</v>
      </c>
      <c r="L301" s="48">
        <v>0.75</v>
      </c>
      <c r="M301" s="48" t="s">
        <v>320</v>
      </c>
      <c r="N301" s="48">
        <v>1.0833333333333333</v>
      </c>
      <c r="O301" s="48">
        <v>0.75</v>
      </c>
      <c r="P301" s="48">
        <v>0.83333333333333326</v>
      </c>
      <c r="Q301" s="48">
        <v>0.83333333333333326</v>
      </c>
      <c r="R301" s="48">
        <v>0.75</v>
      </c>
      <c r="S301" s="48">
        <v>0.83333333333333326</v>
      </c>
      <c r="T301" s="48">
        <v>0.75</v>
      </c>
      <c r="U301" s="48">
        <v>0.83333333333333326</v>
      </c>
      <c r="V301" s="48">
        <v>0.83333333333333326</v>
      </c>
      <c r="W301" s="48">
        <v>0.83333333333333326</v>
      </c>
      <c r="X301" s="48">
        <v>0.75</v>
      </c>
      <c r="Y301" s="48">
        <v>0.83333333333333326</v>
      </c>
      <c r="Z301" s="48">
        <v>0.75</v>
      </c>
      <c r="AA301" s="48">
        <v>0.83333333333333326</v>
      </c>
      <c r="AB301" s="48">
        <v>0.83333333333333326</v>
      </c>
      <c r="AC301" s="48">
        <v>0.75</v>
      </c>
      <c r="AD301" s="48">
        <v>0.75</v>
      </c>
      <c r="AE301" s="48">
        <v>0.83333333333333326</v>
      </c>
      <c r="AF301" s="48">
        <v>0.83333333333333326</v>
      </c>
      <c r="AG301" s="48">
        <v>0.75</v>
      </c>
      <c r="AH301" s="48">
        <v>0.75</v>
      </c>
      <c r="AI301" s="48">
        <v>0.75</v>
      </c>
      <c r="AJ301" s="48">
        <v>0.83333333333333326</v>
      </c>
      <c r="AK301" s="48">
        <v>0.83333333333333326</v>
      </c>
      <c r="AL301" s="48" t="s">
        <v>320</v>
      </c>
      <c r="AM301">
        <v>29</v>
      </c>
      <c r="AO301">
        <v>39.999999999999943</v>
      </c>
    </row>
    <row r="302" spans="1:45" hidden="1" x14ac:dyDescent="0.25">
      <c r="A302">
        <v>301</v>
      </c>
      <c r="B302">
        <v>2025</v>
      </c>
      <c r="C302">
        <v>6</v>
      </c>
      <c r="D302" t="s">
        <v>164</v>
      </c>
      <c r="E302">
        <v>31</v>
      </c>
      <c r="F302">
        <v>5</v>
      </c>
      <c r="G302" t="s">
        <v>432</v>
      </c>
      <c r="H302" s="48">
        <v>24877</v>
      </c>
      <c r="I302" s="48">
        <v>24884</v>
      </c>
      <c r="J302" s="48">
        <v>24902</v>
      </c>
      <c r="K302" s="48">
        <v>24907</v>
      </c>
      <c r="L302" s="48">
        <v>24916</v>
      </c>
      <c r="M302" s="48" t="s">
        <v>320</v>
      </c>
      <c r="N302" s="48">
        <v>25160</v>
      </c>
      <c r="O302" s="48">
        <v>25166</v>
      </c>
      <c r="P302" s="48">
        <v>25178</v>
      </c>
      <c r="Q302" s="48">
        <v>25198</v>
      </c>
      <c r="R302" s="48">
        <v>25221</v>
      </c>
      <c r="S302" s="48">
        <v>25320</v>
      </c>
      <c r="T302" s="48">
        <v>25409</v>
      </c>
      <c r="U302" s="48">
        <v>25429</v>
      </c>
      <c r="V302" s="48">
        <v>25433</v>
      </c>
      <c r="W302" s="48">
        <v>25577</v>
      </c>
      <c r="X302" s="48">
        <v>25768</v>
      </c>
      <c r="Y302" s="48">
        <v>25791</v>
      </c>
      <c r="Z302" s="48">
        <v>25811</v>
      </c>
      <c r="AA302" s="48">
        <v>25817</v>
      </c>
      <c r="AB302" s="48">
        <v>25926</v>
      </c>
      <c r="AC302" s="48">
        <v>26038</v>
      </c>
      <c r="AD302" s="48">
        <v>26057</v>
      </c>
      <c r="AE302" s="48">
        <v>26074</v>
      </c>
      <c r="AF302" s="48">
        <v>26109</v>
      </c>
      <c r="AG302" s="48">
        <v>26134</v>
      </c>
      <c r="AH302" s="48">
        <v>26154</v>
      </c>
      <c r="AI302" s="48">
        <v>26191</v>
      </c>
      <c r="AJ302" s="48">
        <v>26213</v>
      </c>
      <c r="AK302" s="48">
        <v>26219</v>
      </c>
      <c r="AL302" s="48" t="s">
        <v>320</v>
      </c>
    </row>
    <row r="303" spans="1:45" hidden="1" x14ac:dyDescent="0.25">
      <c r="A303">
        <v>302</v>
      </c>
      <c r="B303">
        <v>2025</v>
      </c>
      <c r="C303">
        <v>6</v>
      </c>
      <c r="D303" t="s">
        <v>164</v>
      </c>
      <c r="E303">
        <v>31</v>
      </c>
      <c r="F303">
        <v>5</v>
      </c>
      <c r="G303" t="s">
        <v>433</v>
      </c>
      <c r="H303" s="48">
        <v>24884</v>
      </c>
      <c r="I303" s="48">
        <v>24902</v>
      </c>
      <c r="J303" s="48">
        <v>24907</v>
      </c>
      <c r="K303" s="48">
        <v>24916</v>
      </c>
      <c r="L303" s="48">
        <v>24925</v>
      </c>
      <c r="M303" s="48" t="s">
        <v>320</v>
      </c>
      <c r="N303" s="48">
        <v>25166</v>
      </c>
      <c r="O303" s="48">
        <v>25178</v>
      </c>
      <c r="P303" s="48">
        <v>25198</v>
      </c>
      <c r="Q303" s="48">
        <v>25221</v>
      </c>
      <c r="R303" s="48">
        <v>25320</v>
      </c>
      <c r="S303" s="48">
        <v>25409</v>
      </c>
      <c r="T303" s="48">
        <v>25429</v>
      </c>
      <c r="U303" s="48">
        <v>25433</v>
      </c>
      <c r="V303" s="48">
        <v>25577</v>
      </c>
      <c r="W303" s="48">
        <v>25768</v>
      </c>
      <c r="X303" s="48">
        <v>25791</v>
      </c>
      <c r="Y303" s="48">
        <v>25811</v>
      </c>
      <c r="Z303" s="48">
        <v>25817</v>
      </c>
      <c r="AA303" s="48">
        <v>25926</v>
      </c>
      <c r="AB303" s="48">
        <v>26038</v>
      </c>
      <c r="AC303" s="48">
        <v>26057</v>
      </c>
      <c r="AD303" s="48">
        <v>26074</v>
      </c>
      <c r="AE303" s="48">
        <v>26109</v>
      </c>
      <c r="AF303" s="48">
        <v>26134</v>
      </c>
      <c r="AG303" s="48">
        <v>26154</v>
      </c>
      <c r="AH303" s="48">
        <v>26191</v>
      </c>
      <c r="AI303" s="48">
        <v>26213</v>
      </c>
      <c r="AJ303" s="48">
        <v>26219</v>
      </c>
      <c r="AK303" s="48">
        <v>26242</v>
      </c>
      <c r="AL303" s="48" t="s">
        <v>320</v>
      </c>
      <c r="AP303">
        <v>169.5</v>
      </c>
      <c r="AQ303">
        <v>15</v>
      </c>
      <c r="AS303">
        <v>1130</v>
      </c>
    </row>
    <row r="304" spans="1:45" hidden="1" x14ac:dyDescent="0.25">
      <c r="A304">
        <v>303</v>
      </c>
      <c r="B304">
        <v>2025</v>
      </c>
      <c r="C304">
        <v>6</v>
      </c>
      <c r="D304" t="s">
        <v>163</v>
      </c>
      <c r="E304">
        <v>31</v>
      </c>
      <c r="F304">
        <v>5</v>
      </c>
      <c r="G304" t="s">
        <v>430</v>
      </c>
      <c r="H304" s="48" t="s">
        <v>375</v>
      </c>
      <c r="I304" s="48" t="s">
        <v>375</v>
      </c>
      <c r="J304" s="48" t="s">
        <v>375</v>
      </c>
      <c r="K304" s="48" t="s">
        <v>375</v>
      </c>
      <c r="L304" s="48" t="s">
        <v>375</v>
      </c>
      <c r="M304" s="48" t="s">
        <v>320</v>
      </c>
      <c r="N304" s="48" t="s">
        <v>375</v>
      </c>
      <c r="O304" s="48" t="s">
        <v>375</v>
      </c>
      <c r="P304" s="48" t="s">
        <v>375</v>
      </c>
      <c r="Q304" s="48" t="s">
        <v>375</v>
      </c>
      <c r="R304" s="48" t="s">
        <v>375</v>
      </c>
      <c r="S304" s="48" t="s">
        <v>375</v>
      </c>
      <c r="T304" s="48" t="s">
        <v>375</v>
      </c>
      <c r="U304" s="48" t="s">
        <v>375</v>
      </c>
      <c r="V304" s="48" t="s">
        <v>375</v>
      </c>
      <c r="W304" s="48" t="s">
        <v>375</v>
      </c>
      <c r="X304" s="48" t="s">
        <v>375</v>
      </c>
      <c r="Y304" s="48" t="s">
        <v>375</v>
      </c>
      <c r="Z304" s="48" t="s">
        <v>375</v>
      </c>
      <c r="AA304" s="48" t="s">
        <v>375</v>
      </c>
      <c r="AB304" s="48" t="s">
        <v>375</v>
      </c>
      <c r="AC304" s="48" t="s">
        <v>375</v>
      </c>
      <c r="AD304" s="48" t="s">
        <v>375</v>
      </c>
      <c r="AE304" s="48" t="s">
        <v>375</v>
      </c>
      <c r="AF304" s="48" t="s">
        <v>375</v>
      </c>
      <c r="AG304" s="48" t="s">
        <v>375</v>
      </c>
      <c r="AH304" s="48" t="s">
        <v>375</v>
      </c>
      <c r="AI304" s="48" t="s">
        <v>375</v>
      </c>
      <c r="AJ304" s="48" t="s">
        <v>375</v>
      </c>
      <c r="AK304" s="48" t="s">
        <v>375</v>
      </c>
      <c r="AL304" s="48" t="s">
        <v>320</v>
      </c>
    </row>
    <row r="305" spans="1:45" hidden="1" x14ac:dyDescent="0.25">
      <c r="A305">
        <v>304</v>
      </c>
      <c r="B305">
        <v>2025</v>
      </c>
      <c r="C305">
        <v>6</v>
      </c>
      <c r="D305" t="s">
        <v>163</v>
      </c>
      <c r="E305">
        <v>31</v>
      </c>
      <c r="F305">
        <v>5</v>
      </c>
      <c r="G305" t="s">
        <v>431</v>
      </c>
      <c r="H305" s="48">
        <v>0.83333333333333326</v>
      </c>
      <c r="I305" s="48">
        <v>0.83333333333333326</v>
      </c>
      <c r="J305" s="48">
        <v>0.83333333333333326</v>
      </c>
      <c r="K305" s="48">
        <v>0.83333333333333326</v>
      </c>
      <c r="L305" s="48">
        <v>0.83333333333333326</v>
      </c>
      <c r="M305" s="48" t="s">
        <v>320</v>
      </c>
      <c r="N305" s="48">
        <v>1.1666666666666667</v>
      </c>
      <c r="O305" s="48">
        <v>0.83333333333333326</v>
      </c>
      <c r="P305" s="48">
        <v>0.83333333333333326</v>
      </c>
      <c r="Q305" s="48">
        <v>0.83333333333333326</v>
      </c>
      <c r="R305" s="48">
        <v>0.875</v>
      </c>
      <c r="S305" s="48">
        <v>0.83333333333333326</v>
      </c>
      <c r="T305" s="48">
        <v>0.83333333333333326</v>
      </c>
      <c r="U305" s="48">
        <v>0.83333333333333326</v>
      </c>
      <c r="V305" s="48">
        <v>0.875</v>
      </c>
      <c r="W305" s="48">
        <v>0.83333333333333326</v>
      </c>
      <c r="X305" s="48">
        <v>0.83333333333333326</v>
      </c>
      <c r="Y305" s="48">
        <v>0.83333333333333326</v>
      </c>
      <c r="Z305" s="48">
        <v>0.83333333333333326</v>
      </c>
      <c r="AA305" s="48">
        <v>0.83333333333333326</v>
      </c>
      <c r="AB305" s="48">
        <v>0.83333333333333326</v>
      </c>
      <c r="AC305" s="48">
        <v>0.83333333333333326</v>
      </c>
      <c r="AD305" s="48">
        <v>0.83333333333333326</v>
      </c>
      <c r="AE305" s="48">
        <v>0.83333333333333326</v>
      </c>
      <c r="AF305" s="48">
        <v>0.83333333333333326</v>
      </c>
      <c r="AG305" s="48">
        <v>0.83333333333333326</v>
      </c>
      <c r="AH305" s="48">
        <v>0.83333333333333326</v>
      </c>
      <c r="AI305" s="48">
        <v>0.83333333333333326</v>
      </c>
      <c r="AJ305" s="48">
        <v>0.83333333333333326</v>
      </c>
      <c r="AK305" s="48">
        <v>0.83333333333333326</v>
      </c>
      <c r="AL305" s="48" t="s">
        <v>320</v>
      </c>
      <c r="AM305">
        <v>29</v>
      </c>
      <c r="AO305">
        <v>67.999999999999957</v>
      </c>
    </row>
    <row r="306" spans="1:45" hidden="1" x14ac:dyDescent="0.25">
      <c r="A306">
        <v>305</v>
      </c>
      <c r="B306">
        <v>2025</v>
      </c>
      <c r="C306">
        <v>6</v>
      </c>
      <c r="D306" t="s">
        <v>163</v>
      </c>
      <c r="E306">
        <v>31</v>
      </c>
      <c r="F306">
        <v>5</v>
      </c>
      <c r="G306" t="s">
        <v>432</v>
      </c>
      <c r="H306" s="48">
        <v>317003</v>
      </c>
      <c r="I306" s="48">
        <v>317116</v>
      </c>
      <c r="J306" s="48">
        <v>317233</v>
      </c>
      <c r="K306" s="48">
        <v>317514</v>
      </c>
      <c r="L306" s="48">
        <v>317690</v>
      </c>
      <c r="M306" s="48" t="s">
        <v>320</v>
      </c>
      <c r="N306" s="48">
        <v>317930</v>
      </c>
      <c r="O306" s="48">
        <v>318094</v>
      </c>
      <c r="P306" s="48">
        <v>318250</v>
      </c>
      <c r="Q306" s="48">
        <v>318404</v>
      </c>
      <c r="R306" s="48">
        <v>318590</v>
      </c>
      <c r="S306" s="48">
        <v>318757</v>
      </c>
      <c r="T306" s="48">
        <v>318915</v>
      </c>
      <c r="U306" s="48">
        <v>319104</v>
      </c>
      <c r="V306" s="48">
        <v>319344</v>
      </c>
      <c r="W306" s="48">
        <v>319513</v>
      </c>
      <c r="X306" s="48">
        <v>319693</v>
      </c>
      <c r="Y306" s="48">
        <v>319859</v>
      </c>
      <c r="Z306" s="48">
        <v>320121</v>
      </c>
      <c r="AA306" s="48">
        <v>320290</v>
      </c>
      <c r="AB306" s="48">
        <v>320446</v>
      </c>
      <c r="AC306" s="48">
        <v>320660</v>
      </c>
      <c r="AD306" s="48">
        <v>320829</v>
      </c>
      <c r="AE306" s="48">
        <v>321004</v>
      </c>
      <c r="AF306" s="48">
        <v>321188</v>
      </c>
      <c r="AG306" s="48">
        <v>321365</v>
      </c>
      <c r="AH306" s="48">
        <v>321564</v>
      </c>
      <c r="AI306" s="48">
        <v>321729</v>
      </c>
      <c r="AJ306" s="48">
        <v>321864</v>
      </c>
      <c r="AK306" s="48">
        <v>322054</v>
      </c>
      <c r="AL306" s="48" t="s">
        <v>320</v>
      </c>
    </row>
    <row r="307" spans="1:45" hidden="1" x14ac:dyDescent="0.25">
      <c r="A307">
        <v>306</v>
      </c>
      <c r="B307">
        <v>2025</v>
      </c>
      <c r="C307">
        <v>6</v>
      </c>
      <c r="D307" t="s">
        <v>163</v>
      </c>
      <c r="E307">
        <v>31</v>
      </c>
      <c r="F307">
        <v>5</v>
      </c>
      <c r="G307" t="s">
        <v>433</v>
      </c>
      <c r="H307" s="48">
        <v>317116</v>
      </c>
      <c r="I307" s="48">
        <v>317233</v>
      </c>
      <c r="J307" s="48">
        <v>317514</v>
      </c>
      <c r="K307" s="48">
        <v>317690</v>
      </c>
      <c r="L307" s="48">
        <v>317806</v>
      </c>
      <c r="M307" s="48" t="s">
        <v>320</v>
      </c>
      <c r="N307" s="48">
        <v>318094</v>
      </c>
      <c r="O307" s="48">
        <v>318250</v>
      </c>
      <c r="P307" s="48">
        <v>318404</v>
      </c>
      <c r="Q307" s="48">
        <v>318590</v>
      </c>
      <c r="R307" s="48">
        <v>318757</v>
      </c>
      <c r="S307" s="48">
        <v>318915</v>
      </c>
      <c r="T307" s="48">
        <v>319104</v>
      </c>
      <c r="U307" s="48">
        <v>319344</v>
      </c>
      <c r="V307" s="48">
        <v>319513</v>
      </c>
      <c r="W307" s="48">
        <v>319693</v>
      </c>
      <c r="X307" s="48">
        <v>319859</v>
      </c>
      <c r="Y307" s="48">
        <v>320121</v>
      </c>
      <c r="Z307" s="48">
        <v>320290</v>
      </c>
      <c r="AA307" s="48">
        <v>320446</v>
      </c>
      <c r="AB307" s="48">
        <v>320660</v>
      </c>
      <c r="AC307" s="48">
        <v>320829</v>
      </c>
      <c r="AD307" s="48">
        <v>321004</v>
      </c>
      <c r="AE307" s="48">
        <v>321188</v>
      </c>
      <c r="AF307" s="48">
        <v>321365</v>
      </c>
      <c r="AG307" s="48">
        <v>321564</v>
      </c>
      <c r="AH307" s="48">
        <v>321729</v>
      </c>
      <c r="AI307" s="48">
        <v>321864</v>
      </c>
      <c r="AJ307" s="48">
        <v>322054</v>
      </c>
      <c r="AK307" s="48">
        <v>322290</v>
      </c>
      <c r="AL307" s="48" t="s">
        <v>320</v>
      </c>
      <c r="AP307">
        <v>774.45</v>
      </c>
      <c r="AQ307">
        <v>15</v>
      </c>
      <c r="AS307">
        <v>5163</v>
      </c>
    </row>
    <row r="308" spans="1:45" hidden="1" x14ac:dyDescent="0.25">
      <c r="A308">
        <v>307</v>
      </c>
      <c r="B308">
        <v>2025</v>
      </c>
      <c r="C308">
        <v>7</v>
      </c>
      <c r="D308" t="s">
        <v>152</v>
      </c>
      <c r="E308">
        <v>31</v>
      </c>
      <c r="F308">
        <v>6</v>
      </c>
      <c r="G308" t="s">
        <v>430</v>
      </c>
      <c r="H308" s="48" t="s">
        <v>375</v>
      </c>
      <c r="I308" s="48" t="s">
        <v>375</v>
      </c>
      <c r="J308" s="48" t="s">
        <v>375</v>
      </c>
      <c r="K308" s="48" t="s">
        <v>375</v>
      </c>
      <c r="L308" s="48" t="s">
        <v>375</v>
      </c>
      <c r="M308" s="48" t="s">
        <v>375</v>
      </c>
      <c r="N308" s="48" t="s">
        <v>375</v>
      </c>
      <c r="O308" s="48" t="s">
        <v>375</v>
      </c>
      <c r="P308" s="48" t="s">
        <v>375</v>
      </c>
      <c r="Q308" s="48" t="s">
        <v>375</v>
      </c>
      <c r="R308" s="48" t="s">
        <v>375</v>
      </c>
      <c r="S308" s="48" t="s">
        <v>375</v>
      </c>
      <c r="T308" s="48" t="s">
        <v>375</v>
      </c>
      <c r="U308" s="48" t="s">
        <v>375</v>
      </c>
      <c r="V308" s="48" t="s">
        <v>375</v>
      </c>
      <c r="W308" s="48" t="s">
        <v>375</v>
      </c>
      <c r="X308" s="48" t="s">
        <v>375</v>
      </c>
      <c r="Y308" s="48" t="s">
        <v>375</v>
      </c>
      <c r="Z308" s="48" t="s">
        <v>375</v>
      </c>
      <c r="AA308" s="48" t="s">
        <v>375</v>
      </c>
      <c r="AB308" s="48" t="s">
        <v>375</v>
      </c>
      <c r="AC308" s="48" t="s">
        <v>375</v>
      </c>
      <c r="AD308" s="48" t="s">
        <v>375</v>
      </c>
      <c r="AE308" s="48" t="s">
        <v>375</v>
      </c>
      <c r="AF308" s="48" t="s">
        <v>375</v>
      </c>
      <c r="AG308" s="48" t="s">
        <v>375</v>
      </c>
      <c r="AH308" s="48" t="s">
        <v>375</v>
      </c>
      <c r="AI308" s="48" t="s">
        <v>375</v>
      </c>
      <c r="AJ308" s="48" t="s">
        <v>375</v>
      </c>
      <c r="AK308" s="48" t="s">
        <v>375</v>
      </c>
      <c r="AL308" s="48" t="s">
        <v>375</v>
      </c>
    </row>
    <row r="309" spans="1:45" hidden="1" x14ac:dyDescent="0.25">
      <c r="A309">
        <v>308</v>
      </c>
      <c r="B309">
        <v>2025</v>
      </c>
      <c r="C309">
        <v>7</v>
      </c>
      <c r="D309" t="s">
        <v>152</v>
      </c>
      <c r="E309">
        <v>31</v>
      </c>
      <c r="F309">
        <v>6</v>
      </c>
      <c r="G309" t="s">
        <v>431</v>
      </c>
      <c r="H309" s="48">
        <v>0.75</v>
      </c>
      <c r="I309" s="48">
        <v>0.75</v>
      </c>
      <c r="J309" s="48">
        <v>0.75</v>
      </c>
      <c r="K309" s="48">
        <v>0.83333333333333326</v>
      </c>
      <c r="L309" s="48">
        <v>0.75</v>
      </c>
      <c r="M309" s="48">
        <v>0.75</v>
      </c>
      <c r="N309" s="48">
        <v>0.75</v>
      </c>
      <c r="O309" s="48">
        <v>0.79166666666666674</v>
      </c>
      <c r="P309" s="48">
        <v>0.875</v>
      </c>
      <c r="Q309" s="48">
        <v>0.75</v>
      </c>
      <c r="R309" s="48">
        <v>0.83333333333333326</v>
      </c>
      <c r="S309" s="48">
        <v>0.83333333333333326</v>
      </c>
      <c r="T309" s="48">
        <v>0.75</v>
      </c>
      <c r="U309" s="48">
        <v>0.75</v>
      </c>
      <c r="V309" s="48">
        <v>0.75</v>
      </c>
      <c r="W309" s="48">
        <v>0.75</v>
      </c>
      <c r="X309" s="48">
        <v>0.75</v>
      </c>
      <c r="Y309" s="48">
        <v>0.75</v>
      </c>
      <c r="Z309" s="48">
        <v>0.75</v>
      </c>
      <c r="AA309" s="48">
        <v>0.83333333333333326</v>
      </c>
      <c r="AB309" s="48">
        <v>0.75</v>
      </c>
      <c r="AC309" s="48">
        <v>0.75</v>
      </c>
      <c r="AD309" s="48">
        <v>0.83333333333333326</v>
      </c>
      <c r="AE309" s="48">
        <v>0.75</v>
      </c>
      <c r="AF309" s="48">
        <v>0.75</v>
      </c>
      <c r="AG309" s="48">
        <v>0.75</v>
      </c>
      <c r="AH309" s="48">
        <v>0.8125</v>
      </c>
      <c r="AI309" s="48">
        <v>0.75</v>
      </c>
      <c r="AJ309" s="48">
        <v>0.75</v>
      </c>
      <c r="AK309" s="48">
        <v>0.75</v>
      </c>
      <c r="AL309" s="48">
        <v>0.75</v>
      </c>
      <c r="AM309">
        <v>31</v>
      </c>
      <c r="AO309">
        <v>15.499999999999979</v>
      </c>
    </row>
    <row r="310" spans="1:45" hidden="1" x14ac:dyDescent="0.25">
      <c r="A310">
        <v>309</v>
      </c>
      <c r="B310">
        <v>2025</v>
      </c>
      <c r="C310">
        <v>7</v>
      </c>
      <c r="D310" t="s">
        <v>152</v>
      </c>
      <c r="E310">
        <v>31</v>
      </c>
      <c r="F310">
        <v>6</v>
      </c>
      <c r="G310" t="s">
        <v>432</v>
      </c>
      <c r="H310" s="48">
        <v>42399</v>
      </c>
      <c r="I310" s="48">
        <v>42451</v>
      </c>
      <c r="J310" s="48">
        <v>42540</v>
      </c>
      <c r="K310" s="48">
        <v>42566</v>
      </c>
      <c r="L310" s="48">
        <v>42669</v>
      </c>
      <c r="M310" s="48">
        <v>42700</v>
      </c>
      <c r="N310" s="48">
        <v>42946</v>
      </c>
      <c r="O310" s="48">
        <v>42965</v>
      </c>
      <c r="P310" s="48">
        <v>42989</v>
      </c>
      <c r="Q310" s="48">
        <v>43018</v>
      </c>
      <c r="R310" s="48">
        <v>43127</v>
      </c>
      <c r="S310" s="48">
        <v>43153</v>
      </c>
      <c r="T310" s="48">
        <v>43313</v>
      </c>
      <c r="U310" s="48">
        <v>43409</v>
      </c>
      <c r="V310" s="48">
        <v>43422</v>
      </c>
      <c r="W310" s="48">
        <v>43447</v>
      </c>
      <c r="X310" s="48">
        <v>43481</v>
      </c>
      <c r="Y310" s="48">
        <v>43517</v>
      </c>
      <c r="Z310" s="48">
        <v>43578</v>
      </c>
      <c r="AA310" s="48">
        <v>43674</v>
      </c>
      <c r="AB310" s="48">
        <v>43748</v>
      </c>
      <c r="AC310" s="48">
        <v>43820</v>
      </c>
      <c r="AD310" s="48">
        <v>43897</v>
      </c>
      <c r="AE310" s="48">
        <v>43927</v>
      </c>
      <c r="AF310" s="48">
        <v>43949</v>
      </c>
      <c r="AG310" s="48">
        <v>44046</v>
      </c>
      <c r="AH310" s="48">
        <v>44134</v>
      </c>
      <c r="AI310" s="48">
        <v>44232</v>
      </c>
      <c r="AJ310" s="48">
        <v>44303</v>
      </c>
      <c r="AK310" s="48">
        <v>44335</v>
      </c>
      <c r="AL310" s="48">
        <v>44421</v>
      </c>
    </row>
    <row r="311" spans="1:45" hidden="1" x14ac:dyDescent="0.25">
      <c r="A311">
        <v>310</v>
      </c>
      <c r="B311">
        <v>2025</v>
      </c>
      <c r="C311">
        <v>7</v>
      </c>
      <c r="D311" t="s">
        <v>152</v>
      </c>
      <c r="E311">
        <v>31</v>
      </c>
      <c r="F311">
        <v>6</v>
      </c>
      <c r="G311" t="s">
        <v>433</v>
      </c>
      <c r="H311" s="48">
        <v>42451</v>
      </c>
      <c r="I311" s="48">
        <v>42540</v>
      </c>
      <c r="J311" s="48">
        <v>42566</v>
      </c>
      <c r="K311" s="48">
        <v>42669</v>
      </c>
      <c r="L311" s="48">
        <v>42700</v>
      </c>
      <c r="M311" s="48">
        <v>42946</v>
      </c>
      <c r="N311" s="48">
        <v>42965</v>
      </c>
      <c r="O311" s="48">
        <v>42989</v>
      </c>
      <c r="P311" s="48">
        <v>43018</v>
      </c>
      <c r="Q311" s="48">
        <v>43127</v>
      </c>
      <c r="R311" s="48">
        <v>43153</v>
      </c>
      <c r="S311" s="48">
        <v>43313</v>
      </c>
      <c r="T311" s="48">
        <v>43409</v>
      </c>
      <c r="U311" s="48">
        <v>43422</v>
      </c>
      <c r="V311" s="48">
        <v>43447</v>
      </c>
      <c r="W311" s="48">
        <v>43481</v>
      </c>
      <c r="X311" s="48">
        <v>43517</v>
      </c>
      <c r="Y311" s="48">
        <v>43578</v>
      </c>
      <c r="Z311" s="48">
        <v>43674</v>
      </c>
      <c r="AA311" s="48">
        <v>43748</v>
      </c>
      <c r="AB311" s="48">
        <v>43820</v>
      </c>
      <c r="AC311" s="48">
        <v>43897</v>
      </c>
      <c r="AD311" s="48">
        <v>43927</v>
      </c>
      <c r="AE311" s="48">
        <v>43949</v>
      </c>
      <c r="AF311" s="48">
        <v>44046</v>
      </c>
      <c r="AG311" s="48">
        <v>44134</v>
      </c>
      <c r="AH311" s="48">
        <v>44232</v>
      </c>
      <c r="AI311" s="48">
        <v>44303</v>
      </c>
      <c r="AJ311" s="48">
        <v>44335</v>
      </c>
      <c r="AK311" s="48">
        <v>44421</v>
      </c>
      <c r="AL311" s="48">
        <v>44519</v>
      </c>
      <c r="AP311">
        <v>318</v>
      </c>
      <c r="AQ311">
        <v>15</v>
      </c>
      <c r="AS311">
        <v>2120</v>
      </c>
    </row>
    <row r="312" spans="1:45" hidden="1" x14ac:dyDescent="0.25">
      <c r="A312">
        <v>311</v>
      </c>
      <c r="B312">
        <v>2025</v>
      </c>
      <c r="C312">
        <v>7</v>
      </c>
      <c r="D312" t="s">
        <v>165</v>
      </c>
      <c r="E312">
        <v>31</v>
      </c>
      <c r="F312">
        <v>6</v>
      </c>
      <c r="G312" t="s">
        <v>430</v>
      </c>
      <c r="H312" s="48" t="s">
        <v>375</v>
      </c>
      <c r="I312" s="48" t="s">
        <v>375</v>
      </c>
      <c r="J312" s="48" t="s">
        <v>375</v>
      </c>
      <c r="K312" s="48" t="s">
        <v>375</v>
      </c>
      <c r="L312" s="48" t="s">
        <v>375</v>
      </c>
      <c r="M312" s="48" t="s">
        <v>320</v>
      </c>
      <c r="N312" s="48" t="s">
        <v>375</v>
      </c>
      <c r="O312" s="48" t="s">
        <v>375</v>
      </c>
      <c r="P312" s="48" t="s">
        <v>375</v>
      </c>
      <c r="Q312" s="48" t="s">
        <v>375</v>
      </c>
      <c r="R312" s="48" t="s">
        <v>375</v>
      </c>
      <c r="S312" s="48" t="s">
        <v>375</v>
      </c>
      <c r="T312" s="48" t="s">
        <v>375</v>
      </c>
      <c r="U312" s="48" t="s">
        <v>375</v>
      </c>
      <c r="V312" s="48" t="s">
        <v>375</v>
      </c>
      <c r="W312" s="48" t="s">
        <v>375</v>
      </c>
      <c r="X312" s="48" t="s">
        <v>375</v>
      </c>
      <c r="Y312" s="48" t="s">
        <v>375</v>
      </c>
      <c r="Z312" s="48" t="s">
        <v>375</v>
      </c>
      <c r="AA312" s="48" t="s">
        <v>375</v>
      </c>
      <c r="AB312" s="48" t="s">
        <v>375</v>
      </c>
      <c r="AC312" s="48" t="s">
        <v>375</v>
      </c>
      <c r="AD312" s="48" t="s">
        <v>375</v>
      </c>
      <c r="AE312" s="48" t="s">
        <v>375</v>
      </c>
      <c r="AF312" s="48" t="s">
        <v>375</v>
      </c>
      <c r="AG312" s="48" t="s">
        <v>375</v>
      </c>
      <c r="AH312" s="48" t="s">
        <v>375</v>
      </c>
      <c r="AI312" s="48" t="s">
        <v>375</v>
      </c>
      <c r="AJ312" s="48" t="s">
        <v>375</v>
      </c>
      <c r="AK312" s="48" t="s">
        <v>375</v>
      </c>
      <c r="AL312" s="48" t="s">
        <v>375</v>
      </c>
    </row>
    <row r="313" spans="1:45" hidden="1" x14ac:dyDescent="0.25">
      <c r="A313">
        <v>312</v>
      </c>
      <c r="B313">
        <v>2025</v>
      </c>
      <c r="C313">
        <v>7</v>
      </c>
      <c r="D313" t="s">
        <v>165</v>
      </c>
      <c r="E313">
        <v>31</v>
      </c>
      <c r="F313">
        <v>6</v>
      </c>
      <c r="G313" t="s">
        <v>431</v>
      </c>
      <c r="H313" s="48">
        <v>0.91666666666666674</v>
      </c>
      <c r="I313" s="48">
        <v>0.875</v>
      </c>
      <c r="J313" s="48">
        <v>0.75</v>
      </c>
      <c r="K313" s="48">
        <v>0.875</v>
      </c>
      <c r="L313" s="48">
        <v>0.91666666666666674</v>
      </c>
      <c r="M313" s="48" t="s">
        <v>320</v>
      </c>
      <c r="N313" s="48">
        <v>0.75</v>
      </c>
      <c r="O313" s="48">
        <v>0.95833333333333326</v>
      </c>
      <c r="P313" s="48">
        <v>0.91666666666666674</v>
      </c>
      <c r="Q313" s="48">
        <v>0.83333333333333326</v>
      </c>
      <c r="R313" s="48">
        <v>0.83333333333333326</v>
      </c>
      <c r="S313" s="48">
        <v>0.83333333333333326</v>
      </c>
      <c r="T313" s="48">
        <v>0.91666666666666674</v>
      </c>
      <c r="U313" s="48">
        <v>0.95833333333333326</v>
      </c>
      <c r="V313" s="48">
        <v>0.875</v>
      </c>
      <c r="W313" s="48">
        <v>0.83333333333333326</v>
      </c>
      <c r="X313" s="48">
        <v>0.75</v>
      </c>
      <c r="Y313" s="48">
        <v>0.83333333333333326</v>
      </c>
      <c r="Z313" s="48">
        <v>0.875</v>
      </c>
      <c r="AA313" s="48">
        <v>0.875</v>
      </c>
      <c r="AB313" s="48">
        <v>0.83333333333333326</v>
      </c>
      <c r="AC313" s="48">
        <v>0.83333333333333326</v>
      </c>
      <c r="AD313" s="48">
        <v>0.875</v>
      </c>
      <c r="AE313" s="48">
        <v>0.875</v>
      </c>
      <c r="AF313" s="48">
        <v>0.83333333333333326</v>
      </c>
      <c r="AG313" s="48">
        <v>0.75</v>
      </c>
      <c r="AH313" s="48">
        <v>0.75</v>
      </c>
      <c r="AI313" s="48">
        <v>0.83333333333333326</v>
      </c>
      <c r="AJ313" s="48">
        <v>0.75</v>
      </c>
      <c r="AK313" s="48">
        <v>0.75</v>
      </c>
      <c r="AL313" s="48">
        <v>0.83333333333333326</v>
      </c>
      <c r="AM313">
        <v>30</v>
      </c>
      <c r="AO313">
        <v>66.999999999999986</v>
      </c>
    </row>
    <row r="314" spans="1:45" hidden="1" x14ac:dyDescent="0.25">
      <c r="A314">
        <v>313</v>
      </c>
      <c r="B314">
        <v>2025</v>
      </c>
      <c r="C314">
        <v>7</v>
      </c>
      <c r="D314" t="s">
        <v>165</v>
      </c>
      <c r="E314">
        <v>31</v>
      </c>
      <c r="F314">
        <v>6</v>
      </c>
      <c r="G314" t="s">
        <v>432</v>
      </c>
      <c r="H314" s="48">
        <v>28069</v>
      </c>
      <c r="I314" s="48">
        <v>28091</v>
      </c>
      <c r="J314" s="48">
        <v>28121</v>
      </c>
      <c r="K314" s="48">
        <v>28146</v>
      </c>
      <c r="L314" s="48">
        <v>28224</v>
      </c>
      <c r="M314" s="48" t="s">
        <v>320</v>
      </c>
      <c r="N314" s="48">
        <v>28296</v>
      </c>
      <c r="O314" s="48">
        <v>28362</v>
      </c>
      <c r="P314" s="48">
        <v>28394</v>
      </c>
      <c r="Q314" s="48">
        <v>28418</v>
      </c>
      <c r="R314" s="48">
        <v>28450</v>
      </c>
      <c r="S314" s="48">
        <v>28490</v>
      </c>
      <c r="T314" s="48">
        <v>28510</v>
      </c>
      <c r="U314" s="48">
        <v>28543</v>
      </c>
      <c r="V314" s="48">
        <v>28582</v>
      </c>
      <c r="W314" s="48">
        <v>28606</v>
      </c>
      <c r="X314" s="48">
        <v>28628</v>
      </c>
      <c r="Y314" s="48">
        <v>28635</v>
      </c>
      <c r="Z314" s="48">
        <v>28728</v>
      </c>
      <c r="AA314" s="48">
        <v>28745</v>
      </c>
      <c r="AB314" s="48">
        <v>28763</v>
      </c>
      <c r="AC314" s="48">
        <v>28777</v>
      </c>
      <c r="AD314" s="48">
        <v>28792</v>
      </c>
      <c r="AE314" s="48">
        <v>28811</v>
      </c>
      <c r="AF314" s="48">
        <v>28825</v>
      </c>
      <c r="AG314" s="48">
        <v>28837</v>
      </c>
      <c r="AH314" s="48">
        <v>28866</v>
      </c>
      <c r="AI314" s="48">
        <v>28891</v>
      </c>
      <c r="AJ314" s="48">
        <v>28910</v>
      </c>
      <c r="AK314" s="48">
        <v>28929</v>
      </c>
      <c r="AL314" s="48">
        <v>28945</v>
      </c>
    </row>
    <row r="315" spans="1:45" hidden="1" x14ac:dyDescent="0.25">
      <c r="A315">
        <v>314</v>
      </c>
      <c r="B315">
        <v>2025</v>
      </c>
      <c r="C315">
        <v>7</v>
      </c>
      <c r="D315" t="s">
        <v>165</v>
      </c>
      <c r="E315">
        <v>31</v>
      </c>
      <c r="F315">
        <v>6</v>
      </c>
      <c r="G315" t="s">
        <v>433</v>
      </c>
      <c r="H315" s="48">
        <v>28091</v>
      </c>
      <c r="I315" s="48">
        <v>28120</v>
      </c>
      <c r="J315" s="48">
        <v>28140</v>
      </c>
      <c r="K315" s="48">
        <v>28205</v>
      </c>
      <c r="L315" s="48">
        <v>28259</v>
      </c>
      <c r="M315" s="48" t="s">
        <v>320</v>
      </c>
      <c r="N315" s="48">
        <v>28362</v>
      </c>
      <c r="O315" s="48">
        <v>28394</v>
      </c>
      <c r="P315" s="48">
        <v>28418</v>
      </c>
      <c r="Q315" s="48">
        <v>28427</v>
      </c>
      <c r="R315" s="48">
        <v>28490</v>
      </c>
      <c r="S315" s="48">
        <v>28510</v>
      </c>
      <c r="T315" s="48">
        <v>28543</v>
      </c>
      <c r="U315" s="48">
        <v>28582</v>
      </c>
      <c r="V315" s="48">
        <v>28606</v>
      </c>
      <c r="W315" s="48">
        <v>28628</v>
      </c>
      <c r="X315" s="48">
        <v>28635</v>
      </c>
      <c r="Y315" s="48">
        <v>28728</v>
      </c>
      <c r="Z315" s="48">
        <v>28745</v>
      </c>
      <c r="AA315" s="48">
        <v>28763</v>
      </c>
      <c r="AB315" s="48">
        <v>28777</v>
      </c>
      <c r="AC315" s="48">
        <v>28792</v>
      </c>
      <c r="AD315" s="48">
        <v>28811</v>
      </c>
      <c r="AE315" s="48">
        <v>28825</v>
      </c>
      <c r="AF315" s="48">
        <v>28837</v>
      </c>
      <c r="AG315" s="48">
        <v>28866</v>
      </c>
      <c r="AH315" s="48">
        <v>28891</v>
      </c>
      <c r="AI315" s="48">
        <v>28910</v>
      </c>
      <c r="AJ315" s="48">
        <v>28929</v>
      </c>
      <c r="AK315" s="48">
        <v>28945</v>
      </c>
      <c r="AL315" s="48">
        <v>28960</v>
      </c>
      <c r="AP315">
        <v>120.75</v>
      </c>
      <c r="AQ315">
        <v>15</v>
      </c>
      <c r="AS315">
        <v>805</v>
      </c>
    </row>
    <row r="316" spans="1:45" hidden="1" x14ac:dyDescent="0.25">
      <c r="A316">
        <v>315</v>
      </c>
      <c r="B316">
        <v>2025</v>
      </c>
      <c r="C316">
        <v>7</v>
      </c>
      <c r="D316" t="s">
        <v>154</v>
      </c>
      <c r="E316">
        <v>31</v>
      </c>
      <c r="F316">
        <v>6</v>
      </c>
      <c r="G316" t="s">
        <v>430</v>
      </c>
      <c r="H316" s="48" t="s">
        <v>320</v>
      </c>
      <c r="I316" s="48" t="s">
        <v>320</v>
      </c>
      <c r="J316" s="48" t="s">
        <v>320</v>
      </c>
      <c r="K316" s="48" t="s">
        <v>320</v>
      </c>
      <c r="L316" s="48" t="s">
        <v>320</v>
      </c>
      <c r="M316" s="48" t="s">
        <v>320</v>
      </c>
      <c r="N316" s="48" t="s">
        <v>320</v>
      </c>
      <c r="O316" s="48" t="s">
        <v>320</v>
      </c>
      <c r="P316" s="48" t="s">
        <v>320</v>
      </c>
      <c r="Q316" s="48" t="s">
        <v>320</v>
      </c>
      <c r="R316" s="48" t="s">
        <v>320</v>
      </c>
      <c r="S316" s="48" t="s">
        <v>320</v>
      </c>
      <c r="T316" s="48" t="s">
        <v>320</v>
      </c>
      <c r="U316" s="48" t="s">
        <v>320</v>
      </c>
      <c r="V316" s="48" t="s">
        <v>320</v>
      </c>
      <c r="W316" s="48" t="s">
        <v>375</v>
      </c>
      <c r="X316" s="48" t="s">
        <v>375</v>
      </c>
      <c r="Y316" s="48" t="s">
        <v>375</v>
      </c>
      <c r="Z316" s="48" t="s">
        <v>375</v>
      </c>
      <c r="AA316" s="48" t="s">
        <v>375</v>
      </c>
      <c r="AB316" s="48" t="s">
        <v>375</v>
      </c>
      <c r="AC316" s="48" t="s">
        <v>375</v>
      </c>
      <c r="AD316" s="48" t="s">
        <v>375</v>
      </c>
      <c r="AE316" s="48" t="s">
        <v>375</v>
      </c>
      <c r="AF316" s="48" t="s">
        <v>375</v>
      </c>
      <c r="AG316" s="48" t="s">
        <v>375</v>
      </c>
      <c r="AH316" s="48" t="s">
        <v>375</v>
      </c>
      <c r="AI316" s="48" t="s">
        <v>375</v>
      </c>
      <c r="AJ316" s="48" t="s">
        <v>375</v>
      </c>
      <c r="AK316" s="48" t="s">
        <v>375</v>
      </c>
      <c r="AL316" s="48" t="s">
        <v>375</v>
      </c>
    </row>
    <row r="317" spans="1:45" hidden="1" x14ac:dyDescent="0.25">
      <c r="A317">
        <v>316</v>
      </c>
      <c r="B317">
        <v>2025</v>
      </c>
      <c r="C317">
        <v>7</v>
      </c>
      <c r="D317" t="s">
        <v>154</v>
      </c>
      <c r="E317">
        <v>31</v>
      </c>
      <c r="F317">
        <v>6</v>
      </c>
      <c r="G317" t="s">
        <v>431</v>
      </c>
      <c r="H317" s="48" t="s">
        <v>320</v>
      </c>
      <c r="I317" s="48" t="s">
        <v>320</v>
      </c>
      <c r="J317" s="48" t="s">
        <v>320</v>
      </c>
      <c r="K317" s="48" t="s">
        <v>320</v>
      </c>
      <c r="L317" s="48" t="s">
        <v>320</v>
      </c>
      <c r="M317" s="48" t="s">
        <v>320</v>
      </c>
      <c r="N317" s="48" t="s">
        <v>320</v>
      </c>
      <c r="O317" s="48" t="s">
        <v>320</v>
      </c>
      <c r="P317" s="48" t="s">
        <v>320</v>
      </c>
      <c r="Q317" s="48" t="s">
        <v>320</v>
      </c>
      <c r="R317" s="48" t="s">
        <v>320</v>
      </c>
      <c r="S317" s="48" t="s">
        <v>320</v>
      </c>
      <c r="T317" s="48" t="s">
        <v>320</v>
      </c>
      <c r="U317" s="48" t="s">
        <v>320</v>
      </c>
      <c r="V317" s="48" t="s">
        <v>320</v>
      </c>
      <c r="W317" s="48">
        <v>0.79166666666666674</v>
      </c>
      <c r="X317" s="48">
        <v>0.79166666666666674</v>
      </c>
      <c r="Y317" s="48">
        <v>0.79166666666666674</v>
      </c>
      <c r="Z317" s="48">
        <v>0.79166666666666674</v>
      </c>
      <c r="AA317" s="48">
        <v>0.79166666666666674</v>
      </c>
      <c r="AB317" s="48">
        <v>0.79166666666666674</v>
      </c>
      <c r="AC317" s="48">
        <v>0.79166666666666674</v>
      </c>
      <c r="AD317" s="48">
        <v>0.83333333333333326</v>
      </c>
      <c r="AE317" s="48">
        <v>0.875</v>
      </c>
      <c r="AF317" s="48">
        <v>0.875</v>
      </c>
      <c r="AG317" s="48">
        <v>0.83333333333333326</v>
      </c>
      <c r="AH317" s="48">
        <v>0.83333333333333326</v>
      </c>
      <c r="AI317" s="48">
        <v>0.79166666666666674</v>
      </c>
      <c r="AJ317" s="48">
        <v>0.79166666666666674</v>
      </c>
      <c r="AK317" s="48">
        <v>0.83333333333333326</v>
      </c>
      <c r="AL317" s="48">
        <v>0.83333333333333326</v>
      </c>
      <c r="AM317">
        <v>16</v>
      </c>
      <c r="AO317">
        <v>24.999999999999979</v>
      </c>
    </row>
    <row r="318" spans="1:45" hidden="1" x14ac:dyDescent="0.25">
      <c r="A318">
        <v>317</v>
      </c>
      <c r="B318">
        <v>2025</v>
      </c>
      <c r="C318">
        <v>7</v>
      </c>
      <c r="D318" t="s">
        <v>154</v>
      </c>
      <c r="E318">
        <v>31</v>
      </c>
      <c r="F318">
        <v>6</v>
      </c>
      <c r="G318" t="s">
        <v>432</v>
      </c>
      <c r="H318" s="48" t="s">
        <v>320</v>
      </c>
      <c r="I318" s="48" t="s">
        <v>320</v>
      </c>
      <c r="J318" s="48" t="s">
        <v>320</v>
      </c>
      <c r="K318" s="48" t="s">
        <v>320</v>
      </c>
      <c r="L318" s="48" t="s">
        <v>320</v>
      </c>
      <c r="M318" s="48" t="s">
        <v>320</v>
      </c>
      <c r="N318" s="48" t="s">
        <v>320</v>
      </c>
      <c r="O318" s="48" t="s">
        <v>320</v>
      </c>
      <c r="P318" s="48" t="s">
        <v>320</v>
      </c>
      <c r="Q318" s="48" t="s">
        <v>320</v>
      </c>
      <c r="R318" s="48" t="s">
        <v>320</v>
      </c>
      <c r="S318" s="48" t="s">
        <v>320</v>
      </c>
      <c r="T318" s="48" t="s">
        <v>320</v>
      </c>
      <c r="U318" s="48" t="s">
        <v>320</v>
      </c>
      <c r="V318" s="48" t="s">
        <v>320</v>
      </c>
      <c r="W318" s="48">
        <v>236391</v>
      </c>
      <c r="X318" s="48">
        <v>236391</v>
      </c>
      <c r="Y318" s="48">
        <v>236587</v>
      </c>
      <c r="Z318" s="48">
        <v>236677</v>
      </c>
      <c r="AA318" s="48">
        <v>236801</v>
      </c>
      <c r="AB318" s="48">
        <v>236916</v>
      </c>
      <c r="AC318" s="48">
        <v>236935</v>
      </c>
      <c r="AD318" s="48">
        <v>236965</v>
      </c>
      <c r="AE318" s="48">
        <v>237072</v>
      </c>
      <c r="AF318" s="48">
        <v>237222</v>
      </c>
      <c r="AG318" s="48">
        <v>237246</v>
      </c>
      <c r="AH318" s="48">
        <v>237253</v>
      </c>
      <c r="AI318" s="48">
        <v>237368</v>
      </c>
      <c r="AJ318" s="48">
        <v>237486</v>
      </c>
      <c r="AK318" s="48">
        <v>237508</v>
      </c>
      <c r="AL318" s="48">
        <v>237529</v>
      </c>
    </row>
    <row r="319" spans="1:45" hidden="1" x14ac:dyDescent="0.25">
      <c r="A319">
        <v>318</v>
      </c>
      <c r="B319">
        <v>2025</v>
      </c>
      <c r="C319">
        <v>7</v>
      </c>
      <c r="D319" t="s">
        <v>154</v>
      </c>
      <c r="E319">
        <v>31</v>
      </c>
      <c r="F319">
        <v>6</v>
      </c>
      <c r="G319" t="s">
        <v>433</v>
      </c>
      <c r="H319" s="48" t="s">
        <v>320</v>
      </c>
      <c r="I319" s="48" t="s">
        <v>320</v>
      </c>
      <c r="J319" s="48" t="s">
        <v>320</v>
      </c>
      <c r="K319" s="48" t="s">
        <v>320</v>
      </c>
      <c r="L319" s="48" t="s">
        <v>320</v>
      </c>
      <c r="M319" s="48" t="s">
        <v>320</v>
      </c>
      <c r="N319" s="48" t="s">
        <v>320</v>
      </c>
      <c r="O319" s="48" t="s">
        <v>320</v>
      </c>
      <c r="P319" s="48" t="s">
        <v>320</v>
      </c>
      <c r="Q319" s="48" t="s">
        <v>320</v>
      </c>
      <c r="R319" s="48" t="s">
        <v>320</v>
      </c>
      <c r="S319" s="48" t="s">
        <v>320</v>
      </c>
      <c r="T319" s="48" t="s">
        <v>320</v>
      </c>
      <c r="U319" s="48" t="s">
        <v>320</v>
      </c>
      <c r="V319" s="48" t="s">
        <v>320</v>
      </c>
      <c r="W319" s="48">
        <v>236433</v>
      </c>
      <c r="X319" s="48">
        <v>236433</v>
      </c>
      <c r="Y319" s="48">
        <v>236677</v>
      </c>
      <c r="Z319" s="48">
        <v>236695</v>
      </c>
      <c r="AA319" s="48">
        <v>236916</v>
      </c>
      <c r="AB319" s="48">
        <v>236935</v>
      </c>
      <c r="AC319" s="48">
        <v>236958</v>
      </c>
      <c r="AD319" s="48">
        <v>237072</v>
      </c>
      <c r="AE319" s="48">
        <v>237222</v>
      </c>
      <c r="AF319" s="48">
        <v>237245</v>
      </c>
      <c r="AG319" s="48">
        <v>237253</v>
      </c>
      <c r="AH319" s="48">
        <v>237368</v>
      </c>
      <c r="AI319" s="48">
        <v>237486</v>
      </c>
      <c r="AJ319" s="48">
        <v>237508</v>
      </c>
      <c r="AK319" s="48">
        <v>237527</v>
      </c>
      <c r="AL319" s="48">
        <v>237630</v>
      </c>
      <c r="AP319">
        <v>151.65</v>
      </c>
      <c r="AQ319">
        <v>15</v>
      </c>
      <c r="AS319">
        <v>1011</v>
      </c>
    </row>
    <row r="320" spans="1:45" hidden="1" x14ac:dyDescent="0.25">
      <c r="A320">
        <v>319</v>
      </c>
      <c r="B320">
        <v>2025</v>
      </c>
      <c r="C320">
        <v>7</v>
      </c>
      <c r="D320" t="s">
        <v>162</v>
      </c>
      <c r="E320">
        <v>31</v>
      </c>
      <c r="F320">
        <v>6</v>
      </c>
      <c r="G320" t="s">
        <v>430</v>
      </c>
      <c r="H320" s="48" t="s">
        <v>382</v>
      </c>
      <c r="I320" s="48" t="s">
        <v>382</v>
      </c>
      <c r="J320" s="48" t="s">
        <v>382</v>
      </c>
      <c r="K320" s="48" t="s">
        <v>382</v>
      </c>
      <c r="L320" s="48" t="s">
        <v>382</v>
      </c>
      <c r="M320" s="48" t="s">
        <v>382</v>
      </c>
      <c r="N320" s="48" t="s">
        <v>382</v>
      </c>
      <c r="O320" s="48" t="s">
        <v>382</v>
      </c>
      <c r="P320" s="48" t="s">
        <v>382</v>
      </c>
      <c r="Q320" s="48" t="s">
        <v>382</v>
      </c>
      <c r="R320" s="48" t="s">
        <v>382</v>
      </c>
      <c r="S320" s="48" t="s">
        <v>382</v>
      </c>
      <c r="T320" s="48" t="s">
        <v>382</v>
      </c>
      <c r="U320" s="48" t="s">
        <v>382</v>
      </c>
      <c r="V320" s="48" t="s">
        <v>382</v>
      </c>
      <c r="W320" s="48" t="s">
        <v>382</v>
      </c>
      <c r="X320" s="48" t="s">
        <v>382</v>
      </c>
      <c r="Y320" s="48" t="s">
        <v>382</v>
      </c>
      <c r="Z320" s="48" t="s">
        <v>382</v>
      </c>
      <c r="AA320" s="48" t="s">
        <v>382</v>
      </c>
      <c r="AB320" s="48" t="s">
        <v>382</v>
      </c>
      <c r="AC320" s="48" t="s">
        <v>382</v>
      </c>
      <c r="AD320" s="48" t="s">
        <v>382</v>
      </c>
      <c r="AE320" s="48" t="s">
        <v>382</v>
      </c>
      <c r="AF320" s="48" t="s">
        <v>382</v>
      </c>
      <c r="AG320" s="48" t="s">
        <v>382</v>
      </c>
      <c r="AH320" s="48" t="s">
        <v>382</v>
      </c>
      <c r="AI320" s="48" t="s">
        <v>382</v>
      </c>
      <c r="AJ320" s="48" t="s">
        <v>382</v>
      </c>
      <c r="AK320" s="48" t="s">
        <v>382</v>
      </c>
      <c r="AL320" s="48" t="s">
        <v>382</v>
      </c>
    </row>
    <row r="321" spans="1:45" hidden="1" x14ac:dyDescent="0.25">
      <c r="A321">
        <v>320</v>
      </c>
      <c r="B321">
        <v>2025</v>
      </c>
      <c r="C321">
        <v>7</v>
      </c>
      <c r="D321" t="s">
        <v>162</v>
      </c>
      <c r="E321">
        <v>31</v>
      </c>
      <c r="F321">
        <v>6</v>
      </c>
      <c r="G321" t="s">
        <v>431</v>
      </c>
      <c r="H321" s="48">
        <v>0.79166666666666674</v>
      </c>
      <c r="I321" s="48">
        <v>0.79166666666666674</v>
      </c>
      <c r="J321" s="48">
        <v>0.79166666666666674</v>
      </c>
      <c r="K321" s="48">
        <v>0.79166666666666674</v>
      </c>
      <c r="L321" s="48">
        <v>0.79166666666666674</v>
      </c>
      <c r="M321" s="48">
        <v>0.79166666666666674</v>
      </c>
      <c r="N321" s="48">
        <v>0.79166666666666674</v>
      </c>
      <c r="O321" s="48">
        <v>0.79166666666666674</v>
      </c>
      <c r="P321" s="48">
        <v>0.79166666666666674</v>
      </c>
      <c r="Q321" s="48">
        <v>0.79166666666666674</v>
      </c>
      <c r="R321" s="48">
        <v>0.79166666666666674</v>
      </c>
      <c r="S321" s="48">
        <v>0.79166666666666674</v>
      </c>
      <c r="T321" s="48">
        <v>0.79166666666666674</v>
      </c>
      <c r="U321" s="48">
        <v>0.79166666666666674</v>
      </c>
      <c r="V321" s="48">
        <v>0.79166666666666674</v>
      </c>
      <c r="W321" s="48">
        <v>0.79166666666666674</v>
      </c>
      <c r="X321" s="48">
        <v>0.79166666666666674</v>
      </c>
      <c r="Y321" s="48">
        <v>0.79166666666666674</v>
      </c>
      <c r="Z321" s="48">
        <v>0.79166666666666674</v>
      </c>
      <c r="AA321" s="48">
        <v>0.79166666666666674</v>
      </c>
      <c r="AB321" s="48">
        <v>0.79166666666666674</v>
      </c>
      <c r="AC321" s="48">
        <v>0.79166666666666674</v>
      </c>
      <c r="AD321" s="48">
        <v>0.79166666666666674</v>
      </c>
      <c r="AE321" s="48">
        <v>0.79166666666666674</v>
      </c>
      <c r="AF321" s="48">
        <v>0.79166666666666674</v>
      </c>
      <c r="AG321" s="48">
        <v>0.79166666666666674</v>
      </c>
      <c r="AH321" s="48">
        <v>0.83333333333333326</v>
      </c>
      <c r="AI321" s="48">
        <v>0.79166666666666674</v>
      </c>
      <c r="AJ321" s="48">
        <v>0.79166666666666674</v>
      </c>
      <c r="AK321" s="48">
        <v>0.79166666666666674</v>
      </c>
      <c r="AL321" s="48">
        <v>0.79166666666666674</v>
      </c>
      <c r="AM321">
        <v>31</v>
      </c>
      <c r="AO321">
        <v>94</v>
      </c>
    </row>
    <row r="322" spans="1:45" hidden="1" x14ac:dyDescent="0.25">
      <c r="A322">
        <v>321</v>
      </c>
      <c r="B322">
        <v>2025</v>
      </c>
      <c r="C322">
        <v>7</v>
      </c>
      <c r="D322" t="s">
        <v>162</v>
      </c>
      <c r="E322">
        <v>31</v>
      </c>
      <c r="F322">
        <v>6</v>
      </c>
      <c r="G322" t="s">
        <v>432</v>
      </c>
      <c r="H322" s="48">
        <v>85044</v>
      </c>
      <c r="I322" s="48">
        <v>85179</v>
      </c>
      <c r="J322" s="48">
        <v>85396</v>
      </c>
      <c r="K322" s="48">
        <v>85564</v>
      </c>
      <c r="L322" s="48">
        <v>85746</v>
      </c>
      <c r="M322" s="48">
        <v>85924</v>
      </c>
      <c r="N322" s="48">
        <v>86089</v>
      </c>
      <c r="O322" s="48">
        <v>86265</v>
      </c>
      <c r="P322" s="48">
        <v>86496</v>
      </c>
      <c r="Q322" s="48">
        <v>86678</v>
      </c>
      <c r="R322" s="48">
        <v>86856</v>
      </c>
      <c r="S322" s="48">
        <v>87029</v>
      </c>
      <c r="T322" s="48">
        <v>87205</v>
      </c>
      <c r="U322" s="48">
        <v>87373</v>
      </c>
      <c r="V322" s="48">
        <v>87556</v>
      </c>
      <c r="W322" s="48">
        <v>87782</v>
      </c>
      <c r="X322" s="48">
        <v>87955</v>
      </c>
      <c r="Y322" s="48">
        <v>88123</v>
      </c>
      <c r="Z322" s="48">
        <v>88298</v>
      </c>
      <c r="AA322" s="48">
        <v>88480</v>
      </c>
      <c r="AB322" s="48">
        <v>88710</v>
      </c>
      <c r="AC322" s="48">
        <v>88882</v>
      </c>
      <c r="AD322" s="48">
        <v>89111</v>
      </c>
      <c r="AE322" s="48">
        <v>89279</v>
      </c>
      <c r="AF322" s="48">
        <v>89443</v>
      </c>
      <c r="AG322" s="48">
        <v>89610</v>
      </c>
      <c r="AH322" s="48">
        <v>89782</v>
      </c>
      <c r="AI322" s="48">
        <v>90035</v>
      </c>
      <c r="AJ322" s="48">
        <v>90203</v>
      </c>
      <c r="AK322" s="48">
        <v>90377</v>
      </c>
      <c r="AL322" s="48">
        <v>90542</v>
      </c>
    </row>
    <row r="323" spans="1:45" hidden="1" x14ac:dyDescent="0.25">
      <c r="A323">
        <v>322</v>
      </c>
      <c r="B323">
        <v>2025</v>
      </c>
      <c r="C323">
        <v>7</v>
      </c>
      <c r="D323" t="s">
        <v>162</v>
      </c>
      <c r="E323">
        <v>31</v>
      </c>
      <c r="F323">
        <v>6</v>
      </c>
      <c r="G323" t="s">
        <v>433</v>
      </c>
      <c r="H323" s="48">
        <v>85223</v>
      </c>
      <c r="I323" s="48">
        <v>85352</v>
      </c>
      <c r="J323" s="48">
        <v>85564</v>
      </c>
      <c r="K323" s="48">
        <v>85746</v>
      </c>
      <c r="L323" s="48">
        <v>85924</v>
      </c>
      <c r="M323" s="48">
        <v>86089</v>
      </c>
      <c r="N323" s="48">
        <v>86265</v>
      </c>
      <c r="O323" s="48">
        <v>86496</v>
      </c>
      <c r="P323" s="48">
        <v>86678</v>
      </c>
      <c r="Q323" s="48">
        <v>86856</v>
      </c>
      <c r="R323" s="48">
        <v>87029</v>
      </c>
      <c r="S323" s="48">
        <v>87205</v>
      </c>
      <c r="T323" s="48">
        <v>87373</v>
      </c>
      <c r="U323" s="48">
        <v>87556</v>
      </c>
      <c r="V323" s="48">
        <v>87782</v>
      </c>
      <c r="W323" s="48">
        <v>87955</v>
      </c>
      <c r="X323" s="48">
        <v>88123</v>
      </c>
      <c r="Y323" s="48">
        <v>88298</v>
      </c>
      <c r="Z323" s="48">
        <v>88480</v>
      </c>
      <c r="AA323" s="48">
        <v>88710</v>
      </c>
      <c r="AB323" s="48">
        <v>88882</v>
      </c>
      <c r="AC323" s="48">
        <v>89111</v>
      </c>
      <c r="AD323" s="48">
        <v>89279</v>
      </c>
      <c r="AE323" s="48">
        <v>89443</v>
      </c>
      <c r="AF323" s="48">
        <v>89610</v>
      </c>
      <c r="AG323" s="48">
        <v>89782</v>
      </c>
      <c r="AH323" s="48">
        <v>90035</v>
      </c>
      <c r="AI323" s="48">
        <v>90203</v>
      </c>
      <c r="AJ323" s="48">
        <v>90377</v>
      </c>
      <c r="AK323" s="48">
        <v>90542</v>
      </c>
      <c r="AL323" s="48">
        <v>90710</v>
      </c>
      <c r="AP323">
        <v>663.89999999999986</v>
      </c>
      <c r="AQ323">
        <v>14.999999999999998</v>
      </c>
      <c r="AR323" t="s">
        <v>345</v>
      </c>
      <c r="AS323">
        <v>5666</v>
      </c>
    </row>
    <row r="324" spans="1:45" hidden="1" x14ac:dyDescent="0.25">
      <c r="A324">
        <v>323</v>
      </c>
      <c r="B324">
        <v>2025</v>
      </c>
      <c r="C324">
        <v>7</v>
      </c>
      <c r="D324" t="s">
        <v>150</v>
      </c>
      <c r="E324">
        <v>31</v>
      </c>
      <c r="F324">
        <v>6</v>
      </c>
      <c r="G324" t="s">
        <v>430</v>
      </c>
      <c r="H324" s="48" t="s">
        <v>406</v>
      </c>
      <c r="I324" s="48" t="s">
        <v>406</v>
      </c>
      <c r="J324" s="48" t="s">
        <v>406</v>
      </c>
      <c r="K324" s="48" t="s">
        <v>406</v>
      </c>
      <c r="L324" s="48" t="s">
        <v>406</v>
      </c>
      <c r="M324" s="48" t="s">
        <v>320</v>
      </c>
      <c r="N324" s="48" t="s">
        <v>406</v>
      </c>
      <c r="O324" s="48" t="s">
        <v>407</v>
      </c>
      <c r="P324" s="48" t="s">
        <v>407</v>
      </c>
      <c r="Q324" s="48" t="s">
        <v>407</v>
      </c>
      <c r="R324" s="48" t="s">
        <v>407</v>
      </c>
      <c r="S324" s="48" t="s">
        <v>407</v>
      </c>
      <c r="T324" s="48" t="s">
        <v>407</v>
      </c>
      <c r="U324" s="48" t="s">
        <v>407</v>
      </c>
      <c r="V324" s="48" t="s">
        <v>407</v>
      </c>
      <c r="W324" s="48" t="s">
        <v>407</v>
      </c>
      <c r="X324" s="48" t="s">
        <v>407</v>
      </c>
      <c r="Y324" s="48" t="s">
        <v>407</v>
      </c>
      <c r="Z324" s="48" t="s">
        <v>407</v>
      </c>
      <c r="AA324" s="48" t="s">
        <v>407</v>
      </c>
      <c r="AB324" s="48" t="s">
        <v>407</v>
      </c>
      <c r="AC324" s="48" t="s">
        <v>407</v>
      </c>
      <c r="AD324" s="48" t="s">
        <v>407</v>
      </c>
      <c r="AE324" s="48" t="s">
        <v>407</v>
      </c>
      <c r="AF324" s="48" t="s">
        <v>407</v>
      </c>
      <c r="AG324" s="48" t="s">
        <v>407</v>
      </c>
      <c r="AH324" s="48" t="s">
        <v>407</v>
      </c>
      <c r="AI324" s="48" t="s">
        <v>407</v>
      </c>
      <c r="AJ324" s="48" t="s">
        <v>407</v>
      </c>
      <c r="AK324" s="48" t="s">
        <v>407</v>
      </c>
      <c r="AL324" s="48" t="s">
        <v>407</v>
      </c>
    </row>
    <row r="325" spans="1:45" hidden="1" x14ac:dyDescent="0.25">
      <c r="A325">
        <v>324</v>
      </c>
      <c r="B325">
        <v>2025</v>
      </c>
      <c r="C325">
        <v>7</v>
      </c>
      <c r="D325" t="s">
        <v>150</v>
      </c>
      <c r="E325">
        <v>31</v>
      </c>
      <c r="F325">
        <v>6</v>
      </c>
      <c r="G325" t="s">
        <v>431</v>
      </c>
      <c r="H325" s="48">
        <v>0.91666666666666674</v>
      </c>
      <c r="I325" s="48">
        <v>0.83333333333333326</v>
      </c>
      <c r="J325" s="48">
        <v>0.83333333333333326</v>
      </c>
      <c r="K325" s="48">
        <v>0.83333333333333326</v>
      </c>
      <c r="L325" s="48">
        <v>0.83333333333333326</v>
      </c>
      <c r="M325" s="48" t="s">
        <v>320</v>
      </c>
      <c r="N325" s="48">
        <v>0.83333333333333326</v>
      </c>
      <c r="O325" s="48">
        <v>0.85416666666666663</v>
      </c>
      <c r="P325" s="48">
        <v>0.9375</v>
      </c>
      <c r="Q325" s="48">
        <v>0.85416666666666663</v>
      </c>
      <c r="R325" s="48">
        <v>0.97916666666666652</v>
      </c>
      <c r="S325" s="48">
        <v>0.85416666666666663</v>
      </c>
      <c r="T325" s="48">
        <v>0.85416666666666663</v>
      </c>
      <c r="U325" s="48">
        <v>0.85416666666666663</v>
      </c>
      <c r="V325" s="48">
        <v>0.85416666666666663</v>
      </c>
      <c r="W325" s="48">
        <v>0.85416666666666663</v>
      </c>
      <c r="X325" s="48">
        <v>0.85416666666666663</v>
      </c>
      <c r="Y325" s="48">
        <v>0.85416666666666663</v>
      </c>
      <c r="Z325" s="48">
        <v>0.85416666666666663</v>
      </c>
      <c r="AA325" s="48">
        <v>0.85416666666666663</v>
      </c>
      <c r="AB325" s="48">
        <v>0.85416666666666663</v>
      </c>
      <c r="AC325" s="48">
        <v>0.85416666666666663</v>
      </c>
      <c r="AD325" s="48">
        <v>0.85416666666666663</v>
      </c>
      <c r="AE325" s="48">
        <v>0.85416666666666663</v>
      </c>
      <c r="AF325" s="48">
        <v>0.89583333333333326</v>
      </c>
      <c r="AG325" s="48">
        <v>0.85416666666666663</v>
      </c>
      <c r="AH325" s="48">
        <v>0.85416666666666663</v>
      </c>
      <c r="AI325" s="48">
        <v>0.85416666666666663</v>
      </c>
      <c r="AJ325" s="48">
        <v>0.85416666666666663</v>
      </c>
      <c r="AK325" s="48">
        <v>0.85416666666666663</v>
      </c>
      <c r="AL325" s="48">
        <v>0.85416666666666663</v>
      </c>
      <c r="AM325">
        <v>30</v>
      </c>
      <c r="AO325">
        <v>97.999999999999986</v>
      </c>
    </row>
    <row r="326" spans="1:45" hidden="1" x14ac:dyDescent="0.25">
      <c r="A326">
        <v>325</v>
      </c>
      <c r="B326">
        <v>2025</v>
      </c>
      <c r="C326">
        <v>7</v>
      </c>
      <c r="D326" t="s">
        <v>150</v>
      </c>
      <c r="E326">
        <v>31</v>
      </c>
      <c r="F326">
        <v>6</v>
      </c>
      <c r="G326" t="s">
        <v>432</v>
      </c>
      <c r="H326" s="48">
        <v>774895</v>
      </c>
      <c r="I326" s="48">
        <v>775114</v>
      </c>
      <c r="J326" s="48">
        <v>775302</v>
      </c>
      <c r="K326" s="48">
        <v>775465</v>
      </c>
      <c r="L326" s="48">
        <v>775713</v>
      </c>
      <c r="M326" s="48" t="s">
        <v>320</v>
      </c>
      <c r="N326" s="48">
        <v>776043</v>
      </c>
      <c r="O326" s="48">
        <v>776316</v>
      </c>
      <c r="P326" s="48">
        <v>776541</v>
      </c>
      <c r="Q326" s="48">
        <v>776775</v>
      </c>
      <c r="R326" s="48">
        <v>776994</v>
      </c>
      <c r="S326" s="48">
        <v>777155</v>
      </c>
      <c r="T326" s="48">
        <v>777460</v>
      </c>
      <c r="U326" s="48">
        <v>777622</v>
      </c>
      <c r="V326" s="48">
        <v>777827</v>
      </c>
      <c r="W326" s="48">
        <v>778087</v>
      </c>
      <c r="X326" s="48">
        <v>778347</v>
      </c>
      <c r="Y326" s="48">
        <v>778533</v>
      </c>
      <c r="Z326" s="48">
        <v>778778</v>
      </c>
      <c r="AA326" s="48">
        <v>778989</v>
      </c>
      <c r="AB326" s="48">
        <v>779267</v>
      </c>
      <c r="AC326" s="48">
        <v>779471</v>
      </c>
      <c r="AD326" s="48">
        <v>779762</v>
      </c>
      <c r="AE326" s="48">
        <v>779979</v>
      </c>
      <c r="AF326" s="48">
        <v>780115</v>
      </c>
      <c r="AG326" s="48">
        <v>780286</v>
      </c>
      <c r="AH326" s="48">
        <v>780556</v>
      </c>
      <c r="AI326" s="48">
        <v>780776</v>
      </c>
      <c r="AJ326" s="48">
        <v>781119</v>
      </c>
      <c r="AK326" s="48">
        <v>781389</v>
      </c>
      <c r="AL326" s="48">
        <v>781611</v>
      </c>
    </row>
    <row r="327" spans="1:45" hidden="1" x14ac:dyDescent="0.25">
      <c r="A327">
        <v>326</v>
      </c>
      <c r="B327">
        <v>2025</v>
      </c>
      <c r="C327">
        <v>7</v>
      </c>
      <c r="D327" t="s">
        <v>150</v>
      </c>
      <c r="E327">
        <v>31</v>
      </c>
      <c r="F327">
        <v>6</v>
      </c>
      <c r="G327" t="s">
        <v>433</v>
      </c>
      <c r="H327" s="48">
        <v>775112</v>
      </c>
      <c r="I327" s="48">
        <v>775302</v>
      </c>
      <c r="J327" s="48">
        <v>775465</v>
      </c>
      <c r="K327" s="48">
        <v>775713</v>
      </c>
      <c r="L327" s="48">
        <v>775969</v>
      </c>
      <c r="M327" s="48" t="s">
        <v>320</v>
      </c>
      <c r="N327" s="48">
        <v>776316</v>
      </c>
      <c r="O327" s="48">
        <v>776541</v>
      </c>
      <c r="P327" s="48">
        <v>776775</v>
      </c>
      <c r="Q327" s="48">
        <v>776984</v>
      </c>
      <c r="R327" s="48">
        <v>777155</v>
      </c>
      <c r="S327" s="48">
        <v>777358</v>
      </c>
      <c r="T327" s="48">
        <v>777622</v>
      </c>
      <c r="U327" s="48">
        <v>777827</v>
      </c>
      <c r="V327" s="48">
        <v>778087</v>
      </c>
      <c r="W327" s="48">
        <v>778347</v>
      </c>
      <c r="X327" s="48">
        <v>778533</v>
      </c>
      <c r="Y327" s="48">
        <v>778778</v>
      </c>
      <c r="Z327" s="48">
        <v>778989</v>
      </c>
      <c r="AA327" s="48">
        <v>779258</v>
      </c>
      <c r="AB327" s="48">
        <v>779471</v>
      </c>
      <c r="AC327" s="48">
        <v>779743</v>
      </c>
      <c r="AD327" s="48">
        <v>779979</v>
      </c>
      <c r="AE327" s="48">
        <v>780115</v>
      </c>
      <c r="AF327" s="48">
        <v>780286</v>
      </c>
      <c r="AG327" s="48">
        <v>780556</v>
      </c>
      <c r="AH327" s="48">
        <v>780776</v>
      </c>
      <c r="AI327" s="48">
        <v>781030</v>
      </c>
      <c r="AJ327" s="48">
        <v>781389</v>
      </c>
      <c r="AK327" s="48">
        <v>781611</v>
      </c>
      <c r="AL327" s="48">
        <v>781847</v>
      </c>
      <c r="AP327">
        <v>727.05</v>
      </c>
      <c r="AQ327">
        <v>15</v>
      </c>
      <c r="AS327">
        <v>6647</v>
      </c>
    </row>
    <row r="328" spans="1:45" hidden="1" x14ac:dyDescent="0.25">
      <c r="A328">
        <v>327</v>
      </c>
      <c r="B328">
        <v>2025</v>
      </c>
      <c r="C328">
        <v>7</v>
      </c>
      <c r="D328" t="s">
        <v>161</v>
      </c>
      <c r="E328">
        <v>31</v>
      </c>
      <c r="F328">
        <v>6</v>
      </c>
      <c r="G328" t="s">
        <v>430</v>
      </c>
      <c r="H328" s="48" t="s">
        <v>375</v>
      </c>
      <c r="I328" s="48" t="s">
        <v>375</v>
      </c>
      <c r="J328" s="48" t="s">
        <v>375</v>
      </c>
      <c r="K328" s="48" t="s">
        <v>375</v>
      </c>
      <c r="L328" s="48" t="s">
        <v>375</v>
      </c>
      <c r="M328" s="48" t="s">
        <v>320</v>
      </c>
      <c r="N328" s="48" t="s">
        <v>375</v>
      </c>
      <c r="O328" s="48" t="s">
        <v>375</v>
      </c>
      <c r="P328" s="48" t="s">
        <v>375</v>
      </c>
      <c r="Q328" s="48" t="s">
        <v>375</v>
      </c>
      <c r="R328" s="48" t="s">
        <v>375</v>
      </c>
      <c r="S328" s="48" t="s">
        <v>375</v>
      </c>
      <c r="T328" s="48" t="s">
        <v>375</v>
      </c>
      <c r="U328" s="48" t="s">
        <v>375</v>
      </c>
      <c r="V328" s="48" t="s">
        <v>375</v>
      </c>
      <c r="W328" s="48" t="s">
        <v>375</v>
      </c>
      <c r="X328" s="48" t="s">
        <v>375</v>
      </c>
      <c r="Y328" s="48" t="s">
        <v>375</v>
      </c>
      <c r="Z328" s="48" t="s">
        <v>375</v>
      </c>
      <c r="AA328" s="48" t="s">
        <v>375</v>
      </c>
      <c r="AB328" s="48" t="s">
        <v>375</v>
      </c>
      <c r="AC328" s="48" t="s">
        <v>375</v>
      </c>
      <c r="AD328" s="48" t="s">
        <v>375</v>
      </c>
      <c r="AE328" s="48" t="s">
        <v>375</v>
      </c>
      <c r="AF328" s="48" t="s">
        <v>375</v>
      </c>
      <c r="AG328" s="48" t="s">
        <v>375</v>
      </c>
      <c r="AH328" s="48" t="s">
        <v>375</v>
      </c>
      <c r="AI328" s="48" t="s">
        <v>375</v>
      </c>
      <c r="AJ328" s="48">
        <v>0.29166666666666669</v>
      </c>
      <c r="AK328" s="48">
        <v>0.29166666666666669</v>
      </c>
      <c r="AL328" s="48">
        <v>0.29166666666666669</v>
      </c>
    </row>
    <row r="329" spans="1:45" hidden="1" x14ac:dyDescent="0.25">
      <c r="A329">
        <v>328</v>
      </c>
      <c r="B329">
        <v>2025</v>
      </c>
      <c r="C329">
        <v>7</v>
      </c>
      <c r="D329" t="s">
        <v>161</v>
      </c>
      <c r="E329">
        <v>31</v>
      </c>
      <c r="F329">
        <v>6</v>
      </c>
      <c r="G329" t="s">
        <v>431</v>
      </c>
      <c r="H329" s="48">
        <v>0.75</v>
      </c>
      <c r="I329" s="48">
        <v>1.0833333333333333</v>
      </c>
      <c r="J329" s="48">
        <v>0.79166666666666674</v>
      </c>
      <c r="K329" s="48">
        <v>0.75</v>
      </c>
      <c r="L329" s="48">
        <v>0.75</v>
      </c>
      <c r="M329" s="48" t="s">
        <v>320</v>
      </c>
      <c r="N329" s="48">
        <v>0.79166666666666674</v>
      </c>
      <c r="O329" s="48">
        <v>0.79166666666666674</v>
      </c>
      <c r="P329" s="48">
        <v>0.79166666666666674</v>
      </c>
      <c r="Q329" s="48">
        <v>0.79166666666666674</v>
      </c>
      <c r="R329" s="48">
        <v>0.79166666666666674</v>
      </c>
      <c r="S329" s="48">
        <v>1</v>
      </c>
      <c r="T329" s="48">
        <v>0.75</v>
      </c>
      <c r="U329" s="48">
        <v>1</v>
      </c>
      <c r="V329" s="48">
        <v>1.1666666666666667</v>
      </c>
      <c r="W329" s="48">
        <v>1.0833333333333333</v>
      </c>
      <c r="X329" s="48">
        <v>1.0416666666666667</v>
      </c>
      <c r="Y329" s="48">
        <v>1</v>
      </c>
      <c r="Z329" s="48">
        <v>1.0416666666666667</v>
      </c>
      <c r="AA329" s="48">
        <v>1</v>
      </c>
      <c r="AB329" s="48">
        <v>1</v>
      </c>
      <c r="AC329" s="48">
        <v>0.79166666666666674</v>
      </c>
      <c r="AD329" s="48">
        <v>0.75</v>
      </c>
      <c r="AE329" s="48">
        <v>1</v>
      </c>
      <c r="AF329" s="48">
        <v>1</v>
      </c>
      <c r="AG329" s="48">
        <v>0.75</v>
      </c>
      <c r="AH329" s="48">
        <v>0.95833333333333326</v>
      </c>
      <c r="AI329" s="48">
        <v>0.75</v>
      </c>
      <c r="AJ329" s="48">
        <v>1</v>
      </c>
      <c r="AK329" s="48">
        <v>0.75</v>
      </c>
      <c r="AL329" s="48">
        <v>1.0416666666666667</v>
      </c>
      <c r="AM329">
        <v>30</v>
      </c>
      <c r="AO329">
        <v>107</v>
      </c>
    </row>
    <row r="330" spans="1:45" hidden="1" x14ac:dyDescent="0.25">
      <c r="A330">
        <v>329</v>
      </c>
      <c r="B330">
        <v>2025</v>
      </c>
      <c r="C330">
        <v>7</v>
      </c>
      <c r="D330" t="s">
        <v>161</v>
      </c>
      <c r="E330">
        <v>31</v>
      </c>
      <c r="F330">
        <v>6</v>
      </c>
      <c r="G330" t="s">
        <v>432</v>
      </c>
      <c r="H330" s="48">
        <v>813922</v>
      </c>
      <c r="I330" s="48">
        <v>813993</v>
      </c>
      <c r="J330" s="48">
        <v>814044</v>
      </c>
      <c r="K330" s="48">
        <v>814086</v>
      </c>
      <c r="L330" s="48">
        <v>814162</v>
      </c>
      <c r="M330" s="48" t="s">
        <v>320</v>
      </c>
      <c r="N330" s="48">
        <v>814258</v>
      </c>
      <c r="O330" s="48">
        <v>814309</v>
      </c>
      <c r="P330" s="48">
        <v>814391</v>
      </c>
      <c r="Q330" s="48">
        <v>814462</v>
      </c>
      <c r="R330" s="48">
        <v>814545</v>
      </c>
      <c r="S330" s="48">
        <v>814627</v>
      </c>
      <c r="T330" s="48">
        <v>814719</v>
      </c>
      <c r="U330" s="48">
        <v>814769</v>
      </c>
      <c r="V330" s="48">
        <v>814849</v>
      </c>
      <c r="W330" s="48">
        <v>814939</v>
      </c>
      <c r="X330" s="48">
        <v>814992</v>
      </c>
      <c r="Y330" s="48">
        <v>815076</v>
      </c>
      <c r="Z330" s="48">
        <v>815167</v>
      </c>
      <c r="AA330" s="48">
        <v>815211</v>
      </c>
      <c r="AB330" s="48">
        <v>815273</v>
      </c>
      <c r="AC330" s="48">
        <v>815336</v>
      </c>
      <c r="AD330" s="48">
        <v>815401</v>
      </c>
      <c r="AE330" s="48">
        <v>815466</v>
      </c>
      <c r="AF330" s="48">
        <v>815519</v>
      </c>
      <c r="AG330" s="48">
        <v>815593</v>
      </c>
      <c r="AH330" s="48">
        <v>815665</v>
      </c>
      <c r="AI330" s="48">
        <v>815747</v>
      </c>
      <c r="AJ330" s="48">
        <v>815808</v>
      </c>
      <c r="AK330" s="48">
        <v>815891</v>
      </c>
      <c r="AL330" s="48">
        <v>815964</v>
      </c>
    </row>
    <row r="331" spans="1:45" hidden="1" x14ac:dyDescent="0.25">
      <c r="A331">
        <v>330</v>
      </c>
      <c r="B331">
        <v>2025</v>
      </c>
      <c r="C331">
        <v>7</v>
      </c>
      <c r="D331" t="s">
        <v>161</v>
      </c>
      <c r="E331">
        <v>31</v>
      </c>
      <c r="F331">
        <v>6</v>
      </c>
      <c r="G331" t="s">
        <v>433</v>
      </c>
      <c r="H331" s="48">
        <v>813993</v>
      </c>
      <c r="I331" s="48">
        <v>814044</v>
      </c>
      <c r="J331" s="48">
        <v>814086</v>
      </c>
      <c r="K331" s="48">
        <v>814162</v>
      </c>
      <c r="L331" s="48">
        <v>814258</v>
      </c>
      <c r="M331" s="48" t="s">
        <v>320</v>
      </c>
      <c r="N331" s="48">
        <v>814309</v>
      </c>
      <c r="O331" s="48">
        <v>814391</v>
      </c>
      <c r="P331" s="48">
        <v>814462</v>
      </c>
      <c r="Q331" s="48">
        <v>814545</v>
      </c>
      <c r="R331" s="48">
        <v>814627</v>
      </c>
      <c r="S331" s="48">
        <v>814719</v>
      </c>
      <c r="T331" s="48">
        <v>814769</v>
      </c>
      <c r="U331" s="48">
        <v>814849</v>
      </c>
      <c r="V331" s="48">
        <v>814939</v>
      </c>
      <c r="W331" s="48">
        <v>814992</v>
      </c>
      <c r="X331" s="48">
        <v>815076</v>
      </c>
      <c r="Y331" s="48">
        <v>815167</v>
      </c>
      <c r="Z331" s="48">
        <v>815211</v>
      </c>
      <c r="AA331" s="48">
        <v>815273</v>
      </c>
      <c r="AB331" s="48">
        <v>815336</v>
      </c>
      <c r="AC331" s="48">
        <v>815401</v>
      </c>
      <c r="AD331" s="48">
        <v>815466</v>
      </c>
      <c r="AE331" s="48">
        <v>815519</v>
      </c>
      <c r="AF331" s="48">
        <v>815593</v>
      </c>
      <c r="AG331" s="48">
        <v>815665</v>
      </c>
      <c r="AH331" s="48">
        <v>815747</v>
      </c>
      <c r="AI331" s="48">
        <v>815808</v>
      </c>
      <c r="AJ331" s="48">
        <v>815891</v>
      </c>
      <c r="AK331" s="48">
        <v>815964</v>
      </c>
      <c r="AL331" s="48">
        <v>816037</v>
      </c>
      <c r="AP331">
        <v>317.25</v>
      </c>
      <c r="AQ331">
        <v>15</v>
      </c>
      <c r="AS331">
        <v>2115</v>
      </c>
    </row>
    <row r="332" spans="1:45" hidden="1" x14ac:dyDescent="0.25">
      <c r="A332">
        <v>331</v>
      </c>
      <c r="B332">
        <v>2025</v>
      </c>
      <c r="C332">
        <v>7</v>
      </c>
      <c r="D332" t="s">
        <v>157</v>
      </c>
      <c r="E332">
        <v>31</v>
      </c>
      <c r="F332">
        <v>6</v>
      </c>
      <c r="G332" t="s">
        <v>430</v>
      </c>
      <c r="H332" s="48">
        <v>0.29166666666666669</v>
      </c>
      <c r="I332" s="48">
        <v>0.29166666666666669</v>
      </c>
      <c r="J332" s="48">
        <v>0.29166666666666669</v>
      </c>
      <c r="K332" s="48">
        <v>0.29166666666666669</v>
      </c>
      <c r="L332" s="48">
        <v>0.29166666666666669</v>
      </c>
      <c r="M332" s="48">
        <v>0.29166666666666669</v>
      </c>
      <c r="N332" s="48">
        <v>0.29166666666666669</v>
      </c>
      <c r="O332" s="48">
        <v>0.29166666666666669</v>
      </c>
      <c r="P332" s="48">
        <v>0.29166666666666669</v>
      </c>
      <c r="Q332" s="48">
        <v>0.29166666666666669</v>
      </c>
      <c r="R332" s="48">
        <v>0.29166666666666669</v>
      </c>
      <c r="S332" s="48">
        <v>0.29166666666666669</v>
      </c>
      <c r="T332" s="48">
        <v>0.29166666666666669</v>
      </c>
      <c r="U332" s="48">
        <v>0.29166666666666669</v>
      </c>
      <c r="V332" s="48">
        <v>0.29166666666666669</v>
      </c>
      <c r="W332" s="48">
        <v>0.29166666666666669</v>
      </c>
      <c r="X332" s="48">
        <v>0.29166666666666669</v>
      </c>
      <c r="Y332" s="48">
        <v>0.29166666666666669</v>
      </c>
      <c r="Z332" s="48">
        <v>0.29166666666666669</v>
      </c>
      <c r="AA332" s="48">
        <v>0.29166666666666669</v>
      </c>
      <c r="AB332" s="48">
        <v>0.29166666666666669</v>
      </c>
      <c r="AC332" s="48">
        <v>0.29166666666666669</v>
      </c>
      <c r="AD332" s="48">
        <v>0.29166666666666669</v>
      </c>
      <c r="AE332" s="48">
        <v>0.29166666666666669</v>
      </c>
      <c r="AF332" s="48">
        <v>0.29166666666666669</v>
      </c>
      <c r="AG332" s="48">
        <v>0.29166666666666669</v>
      </c>
      <c r="AH332" s="48">
        <v>0.29166666666666669</v>
      </c>
      <c r="AI332" s="48">
        <v>0.29166666666666669</v>
      </c>
      <c r="AJ332" s="48">
        <v>0.29166666666666669</v>
      </c>
      <c r="AK332" s="48">
        <v>0.29166666666666669</v>
      </c>
      <c r="AL332" s="48" t="s">
        <v>320</v>
      </c>
    </row>
    <row r="333" spans="1:45" hidden="1" x14ac:dyDescent="0.25">
      <c r="A333">
        <v>332</v>
      </c>
      <c r="B333">
        <v>2025</v>
      </c>
      <c r="C333">
        <v>7</v>
      </c>
      <c r="D333" t="s">
        <v>157</v>
      </c>
      <c r="E333">
        <v>31</v>
      </c>
      <c r="F333">
        <v>6</v>
      </c>
      <c r="G333" t="s">
        <v>431</v>
      </c>
      <c r="H333" s="48">
        <v>0.75</v>
      </c>
      <c r="I333" s="48">
        <v>0.75</v>
      </c>
      <c r="J333" s="48">
        <v>0.75</v>
      </c>
      <c r="K333" s="48">
        <v>0.75</v>
      </c>
      <c r="L333" s="48">
        <v>0.75</v>
      </c>
      <c r="M333" s="48">
        <v>0.75</v>
      </c>
      <c r="N333" s="48">
        <v>0.75</v>
      </c>
      <c r="O333" s="48">
        <v>0.75</v>
      </c>
      <c r="P333" s="48">
        <v>0.75</v>
      </c>
      <c r="Q333" s="48">
        <v>0.75</v>
      </c>
      <c r="R333" s="48">
        <v>0.75</v>
      </c>
      <c r="S333" s="48">
        <v>0.75</v>
      </c>
      <c r="T333" s="48">
        <v>0.75</v>
      </c>
      <c r="U333" s="48">
        <v>0.75</v>
      </c>
      <c r="V333" s="48">
        <v>0.75</v>
      </c>
      <c r="W333" s="48">
        <v>0.75</v>
      </c>
      <c r="X333" s="48">
        <v>0.75</v>
      </c>
      <c r="Y333" s="48">
        <v>0.75</v>
      </c>
      <c r="Z333" s="48">
        <v>0.75</v>
      </c>
      <c r="AA333" s="48">
        <v>0.75</v>
      </c>
      <c r="AB333" s="48">
        <v>0.75</v>
      </c>
      <c r="AC333" s="48">
        <v>0.75</v>
      </c>
      <c r="AD333" s="48">
        <v>0.75</v>
      </c>
      <c r="AE333" s="48">
        <v>0.75</v>
      </c>
      <c r="AF333" s="48">
        <v>0.75</v>
      </c>
      <c r="AG333" s="48">
        <v>0.75</v>
      </c>
      <c r="AH333" s="48">
        <v>0.75</v>
      </c>
      <c r="AI333" s="48">
        <v>0.75</v>
      </c>
      <c r="AJ333" s="48">
        <v>0.75</v>
      </c>
      <c r="AK333" s="48">
        <v>0.75</v>
      </c>
      <c r="AL333" s="48" t="s">
        <v>320</v>
      </c>
      <c r="AM333">
        <v>30</v>
      </c>
    </row>
    <row r="334" spans="1:45" hidden="1" x14ac:dyDescent="0.25">
      <c r="A334">
        <v>333</v>
      </c>
      <c r="B334">
        <v>2025</v>
      </c>
      <c r="C334">
        <v>7</v>
      </c>
      <c r="D334" t="s">
        <v>149</v>
      </c>
      <c r="E334">
        <v>31</v>
      </c>
      <c r="F334">
        <v>6</v>
      </c>
      <c r="G334" t="s">
        <v>430</v>
      </c>
      <c r="H334" s="48" t="s">
        <v>375</v>
      </c>
      <c r="I334" s="48" t="s">
        <v>375</v>
      </c>
      <c r="J334" s="48" t="s">
        <v>375</v>
      </c>
      <c r="K334" s="48" t="s">
        <v>375</v>
      </c>
      <c r="L334" s="48" t="s">
        <v>375</v>
      </c>
      <c r="M334" s="48" t="s">
        <v>375</v>
      </c>
      <c r="N334" s="48" t="s">
        <v>375</v>
      </c>
      <c r="O334" s="48" t="s">
        <v>375</v>
      </c>
      <c r="P334" s="48" t="s">
        <v>375</v>
      </c>
      <c r="Q334" s="48" t="s">
        <v>375</v>
      </c>
      <c r="R334" s="48" t="s">
        <v>375</v>
      </c>
      <c r="S334" s="48" t="s">
        <v>375</v>
      </c>
      <c r="T334" s="48" t="s">
        <v>375</v>
      </c>
      <c r="U334" s="48" t="s">
        <v>375</v>
      </c>
      <c r="V334" s="48" t="s">
        <v>375</v>
      </c>
      <c r="W334" s="48" t="s">
        <v>375</v>
      </c>
      <c r="X334" s="48" t="s">
        <v>375</v>
      </c>
      <c r="Y334" s="48" t="s">
        <v>375</v>
      </c>
      <c r="Z334" s="48" t="s">
        <v>375</v>
      </c>
      <c r="AA334" s="48" t="s">
        <v>375</v>
      </c>
      <c r="AB334" s="48" t="s">
        <v>375</v>
      </c>
      <c r="AC334" s="48" t="s">
        <v>375</v>
      </c>
      <c r="AD334" s="48" t="s">
        <v>375</v>
      </c>
      <c r="AE334" s="48" t="s">
        <v>375</v>
      </c>
      <c r="AF334" s="48" t="s">
        <v>375</v>
      </c>
      <c r="AG334" s="48" t="s">
        <v>375</v>
      </c>
      <c r="AH334" s="48" t="s">
        <v>320</v>
      </c>
      <c r="AI334" s="48" t="s">
        <v>375</v>
      </c>
      <c r="AJ334" s="48" t="s">
        <v>375</v>
      </c>
      <c r="AK334" s="48" t="s">
        <v>375</v>
      </c>
      <c r="AL334" s="48" t="s">
        <v>375</v>
      </c>
    </row>
    <row r="335" spans="1:45" hidden="1" x14ac:dyDescent="0.25">
      <c r="A335">
        <v>334</v>
      </c>
      <c r="B335">
        <v>2025</v>
      </c>
      <c r="C335">
        <v>7</v>
      </c>
      <c r="D335" t="s">
        <v>149</v>
      </c>
      <c r="E335">
        <v>31</v>
      </c>
      <c r="F335">
        <v>6</v>
      </c>
      <c r="G335" t="s">
        <v>431</v>
      </c>
      <c r="H335" s="48">
        <v>0.75</v>
      </c>
      <c r="I335" s="48">
        <v>0.75</v>
      </c>
      <c r="J335" s="48">
        <v>0.75</v>
      </c>
      <c r="K335" s="48">
        <v>0.75</v>
      </c>
      <c r="L335" s="48">
        <v>0.75</v>
      </c>
      <c r="M335" s="48">
        <v>0.75</v>
      </c>
      <c r="N335" s="48">
        <v>0.75</v>
      </c>
      <c r="O335" s="48">
        <v>0.75</v>
      </c>
      <c r="P335" s="48">
        <v>0.75</v>
      </c>
      <c r="Q335" s="48">
        <v>0.75</v>
      </c>
      <c r="R335" s="48">
        <v>0.75</v>
      </c>
      <c r="S335" s="48">
        <v>0.75</v>
      </c>
      <c r="T335" s="48">
        <v>0.75</v>
      </c>
      <c r="U335" s="48">
        <v>0.75</v>
      </c>
      <c r="V335" s="48">
        <v>0.75</v>
      </c>
      <c r="W335" s="48">
        <v>0.75</v>
      </c>
      <c r="X335" s="48">
        <v>0.75</v>
      </c>
      <c r="Y335" s="48">
        <v>0.75</v>
      </c>
      <c r="Z335" s="48">
        <v>0.75</v>
      </c>
      <c r="AA335" s="48">
        <v>0.75</v>
      </c>
      <c r="AB335" s="48">
        <v>0.75</v>
      </c>
      <c r="AC335" s="48">
        <v>0.75</v>
      </c>
      <c r="AD335" s="48">
        <v>0.75</v>
      </c>
      <c r="AE335" s="48">
        <v>0.75</v>
      </c>
      <c r="AF335" s="48">
        <v>0.75</v>
      </c>
      <c r="AG335" s="48">
        <v>0.75</v>
      </c>
      <c r="AH335" s="48" t="s">
        <v>320</v>
      </c>
      <c r="AI335" s="48">
        <v>1.1666666666666667</v>
      </c>
      <c r="AJ335" s="48">
        <v>1.1666666666666667</v>
      </c>
      <c r="AK335" s="48">
        <v>1.1666666666666667</v>
      </c>
      <c r="AL335" s="48">
        <v>1.1666666666666667</v>
      </c>
      <c r="AM335">
        <v>30</v>
      </c>
      <c r="AO335">
        <v>40</v>
      </c>
      <c r="AR335" t="s">
        <v>342</v>
      </c>
    </row>
    <row r="336" spans="1:45" hidden="1" x14ac:dyDescent="0.25">
      <c r="A336">
        <v>335</v>
      </c>
      <c r="B336">
        <v>2025</v>
      </c>
      <c r="C336">
        <v>7</v>
      </c>
      <c r="D336" t="s">
        <v>149</v>
      </c>
      <c r="E336">
        <v>31</v>
      </c>
      <c r="F336">
        <v>6</v>
      </c>
      <c r="G336" t="s">
        <v>432</v>
      </c>
      <c r="H336" s="48">
        <v>839336</v>
      </c>
      <c r="I336" s="48">
        <v>839545</v>
      </c>
      <c r="J336" s="48">
        <v>839758</v>
      </c>
      <c r="K336" s="48">
        <v>839972</v>
      </c>
      <c r="L336" s="48">
        <v>840191</v>
      </c>
      <c r="M336" s="48" t="s">
        <v>320</v>
      </c>
      <c r="N336" s="48">
        <v>840386</v>
      </c>
      <c r="O336" s="48">
        <v>840608</v>
      </c>
      <c r="P336" s="48">
        <v>840815</v>
      </c>
      <c r="Q336" s="48">
        <v>841027</v>
      </c>
      <c r="R336" s="48">
        <v>841237</v>
      </c>
      <c r="S336" s="48">
        <v>841446</v>
      </c>
      <c r="T336" s="48" t="s">
        <v>320</v>
      </c>
      <c r="U336" s="48">
        <v>841731</v>
      </c>
      <c r="V336" s="48">
        <v>841940</v>
      </c>
      <c r="W336" s="48">
        <v>842149</v>
      </c>
      <c r="X336" s="48">
        <v>842363</v>
      </c>
      <c r="Y336" s="48">
        <v>842577</v>
      </c>
      <c r="Z336" s="48">
        <v>842801</v>
      </c>
      <c r="AA336" s="48">
        <v>843044</v>
      </c>
      <c r="AB336" s="48">
        <v>843188</v>
      </c>
      <c r="AC336" s="48">
        <v>843397</v>
      </c>
      <c r="AD336" s="48">
        <v>843610</v>
      </c>
      <c r="AE336" s="48">
        <v>843822</v>
      </c>
      <c r="AF336" s="48">
        <v>844043</v>
      </c>
      <c r="AG336" s="48">
        <v>844270</v>
      </c>
      <c r="AH336" s="48" t="s">
        <v>320</v>
      </c>
      <c r="AI336" s="48">
        <v>844684</v>
      </c>
      <c r="AJ336" s="48">
        <v>844896</v>
      </c>
      <c r="AK336" s="48">
        <v>845107</v>
      </c>
      <c r="AL336" s="48">
        <v>845315</v>
      </c>
    </row>
    <row r="337" spans="1:45" hidden="1" x14ac:dyDescent="0.25">
      <c r="A337">
        <v>336</v>
      </c>
      <c r="B337">
        <v>2025</v>
      </c>
      <c r="C337">
        <v>7</v>
      </c>
      <c r="D337" t="s">
        <v>149</v>
      </c>
      <c r="E337">
        <v>31</v>
      </c>
      <c r="F337">
        <v>6</v>
      </c>
      <c r="G337" t="s">
        <v>433</v>
      </c>
      <c r="H337" s="48">
        <v>839545</v>
      </c>
      <c r="I337" s="48">
        <v>839758</v>
      </c>
      <c r="J337" s="48">
        <v>839972</v>
      </c>
      <c r="K337" s="48">
        <v>840191</v>
      </c>
      <c r="L337" s="48">
        <v>840386</v>
      </c>
      <c r="M337" s="48" t="s">
        <v>320</v>
      </c>
      <c r="N337" s="48">
        <v>840608</v>
      </c>
      <c r="O337" s="48">
        <v>840815</v>
      </c>
      <c r="P337" s="48">
        <v>841027</v>
      </c>
      <c r="Q337" s="48">
        <v>841237</v>
      </c>
      <c r="R337" s="48">
        <v>841446</v>
      </c>
      <c r="S337" s="48">
        <v>841731</v>
      </c>
      <c r="T337" s="48" t="s">
        <v>320</v>
      </c>
      <c r="U337" s="48">
        <v>841940</v>
      </c>
      <c r="V337" s="48">
        <v>842149</v>
      </c>
      <c r="W337" s="48">
        <v>842363</v>
      </c>
      <c r="X337" s="48">
        <v>842577</v>
      </c>
      <c r="Y337" s="48">
        <v>842801</v>
      </c>
      <c r="Z337" s="48">
        <v>843044</v>
      </c>
      <c r="AA337" s="48">
        <v>843188</v>
      </c>
      <c r="AB337" s="48">
        <v>843397</v>
      </c>
      <c r="AC337" s="48">
        <v>843610</v>
      </c>
      <c r="AD337" s="48">
        <v>843822</v>
      </c>
      <c r="AE337" s="48">
        <v>844043</v>
      </c>
      <c r="AF337" s="48">
        <v>844270</v>
      </c>
      <c r="AG337" s="48">
        <v>844475</v>
      </c>
      <c r="AH337" s="48" t="s">
        <v>320</v>
      </c>
      <c r="AI337" s="48">
        <v>844896</v>
      </c>
      <c r="AJ337" s="48">
        <v>845107</v>
      </c>
      <c r="AK337" s="48">
        <v>845315</v>
      </c>
      <c r="AL337" s="48">
        <v>845528</v>
      </c>
      <c r="AP337">
        <v>1076.94</v>
      </c>
      <c r="AQ337">
        <v>18</v>
      </c>
      <c r="AS337">
        <v>5983</v>
      </c>
    </row>
    <row r="338" spans="1:45" hidden="1" x14ac:dyDescent="0.25">
      <c r="A338">
        <v>337</v>
      </c>
      <c r="B338">
        <v>2025</v>
      </c>
      <c r="C338">
        <v>7</v>
      </c>
      <c r="D338" t="s">
        <v>139</v>
      </c>
      <c r="E338">
        <v>31</v>
      </c>
      <c r="F338">
        <v>6</v>
      </c>
      <c r="G338" t="s">
        <v>430</v>
      </c>
      <c r="H338" s="48" t="s">
        <v>375</v>
      </c>
      <c r="I338" s="48" t="s">
        <v>375</v>
      </c>
      <c r="J338" s="48" t="s">
        <v>375</v>
      </c>
      <c r="K338" s="48" t="s">
        <v>375</v>
      </c>
      <c r="L338" s="48" t="s">
        <v>375</v>
      </c>
      <c r="M338" s="48" t="s">
        <v>375</v>
      </c>
      <c r="N338" s="48" t="s">
        <v>375</v>
      </c>
      <c r="O338" s="48" t="s">
        <v>375</v>
      </c>
      <c r="P338" s="48" t="s">
        <v>375</v>
      </c>
      <c r="Q338" s="48" t="s">
        <v>375</v>
      </c>
      <c r="R338" s="48" t="s">
        <v>375</v>
      </c>
      <c r="S338" s="48" t="s">
        <v>375</v>
      </c>
      <c r="T338" s="48" t="s">
        <v>375</v>
      </c>
      <c r="U338" s="48" t="s">
        <v>375</v>
      </c>
      <c r="V338" s="48" t="s">
        <v>375</v>
      </c>
      <c r="W338" s="48" t="s">
        <v>320</v>
      </c>
      <c r="X338" s="48" t="s">
        <v>320</v>
      </c>
      <c r="Y338" s="48" t="s">
        <v>320</v>
      </c>
      <c r="Z338" s="48" t="s">
        <v>320</v>
      </c>
      <c r="AA338" s="48" t="s">
        <v>320</v>
      </c>
      <c r="AB338" s="48" t="s">
        <v>320</v>
      </c>
      <c r="AC338" s="48" t="s">
        <v>320</v>
      </c>
      <c r="AD338" s="48" t="s">
        <v>320</v>
      </c>
      <c r="AE338" s="48" t="s">
        <v>320</v>
      </c>
      <c r="AF338" s="48" t="s">
        <v>320</v>
      </c>
      <c r="AG338" s="48" t="s">
        <v>320</v>
      </c>
      <c r="AH338" s="48" t="s">
        <v>320</v>
      </c>
      <c r="AI338" s="48" t="s">
        <v>320</v>
      </c>
      <c r="AJ338" s="48" t="s">
        <v>320</v>
      </c>
      <c r="AK338" s="48" t="s">
        <v>320</v>
      </c>
      <c r="AL338" s="48" t="s">
        <v>320</v>
      </c>
    </row>
    <row r="339" spans="1:45" hidden="1" x14ac:dyDescent="0.25">
      <c r="A339">
        <v>338</v>
      </c>
      <c r="B339">
        <v>2025</v>
      </c>
      <c r="C339">
        <v>7</v>
      </c>
      <c r="D339" t="s">
        <v>139</v>
      </c>
      <c r="E339">
        <v>31</v>
      </c>
      <c r="F339">
        <v>6</v>
      </c>
      <c r="G339" t="s">
        <v>431</v>
      </c>
      <c r="H339" s="48" t="s">
        <v>376</v>
      </c>
      <c r="I339" s="48" t="s">
        <v>376</v>
      </c>
      <c r="J339" s="48" t="s">
        <v>376</v>
      </c>
      <c r="K339" s="48" t="s">
        <v>376</v>
      </c>
      <c r="L339" s="48" t="s">
        <v>376</v>
      </c>
      <c r="M339" s="48" t="s">
        <v>376</v>
      </c>
      <c r="N339" s="48" t="s">
        <v>376</v>
      </c>
      <c r="O339" s="48" t="s">
        <v>376</v>
      </c>
      <c r="P339" s="48" t="s">
        <v>376</v>
      </c>
      <c r="Q339" s="48" t="s">
        <v>376</v>
      </c>
      <c r="R339" s="48" t="s">
        <v>376</v>
      </c>
      <c r="S339" s="48" t="s">
        <v>376</v>
      </c>
      <c r="T339" s="48" t="s">
        <v>376</v>
      </c>
      <c r="U339" s="48" t="s">
        <v>376</v>
      </c>
      <c r="V339" s="48" t="s">
        <v>376</v>
      </c>
      <c r="W339" s="48" t="s">
        <v>320</v>
      </c>
      <c r="X339" s="48" t="s">
        <v>320</v>
      </c>
      <c r="Y339" s="48" t="s">
        <v>320</v>
      </c>
      <c r="Z339" s="48" t="s">
        <v>320</v>
      </c>
      <c r="AA339" s="48" t="s">
        <v>320</v>
      </c>
      <c r="AB339" s="48" t="s">
        <v>320</v>
      </c>
      <c r="AC339" s="48" t="s">
        <v>320</v>
      </c>
      <c r="AD339" s="48" t="s">
        <v>320</v>
      </c>
      <c r="AE339" s="48" t="s">
        <v>320</v>
      </c>
      <c r="AF339" s="48" t="s">
        <v>320</v>
      </c>
      <c r="AG339" s="48" t="s">
        <v>320</v>
      </c>
      <c r="AH339" s="48" t="s">
        <v>320</v>
      </c>
      <c r="AI339" s="48" t="s">
        <v>320</v>
      </c>
      <c r="AJ339" s="48" t="s">
        <v>320</v>
      </c>
      <c r="AK339" s="48" t="s">
        <v>320</v>
      </c>
      <c r="AL339" s="48" t="s">
        <v>320</v>
      </c>
      <c r="AM339">
        <v>15</v>
      </c>
    </row>
    <row r="340" spans="1:45" hidden="1" x14ac:dyDescent="0.25">
      <c r="A340">
        <v>339</v>
      </c>
      <c r="B340">
        <v>2025</v>
      </c>
      <c r="C340">
        <v>7</v>
      </c>
      <c r="D340" t="s">
        <v>139</v>
      </c>
      <c r="E340">
        <v>31</v>
      </c>
      <c r="F340">
        <v>6</v>
      </c>
      <c r="G340" t="s">
        <v>432</v>
      </c>
      <c r="H340" s="48">
        <v>353198</v>
      </c>
      <c r="I340" s="48">
        <v>353224</v>
      </c>
      <c r="J340" s="48">
        <v>353267</v>
      </c>
      <c r="K340" s="48">
        <v>353307</v>
      </c>
      <c r="L340" s="48">
        <v>353363</v>
      </c>
      <c r="M340" s="48">
        <v>353412</v>
      </c>
      <c r="N340" s="48">
        <v>353441</v>
      </c>
      <c r="O340" s="48">
        <v>353482</v>
      </c>
      <c r="P340" s="48">
        <v>353507</v>
      </c>
      <c r="Q340" s="48">
        <v>353545</v>
      </c>
      <c r="R340" s="48">
        <v>353608</v>
      </c>
      <c r="S340" s="48">
        <v>353644</v>
      </c>
      <c r="T340" s="48">
        <v>353690</v>
      </c>
      <c r="U340" s="48">
        <v>353746</v>
      </c>
      <c r="V340" s="48">
        <v>353793</v>
      </c>
      <c r="W340" s="48" t="s">
        <v>320</v>
      </c>
      <c r="X340" s="48" t="s">
        <v>320</v>
      </c>
      <c r="Y340" s="48" t="s">
        <v>320</v>
      </c>
      <c r="Z340" s="48" t="s">
        <v>320</v>
      </c>
      <c r="AA340" s="48" t="s">
        <v>320</v>
      </c>
      <c r="AB340" s="48" t="s">
        <v>320</v>
      </c>
      <c r="AC340" s="48" t="s">
        <v>320</v>
      </c>
      <c r="AD340" s="48" t="s">
        <v>320</v>
      </c>
      <c r="AE340" s="48" t="s">
        <v>320</v>
      </c>
      <c r="AF340" s="48" t="s">
        <v>320</v>
      </c>
      <c r="AG340" s="48" t="s">
        <v>320</v>
      </c>
      <c r="AH340" s="48" t="s">
        <v>320</v>
      </c>
      <c r="AI340" s="48" t="s">
        <v>320</v>
      </c>
      <c r="AJ340" s="48" t="s">
        <v>320</v>
      </c>
      <c r="AK340" s="48" t="s">
        <v>320</v>
      </c>
      <c r="AL340" s="48" t="s">
        <v>320</v>
      </c>
    </row>
    <row r="341" spans="1:45" hidden="1" x14ac:dyDescent="0.25">
      <c r="A341">
        <v>340</v>
      </c>
      <c r="B341">
        <v>2025</v>
      </c>
      <c r="C341">
        <v>7</v>
      </c>
      <c r="D341" t="s">
        <v>139</v>
      </c>
      <c r="E341">
        <v>31</v>
      </c>
      <c r="F341">
        <v>6</v>
      </c>
      <c r="G341" t="s">
        <v>433</v>
      </c>
      <c r="H341" s="48">
        <v>353224</v>
      </c>
      <c r="I341" s="48">
        <v>353267</v>
      </c>
      <c r="J341" s="48">
        <v>353307</v>
      </c>
      <c r="K341" s="48">
        <v>353363</v>
      </c>
      <c r="L341" s="48">
        <v>353412</v>
      </c>
      <c r="M341" s="48">
        <v>353441</v>
      </c>
      <c r="N341" s="48">
        <v>353482</v>
      </c>
      <c r="O341" s="48">
        <v>353507</v>
      </c>
      <c r="P341" s="48">
        <v>353545</v>
      </c>
      <c r="Q341" s="48">
        <v>353608</v>
      </c>
      <c r="R341" s="48">
        <v>353644</v>
      </c>
      <c r="S341" s="48">
        <v>353690</v>
      </c>
      <c r="T341" s="48">
        <v>353746</v>
      </c>
      <c r="U341" s="48">
        <v>353793</v>
      </c>
      <c r="V341" s="48">
        <v>353843</v>
      </c>
      <c r="W341" s="48" t="s">
        <v>320</v>
      </c>
      <c r="X341" s="48" t="s">
        <v>320</v>
      </c>
      <c r="Y341" s="48" t="s">
        <v>320</v>
      </c>
      <c r="Z341" s="48" t="s">
        <v>320</v>
      </c>
      <c r="AA341" s="48" t="s">
        <v>320</v>
      </c>
      <c r="AB341" s="48" t="s">
        <v>320</v>
      </c>
      <c r="AC341" s="48" t="s">
        <v>320</v>
      </c>
      <c r="AD341" s="48" t="s">
        <v>320</v>
      </c>
      <c r="AE341" s="48" t="s">
        <v>320</v>
      </c>
      <c r="AF341" s="48" t="s">
        <v>320</v>
      </c>
      <c r="AG341" s="48" t="s">
        <v>320</v>
      </c>
      <c r="AH341" s="48" t="s">
        <v>320</v>
      </c>
      <c r="AI341" s="48" t="s">
        <v>320</v>
      </c>
      <c r="AJ341" s="48" t="s">
        <v>320</v>
      </c>
      <c r="AK341" s="48" t="s">
        <v>320</v>
      </c>
      <c r="AL341" s="48" t="s">
        <v>320</v>
      </c>
      <c r="AP341" t="s">
        <v>320</v>
      </c>
      <c r="AQ341" t="s">
        <v>320</v>
      </c>
    </row>
    <row r="342" spans="1:45" hidden="1" x14ac:dyDescent="0.25">
      <c r="A342">
        <v>341</v>
      </c>
      <c r="B342">
        <v>2025</v>
      </c>
      <c r="C342">
        <v>7</v>
      </c>
      <c r="D342" t="s">
        <v>167</v>
      </c>
      <c r="E342">
        <v>31</v>
      </c>
      <c r="F342">
        <v>6</v>
      </c>
      <c r="G342" t="s">
        <v>430</v>
      </c>
      <c r="H342" s="48" t="s">
        <v>375</v>
      </c>
      <c r="I342" s="48" t="s">
        <v>375</v>
      </c>
      <c r="J342" s="48" t="s">
        <v>375</v>
      </c>
      <c r="K342" s="48" t="s">
        <v>375</v>
      </c>
      <c r="L342" s="48" t="s">
        <v>375</v>
      </c>
      <c r="M342" s="48" t="s">
        <v>320</v>
      </c>
      <c r="N342" s="48" t="s">
        <v>375</v>
      </c>
      <c r="O342" s="48" t="s">
        <v>375</v>
      </c>
      <c r="P342" s="48" t="s">
        <v>375</v>
      </c>
      <c r="Q342" s="48" t="s">
        <v>375</v>
      </c>
      <c r="R342" s="48" t="s">
        <v>375</v>
      </c>
      <c r="S342" s="48" t="s">
        <v>375</v>
      </c>
      <c r="T342" s="48" t="s">
        <v>375</v>
      </c>
      <c r="U342" s="48" t="s">
        <v>375</v>
      </c>
      <c r="V342" s="48" t="s">
        <v>375</v>
      </c>
      <c r="W342" s="48" t="s">
        <v>375</v>
      </c>
      <c r="X342" s="48" t="s">
        <v>375</v>
      </c>
      <c r="Y342" s="48" t="s">
        <v>375</v>
      </c>
      <c r="Z342" s="48" t="s">
        <v>375</v>
      </c>
      <c r="AA342" s="48" t="s">
        <v>375</v>
      </c>
      <c r="AB342" s="48" t="s">
        <v>375</v>
      </c>
      <c r="AC342" s="48" t="s">
        <v>375</v>
      </c>
      <c r="AD342" s="48" t="s">
        <v>375</v>
      </c>
      <c r="AE342" s="48" t="s">
        <v>375</v>
      </c>
      <c r="AF342" s="48" t="s">
        <v>375</v>
      </c>
      <c r="AG342" s="48" t="s">
        <v>375</v>
      </c>
      <c r="AH342" s="48" t="s">
        <v>320</v>
      </c>
      <c r="AI342" s="48" t="s">
        <v>375</v>
      </c>
      <c r="AJ342" s="48" t="s">
        <v>375</v>
      </c>
      <c r="AK342" s="48" t="s">
        <v>375</v>
      </c>
      <c r="AL342" s="48" t="s">
        <v>375</v>
      </c>
    </row>
    <row r="343" spans="1:45" hidden="1" x14ac:dyDescent="0.25">
      <c r="A343">
        <v>342</v>
      </c>
      <c r="B343">
        <v>2025</v>
      </c>
      <c r="C343">
        <v>7</v>
      </c>
      <c r="D343" t="s">
        <v>167</v>
      </c>
      <c r="E343">
        <v>31</v>
      </c>
      <c r="F343">
        <v>6</v>
      </c>
      <c r="G343" t="s">
        <v>431</v>
      </c>
      <c r="H343" s="48">
        <v>0.75</v>
      </c>
      <c r="I343" s="48">
        <v>0.83333333333333326</v>
      </c>
      <c r="J343" s="48">
        <v>0.75</v>
      </c>
      <c r="K343" s="48">
        <v>0.75</v>
      </c>
      <c r="L343" s="48">
        <v>0.75</v>
      </c>
      <c r="M343" s="48" t="s">
        <v>320</v>
      </c>
      <c r="N343" s="48">
        <v>0.75</v>
      </c>
      <c r="O343" s="48">
        <v>0.83333333333333326</v>
      </c>
      <c r="P343" s="48">
        <v>0.75</v>
      </c>
      <c r="Q343" s="48">
        <v>0.75</v>
      </c>
      <c r="R343" s="48">
        <v>0.75</v>
      </c>
      <c r="S343" s="48">
        <v>0.75</v>
      </c>
      <c r="T343" s="48">
        <v>0.83333333333333326</v>
      </c>
      <c r="U343" s="48">
        <v>0.75</v>
      </c>
      <c r="V343" s="48">
        <v>0.75</v>
      </c>
      <c r="W343" s="48">
        <v>0.75</v>
      </c>
      <c r="X343" s="48">
        <v>0.75</v>
      </c>
      <c r="Y343" s="48">
        <v>0.75</v>
      </c>
      <c r="Z343" s="48">
        <v>0.83333333333333326</v>
      </c>
      <c r="AA343" s="48">
        <v>0.75</v>
      </c>
      <c r="AB343" s="48">
        <v>0.75</v>
      </c>
      <c r="AC343" s="48">
        <v>0.75</v>
      </c>
      <c r="AD343" s="48">
        <v>0.75</v>
      </c>
      <c r="AE343" s="48">
        <v>0.75</v>
      </c>
      <c r="AF343" s="48">
        <v>0.83333333333333326</v>
      </c>
      <c r="AG343" s="48">
        <v>0.75</v>
      </c>
      <c r="AH343" s="48" t="s">
        <v>320</v>
      </c>
      <c r="AI343" s="48">
        <v>0.75</v>
      </c>
      <c r="AJ343" s="48">
        <v>0.75</v>
      </c>
      <c r="AK343" s="48">
        <v>0.75</v>
      </c>
      <c r="AL343" s="48">
        <v>0.75</v>
      </c>
      <c r="AM343">
        <v>29</v>
      </c>
      <c r="AO343">
        <v>9.9999999999999822</v>
      </c>
    </row>
    <row r="344" spans="1:45" hidden="1" x14ac:dyDescent="0.25">
      <c r="A344">
        <v>343</v>
      </c>
      <c r="B344">
        <v>2025</v>
      </c>
      <c r="C344">
        <v>7</v>
      </c>
      <c r="D344" t="s">
        <v>167</v>
      </c>
      <c r="E344">
        <v>31</v>
      </c>
      <c r="F344">
        <v>6</v>
      </c>
      <c r="G344" t="s">
        <v>432</v>
      </c>
      <c r="H344" s="48">
        <v>201579</v>
      </c>
      <c r="I344" s="48">
        <v>201661</v>
      </c>
      <c r="J344" s="48">
        <v>201715</v>
      </c>
      <c r="K344" s="48">
        <v>201782</v>
      </c>
      <c r="L344" s="48">
        <v>201860</v>
      </c>
      <c r="M344" s="48" t="s">
        <v>320</v>
      </c>
      <c r="N344" s="48">
        <v>202024</v>
      </c>
      <c r="O344" s="48">
        <v>202125</v>
      </c>
      <c r="P344" s="48">
        <v>202339</v>
      </c>
      <c r="Q344" s="48">
        <v>202425</v>
      </c>
      <c r="R344" s="48">
        <v>202567</v>
      </c>
      <c r="S344" s="48">
        <v>202713</v>
      </c>
      <c r="T344" s="48">
        <v>202781</v>
      </c>
      <c r="U344" s="48">
        <v>202840</v>
      </c>
      <c r="V344" s="48">
        <v>202935</v>
      </c>
      <c r="W344" s="48">
        <v>203055</v>
      </c>
      <c r="X344" s="48">
        <v>203122</v>
      </c>
      <c r="Y344" s="48">
        <v>203181</v>
      </c>
      <c r="Z344" s="48">
        <v>203303</v>
      </c>
      <c r="AA344" s="48">
        <v>203426</v>
      </c>
      <c r="AB344" s="48">
        <v>203491</v>
      </c>
      <c r="AC344" s="48">
        <v>203554</v>
      </c>
      <c r="AD344" s="48">
        <v>203656</v>
      </c>
      <c r="AE344" s="48">
        <v>203763</v>
      </c>
      <c r="AF344" s="48">
        <v>203900</v>
      </c>
      <c r="AG344" s="48">
        <v>204064</v>
      </c>
      <c r="AH344" s="48" t="s">
        <v>320</v>
      </c>
      <c r="AI344" s="48">
        <v>204259</v>
      </c>
      <c r="AJ344" s="48">
        <v>204387</v>
      </c>
      <c r="AK344" s="48">
        <v>204470</v>
      </c>
      <c r="AL344" s="48">
        <v>204564</v>
      </c>
    </row>
    <row r="345" spans="1:45" hidden="1" x14ac:dyDescent="0.25">
      <c r="A345">
        <v>344</v>
      </c>
      <c r="B345">
        <v>2025</v>
      </c>
      <c r="C345">
        <v>7</v>
      </c>
      <c r="D345" t="s">
        <v>167</v>
      </c>
      <c r="E345">
        <v>31</v>
      </c>
      <c r="F345">
        <v>6</v>
      </c>
      <c r="G345" t="s">
        <v>433</v>
      </c>
      <c r="H345" s="48">
        <v>201661</v>
      </c>
      <c r="I345" s="48">
        <v>201715</v>
      </c>
      <c r="J345" s="48">
        <v>201782</v>
      </c>
      <c r="K345" s="48">
        <v>201860</v>
      </c>
      <c r="L345" s="48">
        <v>201970</v>
      </c>
      <c r="M345" s="48" t="s">
        <v>320</v>
      </c>
      <c r="N345" s="48">
        <v>202125</v>
      </c>
      <c r="O345" s="48">
        <v>202217</v>
      </c>
      <c r="P345" s="48">
        <v>202425</v>
      </c>
      <c r="Q345" s="48">
        <v>202567</v>
      </c>
      <c r="R345" s="48">
        <v>202713</v>
      </c>
      <c r="S345" s="48">
        <v>202781</v>
      </c>
      <c r="T345" s="48">
        <v>202840</v>
      </c>
      <c r="U345" s="48">
        <v>202935</v>
      </c>
      <c r="V345" s="48">
        <v>203055</v>
      </c>
      <c r="W345" s="48">
        <v>203122</v>
      </c>
      <c r="X345" s="48">
        <v>203181</v>
      </c>
      <c r="Y345" s="48">
        <v>203303</v>
      </c>
      <c r="Z345" s="48">
        <v>203386</v>
      </c>
      <c r="AA345" s="48">
        <v>203491</v>
      </c>
      <c r="AB345" s="48">
        <v>203554</v>
      </c>
      <c r="AC345" s="48">
        <v>203656</v>
      </c>
      <c r="AD345" s="48">
        <v>203763</v>
      </c>
      <c r="AE345" s="48">
        <v>203900</v>
      </c>
      <c r="AF345" s="48">
        <v>204064</v>
      </c>
      <c r="AG345" s="48">
        <v>204203</v>
      </c>
      <c r="AH345" s="48" t="s">
        <v>320</v>
      </c>
      <c r="AI345" s="48">
        <v>204387</v>
      </c>
      <c r="AJ345" s="48">
        <v>204470</v>
      </c>
      <c r="AK345" s="48">
        <v>204564</v>
      </c>
      <c r="AL345" s="48">
        <v>204660</v>
      </c>
      <c r="AP345">
        <v>421.35</v>
      </c>
      <c r="AQ345">
        <v>15</v>
      </c>
      <c r="AS345">
        <v>2809</v>
      </c>
    </row>
    <row r="346" spans="1:45" hidden="1" x14ac:dyDescent="0.25">
      <c r="A346">
        <v>345</v>
      </c>
      <c r="B346">
        <v>2025</v>
      </c>
      <c r="C346">
        <v>7</v>
      </c>
      <c r="D346" t="s">
        <v>169</v>
      </c>
      <c r="E346">
        <v>31</v>
      </c>
      <c r="F346">
        <v>6</v>
      </c>
      <c r="G346" t="s">
        <v>430</v>
      </c>
      <c r="H346" s="48" t="s">
        <v>320</v>
      </c>
      <c r="I346" s="48" t="s">
        <v>320</v>
      </c>
      <c r="J346" s="48" t="s">
        <v>320</v>
      </c>
      <c r="K346" s="48" t="s">
        <v>320</v>
      </c>
      <c r="L346" s="48" t="s">
        <v>320</v>
      </c>
      <c r="M346" s="48" t="s">
        <v>320</v>
      </c>
      <c r="N346" s="48" t="s">
        <v>320</v>
      </c>
      <c r="O346" s="48" t="s">
        <v>320</v>
      </c>
      <c r="P346" s="48" t="s">
        <v>320</v>
      </c>
      <c r="Q346" s="48" t="s">
        <v>320</v>
      </c>
      <c r="R346" s="48" t="s">
        <v>320</v>
      </c>
      <c r="S346" s="48" t="s">
        <v>375</v>
      </c>
      <c r="T346" s="48" t="s">
        <v>375</v>
      </c>
      <c r="U346" s="48" t="s">
        <v>375</v>
      </c>
      <c r="V346" s="48" t="s">
        <v>375</v>
      </c>
      <c r="W346" s="48" t="s">
        <v>375</v>
      </c>
      <c r="X346" s="48" t="s">
        <v>375</v>
      </c>
      <c r="Y346" s="48" t="s">
        <v>375</v>
      </c>
      <c r="Z346" s="48" t="s">
        <v>375</v>
      </c>
      <c r="AA346" s="48" t="s">
        <v>375</v>
      </c>
      <c r="AB346" s="48" t="s">
        <v>375</v>
      </c>
      <c r="AC346" s="48" t="s">
        <v>375</v>
      </c>
      <c r="AD346" s="48" t="s">
        <v>375</v>
      </c>
      <c r="AE346" s="48" t="s">
        <v>375</v>
      </c>
      <c r="AF346" s="48" t="s">
        <v>375</v>
      </c>
      <c r="AG346" s="48" t="s">
        <v>375</v>
      </c>
      <c r="AH346" s="48" t="s">
        <v>375</v>
      </c>
      <c r="AI346" s="48" t="s">
        <v>375</v>
      </c>
      <c r="AJ346" s="48" t="s">
        <v>375</v>
      </c>
      <c r="AK346" s="48" t="s">
        <v>375</v>
      </c>
      <c r="AL346" s="48" t="s">
        <v>375</v>
      </c>
    </row>
    <row r="347" spans="1:45" hidden="1" x14ac:dyDescent="0.25">
      <c r="A347">
        <v>346</v>
      </c>
      <c r="B347">
        <v>2025</v>
      </c>
      <c r="C347">
        <v>7</v>
      </c>
      <c r="D347" t="s">
        <v>169</v>
      </c>
      <c r="E347">
        <v>31</v>
      </c>
      <c r="F347">
        <v>6</v>
      </c>
      <c r="G347" t="s">
        <v>431</v>
      </c>
      <c r="H347" s="48" t="s">
        <v>320</v>
      </c>
      <c r="I347" s="48" t="s">
        <v>320</v>
      </c>
      <c r="J347" s="48" t="s">
        <v>320</v>
      </c>
      <c r="K347" s="48" t="s">
        <v>320</v>
      </c>
      <c r="L347" s="48" t="s">
        <v>320</v>
      </c>
      <c r="M347" s="48" t="s">
        <v>320</v>
      </c>
      <c r="N347" s="48" t="s">
        <v>320</v>
      </c>
      <c r="O347" s="48" t="s">
        <v>320</v>
      </c>
      <c r="P347" s="48" t="s">
        <v>320</v>
      </c>
      <c r="Q347" s="48" t="s">
        <v>320</v>
      </c>
      <c r="R347" s="48" t="s">
        <v>320</v>
      </c>
      <c r="S347" s="48" t="s">
        <v>376</v>
      </c>
      <c r="T347" s="48" t="s">
        <v>376</v>
      </c>
      <c r="U347" s="48" t="s">
        <v>376</v>
      </c>
      <c r="V347" s="48" t="s">
        <v>376</v>
      </c>
      <c r="W347" s="48" t="s">
        <v>376</v>
      </c>
      <c r="X347" s="48" t="s">
        <v>388</v>
      </c>
      <c r="Y347" s="48" t="s">
        <v>390</v>
      </c>
      <c r="Z347" s="48" t="s">
        <v>376</v>
      </c>
      <c r="AA347" s="48" t="s">
        <v>376</v>
      </c>
      <c r="AB347" s="48" t="s">
        <v>376</v>
      </c>
      <c r="AC347" s="48" t="s">
        <v>388</v>
      </c>
      <c r="AD347" s="48" t="s">
        <v>376</v>
      </c>
      <c r="AE347" s="48" t="s">
        <v>376</v>
      </c>
      <c r="AF347" s="48" t="s">
        <v>376</v>
      </c>
      <c r="AG347" s="48" t="s">
        <v>376</v>
      </c>
      <c r="AH347" s="48" t="s">
        <v>376</v>
      </c>
      <c r="AI347" s="48" t="s">
        <v>388</v>
      </c>
      <c r="AJ347" s="48" t="s">
        <v>376</v>
      </c>
      <c r="AK347" s="48" t="s">
        <v>376</v>
      </c>
      <c r="AL347" s="48" t="s">
        <v>376</v>
      </c>
      <c r="AM347">
        <v>20</v>
      </c>
      <c r="AO347">
        <v>5.9999999999999929</v>
      </c>
    </row>
    <row r="348" spans="1:45" hidden="1" x14ac:dyDescent="0.25">
      <c r="A348">
        <v>347</v>
      </c>
      <c r="B348">
        <v>2025</v>
      </c>
      <c r="C348">
        <v>7</v>
      </c>
      <c r="D348" t="s">
        <v>169</v>
      </c>
      <c r="E348">
        <v>31</v>
      </c>
      <c r="F348">
        <v>6</v>
      </c>
      <c r="G348" t="s">
        <v>432</v>
      </c>
      <c r="H348" s="48" t="s">
        <v>320</v>
      </c>
      <c r="I348" s="48" t="s">
        <v>320</v>
      </c>
      <c r="J348" s="48" t="s">
        <v>320</v>
      </c>
      <c r="K348" s="48" t="s">
        <v>320</v>
      </c>
      <c r="L348" s="48" t="s">
        <v>320</v>
      </c>
      <c r="M348" s="48" t="s">
        <v>320</v>
      </c>
      <c r="N348" s="48" t="s">
        <v>320</v>
      </c>
      <c r="O348" s="48" t="s">
        <v>320</v>
      </c>
      <c r="P348" s="48" t="s">
        <v>320</v>
      </c>
      <c r="Q348" s="48" t="s">
        <v>320</v>
      </c>
      <c r="R348" s="48" t="s">
        <v>320</v>
      </c>
      <c r="S348" s="48">
        <v>236391</v>
      </c>
      <c r="T348" s="48">
        <v>236391</v>
      </c>
      <c r="U348" s="48">
        <v>236391</v>
      </c>
      <c r="V348" s="48">
        <v>236391</v>
      </c>
      <c r="W348" s="48">
        <v>236391</v>
      </c>
      <c r="X348" s="48">
        <v>236391</v>
      </c>
      <c r="Y348" s="48">
        <v>236587</v>
      </c>
      <c r="Z348" s="48">
        <v>236677</v>
      </c>
      <c r="AA348" s="48">
        <v>236801</v>
      </c>
      <c r="AB348" s="48">
        <v>236916</v>
      </c>
      <c r="AC348" s="48">
        <v>236935</v>
      </c>
      <c r="AD348" s="48">
        <v>236965</v>
      </c>
      <c r="AE348" s="48">
        <v>237072</v>
      </c>
      <c r="AF348" s="48">
        <v>237222</v>
      </c>
      <c r="AG348" s="48">
        <v>237246</v>
      </c>
      <c r="AH348" s="48">
        <v>237253</v>
      </c>
      <c r="AI348" s="48">
        <v>237368</v>
      </c>
      <c r="AJ348" s="48">
        <v>237486</v>
      </c>
      <c r="AK348" s="48">
        <v>237508</v>
      </c>
      <c r="AL348" s="48">
        <v>237529</v>
      </c>
    </row>
    <row r="349" spans="1:45" hidden="1" x14ac:dyDescent="0.25">
      <c r="A349">
        <v>348</v>
      </c>
      <c r="B349">
        <v>2025</v>
      </c>
      <c r="C349">
        <v>7</v>
      </c>
      <c r="D349" t="s">
        <v>169</v>
      </c>
      <c r="E349">
        <v>31</v>
      </c>
      <c r="F349">
        <v>6</v>
      </c>
      <c r="G349" t="s">
        <v>433</v>
      </c>
      <c r="H349" s="48" t="s">
        <v>320</v>
      </c>
      <c r="I349" s="48" t="s">
        <v>320</v>
      </c>
      <c r="J349" s="48" t="s">
        <v>320</v>
      </c>
      <c r="K349" s="48" t="s">
        <v>320</v>
      </c>
      <c r="L349" s="48" t="s">
        <v>320</v>
      </c>
      <c r="M349" s="48" t="s">
        <v>320</v>
      </c>
      <c r="N349" s="48" t="s">
        <v>320</v>
      </c>
      <c r="O349" s="48" t="s">
        <v>320</v>
      </c>
      <c r="P349" s="48" t="s">
        <v>320</v>
      </c>
      <c r="Q349" s="48" t="s">
        <v>320</v>
      </c>
      <c r="R349" s="48" t="s">
        <v>320</v>
      </c>
      <c r="S349" s="48">
        <v>236433</v>
      </c>
      <c r="T349" s="48">
        <v>236433</v>
      </c>
      <c r="U349" s="48">
        <v>236433</v>
      </c>
      <c r="V349" s="48">
        <v>236433</v>
      </c>
      <c r="W349" s="48">
        <v>236433</v>
      </c>
      <c r="X349" s="48">
        <v>236433</v>
      </c>
      <c r="Y349" s="48">
        <v>236677</v>
      </c>
      <c r="Z349" s="48">
        <v>236695</v>
      </c>
      <c r="AA349" s="48">
        <v>236916</v>
      </c>
      <c r="AB349" s="48">
        <v>236935</v>
      </c>
      <c r="AC349" s="48">
        <v>236958</v>
      </c>
      <c r="AD349" s="48">
        <v>237072</v>
      </c>
      <c r="AE349" s="48">
        <v>237222</v>
      </c>
      <c r="AF349" s="48">
        <v>237245</v>
      </c>
      <c r="AG349" s="48">
        <v>237253</v>
      </c>
      <c r="AH349" s="48">
        <v>237368</v>
      </c>
      <c r="AI349" s="48">
        <v>237486</v>
      </c>
      <c r="AJ349" s="48">
        <v>237508</v>
      </c>
      <c r="AK349" s="48">
        <v>237527</v>
      </c>
      <c r="AL349" s="48">
        <v>237630</v>
      </c>
      <c r="AP349">
        <v>176.84999999999997</v>
      </c>
      <c r="AQ349">
        <v>14.999999999999998</v>
      </c>
      <c r="AS349">
        <v>1179</v>
      </c>
    </row>
    <row r="350" spans="1:45" hidden="1" x14ac:dyDescent="0.25">
      <c r="A350">
        <v>349</v>
      </c>
      <c r="B350">
        <v>2025</v>
      </c>
      <c r="C350">
        <v>7</v>
      </c>
      <c r="D350" t="s">
        <v>158</v>
      </c>
      <c r="E350">
        <v>31</v>
      </c>
      <c r="F350">
        <v>6</v>
      </c>
      <c r="G350" t="s">
        <v>430</v>
      </c>
      <c r="H350" s="48">
        <v>0.29166666666666669</v>
      </c>
      <c r="I350" s="48">
        <v>0.29166666666666669</v>
      </c>
      <c r="J350" s="48">
        <v>0.29166666666666669</v>
      </c>
      <c r="K350" s="48">
        <v>0.29166666666666669</v>
      </c>
      <c r="L350" s="48">
        <v>0.29166666666666669</v>
      </c>
      <c r="M350" s="48">
        <v>0.29166666666666669</v>
      </c>
      <c r="N350" s="48">
        <v>0.29166666666666669</v>
      </c>
      <c r="O350" s="48">
        <v>0.29166666666666669</v>
      </c>
      <c r="P350" s="48">
        <v>0.29166666666666669</v>
      </c>
      <c r="Q350" s="48">
        <v>0.29166666666666669</v>
      </c>
      <c r="R350" s="48">
        <v>0.29166666666666669</v>
      </c>
      <c r="S350" s="48">
        <v>0.29166666666666669</v>
      </c>
      <c r="T350" s="48">
        <v>0.29166666666666669</v>
      </c>
      <c r="U350" s="48">
        <v>0.29166666666666669</v>
      </c>
      <c r="V350" s="48">
        <v>0.29166666666666669</v>
      </c>
      <c r="W350" s="48">
        <v>0.29166666666666669</v>
      </c>
      <c r="X350" s="48">
        <v>0.29166666666666669</v>
      </c>
      <c r="Y350" s="48">
        <v>0.29166666666666669</v>
      </c>
      <c r="Z350" s="48">
        <v>0.29166666666666669</v>
      </c>
      <c r="AA350" s="48">
        <v>0.29166666666666669</v>
      </c>
      <c r="AB350" s="48">
        <v>0.29166666666666669</v>
      </c>
      <c r="AC350" s="48">
        <v>0.29166666666666669</v>
      </c>
      <c r="AD350" s="48">
        <v>0.29166666666666669</v>
      </c>
      <c r="AE350" s="48">
        <v>0.29166666666666669</v>
      </c>
      <c r="AF350" s="48">
        <v>0.29166666666666669</v>
      </c>
      <c r="AG350" s="48">
        <v>0.29166666666666669</v>
      </c>
      <c r="AH350" s="48">
        <v>0.29166666666666669</v>
      </c>
      <c r="AI350" s="48">
        <v>0.29166666666666669</v>
      </c>
      <c r="AJ350" s="48">
        <v>0.29166666666666669</v>
      </c>
      <c r="AK350" s="48">
        <v>0.29166666666666669</v>
      </c>
      <c r="AL350" s="48" t="s">
        <v>320</v>
      </c>
    </row>
    <row r="351" spans="1:45" hidden="1" x14ac:dyDescent="0.25">
      <c r="A351">
        <v>350</v>
      </c>
      <c r="B351">
        <v>2025</v>
      </c>
      <c r="C351">
        <v>7</v>
      </c>
      <c r="D351" t="s">
        <v>158</v>
      </c>
      <c r="E351">
        <v>31</v>
      </c>
      <c r="F351">
        <v>6</v>
      </c>
      <c r="G351" t="s">
        <v>431</v>
      </c>
      <c r="H351" s="48">
        <v>0.75</v>
      </c>
      <c r="I351" s="48">
        <v>0.75</v>
      </c>
      <c r="J351" s="48">
        <v>0.75</v>
      </c>
      <c r="K351" s="48">
        <v>0.75</v>
      </c>
      <c r="L351" s="48">
        <v>0.75</v>
      </c>
      <c r="M351" s="48">
        <v>0.75</v>
      </c>
      <c r="N351" s="48">
        <v>0.75</v>
      </c>
      <c r="O351" s="48">
        <v>0.75</v>
      </c>
      <c r="P351" s="48">
        <v>0.75</v>
      </c>
      <c r="Q351" s="48">
        <v>0.75</v>
      </c>
      <c r="R351" s="48">
        <v>0.75</v>
      </c>
      <c r="S351" s="48">
        <v>0.75</v>
      </c>
      <c r="T351" s="48">
        <v>0.75</v>
      </c>
      <c r="U351" s="48">
        <v>0.75</v>
      </c>
      <c r="V351" s="48">
        <v>0.75</v>
      </c>
      <c r="W351" s="48">
        <v>0.75</v>
      </c>
      <c r="X351" s="48">
        <v>0.75</v>
      </c>
      <c r="Y351" s="48">
        <v>0.75</v>
      </c>
      <c r="Z351" s="48">
        <v>0.75</v>
      </c>
      <c r="AA351" s="48">
        <v>0.75</v>
      </c>
      <c r="AB351" s="48">
        <v>0.75</v>
      </c>
      <c r="AC351" s="48">
        <v>0.75</v>
      </c>
      <c r="AD351" s="48">
        <v>0.75</v>
      </c>
      <c r="AE351" s="48">
        <v>0.75</v>
      </c>
      <c r="AF351" s="48">
        <v>0.75</v>
      </c>
      <c r="AG351" s="48">
        <v>0.75</v>
      </c>
      <c r="AH351" s="48">
        <v>0.75</v>
      </c>
      <c r="AI351" s="48">
        <v>0.75</v>
      </c>
      <c r="AJ351" s="48">
        <v>0.75</v>
      </c>
      <c r="AK351" s="48">
        <v>0.75</v>
      </c>
      <c r="AL351" s="48" t="s">
        <v>320</v>
      </c>
      <c r="AM351">
        <v>30</v>
      </c>
    </row>
    <row r="352" spans="1:45" hidden="1" x14ac:dyDescent="0.25">
      <c r="A352">
        <v>351</v>
      </c>
      <c r="B352">
        <v>2025</v>
      </c>
      <c r="C352">
        <v>7</v>
      </c>
      <c r="D352" t="s">
        <v>140</v>
      </c>
      <c r="E352">
        <v>31</v>
      </c>
      <c r="F352">
        <v>6</v>
      </c>
      <c r="G352" t="s">
        <v>432</v>
      </c>
      <c r="H352" s="48">
        <v>383877</v>
      </c>
      <c r="I352" s="48">
        <v>384162</v>
      </c>
      <c r="J352" s="48">
        <v>384555</v>
      </c>
      <c r="K352" s="48">
        <v>384919</v>
      </c>
      <c r="L352" s="48">
        <v>385348</v>
      </c>
      <c r="M352" s="48">
        <v>385623</v>
      </c>
      <c r="N352" s="48">
        <v>385834</v>
      </c>
      <c r="O352" s="48">
        <v>386254</v>
      </c>
      <c r="P352" s="48">
        <v>386592</v>
      </c>
      <c r="Q352" s="48">
        <v>387058</v>
      </c>
      <c r="R352" s="48">
        <v>387293</v>
      </c>
      <c r="S352" s="48">
        <v>387726</v>
      </c>
      <c r="T352" s="48">
        <v>388037</v>
      </c>
      <c r="U352" s="48">
        <v>388286</v>
      </c>
      <c r="V352" s="48">
        <v>388447</v>
      </c>
      <c r="W352" s="48">
        <v>388447</v>
      </c>
      <c r="X352" s="48">
        <v>388447</v>
      </c>
      <c r="Y352" s="48">
        <v>388447</v>
      </c>
      <c r="Z352" s="48">
        <v>388447</v>
      </c>
      <c r="AA352" s="48">
        <v>388447</v>
      </c>
      <c r="AB352" s="48">
        <v>388447</v>
      </c>
      <c r="AC352" s="48">
        <v>388647</v>
      </c>
      <c r="AD352" s="48">
        <v>388841</v>
      </c>
      <c r="AE352" s="48">
        <v>389173</v>
      </c>
      <c r="AF352" s="48">
        <v>389422</v>
      </c>
      <c r="AG352" s="48">
        <v>389665</v>
      </c>
      <c r="AH352" s="48">
        <v>390002</v>
      </c>
      <c r="AI352" s="48">
        <v>390543</v>
      </c>
      <c r="AJ352" s="48">
        <v>390712</v>
      </c>
      <c r="AK352" s="48">
        <v>391158</v>
      </c>
      <c r="AL352" s="48">
        <v>391492</v>
      </c>
    </row>
    <row r="353" spans="1:45" hidden="1" x14ac:dyDescent="0.25">
      <c r="A353">
        <v>352</v>
      </c>
      <c r="B353">
        <v>2025</v>
      </c>
      <c r="C353">
        <v>7</v>
      </c>
      <c r="D353" t="s">
        <v>140</v>
      </c>
      <c r="E353">
        <v>31</v>
      </c>
      <c r="F353">
        <v>6</v>
      </c>
      <c r="G353" t="s">
        <v>433</v>
      </c>
      <c r="H353" s="48">
        <v>384131</v>
      </c>
      <c r="I353" s="48">
        <v>384547</v>
      </c>
      <c r="J353" s="48">
        <v>384918</v>
      </c>
      <c r="K353" s="48">
        <v>385308</v>
      </c>
      <c r="L353" s="48">
        <v>385607</v>
      </c>
      <c r="M353" s="48">
        <v>385708</v>
      </c>
      <c r="N353" s="48">
        <v>386235</v>
      </c>
      <c r="O353" s="48">
        <v>386571</v>
      </c>
      <c r="P353" s="48">
        <v>387058</v>
      </c>
      <c r="Q353" s="48">
        <v>387274</v>
      </c>
      <c r="R353" s="48">
        <v>387710</v>
      </c>
      <c r="S353" s="48">
        <v>388016</v>
      </c>
      <c r="T353" s="48">
        <v>388253</v>
      </c>
      <c r="U353" s="48">
        <v>388447</v>
      </c>
      <c r="V353" s="48">
        <v>388447</v>
      </c>
      <c r="W353" s="48">
        <v>388447</v>
      </c>
      <c r="X353" s="48">
        <v>388447</v>
      </c>
      <c r="Y353" s="48">
        <v>388447</v>
      </c>
      <c r="Z353" s="48">
        <v>388447</v>
      </c>
      <c r="AA353" s="48">
        <v>388447</v>
      </c>
      <c r="AB353" s="48">
        <v>388447</v>
      </c>
      <c r="AC353" s="48">
        <v>388826</v>
      </c>
      <c r="AD353" s="48">
        <v>389131</v>
      </c>
      <c r="AE353" s="48">
        <v>389384</v>
      </c>
      <c r="AF353" s="48">
        <v>389665</v>
      </c>
      <c r="AG353" s="48">
        <v>389974</v>
      </c>
      <c r="AH353" s="48">
        <v>390306</v>
      </c>
      <c r="AI353" s="48">
        <v>390712</v>
      </c>
      <c r="AJ353" s="48">
        <v>391158</v>
      </c>
      <c r="AK353" s="48">
        <v>391478</v>
      </c>
      <c r="AL353" s="48">
        <v>391741</v>
      </c>
      <c r="AP353">
        <v>832.68</v>
      </c>
      <c r="AQ353">
        <v>12</v>
      </c>
      <c r="AS353">
        <v>6939</v>
      </c>
    </row>
    <row r="354" spans="1:45" hidden="1" x14ac:dyDescent="0.25">
      <c r="A354">
        <v>353</v>
      </c>
      <c r="B354">
        <v>2025</v>
      </c>
      <c r="C354">
        <v>7</v>
      </c>
      <c r="D354" t="s">
        <v>140</v>
      </c>
      <c r="E354">
        <v>31</v>
      </c>
      <c r="F354">
        <v>6</v>
      </c>
      <c r="G354" t="s">
        <v>430</v>
      </c>
      <c r="H354" s="48" t="s">
        <v>402</v>
      </c>
      <c r="I354" s="48" t="s">
        <v>375</v>
      </c>
      <c r="J354" s="48" t="s">
        <v>408</v>
      </c>
      <c r="K354" s="48" t="s">
        <v>375</v>
      </c>
      <c r="L354" s="48" t="s">
        <v>375</v>
      </c>
      <c r="M354" s="48" t="s">
        <v>375</v>
      </c>
      <c r="N354" s="48" t="s">
        <v>375</v>
      </c>
      <c r="O354" s="48" t="s">
        <v>375</v>
      </c>
      <c r="P354" s="48" t="s">
        <v>409</v>
      </c>
      <c r="Q354" s="48" t="s">
        <v>375</v>
      </c>
      <c r="R354" s="48" t="s">
        <v>375</v>
      </c>
      <c r="S354" s="48" t="s">
        <v>375</v>
      </c>
      <c r="T354" s="48" t="s">
        <v>375</v>
      </c>
      <c r="U354" s="48" t="s">
        <v>375</v>
      </c>
      <c r="V354" s="48" t="s">
        <v>375</v>
      </c>
      <c r="W354" s="48" t="s">
        <v>375</v>
      </c>
      <c r="X354" s="48" t="s">
        <v>375</v>
      </c>
      <c r="Y354" s="48" t="s">
        <v>375</v>
      </c>
      <c r="Z354" s="48" t="s">
        <v>375</v>
      </c>
      <c r="AA354" s="48" t="s">
        <v>375</v>
      </c>
      <c r="AB354" s="48" t="s">
        <v>375</v>
      </c>
      <c r="AC354" s="48" t="s">
        <v>375</v>
      </c>
      <c r="AD354" s="48" t="s">
        <v>375</v>
      </c>
      <c r="AE354" s="48" t="s">
        <v>375</v>
      </c>
      <c r="AF354" s="48" t="s">
        <v>375</v>
      </c>
      <c r="AG354" s="48" t="s">
        <v>375</v>
      </c>
      <c r="AH354" s="48" t="s">
        <v>375</v>
      </c>
      <c r="AI354" s="48" t="s">
        <v>375</v>
      </c>
      <c r="AJ354" s="48" t="s">
        <v>375</v>
      </c>
      <c r="AK354" s="48" t="s">
        <v>375</v>
      </c>
      <c r="AL354" s="48" t="s">
        <v>375</v>
      </c>
    </row>
    <row r="355" spans="1:45" hidden="1" x14ac:dyDescent="0.25">
      <c r="A355">
        <v>354</v>
      </c>
      <c r="B355">
        <v>2025</v>
      </c>
      <c r="C355">
        <v>7</v>
      </c>
      <c r="D355" t="s">
        <v>140</v>
      </c>
      <c r="E355">
        <v>31</v>
      </c>
      <c r="F355">
        <v>6</v>
      </c>
      <c r="G355" t="s">
        <v>431</v>
      </c>
      <c r="H355" s="48">
        <v>0.79166666666666663</v>
      </c>
      <c r="I355" s="48">
        <v>0.83333333333333326</v>
      </c>
      <c r="J355" s="48">
        <v>1.0263888888888888</v>
      </c>
      <c r="K355" s="48">
        <v>0.875</v>
      </c>
      <c r="L355" s="48">
        <v>0.75</v>
      </c>
      <c r="M355" s="48">
        <v>0.875</v>
      </c>
      <c r="N355" s="48">
        <v>0.75</v>
      </c>
      <c r="O355" s="48">
        <v>0.875</v>
      </c>
      <c r="P355" s="48">
        <v>0.74305555555555558</v>
      </c>
      <c r="Q355" s="48">
        <v>1</v>
      </c>
      <c r="R355" s="48">
        <v>1</v>
      </c>
      <c r="S355" s="48">
        <v>1.0833333333333333</v>
      </c>
      <c r="T355" s="48">
        <v>0.875</v>
      </c>
      <c r="U355" s="48">
        <v>0.95833333333333326</v>
      </c>
      <c r="V355" s="48">
        <v>0.75</v>
      </c>
      <c r="W355" s="48">
        <v>0.75</v>
      </c>
      <c r="X355" s="48">
        <v>0.75</v>
      </c>
      <c r="Y355" s="48">
        <v>0.75</v>
      </c>
      <c r="Z355" s="48">
        <v>0.75</v>
      </c>
      <c r="AA355" s="48">
        <v>0.75</v>
      </c>
      <c r="AB355" s="48">
        <v>0.75</v>
      </c>
      <c r="AC355" s="48">
        <v>1.0416666666666667</v>
      </c>
      <c r="AD355" s="48">
        <v>0.85416666666666674</v>
      </c>
      <c r="AE355" s="48">
        <v>1.0416666666666667</v>
      </c>
      <c r="AF355" s="48">
        <v>0.75</v>
      </c>
      <c r="AG355" s="48">
        <v>0.83333333333333326</v>
      </c>
      <c r="AH355" s="48">
        <v>1.0416666666666667</v>
      </c>
      <c r="AI355" s="48">
        <v>0.95833333333333326</v>
      </c>
      <c r="AJ355" s="48">
        <v>1</v>
      </c>
      <c r="AK355" s="48">
        <v>1.0833333333333333</v>
      </c>
      <c r="AL355" s="48">
        <v>0.95833333333333326</v>
      </c>
      <c r="AM355">
        <v>31</v>
      </c>
      <c r="AO355">
        <v>108.99999999999999</v>
      </c>
    </row>
    <row r="356" spans="1:45" hidden="1" x14ac:dyDescent="0.25">
      <c r="A356">
        <v>355</v>
      </c>
      <c r="B356">
        <v>2025</v>
      </c>
      <c r="C356">
        <v>7</v>
      </c>
      <c r="D356" t="s">
        <v>166</v>
      </c>
      <c r="E356">
        <v>31</v>
      </c>
      <c r="F356">
        <v>6</v>
      </c>
      <c r="G356" t="s">
        <v>432</v>
      </c>
      <c r="H356" s="48">
        <v>266512</v>
      </c>
      <c r="I356" s="48">
        <v>266533</v>
      </c>
      <c r="J356" s="48">
        <v>266597</v>
      </c>
      <c r="K356" s="48">
        <v>266639</v>
      </c>
      <c r="L356" s="48">
        <v>266699</v>
      </c>
      <c r="M356" s="48" t="s">
        <v>320</v>
      </c>
      <c r="N356" s="48">
        <v>266787</v>
      </c>
      <c r="O356" s="48">
        <v>266863</v>
      </c>
      <c r="P356" s="48">
        <v>266932</v>
      </c>
      <c r="Q356" s="48">
        <v>267011</v>
      </c>
      <c r="R356" s="48">
        <v>267086</v>
      </c>
      <c r="S356" s="48">
        <v>267148</v>
      </c>
      <c r="T356" s="48">
        <v>267219</v>
      </c>
      <c r="U356" s="48">
        <v>267246</v>
      </c>
      <c r="V356" s="48">
        <v>267338</v>
      </c>
      <c r="W356" s="48">
        <v>267436</v>
      </c>
      <c r="X356" s="48">
        <v>267497</v>
      </c>
      <c r="Y356" s="48">
        <v>267586</v>
      </c>
      <c r="Z356" s="48">
        <v>267671</v>
      </c>
      <c r="AA356" s="48">
        <v>267731</v>
      </c>
      <c r="AB356" s="48">
        <v>267772</v>
      </c>
      <c r="AC356" s="48">
        <v>267829</v>
      </c>
      <c r="AD356" s="48">
        <v>267892</v>
      </c>
      <c r="AE356" s="48">
        <v>267962</v>
      </c>
      <c r="AF356" s="48">
        <v>268022</v>
      </c>
      <c r="AG356" s="48">
        <v>268093</v>
      </c>
      <c r="AH356" s="48">
        <v>268168</v>
      </c>
      <c r="AI356" s="48">
        <v>268250</v>
      </c>
      <c r="AJ356" s="48">
        <v>268337</v>
      </c>
      <c r="AK356" s="48">
        <v>268398</v>
      </c>
      <c r="AL356" s="48">
        <v>268474</v>
      </c>
    </row>
    <row r="357" spans="1:45" hidden="1" x14ac:dyDescent="0.25">
      <c r="A357">
        <v>356</v>
      </c>
      <c r="B357">
        <v>2025</v>
      </c>
      <c r="C357">
        <v>7</v>
      </c>
      <c r="D357" t="s">
        <v>166</v>
      </c>
      <c r="E357">
        <v>31</v>
      </c>
      <c r="F357">
        <v>6</v>
      </c>
      <c r="G357" t="s">
        <v>433</v>
      </c>
      <c r="H357" s="48">
        <v>266533</v>
      </c>
      <c r="I357" s="48">
        <v>266597</v>
      </c>
      <c r="J357" s="48">
        <v>266639</v>
      </c>
      <c r="K357" s="48">
        <v>266699</v>
      </c>
      <c r="L357" s="48">
        <v>266787</v>
      </c>
      <c r="M357" s="48" t="s">
        <v>320</v>
      </c>
      <c r="N357" s="48">
        <v>266863</v>
      </c>
      <c r="O357" s="48">
        <v>266932</v>
      </c>
      <c r="P357" s="48">
        <v>267011</v>
      </c>
      <c r="Q357" s="48">
        <v>267086</v>
      </c>
      <c r="R357" s="48">
        <v>267148</v>
      </c>
      <c r="S357" s="48">
        <v>267219</v>
      </c>
      <c r="T357" s="48">
        <v>267246</v>
      </c>
      <c r="U357" s="48">
        <v>267338</v>
      </c>
      <c r="V357" s="48">
        <v>267436</v>
      </c>
      <c r="W357" s="48">
        <v>267497</v>
      </c>
      <c r="X357" s="48">
        <v>267586</v>
      </c>
      <c r="Y357" s="48">
        <v>267671</v>
      </c>
      <c r="Z357" s="48">
        <v>267731</v>
      </c>
      <c r="AA357" s="48">
        <v>267772</v>
      </c>
      <c r="AB357" s="48">
        <v>267829</v>
      </c>
      <c r="AC357" s="48">
        <v>267892</v>
      </c>
      <c r="AD357" s="48">
        <v>267962</v>
      </c>
      <c r="AE357" s="48">
        <v>268022</v>
      </c>
      <c r="AF357" s="48">
        <v>268093</v>
      </c>
      <c r="AG357" s="48">
        <v>268168</v>
      </c>
      <c r="AH357" s="48">
        <v>268250</v>
      </c>
      <c r="AI357" s="48">
        <v>268337</v>
      </c>
      <c r="AJ357" s="48">
        <v>268398</v>
      </c>
      <c r="AK357" s="48">
        <v>268474</v>
      </c>
      <c r="AL357" s="48">
        <v>268552</v>
      </c>
      <c r="AP357">
        <v>306</v>
      </c>
      <c r="AQ357">
        <v>15</v>
      </c>
      <c r="AS357">
        <v>2040</v>
      </c>
    </row>
    <row r="358" spans="1:45" hidden="1" x14ac:dyDescent="0.25">
      <c r="A358">
        <v>357</v>
      </c>
      <c r="B358">
        <v>2025</v>
      </c>
      <c r="C358">
        <v>7</v>
      </c>
      <c r="D358" t="s">
        <v>166</v>
      </c>
      <c r="E358">
        <v>31</v>
      </c>
      <c r="F358">
        <v>6</v>
      </c>
      <c r="G358" t="s">
        <v>430</v>
      </c>
      <c r="H358" s="48" t="s">
        <v>375</v>
      </c>
      <c r="I358" s="48" t="s">
        <v>375</v>
      </c>
      <c r="J358" s="48" t="s">
        <v>375</v>
      </c>
      <c r="K358" s="48" t="s">
        <v>375</v>
      </c>
      <c r="L358" s="48" t="s">
        <v>375</v>
      </c>
      <c r="M358" s="48" t="s">
        <v>320</v>
      </c>
      <c r="N358" s="48" t="s">
        <v>375</v>
      </c>
      <c r="O358" s="48" t="s">
        <v>375</v>
      </c>
      <c r="P358" s="48" t="s">
        <v>375</v>
      </c>
      <c r="Q358" s="48" t="s">
        <v>375</v>
      </c>
      <c r="R358" s="48" t="s">
        <v>375</v>
      </c>
      <c r="S358" s="48" t="s">
        <v>375</v>
      </c>
      <c r="T358" s="48" t="s">
        <v>375</v>
      </c>
      <c r="U358" s="48" t="s">
        <v>375</v>
      </c>
      <c r="V358" s="48" t="s">
        <v>375</v>
      </c>
      <c r="W358" s="48" t="s">
        <v>375</v>
      </c>
      <c r="X358" s="48" t="s">
        <v>375</v>
      </c>
      <c r="Y358" s="48" t="s">
        <v>375</v>
      </c>
      <c r="Z358" s="48" t="s">
        <v>375</v>
      </c>
      <c r="AA358" s="48" t="s">
        <v>375</v>
      </c>
      <c r="AB358" s="48" t="s">
        <v>375</v>
      </c>
      <c r="AC358" s="48" t="s">
        <v>375</v>
      </c>
      <c r="AD358" s="48" t="s">
        <v>375</v>
      </c>
      <c r="AE358" s="48" t="s">
        <v>375</v>
      </c>
      <c r="AF358" s="48" t="s">
        <v>375</v>
      </c>
      <c r="AG358" s="48" t="s">
        <v>375</v>
      </c>
      <c r="AH358" s="48" t="s">
        <v>375</v>
      </c>
      <c r="AI358" s="48" t="s">
        <v>375</v>
      </c>
      <c r="AJ358" s="48" t="s">
        <v>375</v>
      </c>
      <c r="AK358" s="48" t="s">
        <v>375</v>
      </c>
      <c r="AL358" s="48" t="s">
        <v>375</v>
      </c>
    </row>
    <row r="359" spans="1:45" hidden="1" x14ac:dyDescent="0.25">
      <c r="A359">
        <v>358</v>
      </c>
      <c r="B359">
        <v>2025</v>
      </c>
      <c r="C359">
        <v>7</v>
      </c>
      <c r="D359" t="s">
        <v>166</v>
      </c>
      <c r="E359">
        <v>31</v>
      </c>
      <c r="F359">
        <v>6</v>
      </c>
      <c r="G359" t="s">
        <v>431</v>
      </c>
      <c r="H359" s="48">
        <v>0.75</v>
      </c>
      <c r="I359" s="48">
        <v>0.79166666666666674</v>
      </c>
      <c r="J359" s="48">
        <v>0.75</v>
      </c>
      <c r="K359" s="48">
        <v>0.95833333333333326</v>
      </c>
      <c r="L359" s="48">
        <v>0.83333333333333326</v>
      </c>
      <c r="M359" s="48" t="s">
        <v>320</v>
      </c>
      <c r="N359" s="48">
        <v>0.75</v>
      </c>
      <c r="O359" s="48">
        <v>0.79166666666666674</v>
      </c>
      <c r="P359" s="48">
        <v>0.79166666666666674</v>
      </c>
      <c r="Q359" s="48">
        <v>0.79166666666666674</v>
      </c>
      <c r="R359" s="48">
        <v>0.83333333333333326</v>
      </c>
      <c r="S359" s="48">
        <v>0.83333333333333326</v>
      </c>
      <c r="T359" s="48">
        <v>0.91666666666666674</v>
      </c>
      <c r="U359" s="48">
        <v>1.0833333333333333</v>
      </c>
      <c r="V359" s="48">
        <v>1.0833333333333333</v>
      </c>
      <c r="W359" s="48">
        <v>1</v>
      </c>
      <c r="X359" s="48">
        <v>0.95833333333333326</v>
      </c>
      <c r="Y359" s="48">
        <v>1</v>
      </c>
      <c r="Z359" s="48">
        <v>0.75</v>
      </c>
      <c r="AA359" s="48">
        <v>0.75</v>
      </c>
      <c r="AB359" s="48">
        <v>1</v>
      </c>
      <c r="AC359" s="48">
        <v>0.83333333333333326</v>
      </c>
      <c r="AD359" s="48">
        <v>1</v>
      </c>
      <c r="AE359" s="48">
        <v>0.79166666666666674</v>
      </c>
      <c r="AF359" s="48">
        <v>0.79166666666666674</v>
      </c>
      <c r="AG359" s="48">
        <v>1</v>
      </c>
      <c r="AH359" s="48">
        <v>0.79166666666666674</v>
      </c>
      <c r="AI359" s="48">
        <v>1.0416666666666667</v>
      </c>
      <c r="AJ359" s="48">
        <v>0.79166666666666674</v>
      </c>
      <c r="AK359" s="48">
        <v>1</v>
      </c>
      <c r="AL359" s="48">
        <v>0.79166666666666674</v>
      </c>
      <c r="AM359">
        <v>30</v>
      </c>
      <c r="AO359">
        <v>89.999999999999972</v>
      </c>
    </row>
    <row r="360" spans="1:45" hidden="1" x14ac:dyDescent="0.25">
      <c r="A360">
        <v>359</v>
      </c>
      <c r="B360">
        <v>2025</v>
      </c>
      <c r="C360">
        <v>7</v>
      </c>
      <c r="D360" t="s">
        <v>144</v>
      </c>
      <c r="E360">
        <v>31</v>
      </c>
      <c r="F360">
        <v>6</v>
      </c>
      <c r="G360" t="s">
        <v>432</v>
      </c>
      <c r="H360" s="48">
        <v>359190</v>
      </c>
      <c r="I360" s="48">
        <v>359292</v>
      </c>
      <c r="J360" s="48">
        <v>359410</v>
      </c>
      <c r="K360" s="48">
        <v>359500</v>
      </c>
      <c r="L360" s="48">
        <v>359640</v>
      </c>
      <c r="M360" s="48" t="s">
        <v>320</v>
      </c>
      <c r="N360" s="48">
        <v>359962</v>
      </c>
      <c r="O360" s="48">
        <v>360243</v>
      </c>
      <c r="P360" s="48">
        <v>360322</v>
      </c>
      <c r="Q360" s="48">
        <v>360554</v>
      </c>
      <c r="R360" s="48">
        <v>360629</v>
      </c>
      <c r="S360" s="48">
        <v>360756</v>
      </c>
      <c r="T360" s="48">
        <v>360859</v>
      </c>
      <c r="U360" s="48">
        <v>361006</v>
      </c>
      <c r="V360" s="48">
        <v>361107</v>
      </c>
      <c r="W360" s="48">
        <v>361182</v>
      </c>
      <c r="X360" s="48">
        <v>361594</v>
      </c>
      <c r="Y360" s="48">
        <v>361713</v>
      </c>
      <c r="Z360" s="48">
        <v>361767</v>
      </c>
      <c r="AA360" s="48">
        <v>361981</v>
      </c>
      <c r="AB360" s="48">
        <v>362140</v>
      </c>
      <c r="AC360" s="48">
        <v>362223</v>
      </c>
      <c r="AD360" s="48">
        <v>362289</v>
      </c>
      <c r="AE360" s="48">
        <v>362380</v>
      </c>
      <c r="AF360" s="48">
        <v>362431</v>
      </c>
      <c r="AG360" s="48">
        <v>362487</v>
      </c>
      <c r="AH360" s="48">
        <v>362553</v>
      </c>
      <c r="AI360" s="48">
        <v>362757</v>
      </c>
      <c r="AJ360" s="48">
        <v>362903</v>
      </c>
      <c r="AK360" s="48">
        <v>362989</v>
      </c>
      <c r="AL360" s="48">
        <v>363067</v>
      </c>
    </row>
    <row r="361" spans="1:45" hidden="1" x14ac:dyDescent="0.25">
      <c r="A361">
        <v>360</v>
      </c>
      <c r="B361">
        <v>2025</v>
      </c>
      <c r="C361">
        <v>7</v>
      </c>
      <c r="D361" t="s">
        <v>144</v>
      </c>
      <c r="E361">
        <v>31</v>
      </c>
      <c r="F361">
        <v>6</v>
      </c>
      <c r="G361" t="s">
        <v>433</v>
      </c>
      <c r="H361" s="48">
        <v>359292</v>
      </c>
      <c r="I361" s="48">
        <v>359409</v>
      </c>
      <c r="J361" s="48">
        <v>359500</v>
      </c>
      <c r="K361" s="48">
        <v>359640</v>
      </c>
      <c r="L361" s="48">
        <v>359803</v>
      </c>
      <c r="M361" s="48" t="s">
        <v>320</v>
      </c>
      <c r="N361" s="48">
        <v>360190</v>
      </c>
      <c r="O361" s="48">
        <v>360322</v>
      </c>
      <c r="P361" s="48">
        <v>360554</v>
      </c>
      <c r="Q361" s="48">
        <v>360628</v>
      </c>
      <c r="R361" s="48">
        <v>360756</v>
      </c>
      <c r="S361" s="48">
        <v>360859</v>
      </c>
      <c r="T361" s="48">
        <v>361006</v>
      </c>
      <c r="U361" s="48">
        <v>361107</v>
      </c>
      <c r="V361" s="48">
        <v>361182</v>
      </c>
      <c r="W361" s="48">
        <v>361594</v>
      </c>
      <c r="X361" s="48">
        <v>361708</v>
      </c>
      <c r="Y361" s="48">
        <v>361767</v>
      </c>
      <c r="Z361" s="48">
        <v>361981</v>
      </c>
      <c r="AA361" s="48">
        <v>362140</v>
      </c>
      <c r="AB361" s="48">
        <v>362223</v>
      </c>
      <c r="AC361" s="48">
        <v>362289</v>
      </c>
      <c r="AD361" s="48">
        <v>362380</v>
      </c>
      <c r="AE361" s="48">
        <v>362431</v>
      </c>
      <c r="AF361" s="48">
        <v>362487</v>
      </c>
      <c r="AG361" s="48">
        <v>362553</v>
      </c>
      <c r="AH361" s="48">
        <v>362757</v>
      </c>
      <c r="AI361" s="48">
        <v>362903</v>
      </c>
      <c r="AJ361" s="48">
        <v>362989</v>
      </c>
      <c r="AK361" s="48">
        <v>363067</v>
      </c>
      <c r="AL361" s="48">
        <v>363250</v>
      </c>
      <c r="AP361">
        <v>576.15</v>
      </c>
      <c r="AQ361">
        <v>15</v>
      </c>
      <c r="AS361">
        <v>3841</v>
      </c>
    </row>
    <row r="362" spans="1:45" hidden="1" x14ac:dyDescent="0.25">
      <c r="A362">
        <v>361</v>
      </c>
      <c r="B362">
        <v>2025</v>
      </c>
      <c r="C362">
        <v>7</v>
      </c>
      <c r="D362" t="s">
        <v>144</v>
      </c>
      <c r="E362">
        <v>31</v>
      </c>
      <c r="F362">
        <v>6</v>
      </c>
      <c r="G362" t="s">
        <v>430</v>
      </c>
      <c r="H362" s="48" t="s">
        <v>375</v>
      </c>
      <c r="I362" s="48" t="s">
        <v>375</v>
      </c>
      <c r="J362" s="48" t="s">
        <v>375</v>
      </c>
      <c r="K362" s="48" t="s">
        <v>375</v>
      </c>
      <c r="L362" s="48" t="s">
        <v>375</v>
      </c>
      <c r="M362" s="48" t="s">
        <v>320</v>
      </c>
      <c r="N362" s="48" t="s">
        <v>375</v>
      </c>
      <c r="O362" s="48" t="s">
        <v>375</v>
      </c>
      <c r="P362" s="48" t="s">
        <v>375</v>
      </c>
      <c r="Q362" s="48" t="s">
        <v>375</v>
      </c>
      <c r="R362" s="48" t="s">
        <v>375</v>
      </c>
      <c r="S362" s="48" t="s">
        <v>375</v>
      </c>
      <c r="T362" s="48" t="s">
        <v>375</v>
      </c>
      <c r="U362" s="48" t="s">
        <v>375</v>
      </c>
      <c r="V362" s="48" t="s">
        <v>375</v>
      </c>
      <c r="W362" s="48" t="s">
        <v>375</v>
      </c>
      <c r="X362" s="48" t="s">
        <v>375</v>
      </c>
      <c r="Y362" s="48" t="s">
        <v>375</v>
      </c>
      <c r="Z362" s="48" t="s">
        <v>375</v>
      </c>
      <c r="AA362" s="48" t="s">
        <v>375</v>
      </c>
      <c r="AB362" s="48" t="s">
        <v>375</v>
      </c>
      <c r="AC362" s="48" t="s">
        <v>375</v>
      </c>
      <c r="AD362" s="48" t="s">
        <v>375</v>
      </c>
      <c r="AE362" s="48" t="s">
        <v>375</v>
      </c>
      <c r="AF362" s="48" t="s">
        <v>375</v>
      </c>
      <c r="AG362" s="48" t="s">
        <v>375</v>
      </c>
      <c r="AH362" s="48" t="s">
        <v>375</v>
      </c>
      <c r="AI362" s="48" t="s">
        <v>375</v>
      </c>
      <c r="AJ362" s="48" t="s">
        <v>375</v>
      </c>
      <c r="AK362" s="48" t="s">
        <v>375</v>
      </c>
      <c r="AL362" s="48" t="s">
        <v>375</v>
      </c>
    </row>
    <row r="363" spans="1:45" hidden="1" x14ac:dyDescent="0.25">
      <c r="A363">
        <v>362</v>
      </c>
      <c r="B363">
        <v>2025</v>
      </c>
      <c r="C363">
        <v>7</v>
      </c>
      <c r="D363" t="s">
        <v>144</v>
      </c>
      <c r="E363">
        <v>31</v>
      </c>
      <c r="F363">
        <v>6</v>
      </c>
      <c r="G363" t="s">
        <v>431</v>
      </c>
      <c r="H363" s="48" t="s">
        <v>406</v>
      </c>
      <c r="I363" s="48" t="s">
        <v>406</v>
      </c>
      <c r="J363" s="48" t="s">
        <v>406</v>
      </c>
      <c r="K363" s="48" t="s">
        <v>406</v>
      </c>
      <c r="L363" s="48" t="s">
        <v>406</v>
      </c>
      <c r="M363" s="48" t="s">
        <v>320</v>
      </c>
      <c r="N363" s="48" t="s">
        <v>406</v>
      </c>
      <c r="O363" s="48" t="s">
        <v>406</v>
      </c>
      <c r="P363" s="48" t="s">
        <v>406</v>
      </c>
      <c r="Q363" s="48" t="s">
        <v>406</v>
      </c>
      <c r="R363" s="48" t="s">
        <v>406</v>
      </c>
      <c r="S363" s="48" t="s">
        <v>406</v>
      </c>
      <c r="T363" s="48" t="s">
        <v>406</v>
      </c>
      <c r="U363" s="48" t="s">
        <v>406</v>
      </c>
      <c r="V363" s="48" t="s">
        <v>406</v>
      </c>
      <c r="W363" s="48" t="s">
        <v>406</v>
      </c>
      <c r="X363" s="48" t="s">
        <v>406</v>
      </c>
      <c r="Y363" s="48" t="s">
        <v>406</v>
      </c>
      <c r="Z363" s="48" t="s">
        <v>406</v>
      </c>
      <c r="AA363" s="48" t="s">
        <v>406</v>
      </c>
      <c r="AB363" s="48" t="s">
        <v>406</v>
      </c>
      <c r="AC363" s="48" t="s">
        <v>406</v>
      </c>
      <c r="AD363" s="48" t="s">
        <v>406</v>
      </c>
      <c r="AE363" s="48" t="s">
        <v>406</v>
      </c>
      <c r="AF363" s="48" t="s">
        <v>406</v>
      </c>
      <c r="AG363" s="48" t="s">
        <v>406</v>
      </c>
      <c r="AH363" s="48">
        <v>0.75</v>
      </c>
      <c r="AI363" s="48" t="s">
        <v>406</v>
      </c>
      <c r="AJ363" s="48" t="s">
        <v>406</v>
      </c>
      <c r="AK363" s="48" t="s">
        <v>406</v>
      </c>
      <c r="AL363" s="48" t="s">
        <v>406</v>
      </c>
      <c r="AM363">
        <v>1</v>
      </c>
      <c r="AN363">
        <v>29</v>
      </c>
    </row>
    <row r="364" spans="1:45" hidden="1" x14ac:dyDescent="0.25">
      <c r="A364">
        <v>363</v>
      </c>
      <c r="B364">
        <v>2025</v>
      </c>
      <c r="C364">
        <v>7</v>
      </c>
      <c r="D364" t="s">
        <v>159</v>
      </c>
      <c r="E364">
        <v>31</v>
      </c>
      <c r="F364">
        <v>6</v>
      </c>
      <c r="G364" t="s">
        <v>432</v>
      </c>
      <c r="H364" s="48">
        <v>323963</v>
      </c>
      <c r="I364" s="48">
        <v>324143</v>
      </c>
      <c r="J364" s="48">
        <v>324174</v>
      </c>
      <c r="K364" s="48">
        <v>324214</v>
      </c>
      <c r="L364" s="48">
        <v>324236</v>
      </c>
      <c r="M364" s="48" t="s">
        <v>320</v>
      </c>
      <c r="N364" s="48">
        <v>324392</v>
      </c>
      <c r="O364" s="48">
        <v>324600</v>
      </c>
      <c r="P364" s="48">
        <v>324641</v>
      </c>
      <c r="Q364" s="48">
        <v>324793</v>
      </c>
      <c r="R364" s="48">
        <v>324837</v>
      </c>
      <c r="S364" s="48">
        <v>324892</v>
      </c>
      <c r="T364" s="48">
        <v>324933</v>
      </c>
      <c r="U364" s="48">
        <v>324977</v>
      </c>
      <c r="V364" s="48">
        <v>325035</v>
      </c>
      <c r="W364" s="48">
        <v>325067</v>
      </c>
      <c r="X364" s="48">
        <v>325108</v>
      </c>
      <c r="Y364" s="48">
        <v>325142</v>
      </c>
      <c r="Z364" s="48">
        <v>325187</v>
      </c>
      <c r="AA364" s="48">
        <v>325220</v>
      </c>
      <c r="AB364" s="48">
        <v>325291</v>
      </c>
      <c r="AC364" s="48">
        <v>325334</v>
      </c>
      <c r="AD364" s="48">
        <v>325378</v>
      </c>
      <c r="AE364" s="48">
        <v>325544</v>
      </c>
      <c r="AF364" s="48">
        <v>325593</v>
      </c>
      <c r="AG364" s="48">
        <v>325648</v>
      </c>
      <c r="AH364" s="48">
        <v>325851</v>
      </c>
      <c r="AI364" s="48">
        <v>325898</v>
      </c>
      <c r="AJ364" s="48">
        <v>325918</v>
      </c>
      <c r="AK364" s="48">
        <v>325968</v>
      </c>
      <c r="AL364" s="48">
        <v>326022</v>
      </c>
    </row>
    <row r="365" spans="1:45" hidden="1" x14ac:dyDescent="0.25">
      <c r="A365">
        <v>364</v>
      </c>
      <c r="B365">
        <v>2025</v>
      </c>
      <c r="C365">
        <v>7</v>
      </c>
      <c r="D365" t="s">
        <v>159</v>
      </c>
      <c r="E365">
        <v>31</v>
      </c>
      <c r="F365">
        <v>6</v>
      </c>
      <c r="G365" t="s">
        <v>433</v>
      </c>
      <c r="H365" s="48">
        <v>324143</v>
      </c>
      <c r="I365" s="48">
        <v>324174</v>
      </c>
      <c r="J365" s="48">
        <v>324214</v>
      </c>
      <c r="K365" s="48">
        <v>324236</v>
      </c>
      <c r="L365" s="48">
        <v>324392</v>
      </c>
      <c r="M365" s="48" t="s">
        <v>320</v>
      </c>
      <c r="N365" s="48">
        <v>324600</v>
      </c>
      <c r="O365" s="48">
        <v>324641</v>
      </c>
      <c r="P365" s="48">
        <v>324793</v>
      </c>
      <c r="Q365" s="48">
        <v>324837</v>
      </c>
      <c r="R365" s="48">
        <v>324892</v>
      </c>
      <c r="S365" s="48">
        <v>324933</v>
      </c>
      <c r="T365" s="48">
        <v>324977</v>
      </c>
      <c r="U365" s="48">
        <v>325035</v>
      </c>
      <c r="V365" s="48">
        <v>325067</v>
      </c>
      <c r="W365" s="48">
        <v>325108</v>
      </c>
      <c r="X365" s="48">
        <v>325142</v>
      </c>
      <c r="Y365" s="48">
        <v>325187</v>
      </c>
      <c r="Z365" s="48">
        <v>325220</v>
      </c>
      <c r="AA365" s="48">
        <v>325291</v>
      </c>
      <c r="AB365" s="48">
        <v>325334</v>
      </c>
      <c r="AC365" s="48">
        <v>325378</v>
      </c>
      <c r="AD365" s="48">
        <v>325544</v>
      </c>
      <c r="AE365" s="48">
        <v>325593</v>
      </c>
      <c r="AF365" s="48">
        <v>325648</v>
      </c>
      <c r="AG365" s="48">
        <v>325700</v>
      </c>
      <c r="AH365" s="48">
        <v>325898</v>
      </c>
      <c r="AI365" s="48">
        <v>325918</v>
      </c>
      <c r="AJ365" s="48">
        <v>325968</v>
      </c>
      <c r="AK365" s="48">
        <v>326022</v>
      </c>
      <c r="AL365" s="48">
        <v>326130</v>
      </c>
      <c r="AP365">
        <v>302.39999999999998</v>
      </c>
      <c r="AQ365">
        <v>15</v>
      </c>
      <c r="AS365">
        <v>2016</v>
      </c>
    </row>
    <row r="366" spans="1:45" hidden="1" x14ac:dyDescent="0.25">
      <c r="A366">
        <v>365</v>
      </c>
      <c r="B366">
        <v>2025</v>
      </c>
      <c r="C366">
        <v>7</v>
      </c>
      <c r="D366" t="s">
        <v>159</v>
      </c>
      <c r="E366">
        <v>31</v>
      </c>
      <c r="F366">
        <v>6</v>
      </c>
      <c r="G366" t="s">
        <v>430</v>
      </c>
      <c r="H366" s="48" t="s">
        <v>375</v>
      </c>
      <c r="I366" s="48" t="s">
        <v>375</v>
      </c>
      <c r="J366" s="48" t="s">
        <v>375</v>
      </c>
      <c r="K366" s="48" t="s">
        <v>375</v>
      </c>
      <c r="L366" s="48" t="s">
        <v>375</v>
      </c>
      <c r="M366" s="48" t="s">
        <v>320</v>
      </c>
      <c r="N366" s="48" t="s">
        <v>375</v>
      </c>
      <c r="O366" s="48" t="s">
        <v>375</v>
      </c>
      <c r="P366" s="48" t="s">
        <v>375</v>
      </c>
      <c r="Q366" s="48" t="s">
        <v>375</v>
      </c>
      <c r="R366" s="48" t="s">
        <v>375</v>
      </c>
      <c r="S366" s="48" t="s">
        <v>375</v>
      </c>
      <c r="T366" s="48" t="s">
        <v>375</v>
      </c>
      <c r="U366" s="48" t="s">
        <v>375</v>
      </c>
      <c r="V366" s="48" t="s">
        <v>375</v>
      </c>
      <c r="W366" s="48" t="s">
        <v>375</v>
      </c>
      <c r="X366" s="48" t="s">
        <v>375</v>
      </c>
      <c r="Y366" s="48" t="s">
        <v>375</v>
      </c>
      <c r="Z366" s="48" t="s">
        <v>375</v>
      </c>
      <c r="AA366" s="48" t="s">
        <v>375</v>
      </c>
      <c r="AB366" s="48" t="s">
        <v>375</v>
      </c>
      <c r="AC366" s="48" t="s">
        <v>375</v>
      </c>
      <c r="AD366" s="48" t="s">
        <v>375</v>
      </c>
      <c r="AE366" s="48" t="s">
        <v>375</v>
      </c>
      <c r="AF366" s="48" t="s">
        <v>375</v>
      </c>
      <c r="AG366" s="48" t="s">
        <v>375</v>
      </c>
      <c r="AH366" s="48" t="s">
        <v>375</v>
      </c>
      <c r="AI366" s="48" t="s">
        <v>375</v>
      </c>
      <c r="AJ366" s="48" t="s">
        <v>375</v>
      </c>
      <c r="AK366" s="48" t="s">
        <v>375</v>
      </c>
      <c r="AL366" s="48" t="s">
        <v>375</v>
      </c>
    </row>
    <row r="367" spans="1:45" hidden="1" x14ac:dyDescent="0.25">
      <c r="A367">
        <v>366</v>
      </c>
      <c r="B367">
        <v>2025</v>
      </c>
      <c r="C367">
        <v>7</v>
      </c>
      <c r="D367" t="s">
        <v>159</v>
      </c>
      <c r="E367">
        <v>31</v>
      </c>
      <c r="F367">
        <v>6</v>
      </c>
      <c r="G367" t="s">
        <v>431</v>
      </c>
      <c r="H367" s="48" t="s">
        <v>376</v>
      </c>
      <c r="I367" s="48" t="s">
        <v>376</v>
      </c>
      <c r="J367" s="48" t="s">
        <v>376</v>
      </c>
      <c r="K367" s="48" t="s">
        <v>376</v>
      </c>
      <c r="L367" s="48" t="s">
        <v>376</v>
      </c>
      <c r="M367" s="48" t="s">
        <v>320</v>
      </c>
      <c r="N367" s="48" t="s">
        <v>376</v>
      </c>
      <c r="O367" s="48" t="s">
        <v>376</v>
      </c>
      <c r="P367" s="48" t="s">
        <v>376</v>
      </c>
      <c r="Q367" s="48" t="s">
        <v>376</v>
      </c>
      <c r="R367" s="48" t="s">
        <v>376</v>
      </c>
      <c r="S367" s="48" t="s">
        <v>376</v>
      </c>
      <c r="T367" s="48" t="s">
        <v>376</v>
      </c>
      <c r="U367" s="48" t="s">
        <v>376</v>
      </c>
      <c r="V367" s="48" t="s">
        <v>376</v>
      </c>
      <c r="W367" s="48" t="s">
        <v>376</v>
      </c>
      <c r="X367" s="48" t="s">
        <v>376</v>
      </c>
      <c r="Y367" s="48" t="s">
        <v>376</v>
      </c>
      <c r="Z367" s="48" t="s">
        <v>376</v>
      </c>
      <c r="AA367" s="48" t="s">
        <v>376</v>
      </c>
      <c r="AB367" s="48" t="s">
        <v>376</v>
      </c>
      <c r="AC367" s="48" t="s">
        <v>376</v>
      </c>
      <c r="AD367" s="48" t="s">
        <v>376</v>
      </c>
      <c r="AE367" s="48" t="s">
        <v>376</v>
      </c>
      <c r="AF367" s="48" t="s">
        <v>376</v>
      </c>
      <c r="AG367" s="48" t="s">
        <v>376</v>
      </c>
      <c r="AH367" s="48" t="s">
        <v>376</v>
      </c>
      <c r="AI367" s="48" t="s">
        <v>376</v>
      </c>
      <c r="AJ367" s="48" t="s">
        <v>376</v>
      </c>
      <c r="AK367" s="48" t="s">
        <v>376</v>
      </c>
      <c r="AL367" s="48" t="s">
        <v>376</v>
      </c>
      <c r="AM367">
        <v>30</v>
      </c>
    </row>
    <row r="368" spans="1:45" hidden="1" x14ac:dyDescent="0.25">
      <c r="A368">
        <v>367</v>
      </c>
      <c r="B368">
        <v>2025</v>
      </c>
      <c r="C368">
        <v>7</v>
      </c>
      <c r="D368" t="s">
        <v>156</v>
      </c>
      <c r="E368">
        <v>31</v>
      </c>
      <c r="F368">
        <v>6</v>
      </c>
      <c r="G368" t="s">
        <v>432</v>
      </c>
      <c r="H368" s="48">
        <v>794490</v>
      </c>
      <c r="I368" s="48">
        <v>794641</v>
      </c>
      <c r="J368" s="48">
        <v>794914</v>
      </c>
      <c r="K368" s="48">
        <v>795079</v>
      </c>
      <c r="L368" s="48">
        <v>795229</v>
      </c>
      <c r="M368" s="48">
        <v>795388</v>
      </c>
      <c r="N368" s="48">
        <v>795403</v>
      </c>
      <c r="O368" s="48">
        <v>795552</v>
      </c>
      <c r="P368" s="48">
        <v>795706</v>
      </c>
      <c r="Q368" s="48">
        <v>795905</v>
      </c>
      <c r="R368" s="48">
        <v>796058</v>
      </c>
      <c r="S368" s="48">
        <v>796205</v>
      </c>
      <c r="T368" s="48" t="s">
        <v>320</v>
      </c>
      <c r="U368" s="48">
        <v>796824</v>
      </c>
      <c r="V368" s="48">
        <v>796974</v>
      </c>
      <c r="W368" s="48">
        <v>797178</v>
      </c>
      <c r="X368" s="48">
        <v>797329</v>
      </c>
      <c r="Y368" s="48">
        <v>797487</v>
      </c>
      <c r="Z368" s="48">
        <v>797687</v>
      </c>
      <c r="AA368" s="48" t="s">
        <v>320</v>
      </c>
      <c r="AB368" s="48">
        <v>797871</v>
      </c>
      <c r="AC368" s="48">
        <v>798022</v>
      </c>
      <c r="AD368" s="48">
        <v>798179</v>
      </c>
      <c r="AE368" s="48">
        <v>798347</v>
      </c>
      <c r="AF368" s="48">
        <v>798512</v>
      </c>
      <c r="AG368" s="48">
        <v>798668</v>
      </c>
      <c r="AH368" s="48">
        <v>798819</v>
      </c>
      <c r="AI368" s="48">
        <v>798949</v>
      </c>
      <c r="AJ368" s="48">
        <v>799101</v>
      </c>
      <c r="AK368" s="48">
        <v>799260</v>
      </c>
      <c r="AL368" s="48">
        <v>799410</v>
      </c>
    </row>
    <row r="369" spans="1:45" hidden="1" x14ac:dyDescent="0.25">
      <c r="A369">
        <v>368</v>
      </c>
      <c r="B369">
        <v>2025</v>
      </c>
      <c r="C369">
        <v>7</v>
      </c>
      <c r="D369" t="s">
        <v>156</v>
      </c>
      <c r="E369">
        <v>31</v>
      </c>
      <c r="F369">
        <v>6</v>
      </c>
      <c r="G369" t="s">
        <v>433</v>
      </c>
      <c r="H369" s="48">
        <v>794641</v>
      </c>
      <c r="I369" s="48">
        <v>794914</v>
      </c>
      <c r="J369" s="48">
        <v>795079</v>
      </c>
      <c r="K369" s="48">
        <v>795229</v>
      </c>
      <c r="L369" s="48">
        <v>795388</v>
      </c>
      <c r="M369" s="48">
        <v>795403</v>
      </c>
      <c r="N369" s="48">
        <v>795552</v>
      </c>
      <c r="O369" s="48">
        <v>795706</v>
      </c>
      <c r="P369" s="48">
        <v>795905</v>
      </c>
      <c r="Q369" s="48">
        <v>796058</v>
      </c>
      <c r="R369" s="48">
        <v>796205</v>
      </c>
      <c r="S369" s="48">
        <v>796416</v>
      </c>
      <c r="T369" s="48" t="s">
        <v>320</v>
      </c>
      <c r="U369" s="48">
        <v>796974</v>
      </c>
      <c r="V369" s="48">
        <v>797178</v>
      </c>
      <c r="W369" s="48">
        <v>797239</v>
      </c>
      <c r="X369" s="48">
        <v>797487</v>
      </c>
      <c r="Y369" s="48">
        <v>797687</v>
      </c>
      <c r="Z369" s="48">
        <v>797871</v>
      </c>
      <c r="AA369" s="48" t="s">
        <v>320</v>
      </c>
      <c r="AB369" s="48">
        <v>798022</v>
      </c>
      <c r="AC369" s="48">
        <v>798179</v>
      </c>
      <c r="AD369" s="48">
        <v>798347</v>
      </c>
      <c r="AE369" s="48">
        <v>798512</v>
      </c>
      <c r="AF369" s="48">
        <v>798668</v>
      </c>
      <c r="AG369" s="48">
        <v>798819</v>
      </c>
      <c r="AH369" s="48">
        <v>798949</v>
      </c>
      <c r="AI369" s="48">
        <v>799101</v>
      </c>
      <c r="AJ369" s="48">
        <v>799260</v>
      </c>
      <c r="AK369" s="48">
        <v>799410</v>
      </c>
      <c r="AL369" s="48">
        <v>799558</v>
      </c>
      <c r="AP369">
        <v>822.6</v>
      </c>
      <c r="AQ369">
        <v>18</v>
      </c>
      <c r="AS369">
        <v>4570</v>
      </c>
    </row>
    <row r="370" spans="1:45" hidden="1" x14ac:dyDescent="0.25">
      <c r="A370">
        <v>369</v>
      </c>
      <c r="B370">
        <v>2025</v>
      </c>
      <c r="C370">
        <v>7</v>
      </c>
      <c r="D370" t="s">
        <v>156</v>
      </c>
      <c r="E370">
        <v>31</v>
      </c>
      <c r="F370">
        <v>6</v>
      </c>
      <c r="G370" t="s">
        <v>430</v>
      </c>
      <c r="H370" s="48" t="s">
        <v>382</v>
      </c>
      <c r="I370" s="48" t="s">
        <v>382</v>
      </c>
      <c r="J370" s="48" t="s">
        <v>382</v>
      </c>
      <c r="K370" s="48" t="s">
        <v>382</v>
      </c>
      <c r="L370" s="48" t="s">
        <v>382</v>
      </c>
      <c r="M370" s="48" t="s">
        <v>382</v>
      </c>
      <c r="N370" s="48" t="s">
        <v>382</v>
      </c>
      <c r="O370" s="48" t="s">
        <v>382</v>
      </c>
      <c r="P370" s="48" t="s">
        <v>382</v>
      </c>
      <c r="Q370" s="48" t="s">
        <v>382</v>
      </c>
      <c r="R370" s="48" t="s">
        <v>382</v>
      </c>
      <c r="S370" s="48" t="s">
        <v>382</v>
      </c>
      <c r="T370" s="48" t="s">
        <v>320</v>
      </c>
      <c r="U370" s="48" t="s">
        <v>382</v>
      </c>
      <c r="V370" s="48" t="s">
        <v>382</v>
      </c>
      <c r="W370" s="48" t="s">
        <v>382</v>
      </c>
      <c r="X370" s="48" t="s">
        <v>382</v>
      </c>
      <c r="Y370" s="48" t="s">
        <v>382</v>
      </c>
      <c r="Z370" s="48" t="s">
        <v>382</v>
      </c>
      <c r="AA370" s="48" t="s">
        <v>382</v>
      </c>
      <c r="AB370" s="48" t="s">
        <v>382</v>
      </c>
      <c r="AC370" s="48" t="s">
        <v>382</v>
      </c>
      <c r="AD370" s="48" t="s">
        <v>382</v>
      </c>
      <c r="AE370" s="48" t="s">
        <v>382</v>
      </c>
      <c r="AF370" s="48" t="s">
        <v>382</v>
      </c>
      <c r="AG370" s="48" t="s">
        <v>382</v>
      </c>
      <c r="AH370" s="48" t="s">
        <v>382</v>
      </c>
      <c r="AI370" s="48" t="s">
        <v>382</v>
      </c>
      <c r="AJ370" s="48" t="s">
        <v>382</v>
      </c>
      <c r="AK370" s="48" t="s">
        <v>382</v>
      </c>
      <c r="AL370" s="48" t="s">
        <v>382</v>
      </c>
    </row>
    <row r="371" spans="1:45" hidden="1" x14ac:dyDescent="0.25">
      <c r="A371">
        <v>370</v>
      </c>
      <c r="B371">
        <v>2025</v>
      </c>
      <c r="C371">
        <v>7</v>
      </c>
      <c r="D371" t="s">
        <v>156</v>
      </c>
      <c r="E371">
        <v>31</v>
      </c>
      <c r="F371">
        <v>6</v>
      </c>
      <c r="G371" t="s">
        <v>431</v>
      </c>
      <c r="H371" s="48">
        <v>0.66666666666666663</v>
      </c>
      <c r="I371" s="48">
        <v>0.66666666666666663</v>
      </c>
      <c r="J371" s="48">
        <v>0.66666666666666663</v>
      </c>
      <c r="K371" s="48">
        <v>0.66666666666666663</v>
      </c>
      <c r="L371" s="48">
        <v>0.66666666666666663</v>
      </c>
      <c r="M371" s="48">
        <v>0.66666666666666663</v>
      </c>
      <c r="N371" s="48">
        <v>0.66666666666666663</v>
      </c>
      <c r="O371" s="48">
        <v>0.66666666666666663</v>
      </c>
      <c r="P371" s="48">
        <v>0.66666666666666663</v>
      </c>
      <c r="Q371" s="48">
        <v>0.66666666666666663</v>
      </c>
      <c r="R371" s="48">
        <v>0.66666666666666663</v>
      </c>
      <c r="S371" s="48">
        <v>0.66666666666666663</v>
      </c>
      <c r="T371" s="48" t="s">
        <v>320</v>
      </c>
      <c r="U371" s="48">
        <v>0.66666666666666663</v>
      </c>
      <c r="V371" s="48">
        <v>0.66666666666666663</v>
      </c>
      <c r="W371" s="48">
        <v>0.66666666666666663</v>
      </c>
      <c r="X371" s="48">
        <v>0.66666666666666663</v>
      </c>
      <c r="Y371" s="48">
        <v>0.66666666666666663</v>
      </c>
      <c r="Z371" s="48">
        <v>0.66666666666666663</v>
      </c>
      <c r="AA371" s="48">
        <v>0.66666666666666663</v>
      </c>
      <c r="AB371" s="48">
        <v>0.66666666666666663</v>
      </c>
      <c r="AC371" s="48">
        <v>0.66666666666666663</v>
      </c>
      <c r="AD371" s="48">
        <v>0.66666666666666663</v>
      </c>
      <c r="AE371" s="48">
        <v>0.66666666666666663</v>
      </c>
      <c r="AF371" s="48">
        <v>0.66666666666666663</v>
      </c>
      <c r="AG371" s="48">
        <v>0.66666666666666663</v>
      </c>
      <c r="AH371" s="48">
        <v>0.66666666666666663</v>
      </c>
      <c r="AI371" s="48">
        <v>0.66666666666666663</v>
      </c>
      <c r="AJ371" s="48">
        <v>0.66666666666666663</v>
      </c>
      <c r="AK371" s="48">
        <v>0.66666666666666663</v>
      </c>
      <c r="AL371" s="48">
        <v>0.66666666666666663</v>
      </c>
      <c r="AM371">
        <v>30</v>
      </c>
    </row>
    <row r="372" spans="1:45" hidden="1" x14ac:dyDescent="0.25">
      <c r="A372">
        <v>371</v>
      </c>
      <c r="B372">
        <v>2025</v>
      </c>
      <c r="C372">
        <v>7</v>
      </c>
      <c r="D372" t="s">
        <v>168</v>
      </c>
      <c r="E372">
        <v>31</v>
      </c>
      <c r="F372">
        <v>6</v>
      </c>
      <c r="G372" t="s">
        <v>432</v>
      </c>
      <c r="H372" s="48">
        <v>274148</v>
      </c>
      <c r="I372" s="48">
        <v>274205</v>
      </c>
      <c r="J372" s="48">
        <v>274401</v>
      </c>
      <c r="K372" s="48">
        <v>274462</v>
      </c>
      <c r="L372" s="48">
        <v>274515</v>
      </c>
      <c r="M372" s="48" t="s">
        <v>320</v>
      </c>
      <c r="N372" s="48">
        <v>274703</v>
      </c>
      <c r="O372" s="48">
        <v>274868</v>
      </c>
      <c r="P372" s="48">
        <v>274980</v>
      </c>
      <c r="Q372" s="48">
        <v>275095</v>
      </c>
      <c r="R372" s="48">
        <v>275207</v>
      </c>
      <c r="S372" s="48">
        <v>275319</v>
      </c>
      <c r="T372" s="48">
        <v>275434</v>
      </c>
      <c r="U372" s="48">
        <v>275469</v>
      </c>
      <c r="V372" s="48">
        <v>275579</v>
      </c>
      <c r="W372" s="48">
        <v>275737</v>
      </c>
      <c r="X372" s="48">
        <v>275776</v>
      </c>
      <c r="Y372" s="48">
        <v>275824</v>
      </c>
      <c r="Z372" s="48">
        <v>276020</v>
      </c>
      <c r="AA372" s="48">
        <v>276035</v>
      </c>
      <c r="AB372" s="48">
        <v>276171</v>
      </c>
      <c r="AC372" s="48">
        <v>276220</v>
      </c>
      <c r="AD372" s="48">
        <v>276344</v>
      </c>
      <c r="AE372" s="48">
        <v>276481</v>
      </c>
      <c r="AF372" s="48">
        <v>276695</v>
      </c>
      <c r="AG372" s="48">
        <v>276714</v>
      </c>
      <c r="AH372" s="48">
        <v>276743</v>
      </c>
      <c r="AI372" s="48">
        <v>276764</v>
      </c>
      <c r="AJ372" s="48">
        <v>276802</v>
      </c>
      <c r="AK372" s="48">
        <v>276830</v>
      </c>
      <c r="AL372" s="48">
        <v>276933</v>
      </c>
    </row>
    <row r="373" spans="1:45" hidden="1" x14ac:dyDescent="0.25">
      <c r="A373">
        <v>372</v>
      </c>
      <c r="B373">
        <v>2025</v>
      </c>
      <c r="C373">
        <v>7</v>
      </c>
      <c r="D373" t="s">
        <v>168</v>
      </c>
      <c r="E373">
        <v>31</v>
      </c>
      <c r="F373">
        <v>6</v>
      </c>
      <c r="G373" t="s">
        <v>433</v>
      </c>
      <c r="H373" s="48">
        <v>274205</v>
      </c>
      <c r="I373" s="48">
        <v>274234</v>
      </c>
      <c r="J373" s="48">
        <v>274457</v>
      </c>
      <c r="K373" s="48">
        <v>274515</v>
      </c>
      <c r="L373" s="48">
        <v>274623</v>
      </c>
      <c r="M373" s="48" t="s">
        <v>320</v>
      </c>
      <c r="N373" s="48">
        <v>274868</v>
      </c>
      <c r="O373" s="48">
        <v>274980</v>
      </c>
      <c r="P373" s="48">
        <v>275095</v>
      </c>
      <c r="Q373" s="48">
        <v>275207</v>
      </c>
      <c r="R373" s="48">
        <v>275319</v>
      </c>
      <c r="S373" s="48">
        <v>275434</v>
      </c>
      <c r="T373" s="48">
        <v>275469</v>
      </c>
      <c r="U373" s="48">
        <v>275579</v>
      </c>
      <c r="V373" s="48">
        <v>275737</v>
      </c>
      <c r="W373" s="48">
        <v>275776</v>
      </c>
      <c r="X373" s="48">
        <v>275824</v>
      </c>
      <c r="Y373" s="48">
        <v>275856</v>
      </c>
      <c r="Z373" s="48">
        <v>276035</v>
      </c>
      <c r="AA373" s="48">
        <v>276085</v>
      </c>
      <c r="AB373" s="48">
        <v>276219</v>
      </c>
      <c r="AC373" s="48">
        <v>276344</v>
      </c>
      <c r="AD373" s="48">
        <v>276391</v>
      </c>
      <c r="AE373" s="48">
        <v>276537</v>
      </c>
      <c r="AF373" s="48">
        <v>276713</v>
      </c>
      <c r="AG373" s="48">
        <v>276743</v>
      </c>
      <c r="AH373" s="48">
        <v>276764</v>
      </c>
      <c r="AI373" s="48">
        <v>276796</v>
      </c>
      <c r="AJ373" s="48">
        <v>276830</v>
      </c>
      <c r="AK373" s="48">
        <v>276932</v>
      </c>
      <c r="AL373" s="48">
        <v>276999</v>
      </c>
      <c r="AP373">
        <v>313.8</v>
      </c>
      <c r="AQ373">
        <v>15</v>
      </c>
      <c r="AS373">
        <v>2092</v>
      </c>
    </row>
    <row r="374" spans="1:45" hidden="1" x14ac:dyDescent="0.25">
      <c r="A374">
        <v>373</v>
      </c>
      <c r="B374">
        <v>2025</v>
      </c>
      <c r="C374">
        <v>7</v>
      </c>
      <c r="D374" t="s">
        <v>168</v>
      </c>
      <c r="E374">
        <v>31</v>
      </c>
      <c r="F374">
        <v>6</v>
      </c>
      <c r="G374" t="s">
        <v>430</v>
      </c>
      <c r="H374" s="48" t="s">
        <v>375</v>
      </c>
      <c r="I374" s="48" t="s">
        <v>375</v>
      </c>
      <c r="J374" s="48" t="s">
        <v>375</v>
      </c>
      <c r="K374" s="48" t="s">
        <v>375</v>
      </c>
      <c r="L374" s="48" t="s">
        <v>375</v>
      </c>
      <c r="M374" s="48" t="s">
        <v>320</v>
      </c>
      <c r="N374" s="48" t="s">
        <v>375</v>
      </c>
      <c r="O374" s="48" t="s">
        <v>375</v>
      </c>
      <c r="P374" s="48" t="s">
        <v>375</v>
      </c>
      <c r="Q374" s="48" t="s">
        <v>375</v>
      </c>
      <c r="R374" s="48" t="s">
        <v>375</v>
      </c>
      <c r="S374" s="48" t="s">
        <v>375</v>
      </c>
      <c r="T374" s="48" t="s">
        <v>375</v>
      </c>
      <c r="U374" s="48" t="s">
        <v>375</v>
      </c>
      <c r="V374" s="48" t="s">
        <v>375</v>
      </c>
      <c r="W374" s="48" t="s">
        <v>375</v>
      </c>
      <c r="X374" s="48" t="s">
        <v>375</v>
      </c>
      <c r="Y374" s="48" t="s">
        <v>375</v>
      </c>
      <c r="Z374" s="48" t="s">
        <v>375</v>
      </c>
      <c r="AA374" s="48" t="s">
        <v>375</v>
      </c>
      <c r="AB374" s="48" t="s">
        <v>375</v>
      </c>
      <c r="AC374" s="48" t="s">
        <v>375</v>
      </c>
      <c r="AD374" s="48" t="s">
        <v>375</v>
      </c>
      <c r="AE374" s="48" t="s">
        <v>375</v>
      </c>
      <c r="AF374" s="48" t="s">
        <v>375</v>
      </c>
      <c r="AG374" s="48" t="s">
        <v>375</v>
      </c>
      <c r="AH374" s="48" t="s">
        <v>375</v>
      </c>
      <c r="AI374" s="48" t="s">
        <v>375</v>
      </c>
      <c r="AJ374" s="48" t="s">
        <v>375</v>
      </c>
      <c r="AK374" s="48" t="s">
        <v>375</v>
      </c>
      <c r="AL374" s="48" t="s">
        <v>375</v>
      </c>
    </row>
    <row r="375" spans="1:45" hidden="1" x14ac:dyDescent="0.25">
      <c r="A375">
        <v>374</v>
      </c>
      <c r="B375">
        <v>2025</v>
      </c>
      <c r="C375">
        <v>7</v>
      </c>
      <c r="D375" t="s">
        <v>168</v>
      </c>
      <c r="E375">
        <v>31</v>
      </c>
      <c r="F375">
        <v>6</v>
      </c>
      <c r="G375" t="s">
        <v>431</v>
      </c>
      <c r="H375" s="48">
        <v>1</v>
      </c>
      <c r="I375" s="48">
        <v>0.75</v>
      </c>
      <c r="J375" s="48">
        <v>0.83333333333333326</v>
      </c>
      <c r="K375" s="48">
        <v>0.95833333333333326</v>
      </c>
      <c r="L375" s="48">
        <v>0.75</v>
      </c>
      <c r="M375" s="48" t="s">
        <v>320</v>
      </c>
      <c r="N375" s="48">
        <v>0.875</v>
      </c>
      <c r="O375" s="48">
        <v>0.75</v>
      </c>
      <c r="P375" s="48">
        <v>0.91666666666666674</v>
      </c>
      <c r="Q375" s="48">
        <v>1.0416666666666667</v>
      </c>
      <c r="R375" s="48">
        <v>0.75</v>
      </c>
      <c r="S375" s="48">
        <v>0.875</v>
      </c>
      <c r="T375" s="48">
        <v>0.75</v>
      </c>
      <c r="U375" s="48">
        <v>0.75</v>
      </c>
      <c r="V375" s="48">
        <v>0.875</v>
      </c>
      <c r="W375" s="48">
        <v>0.75</v>
      </c>
      <c r="X375" s="48">
        <v>0.83333333333333326</v>
      </c>
      <c r="Y375" s="48">
        <v>0.75</v>
      </c>
      <c r="Z375" s="48">
        <v>0.75</v>
      </c>
      <c r="AA375" s="48">
        <v>0.75</v>
      </c>
      <c r="AB375" s="48">
        <v>0.75</v>
      </c>
      <c r="AC375" s="48">
        <v>0.95833333333333326</v>
      </c>
      <c r="AD375" s="48">
        <v>0.75</v>
      </c>
      <c r="AE375" s="48">
        <v>0.75</v>
      </c>
      <c r="AF375" s="48">
        <v>0.75</v>
      </c>
      <c r="AG375" s="48">
        <v>0.75</v>
      </c>
      <c r="AH375" s="48">
        <v>0.75</v>
      </c>
      <c r="AI375" s="48">
        <v>0.875</v>
      </c>
      <c r="AJ375" s="48">
        <v>1.0416666666666667</v>
      </c>
      <c r="AK375" s="48">
        <v>0.75</v>
      </c>
      <c r="AL375" s="48">
        <v>0.75</v>
      </c>
      <c r="AM375">
        <v>30</v>
      </c>
      <c r="AO375">
        <v>49.999999999999986</v>
      </c>
    </row>
    <row r="376" spans="1:45" hidden="1" x14ac:dyDescent="0.25">
      <c r="A376">
        <v>375</v>
      </c>
      <c r="B376">
        <v>2025</v>
      </c>
      <c r="C376">
        <v>7</v>
      </c>
      <c r="D376" t="s">
        <v>164</v>
      </c>
      <c r="E376">
        <v>31</v>
      </c>
      <c r="F376">
        <v>6</v>
      </c>
      <c r="G376" t="s">
        <v>432</v>
      </c>
      <c r="H376" s="48">
        <v>26242</v>
      </c>
      <c r="I376" s="48">
        <v>26249</v>
      </c>
      <c r="J376" s="48">
        <v>26339</v>
      </c>
      <c r="K376" s="48">
        <v>26443</v>
      </c>
      <c r="L376" s="48">
        <v>26450</v>
      </c>
      <c r="M376" s="48">
        <v>26472</v>
      </c>
      <c r="N376" s="48">
        <v>26488</v>
      </c>
      <c r="O376" s="48">
        <v>26497</v>
      </c>
      <c r="P376" s="48">
        <v>26512</v>
      </c>
      <c r="Q376" s="48">
        <v>26532</v>
      </c>
      <c r="R376" s="48">
        <v>26589</v>
      </c>
      <c r="S376" s="48">
        <v>26603</v>
      </c>
      <c r="T376" s="48">
        <v>26614</v>
      </c>
      <c r="U376" s="48">
        <v>26618</v>
      </c>
      <c r="V376" s="48">
        <v>26625</v>
      </c>
      <c r="W376" s="48">
        <v>26636</v>
      </c>
      <c r="X376" s="48">
        <v>26723</v>
      </c>
      <c r="Y376" s="48">
        <v>26824</v>
      </c>
      <c r="Z376" s="48">
        <v>26853</v>
      </c>
      <c r="AA376" s="48">
        <v>26900</v>
      </c>
      <c r="AB376" s="48">
        <v>26964</v>
      </c>
      <c r="AC376" s="48">
        <v>26980</v>
      </c>
      <c r="AD376" s="48">
        <v>26990</v>
      </c>
      <c r="AE376" s="48">
        <v>27010</v>
      </c>
      <c r="AF376" s="48">
        <v>27019</v>
      </c>
      <c r="AG376" s="48">
        <v>27112</v>
      </c>
      <c r="AH376" s="48">
        <v>27199</v>
      </c>
      <c r="AI376" s="48">
        <v>27230</v>
      </c>
      <c r="AJ376" s="48">
        <v>27280</v>
      </c>
      <c r="AK376" s="48">
        <v>27310</v>
      </c>
      <c r="AL376" s="48">
        <v>27380</v>
      </c>
    </row>
    <row r="377" spans="1:45" hidden="1" x14ac:dyDescent="0.25">
      <c r="A377">
        <v>376</v>
      </c>
      <c r="B377">
        <v>2025</v>
      </c>
      <c r="C377">
        <v>7</v>
      </c>
      <c r="D377" t="s">
        <v>164</v>
      </c>
      <c r="E377">
        <v>31</v>
      </c>
      <c r="F377">
        <v>6</v>
      </c>
      <c r="G377" t="s">
        <v>433</v>
      </c>
      <c r="H377" s="48">
        <v>26249</v>
      </c>
      <c r="I377" s="48">
        <v>26339</v>
      </c>
      <c r="J377" s="48">
        <v>26443</v>
      </c>
      <c r="K377" s="48">
        <v>26450</v>
      </c>
      <c r="L377" s="48">
        <v>26472</v>
      </c>
      <c r="M377" s="48">
        <v>26488</v>
      </c>
      <c r="N377" s="48">
        <v>26497</v>
      </c>
      <c r="O377" s="48">
        <v>26512</v>
      </c>
      <c r="P377" s="48">
        <v>26532</v>
      </c>
      <c r="Q377" s="48">
        <v>26589</v>
      </c>
      <c r="R377" s="48">
        <v>26603</v>
      </c>
      <c r="S377" s="48">
        <v>26614</v>
      </c>
      <c r="T377" s="48">
        <v>26618</v>
      </c>
      <c r="U377" s="48">
        <v>26625</v>
      </c>
      <c r="V377" s="48">
        <v>26636</v>
      </c>
      <c r="W377" s="48">
        <v>26723</v>
      </c>
      <c r="X377" s="48">
        <v>26824</v>
      </c>
      <c r="Y377" s="48">
        <v>26853</v>
      </c>
      <c r="Z377" s="48">
        <v>26900</v>
      </c>
      <c r="AA377" s="48">
        <v>26964</v>
      </c>
      <c r="AB377" s="48">
        <v>26980</v>
      </c>
      <c r="AC377" s="48">
        <v>26990</v>
      </c>
      <c r="AD377" s="48">
        <v>27010</v>
      </c>
      <c r="AE377" s="48">
        <v>27019</v>
      </c>
      <c r="AF377" s="48">
        <v>27112</v>
      </c>
      <c r="AG377" s="48">
        <v>27199</v>
      </c>
      <c r="AH377" s="48">
        <v>27230</v>
      </c>
      <c r="AI377" s="48">
        <v>27280</v>
      </c>
      <c r="AJ377" s="48">
        <v>27310</v>
      </c>
      <c r="AK377" s="48">
        <v>27380</v>
      </c>
      <c r="AL377" s="48">
        <v>27388</v>
      </c>
      <c r="AP377">
        <v>32.549999999999997</v>
      </c>
      <c r="AQ377">
        <v>15</v>
      </c>
      <c r="AR377" t="s">
        <v>343</v>
      </c>
      <c r="AS377">
        <v>1146</v>
      </c>
    </row>
    <row r="378" spans="1:45" hidden="1" x14ac:dyDescent="0.25">
      <c r="A378">
        <v>377</v>
      </c>
      <c r="B378">
        <v>2025</v>
      </c>
      <c r="C378">
        <v>7</v>
      </c>
      <c r="D378" t="s">
        <v>164</v>
      </c>
      <c r="E378">
        <v>31</v>
      </c>
      <c r="F378">
        <v>6</v>
      </c>
      <c r="G378" t="s">
        <v>430</v>
      </c>
      <c r="H378" s="48" t="s">
        <v>375</v>
      </c>
      <c r="I378" s="48" t="s">
        <v>375</v>
      </c>
      <c r="J378" s="48" t="s">
        <v>375</v>
      </c>
      <c r="K378" s="48" t="s">
        <v>375</v>
      </c>
      <c r="L378" s="48" t="s">
        <v>375</v>
      </c>
      <c r="M378" s="48" t="s">
        <v>375</v>
      </c>
      <c r="N378" s="48" t="s">
        <v>375</v>
      </c>
      <c r="O378" s="48" t="s">
        <v>375</v>
      </c>
      <c r="P378" s="48" t="s">
        <v>375</v>
      </c>
      <c r="Q378" s="48" t="s">
        <v>375</v>
      </c>
      <c r="R378" s="48" t="s">
        <v>375</v>
      </c>
      <c r="S378" s="48" t="s">
        <v>375</v>
      </c>
      <c r="T378" s="48" t="s">
        <v>375</v>
      </c>
      <c r="U378" s="48" t="s">
        <v>375</v>
      </c>
      <c r="V378" s="48" t="s">
        <v>375</v>
      </c>
      <c r="W378" s="48" t="s">
        <v>375</v>
      </c>
      <c r="X378" s="48" t="s">
        <v>375</v>
      </c>
      <c r="Y378" s="48" t="s">
        <v>375</v>
      </c>
      <c r="Z378" s="48" t="s">
        <v>375</v>
      </c>
      <c r="AA378" s="48" t="s">
        <v>375</v>
      </c>
      <c r="AB378" s="48" t="s">
        <v>375</v>
      </c>
      <c r="AC378" s="48" t="s">
        <v>375</v>
      </c>
      <c r="AD378" s="48" t="s">
        <v>375</v>
      </c>
      <c r="AE378" s="48" t="s">
        <v>375</v>
      </c>
      <c r="AF378" s="48" t="s">
        <v>375</v>
      </c>
      <c r="AG378" s="48" t="s">
        <v>375</v>
      </c>
      <c r="AH378" s="48" t="s">
        <v>375</v>
      </c>
      <c r="AI378" s="48" t="s">
        <v>375</v>
      </c>
      <c r="AJ378" s="48" t="s">
        <v>375</v>
      </c>
      <c r="AK378" s="48" t="s">
        <v>375</v>
      </c>
      <c r="AL378" s="48" t="s">
        <v>375</v>
      </c>
    </row>
    <row r="379" spans="1:45" hidden="1" x14ac:dyDescent="0.25">
      <c r="A379">
        <v>378</v>
      </c>
      <c r="B379">
        <v>2025</v>
      </c>
      <c r="C379">
        <v>7</v>
      </c>
      <c r="D379" t="s">
        <v>164</v>
      </c>
      <c r="E379">
        <v>31</v>
      </c>
      <c r="F379">
        <v>6</v>
      </c>
      <c r="G379" t="s">
        <v>431</v>
      </c>
      <c r="H379" s="48" t="s">
        <v>389</v>
      </c>
      <c r="I379" s="48" t="s">
        <v>389</v>
      </c>
      <c r="J379" s="48" t="s">
        <v>389</v>
      </c>
      <c r="K379" s="48" t="s">
        <v>389</v>
      </c>
      <c r="L379" s="48" t="s">
        <v>389</v>
      </c>
      <c r="M379" s="48" t="s">
        <v>389</v>
      </c>
      <c r="N379" s="48" t="s">
        <v>389</v>
      </c>
      <c r="O379" s="48" t="s">
        <v>389</v>
      </c>
      <c r="P379" s="48" t="s">
        <v>389</v>
      </c>
      <c r="Q379" s="48" t="s">
        <v>389</v>
      </c>
      <c r="R379" s="48" t="s">
        <v>389</v>
      </c>
      <c r="S379" s="48" t="s">
        <v>389</v>
      </c>
      <c r="T379" s="48" t="s">
        <v>389</v>
      </c>
      <c r="U379" s="48" t="s">
        <v>389</v>
      </c>
      <c r="V379" s="48" t="s">
        <v>389</v>
      </c>
      <c r="W379" s="48" t="s">
        <v>389</v>
      </c>
      <c r="X379" s="48" t="s">
        <v>389</v>
      </c>
      <c r="Y379" s="48" t="s">
        <v>389</v>
      </c>
      <c r="Z379" s="48" t="s">
        <v>389</v>
      </c>
      <c r="AA379" s="48" t="s">
        <v>389</v>
      </c>
      <c r="AB379" s="48" t="s">
        <v>389</v>
      </c>
      <c r="AC379" s="48" t="s">
        <v>389</v>
      </c>
      <c r="AD379" s="48" t="s">
        <v>389</v>
      </c>
      <c r="AE379" s="48" t="s">
        <v>389</v>
      </c>
      <c r="AF379" s="48" t="s">
        <v>389</v>
      </c>
      <c r="AG379" s="48" t="s">
        <v>389</v>
      </c>
      <c r="AH379" s="48" t="s">
        <v>389</v>
      </c>
      <c r="AI379" s="48" t="s">
        <v>389</v>
      </c>
      <c r="AJ379" s="48" t="s">
        <v>389</v>
      </c>
      <c r="AK379" s="48" t="s">
        <v>390</v>
      </c>
      <c r="AL379" s="48" t="s">
        <v>376</v>
      </c>
      <c r="AM379">
        <v>31</v>
      </c>
      <c r="AO379">
        <v>61.000000000000014</v>
      </c>
    </row>
    <row r="380" spans="1:45" hidden="1" x14ac:dyDescent="0.25">
      <c r="A380">
        <v>379</v>
      </c>
      <c r="B380">
        <v>2025</v>
      </c>
      <c r="C380">
        <v>7</v>
      </c>
      <c r="D380" t="s">
        <v>163</v>
      </c>
      <c r="E380">
        <v>31</v>
      </c>
      <c r="F380">
        <v>6</v>
      </c>
      <c r="G380" t="s">
        <v>432</v>
      </c>
      <c r="H380" s="48">
        <v>322290</v>
      </c>
      <c r="I380" s="48">
        <v>322490</v>
      </c>
      <c r="J380" s="48">
        <v>322647</v>
      </c>
      <c r="K380" s="48">
        <v>322880</v>
      </c>
      <c r="L380" s="48">
        <v>323042</v>
      </c>
      <c r="M380" s="48">
        <v>323142</v>
      </c>
      <c r="N380" s="48">
        <v>323152</v>
      </c>
      <c r="O380" s="48">
        <v>323316</v>
      </c>
      <c r="P380" s="48">
        <v>323503</v>
      </c>
      <c r="Q380" s="48">
        <v>323678</v>
      </c>
      <c r="R380" s="48">
        <v>323862</v>
      </c>
      <c r="S380" s="48">
        <v>324038</v>
      </c>
      <c r="T380" s="48">
        <v>324194</v>
      </c>
      <c r="U380" s="48">
        <v>324361</v>
      </c>
      <c r="V380" s="48">
        <v>324523</v>
      </c>
      <c r="W380" s="48">
        <v>324721</v>
      </c>
      <c r="X380" s="48">
        <v>324906</v>
      </c>
      <c r="Y380" s="48">
        <v>325163</v>
      </c>
      <c r="Z380" s="48">
        <v>325333</v>
      </c>
      <c r="AA380" s="48">
        <v>325492</v>
      </c>
      <c r="AB380" s="48">
        <v>325719</v>
      </c>
      <c r="AC380" s="48">
        <v>325909</v>
      </c>
      <c r="AD380" s="48">
        <v>326080</v>
      </c>
      <c r="AE380" s="48">
        <v>326241</v>
      </c>
      <c r="AF380" s="48">
        <v>326404</v>
      </c>
      <c r="AG380" s="48">
        <v>326590</v>
      </c>
      <c r="AH380" s="48">
        <v>326753</v>
      </c>
      <c r="AI380" s="48">
        <v>326992</v>
      </c>
      <c r="AJ380" s="48">
        <v>327215</v>
      </c>
      <c r="AK380" s="48">
        <v>327413</v>
      </c>
      <c r="AL380" s="48">
        <v>327582</v>
      </c>
    </row>
    <row r="381" spans="1:45" hidden="1" x14ac:dyDescent="0.25">
      <c r="A381">
        <v>380</v>
      </c>
      <c r="B381">
        <v>2025</v>
      </c>
      <c r="C381">
        <v>7</v>
      </c>
      <c r="D381" t="s">
        <v>163</v>
      </c>
      <c r="E381">
        <v>31</v>
      </c>
      <c r="F381">
        <v>6</v>
      </c>
      <c r="G381" t="s">
        <v>433</v>
      </c>
      <c r="H381" s="48">
        <v>322490</v>
      </c>
      <c r="I381" s="48">
        <v>322647</v>
      </c>
      <c r="J381" s="48">
        <v>322880</v>
      </c>
      <c r="K381" s="48">
        <v>323042</v>
      </c>
      <c r="L381" s="48">
        <v>323142</v>
      </c>
      <c r="M381" s="48">
        <v>323152</v>
      </c>
      <c r="N381" s="48">
        <v>323316</v>
      </c>
      <c r="O381" s="48">
        <v>323503</v>
      </c>
      <c r="P381" s="48">
        <v>323678</v>
      </c>
      <c r="Q381" s="48">
        <v>323862</v>
      </c>
      <c r="R381" s="48">
        <v>324038</v>
      </c>
      <c r="S381" s="48">
        <v>324194</v>
      </c>
      <c r="T381" s="48">
        <v>324361</v>
      </c>
      <c r="U381" s="48">
        <v>324523</v>
      </c>
      <c r="V381" s="48">
        <v>324721</v>
      </c>
      <c r="W381" s="48">
        <v>324906</v>
      </c>
      <c r="X381" s="48">
        <v>325163</v>
      </c>
      <c r="Y381" s="48">
        <v>325333</v>
      </c>
      <c r="Z381" s="48">
        <v>325492</v>
      </c>
      <c r="AA381" s="48">
        <v>325719</v>
      </c>
      <c r="AB381" s="48">
        <v>325909</v>
      </c>
      <c r="AC381" s="48">
        <v>326080</v>
      </c>
      <c r="AD381" s="48">
        <v>326241</v>
      </c>
      <c r="AE381" s="48">
        <v>326404</v>
      </c>
      <c r="AF381" s="48">
        <v>326590</v>
      </c>
      <c r="AG381" s="48">
        <v>326753</v>
      </c>
      <c r="AH381" s="48">
        <v>326992</v>
      </c>
      <c r="AI381" s="48">
        <v>327215</v>
      </c>
      <c r="AJ381" s="48">
        <v>327413</v>
      </c>
      <c r="AK381" s="48">
        <v>327582</v>
      </c>
      <c r="AL381" s="48">
        <v>327747</v>
      </c>
      <c r="AP381">
        <v>694.55</v>
      </c>
      <c r="AQ381">
        <v>15</v>
      </c>
      <c r="AS381">
        <v>5457</v>
      </c>
    </row>
    <row r="382" spans="1:45" hidden="1" x14ac:dyDescent="0.25">
      <c r="A382">
        <v>381</v>
      </c>
      <c r="B382">
        <v>2025</v>
      </c>
      <c r="C382">
        <v>7</v>
      </c>
      <c r="D382" t="s">
        <v>163</v>
      </c>
      <c r="E382">
        <v>31</v>
      </c>
      <c r="F382">
        <v>6</v>
      </c>
      <c r="G382" t="s">
        <v>430</v>
      </c>
      <c r="H382" s="48" t="s">
        <v>375</v>
      </c>
      <c r="I382" s="48" t="s">
        <v>375</v>
      </c>
      <c r="J382" s="48" t="s">
        <v>375</v>
      </c>
      <c r="K382" s="48" t="s">
        <v>375</v>
      </c>
      <c r="L382" s="48" t="s">
        <v>375</v>
      </c>
      <c r="M382" s="48" t="s">
        <v>375</v>
      </c>
      <c r="N382" s="48" t="s">
        <v>375</v>
      </c>
      <c r="O382" s="48" t="s">
        <v>375</v>
      </c>
      <c r="P382" s="48" t="s">
        <v>375</v>
      </c>
      <c r="Q382" s="48" t="s">
        <v>375</v>
      </c>
      <c r="R382" s="48" t="s">
        <v>375</v>
      </c>
      <c r="S382" s="48" t="s">
        <v>375</v>
      </c>
      <c r="T382" s="48" t="s">
        <v>375</v>
      </c>
      <c r="U382" s="48" t="s">
        <v>375</v>
      </c>
      <c r="V382" s="48" t="s">
        <v>375</v>
      </c>
      <c r="W382" s="48" t="s">
        <v>375</v>
      </c>
      <c r="X382" s="48" t="s">
        <v>375</v>
      </c>
      <c r="Y382" s="48" t="s">
        <v>375</v>
      </c>
      <c r="Z382" s="48" t="s">
        <v>375</v>
      </c>
      <c r="AA382" s="48" t="s">
        <v>375</v>
      </c>
      <c r="AB382" s="48" t="s">
        <v>375</v>
      </c>
      <c r="AC382" s="48" t="s">
        <v>375</v>
      </c>
      <c r="AD382" s="48" t="s">
        <v>375</v>
      </c>
      <c r="AE382" s="48" t="s">
        <v>375</v>
      </c>
      <c r="AF382" s="48" t="s">
        <v>375</v>
      </c>
      <c r="AG382" s="48" t="s">
        <v>375</v>
      </c>
      <c r="AH382" s="48" t="s">
        <v>375</v>
      </c>
      <c r="AI382" s="48" t="s">
        <v>375</v>
      </c>
      <c r="AJ382" s="48" t="s">
        <v>375</v>
      </c>
      <c r="AK382" s="48" t="s">
        <v>375</v>
      </c>
      <c r="AL382" s="48" t="s">
        <v>375</v>
      </c>
    </row>
    <row r="383" spans="1:45" hidden="1" x14ac:dyDescent="0.25">
      <c r="A383">
        <v>382</v>
      </c>
      <c r="B383">
        <v>2025</v>
      </c>
      <c r="C383">
        <v>7</v>
      </c>
      <c r="D383" t="s">
        <v>163</v>
      </c>
      <c r="E383">
        <v>31</v>
      </c>
      <c r="F383">
        <v>6</v>
      </c>
      <c r="G383" t="s">
        <v>431</v>
      </c>
      <c r="H383" s="48">
        <v>0.83333333333333326</v>
      </c>
      <c r="I383" s="48">
        <v>0.83333333333333326</v>
      </c>
      <c r="J383" s="48">
        <v>0.83333333333333326</v>
      </c>
      <c r="K383" s="48">
        <v>0.83333333333333326</v>
      </c>
      <c r="L383" s="48">
        <v>0.83333333333333326</v>
      </c>
      <c r="M383" s="48">
        <v>0.83333333333333326</v>
      </c>
      <c r="N383" s="48">
        <v>1.1666666666666667</v>
      </c>
      <c r="O383" s="48">
        <v>0.83333333333333326</v>
      </c>
      <c r="P383" s="48">
        <v>0.83333333333333326</v>
      </c>
      <c r="Q383" s="48">
        <v>0.83333333333333326</v>
      </c>
      <c r="R383" s="48">
        <v>0.875</v>
      </c>
      <c r="S383" s="48">
        <v>0.83333333333333326</v>
      </c>
      <c r="T383" s="48">
        <v>0.83333333333333326</v>
      </c>
      <c r="U383" s="48">
        <v>0.83333333333333326</v>
      </c>
      <c r="V383" s="48">
        <v>0.875</v>
      </c>
      <c r="W383" s="48">
        <v>0.83333333333333326</v>
      </c>
      <c r="X383" s="48">
        <v>0.83333333333333326</v>
      </c>
      <c r="Y383" s="48">
        <v>0.83333333333333326</v>
      </c>
      <c r="Z383" s="48">
        <v>0.83333333333333326</v>
      </c>
      <c r="AA383" s="48">
        <v>0.83333333333333326</v>
      </c>
      <c r="AB383" s="48">
        <v>0.83333333333333326</v>
      </c>
      <c r="AC383" s="48">
        <v>0.83333333333333326</v>
      </c>
      <c r="AD383" s="48">
        <v>0.83333333333333326</v>
      </c>
      <c r="AE383" s="48">
        <v>0.83333333333333326</v>
      </c>
      <c r="AF383" s="48">
        <v>0.83333333333333326</v>
      </c>
      <c r="AG383" s="48">
        <v>0.83333333333333326</v>
      </c>
      <c r="AH383" s="48">
        <v>0.83333333333333326</v>
      </c>
      <c r="AI383" s="48">
        <v>0.83333333333333326</v>
      </c>
      <c r="AJ383" s="48">
        <v>0.83333333333333326</v>
      </c>
      <c r="AK383" s="48">
        <v>0.83333333333333326</v>
      </c>
      <c r="AL383" s="48">
        <v>0.83333333333333326</v>
      </c>
      <c r="AM383">
        <v>31</v>
      </c>
      <c r="AO383">
        <v>71.999999999999957</v>
      </c>
    </row>
    <row r="384" spans="1:45" hidden="1" x14ac:dyDescent="0.25">
      <c r="A384">
        <v>383</v>
      </c>
      <c r="B384">
        <v>2025</v>
      </c>
      <c r="C384">
        <v>7</v>
      </c>
      <c r="D384" t="s">
        <v>151</v>
      </c>
      <c r="E384">
        <v>31</v>
      </c>
      <c r="F384">
        <v>6</v>
      </c>
      <c r="G384" t="s">
        <v>430</v>
      </c>
      <c r="H384" s="48" t="s">
        <v>375</v>
      </c>
      <c r="I384" s="48" t="s">
        <v>375</v>
      </c>
      <c r="J384" s="48" t="s">
        <v>375</v>
      </c>
      <c r="K384" s="48" t="s">
        <v>375</v>
      </c>
      <c r="L384" s="48" t="s">
        <v>375</v>
      </c>
      <c r="M384" s="48" t="s">
        <v>375</v>
      </c>
      <c r="N384" s="48" t="s">
        <v>375</v>
      </c>
      <c r="O384" s="48" t="s">
        <v>375</v>
      </c>
      <c r="P384" s="48" t="s">
        <v>375</v>
      </c>
      <c r="Q384" s="48" t="s">
        <v>375</v>
      </c>
      <c r="R384" s="48" t="s">
        <v>375</v>
      </c>
      <c r="S384" s="48" t="s">
        <v>375</v>
      </c>
      <c r="T384" s="48" t="s">
        <v>375</v>
      </c>
      <c r="U384" s="48" t="s">
        <v>375</v>
      </c>
      <c r="V384" s="48" t="s">
        <v>375</v>
      </c>
      <c r="W384" s="48" t="s">
        <v>375</v>
      </c>
      <c r="X384" s="48" t="s">
        <v>375</v>
      </c>
      <c r="Y384" s="48" t="s">
        <v>375</v>
      </c>
      <c r="Z384" s="48" t="s">
        <v>375</v>
      </c>
      <c r="AA384" s="48" t="s">
        <v>375</v>
      </c>
      <c r="AB384" s="48" t="s">
        <v>375</v>
      </c>
      <c r="AC384" s="48" t="s">
        <v>375</v>
      </c>
      <c r="AD384" s="48" t="s">
        <v>375</v>
      </c>
      <c r="AE384" s="48" t="s">
        <v>375</v>
      </c>
      <c r="AF384" s="48" t="s">
        <v>375</v>
      </c>
      <c r="AG384" s="48" t="s">
        <v>375</v>
      </c>
      <c r="AH384" s="48" t="s">
        <v>375</v>
      </c>
      <c r="AI384" s="48" t="s">
        <v>375</v>
      </c>
      <c r="AJ384" s="48" t="s">
        <v>375</v>
      </c>
      <c r="AK384" s="48" t="s">
        <v>375</v>
      </c>
      <c r="AL384" s="48" t="s">
        <v>375</v>
      </c>
    </row>
    <row r="385" spans="1:45" hidden="1" x14ac:dyDescent="0.25">
      <c r="A385">
        <v>384</v>
      </c>
      <c r="B385">
        <v>2025</v>
      </c>
      <c r="C385">
        <v>7</v>
      </c>
      <c r="D385" t="s">
        <v>151</v>
      </c>
      <c r="E385">
        <v>31</v>
      </c>
      <c r="F385">
        <v>6</v>
      </c>
      <c r="G385" t="s">
        <v>431</v>
      </c>
      <c r="H385" s="48">
        <v>0.25</v>
      </c>
      <c r="I385" s="48">
        <v>0.25</v>
      </c>
      <c r="J385" s="48">
        <v>0.25</v>
      </c>
      <c r="K385" s="48">
        <v>0.25</v>
      </c>
      <c r="L385" s="48">
        <v>0.25</v>
      </c>
      <c r="M385" s="48">
        <v>0.25</v>
      </c>
      <c r="N385" s="48">
        <v>0.25</v>
      </c>
      <c r="O385" s="48">
        <v>0.25</v>
      </c>
      <c r="P385" s="48">
        <v>0.25</v>
      </c>
      <c r="Q385" s="48">
        <v>0.25</v>
      </c>
      <c r="R385" s="48">
        <v>0.25</v>
      </c>
      <c r="S385" s="48">
        <v>0.25</v>
      </c>
      <c r="T385" s="48">
        <v>0.25</v>
      </c>
      <c r="U385" s="48">
        <v>0.25</v>
      </c>
      <c r="V385" s="48">
        <v>0.25</v>
      </c>
      <c r="W385" s="48">
        <v>0.25</v>
      </c>
      <c r="X385" s="48">
        <v>0.25</v>
      </c>
      <c r="Y385" s="48">
        <v>0.25</v>
      </c>
      <c r="Z385" s="48">
        <v>0.25</v>
      </c>
      <c r="AA385" s="48">
        <v>0.25</v>
      </c>
      <c r="AB385" s="48">
        <v>0.25</v>
      </c>
      <c r="AC385" s="48">
        <v>0.25</v>
      </c>
      <c r="AD385" s="48">
        <v>0.25</v>
      </c>
      <c r="AE385" s="48">
        <v>0.25</v>
      </c>
      <c r="AF385" s="48">
        <v>0.25</v>
      </c>
      <c r="AG385" s="48">
        <v>0.25</v>
      </c>
      <c r="AH385" s="48">
        <v>0.25</v>
      </c>
      <c r="AI385" s="48">
        <v>0.25</v>
      </c>
      <c r="AJ385" s="48">
        <v>0.25</v>
      </c>
      <c r="AK385" s="48">
        <v>0.25</v>
      </c>
      <c r="AL385" s="48">
        <v>0.25</v>
      </c>
      <c r="AM385">
        <v>0</v>
      </c>
      <c r="AN385">
        <v>31</v>
      </c>
    </row>
    <row r="386" spans="1:45" hidden="1" x14ac:dyDescent="0.25">
      <c r="A386">
        <v>385</v>
      </c>
      <c r="B386">
        <v>2025</v>
      </c>
      <c r="C386">
        <v>7</v>
      </c>
      <c r="D386" t="s">
        <v>151</v>
      </c>
      <c r="E386">
        <v>31</v>
      </c>
      <c r="F386">
        <v>6</v>
      </c>
      <c r="G386" t="s">
        <v>432</v>
      </c>
      <c r="H386" s="48">
        <v>265679</v>
      </c>
      <c r="I386" s="48">
        <v>265790</v>
      </c>
      <c r="J386" s="48">
        <v>265902</v>
      </c>
      <c r="K386" s="48">
        <v>265957</v>
      </c>
      <c r="L386" s="48">
        <v>266023</v>
      </c>
      <c r="M386" s="48">
        <v>266131</v>
      </c>
      <c r="N386" s="48">
        <v>266282</v>
      </c>
      <c r="O386" s="48">
        <v>266394</v>
      </c>
      <c r="P386" s="48">
        <v>266491</v>
      </c>
      <c r="Q386" s="48">
        <v>266560</v>
      </c>
      <c r="R386" s="48">
        <v>266709</v>
      </c>
      <c r="S386" s="48">
        <v>266830</v>
      </c>
      <c r="T386" s="48">
        <v>266962</v>
      </c>
      <c r="U386" s="48">
        <v>267077</v>
      </c>
      <c r="V386" s="48">
        <v>267218</v>
      </c>
      <c r="W386" s="48">
        <v>267330</v>
      </c>
      <c r="X386" s="48">
        <v>267437</v>
      </c>
      <c r="Y386" s="48">
        <v>267507</v>
      </c>
      <c r="Z386" s="48">
        <v>267597</v>
      </c>
      <c r="AA386" s="48">
        <v>267700</v>
      </c>
      <c r="AB386" s="48">
        <v>267827</v>
      </c>
      <c r="AC386" s="48">
        <v>267998</v>
      </c>
      <c r="AD386" s="48">
        <v>268073</v>
      </c>
      <c r="AE386" s="48">
        <v>268198</v>
      </c>
      <c r="AF386" s="48">
        <v>268281</v>
      </c>
      <c r="AG386" s="48">
        <v>268367</v>
      </c>
      <c r="AH386" s="48">
        <v>268453</v>
      </c>
      <c r="AI386" s="48">
        <v>268489</v>
      </c>
      <c r="AJ386" s="48">
        <v>268550</v>
      </c>
      <c r="AK386" s="48">
        <v>268628</v>
      </c>
      <c r="AL386" s="48">
        <v>268688</v>
      </c>
    </row>
    <row r="387" spans="1:45" hidden="1" x14ac:dyDescent="0.25">
      <c r="A387">
        <v>386</v>
      </c>
      <c r="B387">
        <v>2025</v>
      </c>
      <c r="C387">
        <v>7</v>
      </c>
      <c r="D387" t="s">
        <v>151</v>
      </c>
      <c r="E387">
        <v>31</v>
      </c>
      <c r="F387">
        <v>6</v>
      </c>
      <c r="G387" t="s">
        <v>433</v>
      </c>
      <c r="H387" s="48">
        <v>265790</v>
      </c>
      <c r="I387" s="48">
        <v>265902</v>
      </c>
      <c r="J387" s="48">
        <v>265957</v>
      </c>
      <c r="K387" s="48">
        <v>266023</v>
      </c>
      <c r="L387" s="48">
        <v>266131</v>
      </c>
      <c r="M387" s="48">
        <v>266282</v>
      </c>
      <c r="N387" s="48">
        <v>266394</v>
      </c>
      <c r="O387" s="48">
        <v>266491</v>
      </c>
      <c r="P387" s="48">
        <v>266560</v>
      </c>
      <c r="Q387" s="48">
        <v>266709</v>
      </c>
      <c r="R387" s="48">
        <v>266830</v>
      </c>
      <c r="S387" s="48">
        <v>266962</v>
      </c>
      <c r="T387" s="48">
        <v>267077</v>
      </c>
      <c r="U387" s="48">
        <v>267218</v>
      </c>
      <c r="V387" s="48">
        <v>267330</v>
      </c>
      <c r="W387" s="48">
        <v>267437</v>
      </c>
      <c r="X387" s="48">
        <v>267507</v>
      </c>
      <c r="Y387" s="48">
        <v>267597</v>
      </c>
      <c r="Z387" s="48">
        <v>267700</v>
      </c>
      <c r="AA387" s="48">
        <v>267827</v>
      </c>
      <c r="AB387" s="48">
        <v>267998</v>
      </c>
      <c r="AC387" s="48">
        <v>268073</v>
      </c>
      <c r="AD387" s="48">
        <v>268198</v>
      </c>
      <c r="AE387" s="48">
        <v>268281</v>
      </c>
      <c r="AF387" s="48">
        <v>268367</v>
      </c>
      <c r="AG387" s="48">
        <v>268453</v>
      </c>
      <c r="AH387" s="48">
        <v>268489</v>
      </c>
      <c r="AI387" s="48">
        <v>268550</v>
      </c>
      <c r="AJ387" s="48">
        <v>268628</v>
      </c>
      <c r="AK387" s="48">
        <v>268688</v>
      </c>
      <c r="AL387" s="48">
        <v>268771</v>
      </c>
      <c r="AP387">
        <v>327.39999999999998</v>
      </c>
      <c r="AQ387">
        <v>15</v>
      </c>
      <c r="AS387">
        <v>3092</v>
      </c>
    </row>
    <row r="388" spans="1:45" hidden="1" x14ac:dyDescent="0.25">
      <c r="A388">
        <v>387</v>
      </c>
      <c r="B388">
        <v>2025</v>
      </c>
      <c r="C388">
        <v>8</v>
      </c>
      <c r="D388" t="s">
        <v>152</v>
      </c>
      <c r="E388">
        <v>31</v>
      </c>
      <c r="F388">
        <v>7</v>
      </c>
      <c r="G388" t="s">
        <v>430</v>
      </c>
      <c r="H388" s="48" t="s">
        <v>375</v>
      </c>
      <c r="I388" s="48" t="s">
        <v>375</v>
      </c>
      <c r="J388" s="48" t="s">
        <v>375</v>
      </c>
      <c r="K388" s="48" t="s">
        <v>375</v>
      </c>
      <c r="L388" s="48" t="s">
        <v>375</v>
      </c>
      <c r="M388" s="48" t="s">
        <v>375</v>
      </c>
      <c r="N388" s="48" t="s">
        <v>375</v>
      </c>
      <c r="O388" s="48" t="s">
        <v>375</v>
      </c>
      <c r="P388" s="48" t="s">
        <v>320</v>
      </c>
      <c r="Q388" s="48" t="s">
        <v>320</v>
      </c>
      <c r="R388" s="48" t="s">
        <v>320</v>
      </c>
      <c r="S388" s="48" t="s">
        <v>320</v>
      </c>
      <c r="T388" s="48" t="s">
        <v>320</v>
      </c>
      <c r="U388" s="48" t="s">
        <v>320</v>
      </c>
      <c r="V388" s="48" t="s">
        <v>320</v>
      </c>
      <c r="W388" s="48" t="s">
        <v>320</v>
      </c>
      <c r="X388" s="48" t="s">
        <v>320</v>
      </c>
      <c r="Y388" s="48" t="s">
        <v>320</v>
      </c>
      <c r="Z388" s="48" t="s">
        <v>320</v>
      </c>
      <c r="AA388" s="48" t="s">
        <v>320</v>
      </c>
      <c r="AB388" s="48" t="s">
        <v>320</v>
      </c>
      <c r="AC388" s="48" t="s">
        <v>320</v>
      </c>
      <c r="AD388" s="48" t="s">
        <v>320</v>
      </c>
      <c r="AE388" s="48" t="s">
        <v>320</v>
      </c>
      <c r="AF388" s="48" t="s">
        <v>320</v>
      </c>
      <c r="AG388" s="48" t="s">
        <v>320</v>
      </c>
      <c r="AH388" s="48" t="s">
        <v>320</v>
      </c>
      <c r="AI388" s="48" t="s">
        <v>320</v>
      </c>
      <c r="AJ388" s="48" t="s">
        <v>320</v>
      </c>
      <c r="AK388" s="48" t="s">
        <v>320</v>
      </c>
      <c r="AL388" s="48" t="s">
        <v>320</v>
      </c>
    </row>
    <row r="389" spans="1:45" hidden="1" x14ac:dyDescent="0.25">
      <c r="A389">
        <v>388</v>
      </c>
      <c r="B389">
        <v>2025</v>
      </c>
      <c r="C389">
        <v>8</v>
      </c>
      <c r="D389" t="s">
        <v>152</v>
      </c>
      <c r="E389">
        <v>31</v>
      </c>
      <c r="F389">
        <v>7</v>
      </c>
      <c r="G389" t="s">
        <v>431</v>
      </c>
      <c r="H389" s="48" t="s">
        <v>389</v>
      </c>
      <c r="I389" s="48" t="s">
        <v>376</v>
      </c>
      <c r="J389" s="48" t="s">
        <v>410</v>
      </c>
      <c r="K389" s="48" t="s">
        <v>376</v>
      </c>
      <c r="L389" s="48" t="s">
        <v>376</v>
      </c>
      <c r="M389" s="48" t="s">
        <v>389</v>
      </c>
      <c r="N389" s="48" t="s">
        <v>390</v>
      </c>
      <c r="O389" s="48" t="s">
        <v>390</v>
      </c>
      <c r="P389" s="48" t="s">
        <v>320</v>
      </c>
      <c r="Q389" s="48" t="s">
        <v>320</v>
      </c>
      <c r="R389" s="48" t="s">
        <v>320</v>
      </c>
      <c r="S389" s="48" t="s">
        <v>320</v>
      </c>
      <c r="T389" s="48" t="s">
        <v>320</v>
      </c>
      <c r="U389" s="48" t="s">
        <v>320</v>
      </c>
      <c r="V389" s="48" t="s">
        <v>320</v>
      </c>
      <c r="W389" s="48" t="s">
        <v>320</v>
      </c>
      <c r="X389" s="48" t="s">
        <v>320</v>
      </c>
      <c r="Y389" s="48" t="s">
        <v>320</v>
      </c>
      <c r="Z389" s="48" t="s">
        <v>320</v>
      </c>
      <c r="AA389" s="48" t="s">
        <v>320</v>
      </c>
      <c r="AB389" s="48" t="s">
        <v>320</v>
      </c>
      <c r="AC389" s="48" t="s">
        <v>320</v>
      </c>
      <c r="AD389" s="48" t="s">
        <v>320</v>
      </c>
      <c r="AE389" s="48" t="s">
        <v>320</v>
      </c>
      <c r="AF389" s="48" t="s">
        <v>320</v>
      </c>
      <c r="AG389" s="48" t="s">
        <v>320</v>
      </c>
      <c r="AH389" s="48" t="s">
        <v>320</v>
      </c>
      <c r="AI389" s="48" t="s">
        <v>320</v>
      </c>
      <c r="AJ389" s="48" t="s">
        <v>320</v>
      </c>
      <c r="AK389" s="48" t="s">
        <v>320</v>
      </c>
      <c r="AL389" s="48" t="s">
        <v>320</v>
      </c>
      <c r="AM389">
        <v>8</v>
      </c>
      <c r="AO389">
        <v>11.499999999999998</v>
      </c>
    </row>
    <row r="390" spans="1:45" hidden="1" x14ac:dyDescent="0.25">
      <c r="A390">
        <v>389</v>
      </c>
      <c r="B390">
        <v>2025</v>
      </c>
      <c r="C390">
        <v>8</v>
      </c>
      <c r="D390" t="s">
        <v>152</v>
      </c>
      <c r="E390">
        <v>31</v>
      </c>
      <c r="F390">
        <v>7</v>
      </c>
      <c r="G390" t="s">
        <v>430</v>
      </c>
      <c r="H390" s="48">
        <v>44519</v>
      </c>
      <c r="I390" s="48">
        <v>44613</v>
      </c>
      <c r="J390" s="48">
        <v>44689</v>
      </c>
      <c r="K390" s="48">
        <v>44795</v>
      </c>
      <c r="L390" s="48">
        <v>44824</v>
      </c>
      <c r="M390" s="48">
        <v>44853</v>
      </c>
      <c r="N390" s="48">
        <v>44882</v>
      </c>
      <c r="O390" s="48">
        <v>44912</v>
      </c>
      <c r="P390" s="48" t="s">
        <v>320</v>
      </c>
      <c r="Q390" s="48" t="s">
        <v>320</v>
      </c>
      <c r="R390" s="48" t="s">
        <v>320</v>
      </c>
      <c r="S390" s="48" t="s">
        <v>320</v>
      </c>
      <c r="T390" s="48" t="s">
        <v>320</v>
      </c>
      <c r="U390" s="48" t="s">
        <v>320</v>
      </c>
      <c r="V390" s="48" t="s">
        <v>320</v>
      </c>
      <c r="W390" s="48" t="s">
        <v>320</v>
      </c>
      <c r="X390" s="48" t="s">
        <v>320</v>
      </c>
      <c r="Y390" s="48" t="s">
        <v>320</v>
      </c>
      <c r="Z390" s="48" t="s">
        <v>320</v>
      </c>
      <c r="AA390" s="48" t="s">
        <v>320</v>
      </c>
      <c r="AB390" s="48" t="s">
        <v>320</v>
      </c>
      <c r="AC390" s="48" t="s">
        <v>320</v>
      </c>
      <c r="AD390" s="48" t="s">
        <v>320</v>
      </c>
      <c r="AE390" s="48" t="s">
        <v>320</v>
      </c>
      <c r="AF390" s="48" t="s">
        <v>320</v>
      </c>
      <c r="AG390" s="48" t="s">
        <v>320</v>
      </c>
      <c r="AH390" s="48" t="s">
        <v>320</v>
      </c>
      <c r="AI390" s="48" t="s">
        <v>320</v>
      </c>
      <c r="AJ390" s="48" t="s">
        <v>320</v>
      </c>
      <c r="AK390" s="48" t="s">
        <v>320</v>
      </c>
      <c r="AL390" s="48" t="s">
        <v>320</v>
      </c>
    </row>
    <row r="391" spans="1:45" hidden="1" x14ac:dyDescent="0.25">
      <c r="A391">
        <v>390</v>
      </c>
      <c r="B391">
        <v>2025</v>
      </c>
      <c r="C391">
        <v>8</v>
      </c>
      <c r="D391" t="s">
        <v>152</v>
      </c>
      <c r="E391">
        <v>31</v>
      </c>
      <c r="F391">
        <v>7</v>
      </c>
      <c r="G391" t="s">
        <v>431</v>
      </c>
      <c r="H391" s="48">
        <v>44613</v>
      </c>
      <c r="I391" s="48">
        <v>44689</v>
      </c>
      <c r="J391" s="48">
        <v>44795</v>
      </c>
      <c r="K391" s="48">
        <v>44824</v>
      </c>
      <c r="L391" s="48">
        <v>44853</v>
      </c>
      <c r="M391" s="48">
        <v>44882</v>
      </c>
      <c r="N391" s="48">
        <v>44912</v>
      </c>
      <c r="O391" s="48">
        <v>44942</v>
      </c>
      <c r="P391" s="48" t="s">
        <v>320</v>
      </c>
      <c r="Q391" s="48" t="s">
        <v>320</v>
      </c>
      <c r="R391" s="48" t="s">
        <v>320</v>
      </c>
      <c r="S391" s="48" t="s">
        <v>320</v>
      </c>
      <c r="T391" s="48" t="s">
        <v>320</v>
      </c>
      <c r="U391" s="48" t="s">
        <v>320</v>
      </c>
      <c r="V391" s="48" t="s">
        <v>320</v>
      </c>
      <c r="W391" s="48" t="s">
        <v>320</v>
      </c>
      <c r="X391" s="48" t="s">
        <v>320</v>
      </c>
      <c r="Y391" s="48" t="s">
        <v>320</v>
      </c>
      <c r="Z391" s="48" t="s">
        <v>320</v>
      </c>
      <c r="AA391" s="48" t="s">
        <v>320</v>
      </c>
      <c r="AB391" s="48" t="s">
        <v>320</v>
      </c>
      <c r="AC391" s="48" t="s">
        <v>320</v>
      </c>
      <c r="AD391" s="48" t="s">
        <v>320</v>
      </c>
      <c r="AE391" s="48" t="s">
        <v>320</v>
      </c>
      <c r="AF391" s="48" t="s">
        <v>320</v>
      </c>
      <c r="AG391" s="48" t="s">
        <v>320</v>
      </c>
      <c r="AH391" s="48" t="s">
        <v>320</v>
      </c>
      <c r="AI391" s="48" t="s">
        <v>320</v>
      </c>
      <c r="AJ391" s="48" t="s">
        <v>320</v>
      </c>
      <c r="AK391" s="48" t="s">
        <v>320</v>
      </c>
      <c r="AL391" s="48" t="s">
        <v>320</v>
      </c>
      <c r="AP391">
        <v>63.45</v>
      </c>
      <c r="AQ391">
        <v>15</v>
      </c>
      <c r="AS391">
        <v>423</v>
      </c>
    </row>
    <row r="392" spans="1:45" hidden="1" x14ac:dyDescent="0.25">
      <c r="A392">
        <v>391</v>
      </c>
      <c r="B392">
        <v>2025</v>
      </c>
      <c r="C392">
        <v>8</v>
      </c>
      <c r="D392" t="s">
        <v>155</v>
      </c>
      <c r="E392">
        <v>31</v>
      </c>
      <c r="F392">
        <v>7</v>
      </c>
      <c r="G392" t="s">
        <v>430</v>
      </c>
      <c r="H392" s="48" t="s">
        <v>320</v>
      </c>
      <c r="I392" s="48" t="s">
        <v>320</v>
      </c>
      <c r="J392" s="48" t="s">
        <v>320</v>
      </c>
      <c r="K392" s="48" t="s">
        <v>375</v>
      </c>
      <c r="L392" s="48" t="s">
        <v>375</v>
      </c>
      <c r="M392" s="48" t="s">
        <v>375</v>
      </c>
      <c r="N392" s="48" t="s">
        <v>375</v>
      </c>
      <c r="O392" s="48" t="s">
        <v>375</v>
      </c>
      <c r="P392" s="48" t="s">
        <v>375</v>
      </c>
      <c r="Q392" s="48" t="s">
        <v>320</v>
      </c>
      <c r="R392" s="48" t="s">
        <v>375</v>
      </c>
      <c r="S392" s="48" t="s">
        <v>375</v>
      </c>
      <c r="T392" s="48" t="s">
        <v>375</v>
      </c>
      <c r="U392" s="48" t="s">
        <v>375</v>
      </c>
      <c r="V392" s="48" t="s">
        <v>375</v>
      </c>
      <c r="W392" s="48" t="s">
        <v>375</v>
      </c>
      <c r="X392" s="48" t="s">
        <v>375</v>
      </c>
      <c r="Y392" s="48" t="s">
        <v>375</v>
      </c>
      <c r="Z392" s="48" t="s">
        <v>375</v>
      </c>
      <c r="AA392" s="48" t="s">
        <v>375</v>
      </c>
      <c r="AB392" s="48" t="s">
        <v>375</v>
      </c>
      <c r="AC392" s="48" t="s">
        <v>375</v>
      </c>
      <c r="AD392" s="48" t="s">
        <v>375</v>
      </c>
      <c r="AE392" s="48" t="s">
        <v>375</v>
      </c>
      <c r="AF392" s="48" t="s">
        <v>375</v>
      </c>
      <c r="AG392" s="48" t="s">
        <v>375</v>
      </c>
      <c r="AH392" s="48" t="s">
        <v>375</v>
      </c>
      <c r="AI392" s="48" t="s">
        <v>375</v>
      </c>
      <c r="AJ392" s="48" t="s">
        <v>375</v>
      </c>
      <c r="AK392" s="48" t="s">
        <v>375</v>
      </c>
      <c r="AL392" s="48" t="s">
        <v>375</v>
      </c>
    </row>
    <row r="393" spans="1:45" hidden="1" x14ac:dyDescent="0.25">
      <c r="A393">
        <v>392</v>
      </c>
      <c r="B393">
        <v>2025</v>
      </c>
      <c r="C393">
        <v>8</v>
      </c>
      <c r="D393" t="s">
        <v>155</v>
      </c>
      <c r="E393">
        <v>31</v>
      </c>
      <c r="F393">
        <v>7</v>
      </c>
      <c r="G393" t="s">
        <v>431</v>
      </c>
      <c r="H393" s="48" t="s">
        <v>320</v>
      </c>
      <c r="I393" s="48" t="s">
        <v>320</v>
      </c>
      <c r="J393" s="48" t="s">
        <v>320</v>
      </c>
      <c r="K393" s="48" t="s">
        <v>388</v>
      </c>
      <c r="L393" s="48" t="s">
        <v>389</v>
      </c>
      <c r="M393" s="48" t="s">
        <v>389</v>
      </c>
      <c r="N393" s="48" t="s">
        <v>389</v>
      </c>
      <c r="O393" s="48" t="s">
        <v>389</v>
      </c>
      <c r="P393" s="48" t="s">
        <v>389</v>
      </c>
      <c r="Q393" s="48" t="s">
        <v>320</v>
      </c>
      <c r="R393" s="48" t="s">
        <v>390</v>
      </c>
      <c r="S393" s="48" t="s">
        <v>389</v>
      </c>
      <c r="T393" s="48" t="s">
        <v>390</v>
      </c>
      <c r="U393" s="48" t="s">
        <v>390</v>
      </c>
      <c r="V393" s="48" t="s">
        <v>389</v>
      </c>
      <c r="W393" s="48" t="s">
        <v>390</v>
      </c>
      <c r="X393" s="48" t="s">
        <v>389</v>
      </c>
      <c r="Y393" s="48" t="s">
        <v>389</v>
      </c>
      <c r="Z393" s="48" t="s">
        <v>390</v>
      </c>
      <c r="AA393" s="48" t="s">
        <v>390</v>
      </c>
      <c r="AB393" s="48" t="s">
        <v>411</v>
      </c>
      <c r="AC393" s="48" t="s">
        <v>389</v>
      </c>
      <c r="AD393" s="48" t="s">
        <v>389</v>
      </c>
      <c r="AE393" s="48" t="s">
        <v>389</v>
      </c>
      <c r="AF393" s="48" t="s">
        <v>389</v>
      </c>
      <c r="AG393" s="48" t="s">
        <v>389</v>
      </c>
      <c r="AH393" s="48" t="s">
        <v>390</v>
      </c>
      <c r="AI393" s="48" t="s">
        <v>390</v>
      </c>
      <c r="AJ393" s="48" t="s">
        <v>390</v>
      </c>
      <c r="AK393" s="48" t="s">
        <v>389</v>
      </c>
      <c r="AL393" s="48" t="s">
        <v>389</v>
      </c>
      <c r="AM393">
        <v>27</v>
      </c>
      <c r="AO393">
        <v>64.000000000000014</v>
      </c>
    </row>
    <row r="394" spans="1:45" hidden="1" x14ac:dyDescent="0.25">
      <c r="A394">
        <v>393</v>
      </c>
      <c r="B394">
        <v>2025</v>
      </c>
      <c r="C394">
        <v>8</v>
      </c>
      <c r="D394" t="s">
        <v>155</v>
      </c>
      <c r="E394">
        <v>31</v>
      </c>
      <c r="F394">
        <v>7</v>
      </c>
      <c r="G394" t="s">
        <v>430</v>
      </c>
      <c r="H394" s="48" t="s">
        <v>320</v>
      </c>
      <c r="I394" s="48" t="s">
        <v>320</v>
      </c>
      <c r="J394" s="48" t="s">
        <v>320</v>
      </c>
      <c r="K394" s="48">
        <v>376401</v>
      </c>
      <c r="L394" s="48">
        <v>376472</v>
      </c>
      <c r="M394" s="48">
        <v>376595</v>
      </c>
      <c r="N394" s="48">
        <v>376706</v>
      </c>
      <c r="O394" s="48">
        <v>376813</v>
      </c>
      <c r="P394" s="48">
        <v>376909</v>
      </c>
      <c r="Q394" s="48" t="s">
        <v>320</v>
      </c>
      <c r="R394" s="48">
        <v>377011</v>
      </c>
      <c r="S394" s="48">
        <v>377120</v>
      </c>
      <c r="T394" s="48">
        <v>377233</v>
      </c>
      <c r="U394" s="48">
        <v>377369</v>
      </c>
      <c r="V394" s="48">
        <v>377496</v>
      </c>
      <c r="W394" s="48">
        <v>377618</v>
      </c>
      <c r="X394" s="48">
        <v>377756</v>
      </c>
      <c r="Y394" s="48">
        <v>377870</v>
      </c>
      <c r="Z394" s="48">
        <v>377972</v>
      </c>
      <c r="AA394" s="48">
        <v>378120</v>
      </c>
      <c r="AB394" s="48">
        <v>378252</v>
      </c>
      <c r="AC394" s="48">
        <v>378461</v>
      </c>
      <c r="AD394" s="48">
        <v>378587</v>
      </c>
      <c r="AE394" s="48">
        <v>378704</v>
      </c>
      <c r="AF394" s="48">
        <v>378810</v>
      </c>
      <c r="AG394" s="48">
        <v>378923</v>
      </c>
      <c r="AH394" s="48">
        <v>379027</v>
      </c>
      <c r="AI394" s="48">
        <v>379159</v>
      </c>
      <c r="AJ394" s="48">
        <v>379306</v>
      </c>
      <c r="AK394" s="48">
        <v>379434</v>
      </c>
      <c r="AL394" s="48">
        <v>379541</v>
      </c>
    </row>
    <row r="395" spans="1:45" hidden="1" x14ac:dyDescent="0.25">
      <c r="A395">
        <v>394</v>
      </c>
      <c r="B395">
        <v>2025</v>
      </c>
      <c r="C395">
        <v>8</v>
      </c>
      <c r="D395" t="s">
        <v>155</v>
      </c>
      <c r="E395">
        <v>31</v>
      </c>
      <c r="F395">
        <v>7</v>
      </c>
      <c r="G395" t="s">
        <v>431</v>
      </c>
      <c r="H395" s="48" t="s">
        <v>320</v>
      </c>
      <c r="I395" s="48" t="s">
        <v>320</v>
      </c>
      <c r="J395" s="48" t="s">
        <v>320</v>
      </c>
      <c r="K395" s="48">
        <v>376472</v>
      </c>
      <c r="L395" s="48">
        <v>376595</v>
      </c>
      <c r="M395" s="48">
        <v>376706</v>
      </c>
      <c r="N395" s="48">
        <v>376813</v>
      </c>
      <c r="O395" s="48">
        <v>376909</v>
      </c>
      <c r="P395" s="48">
        <v>377011</v>
      </c>
      <c r="Q395" s="48" t="s">
        <v>320</v>
      </c>
      <c r="R395" s="48">
        <v>377120</v>
      </c>
      <c r="S395" s="48">
        <v>377233</v>
      </c>
      <c r="T395" s="48">
        <v>377369</v>
      </c>
      <c r="U395" s="48">
        <v>377496</v>
      </c>
      <c r="V395" s="48">
        <v>377618</v>
      </c>
      <c r="W395" s="48">
        <v>377756</v>
      </c>
      <c r="X395" s="48">
        <v>377870</v>
      </c>
      <c r="Y395" s="48">
        <v>377972</v>
      </c>
      <c r="Z395" s="48">
        <v>378120</v>
      </c>
      <c r="AA395" s="48">
        <v>378252</v>
      </c>
      <c r="AB395" s="48">
        <v>378461</v>
      </c>
      <c r="AC395" s="48">
        <v>378587</v>
      </c>
      <c r="AD395" s="48">
        <v>378704</v>
      </c>
      <c r="AE395" s="48">
        <v>378810</v>
      </c>
      <c r="AF395" s="48">
        <v>378923</v>
      </c>
      <c r="AG395" s="48">
        <v>379027</v>
      </c>
      <c r="AH395" s="48">
        <v>379159</v>
      </c>
      <c r="AI395" s="48">
        <v>379306</v>
      </c>
      <c r="AJ395" s="48">
        <v>379434</v>
      </c>
      <c r="AK395" s="48">
        <v>379541</v>
      </c>
      <c r="AL395" s="48">
        <v>379637</v>
      </c>
      <c r="AP395">
        <v>485.4</v>
      </c>
      <c r="AQ395">
        <v>15</v>
      </c>
      <c r="AS395">
        <v>3236</v>
      </c>
    </row>
    <row r="396" spans="1:45" hidden="1" x14ac:dyDescent="0.25">
      <c r="A396">
        <v>395</v>
      </c>
      <c r="B396">
        <v>2025</v>
      </c>
      <c r="C396">
        <v>8</v>
      </c>
      <c r="D396" t="s">
        <v>165</v>
      </c>
      <c r="E396">
        <v>31</v>
      </c>
      <c r="F396">
        <v>7</v>
      </c>
      <c r="G396" t="s">
        <v>430</v>
      </c>
      <c r="H396" s="48" t="s">
        <v>375</v>
      </c>
      <c r="I396" s="48" t="s">
        <v>375</v>
      </c>
      <c r="J396" s="48" t="s">
        <v>375</v>
      </c>
      <c r="K396" s="48" t="s">
        <v>375</v>
      </c>
      <c r="L396" s="48" t="s">
        <v>375</v>
      </c>
      <c r="M396" s="48" t="s">
        <v>375</v>
      </c>
      <c r="N396" s="48" t="s">
        <v>375</v>
      </c>
      <c r="O396" s="48" t="s">
        <v>375</v>
      </c>
      <c r="P396" s="48" t="s">
        <v>375</v>
      </c>
      <c r="Q396" s="48" t="s">
        <v>320</v>
      </c>
      <c r="R396" s="48" t="s">
        <v>375</v>
      </c>
      <c r="S396" s="48" t="s">
        <v>375</v>
      </c>
      <c r="T396" s="48" t="s">
        <v>375</v>
      </c>
      <c r="U396" s="48" t="s">
        <v>375</v>
      </c>
      <c r="V396" s="48" t="s">
        <v>375</v>
      </c>
      <c r="W396" s="48" t="s">
        <v>375</v>
      </c>
      <c r="X396" s="48" t="s">
        <v>375</v>
      </c>
      <c r="Y396" s="48" t="s">
        <v>375</v>
      </c>
      <c r="Z396" s="48" t="s">
        <v>375</v>
      </c>
      <c r="AA396" s="48" t="s">
        <v>375</v>
      </c>
      <c r="AB396" s="48" t="s">
        <v>375</v>
      </c>
      <c r="AC396" s="48" t="s">
        <v>375</v>
      </c>
      <c r="AD396" s="48" t="s">
        <v>375</v>
      </c>
      <c r="AE396" s="48" t="s">
        <v>375</v>
      </c>
      <c r="AF396" s="48" t="s">
        <v>375</v>
      </c>
      <c r="AG396" s="48" t="s">
        <v>375</v>
      </c>
      <c r="AH396" s="48" t="s">
        <v>375</v>
      </c>
      <c r="AI396" s="48" t="s">
        <v>375</v>
      </c>
      <c r="AJ396" s="48" t="s">
        <v>375</v>
      </c>
      <c r="AK396" s="48" t="s">
        <v>375</v>
      </c>
      <c r="AL396" s="48" t="s">
        <v>375</v>
      </c>
    </row>
    <row r="397" spans="1:45" hidden="1" x14ac:dyDescent="0.25">
      <c r="A397">
        <v>396</v>
      </c>
      <c r="B397">
        <v>2025</v>
      </c>
      <c r="C397">
        <v>8</v>
      </c>
      <c r="D397" t="s">
        <v>165</v>
      </c>
      <c r="E397">
        <v>31</v>
      </c>
      <c r="F397">
        <v>7</v>
      </c>
      <c r="G397" t="s">
        <v>431</v>
      </c>
      <c r="H397" s="48">
        <v>0.83333333333333326</v>
      </c>
      <c r="I397" s="48">
        <v>0.95833333333333326</v>
      </c>
      <c r="J397" s="48">
        <v>0.91666666666666674</v>
      </c>
      <c r="K397" s="48">
        <v>0.91666666666666674</v>
      </c>
      <c r="L397" s="48">
        <v>0.91666666666666674</v>
      </c>
      <c r="M397" s="48">
        <v>1</v>
      </c>
      <c r="N397" s="48">
        <v>0.875</v>
      </c>
      <c r="O397" s="48">
        <v>0.875</v>
      </c>
      <c r="P397" s="48">
        <v>0.95833333333333326</v>
      </c>
      <c r="Q397" s="48" t="s">
        <v>320</v>
      </c>
      <c r="R397" s="48">
        <v>0.875</v>
      </c>
      <c r="S397" s="48">
        <v>0.75</v>
      </c>
      <c r="T397" s="48">
        <v>0.95833333333333326</v>
      </c>
      <c r="U397" s="48">
        <v>0.875</v>
      </c>
      <c r="V397" s="48">
        <v>0.91666666666666674</v>
      </c>
      <c r="W397" s="48">
        <v>0.875</v>
      </c>
      <c r="X397" s="48">
        <v>0.91666666666666674</v>
      </c>
      <c r="Y397" s="48">
        <v>0.75</v>
      </c>
      <c r="Z397" s="48">
        <v>0.83333333333333326</v>
      </c>
      <c r="AA397" s="48">
        <v>0.875</v>
      </c>
      <c r="AB397" s="48">
        <v>0.75</v>
      </c>
      <c r="AC397" s="48">
        <v>0.75</v>
      </c>
      <c r="AD397" s="48">
        <v>0.75</v>
      </c>
      <c r="AE397" s="48">
        <v>0.91666666666666674</v>
      </c>
      <c r="AF397" s="48">
        <v>0.83333333333333326</v>
      </c>
      <c r="AG397" s="48">
        <v>0.75</v>
      </c>
      <c r="AH397" s="48">
        <v>0.91666666666666674</v>
      </c>
      <c r="AI397" s="48">
        <v>0.75</v>
      </c>
      <c r="AJ397" s="48">
        <v>0.75</v>
      </c>
      <c r="AK397" s="48">
        <v>0.75</v>
      </c>
      <c r="AL397" s="48">
        <v>1.1666666666666667</v>
      </c>
      <c r="AM397">
        <v>30</v>
      </c>
      <c r="AO397">
        <v>82.999999999999986</v>
      </c>
    </row>
    <row r="398" spans="1:45" hidden="1" x14ac:dyDescent="0.25">
      <c r="A398">
        <v>397</v>
      </c>
      <c r="B398">
        <v>2025</v>
      </c>
      <c r="C398">
        <v>8</v>
      </c>
      <c r="D398" t="s">
        <v>165</v>
      </c>
      <c r="E398">
        <v>31</v>
      </c>
      <c r="F398">
        <v>7</v>
      </c>
      <c r="G398" t="s">
        <v>430</v>
      </c>
      <c r="H398" s="48">
        <v>28969</v>
      </c>
      <c r="I398" s="48">
        <v>28986</v>
      </c>
      <c r="J398" s="48">
        <v>29012</v>
      </c>
      <c r="K398" s="48">
        <v>29027</v>
      </c>
      <c r="L398" s="48">
        <v>29050</v>
      </c>
      <c r="M398" s="48">
        <v>29075</v>
      </c>
      <c r="N398" s="48">
        <v>29102</v>
      </c>
      <c r="O398" s="48">
        <v>29112</v>
      </c>
      <c r="P398" s="48">
        <v>29206</v>
      </c>
      <c r="Q398" s="48" t="s">
        <v>320</v>
      </c>
      <c r="R398" s="48">
        <v>29253</v>
      </c>
      <c r="S398" s="48">
        <v>29277</v>
      </c>
      <c r="T398" s="48">
        <v>29309</v>
      </c>
      <c r="U398" s="48">
        <v>29331</v>
      </c>
      <c r="V398" s="48">
        <v>29351</v>
      </c>
      <c r="W398" s="48">
        <v>29392</v>
      </c>
      <c r="X398" s="48">
        <v>29419</v>
      </c>
      <c r="Y398" s="48">
        <v>29431</v>
      </c>
      <c r="Z398" s="48">
        <v>29447</v>
      </c>
      <c r="AA398" s="48">
        <v>29479</v>
      </c>
      <c r="AB398" s="48">
        <v>29506</v>
      </c>
      <c r="AC398" s="48">
        <v>29516</v>
      </c>
      <c r="AD398" s="48">
        <v>29530</v>
      </c>
      <c r="AE398" s="48">
        <v>29541</v>
      </c>
      <c r="AF398" s="48">
        <v>29568</v>
      </c>
      <c r="AG398" s="48">
        <v>29584</v>
      </c>
      <c r="AH398" s="48">
        <v>29645</v>
      </c>
      <c r="AI398" s="48">
        <v>29696</v>
      </c>
      <c r="AJ398" s="48">
        <v>29710</v>
      </c>
      <c r="AK398" s="48">
        <v>29733</v>
      </c>
      <c r="AL398" s="48">
        <v>29755</v>
      </c>
    </row>
    <row r="399" spans="1:45" hidden="1" x14ac:dyDescent="0.25">
      <c r="A399">
        <v>398</v>
      </c>
      <c r="B399">
        <v>2025</v>
      </c>
      <c r="C399">
        <v>8</v>
      </c>
      <c r="D399" t="s">
        <v>165</v>
      </c>
      <c r="E399">
        <v>31</v>
      </c>
      <c r="F399">
        <v>7</v>
      </c>
      <c r="G399" t="s">
        <v>431</v>
      </c>
      <c r="H399" s="48">
        <v>28986</v>
      </c>
      <c r="I399" s="48">
        <v>29012</v>
      </c>
      <c r="J399" s="48">
        <v>29027</v>
      </c>
      <c r="K399" s="48">
        <v>29050</v>
      </c>
      <c r="L399" s="48">
        <v>29075</v>
      </c>
      <c r="M399" s="48">
        <v>29102</v>
      </c>
      <c r="N399" s="48">
        <v>29112</v>
      </c>
      <c r="O399" s="48">
        <v>29206</v>
      </c>
      <c r="P399" s="48">
        <v>29244</v>
      </c>
      <c r="Q399" s="48" t="s">
        <v>320</v>
      </c>
      <c r="R399" s="48">
        <v>29277</v>
      </c>
      <c r="S399" s="48">
        <v>29309</v>
      </c>
      <c r="T399" s="48">
        <v>29331</v>
      </c>
      <c r="U399" s="48">
        <v>29351</v>
      </c>
      <c r="V399" s="48">
        <v>29392</v>
      </c>
      <c r="W399" s="48">
        <v>29419</v>
      </c>
      <c r="X399" s="48">
        <v>29431</v>
      </c>
      <c r="Y399" s="48">
        <v>29447</v>
      </c>
      <c r="Z399" s="48">
        <v>29479</v>
      </c>
      <c r="AA399" s="48">
        <v>29506</v>
      </c>
      <c r="AB399" s="48">
        <v>29516</v>
      </c>
      <c r="AC399" s="48">
        <v>29530</v>
      </c>
      <c r="AD399" s="48">
        <v>29541</v>
      </c>
      <c r="AE399" s="48">
        <v>29568</v>
      </c>
      <c r="AF399" s="48">
        <v>29584</v>
      </c>
      <c r="AG399" s="48">
        <v>29645</v>
      </c>
      <c r="AH399" s="48">
        <v>29696</v>
      </c>
      <c r="AI399" s="48">
        <v>29710</v>
      </c>
      <c r="AJ399" s="48">
        <v>29733</v>
      </c>
      <c r="AK399" s="48">
        <v>29755</v>
      </c>
      <c r="AL399" s="48">
        <v>29778</v>
      </c>
      <c r="AP399">
        <v>120</v>
      </c>
      <c r="AQ399">
        <v>15</v>
      </c>
      <c r="AS399">
        <v>800</v>
      </c>
    </row>
    <row r="400" spans="1:45" hidden="1" x14ac:dyDescent="0.25">
      <c r="A400">
        <v>399</v>
      </c>
      <c r="B400">
        <v>2025</v>
      </c>
      <c r="C400">
        <v>8</v>
      </c>
      <c r="D400" t="s">
        <v>154</v>
      </c>
      <c r="E400">
        <v>31</v>
      </c>
      <c r="F400">
        <v>7</v>
      </c>
      <c r="G400" t="s">
        <v>430</v>
      </c>
      <c r="H400" s="48" t="s">
        <v>375</v>
      </c>
      <c r="I400" s="48" t="s">
        <v>375</v>
      </c>
      <c r="J400" s="48" t="s">
        <v>375</v>
      </c>
      <c r="K400" s="48" t="s">
        <v>375</v>
      </c>
      <c r="L400" s="48" t="s">
        <v>375</v>
      </c>
      <c r="M400" s="48" t="s">
        <v>375</v>
      </c>
      <c r="N400" s="48" t="s">
        <v>375</v>
      </c>
      <c r="O400" s="48" t="s">
        <v>375</v>
      </c>
      <c r="P400" s="48" t="s">
        <v>375</v>
      </c>
      <c r="Q400" s="48" t="s">
        <v>320</v>
      </c>
      <c r="R400" s="48" t="s">
        <v>375</v>
      </c>
      <c r="S400" s="48" t="s">
        <v>375</v>
      </c>
      <c r="T400" s="48" t="s">
        <v>375</v>
      </c>
      <c r="U400" s="48" t="s">
        <v>375</v>
      </c>
      <c r="V400" s="48" t="s">
        <v>375</v>
      </c>
      <c r="W400" s="48" t="s">
        <v>375</v>
      </c>
      <c r="X400" s="48" t="s">
        <v>375</v>
      </c>
      <c r="Y400" s="48" t="s">
        <v>375</v>
      </c>
      <c r="Z400" s="48" t="s">
        <v>375</v>
      </c>
      <c r="AA400" s="48" t="s">
        <v>375</v>
      </c>
      <c r="AB400" s="48" t="s">
        <v>375</v>
      </c>
      <c r="AC400" s="48" t="s">
        <v>375</v>
      </c>
      <c r="AD400" s="48" t="s">
        <v>375</v>
      </c>
      <c r="AE400" s="48" t="s">
        <v>375</v>
      </c>
      <c r="AF400" s="48" t="s">
        <v>375</v>
      </c>
      <c r="AG400" s="48" t="s">
        <v>375</v>
      </c>
      <c r="AH400" s="48" t="s">
        <v>375</v>
      </c>
      <c r="AI400" s="48" t="s">
        <v>375</v>
      </c>
      <c r="AJ400" s="48" t="s">
        <v>375</v>
      </c>
      <c r="AK400" s="48" t="s">
        <v>375</v>
      </c>
      <c r="AL400" s="48" t="s">
        <v>375</v>
      </c>
    </row>
    <row r="401" spans="1:45" hidden="1" x14ac:dyDescent="0.25">
      <c r="A401">
        <v>400</v>
      </c>
      <c r="B401">
        <v>2025</v>
      </c>
      <c r="C401">
        <v>8</v>
      </c>
      <c r="D401" t="s">
        <v>154</v>
      </c>
      <c r="E401">
        <v>31</v>
      </c>
      <c r="F401">
        <v>7</v>
      </c>
      <c r="G401" t="s">
        <v>431</v>
      </c>
      <c r="H401" s="48">
        <v>0.91666666666666674</v>
      </c>
      <c r="I401" s="48">
        <v>0.75</v>
      </c>
      <c r="J401" s="48">
        <v>0.875</v>
      </c>
      <c r="K401" s="48">
        <v>0.91666666666666674</v>
      </c>
      <c r="L401" s="48">
        <v>0.91666666666666674</v>
      </c>
      <c r="M401" s="48">
        <v>0.875</v>
      </c>
      <c r="N401" s="48">
        <v>0.875</v>
      </c>
      <c r="O401" s="48">
        <v>0.95833333333333326</v>
      </c>
      <c r="P401" s="48">
        <v>0.91666666666666674</v>
      </c>
      <c r="Q401" s="48" t="s">
        <v>320</v>
      </c>
      <c r="R401" s="48">
        <v>0.75</v>
      </c>
      <c r="S401" s="48">
        <v>0.875</v>
      </c>
      <c r="T401" s="48">
        <v>0.875</v>
      </c>
      <c r="U401" s="48">
        <v>0.91666666666666674</v>
      </c>
      <c r="V401" s="48">
        <v>0.91666666666666674</v>
      </c>
      <c r="W401" s="48">
        <v>0.875</v>
      </c>
      <c r="X401" s="48">
        <v>0.75</v>
      </c>
      <c r="Y401" s="48">
        <v>0.91666666666666674</v>
      </c>
      <c r="Z401" s="48">
        <v>0.91666666666666674</v>
      </c>
      <c r="AA401" s="48">
        <v>0.91666666666666674</v>
      </c>
      <c r="AB401" s="48">
        <v>0.83333333333333326</v>
      </c>
      <c r="AC401" s="48">
        <v>0.75</v>
      </c>
      <c r="AD401" s="48">
        <v>0.83333333333333326</v>
      </c>
      <c r="AE401" s="48">
        <v>0.91666666666666674</v>
      </c>
      <c r="AF401" s="48">
        <v>0.75</v>
      </c>
      <c r="AG401" s="48">
        <v>0.83333333333333326</v>
      </c>
      <c r="AH401" s="48">
        <v>0.75</v>
      </c>
      <c r="AI401" s="48">
        <v>0.875</v>
      </c>
      <c r="AJ401" s="48">
        <v>0.91666666666666674</v>
      </c>
      <c r="AK401" s="48">
        <v>0.75</v>
      </c>
      <c r="AL401" s="48">
        <v>0.75</v>
      </c>
      <c r="AM401">
        <v>30</v>
      </c>
      <c r="AO401">
        <v>75.999999999999986</v>
      </c>
    </row>
    <row r="402" spans="1:45" hidden="1" x14ac:dyDescent="0.25">
      <c r="A402">
        <v>401</v>
      </c>
      <c r="B402">
        <v>2025</v>
      </c>
      <c r="C402">
        <v>8</v>
      </c>
      <c r="D402" t="s">
        <v>154</v>
      </c>
      <c r="E402">
        <v>31</v>
      </c>
      <c r="F402">
        <v>7</v>
      </c>
      <c r="G402" t="s">
        <v>430</v>
      </c>
      <c r="H402" s="48">
        <v>29558</v>
      </c>
      <c r="I402" s="48">
        <v>29655</v>
      </c>
      <c r="J402" s="48">
        <v>29740</v>
      </c>
      <c r="K402" s="48">
        <v>29798</v>
      </c>
      <c r="L402" s="48">
        <v>29871</v>
      </c>
      <c r="M402" s="48">
        <v>29969</v>
      </c>
      <c r="N402" s="48">
        <v>30107</v>
      </c>
      <c r="O402" s="48">
        <v>30275</v>
      </c>
      <c r="P402" s="48">
        <v>30394</v>
      </c>
      <c r="Q402" s="48" t="s">
        <v>320</v>
      </c>
      <c r="R402" s="48">
        <v>30515</v>
      </c>
      <c r="S402" s="48">
        <v>30633</v>
      </c>
      <c r="T402" s="48">
        <v>30760</v>
      </c>
      <c r="U402" s="48">
        <v>30918</v>
      </c>
      <c r="V402" s="48">
        <v>31060</v>
      </c>
      <c r="W402" s="48">
        <v>31168</v>
      </c>
      <c r="X402" s="48">
        <v>31392</v>
      </c>
      <c r="Y402" s="48">
        <v>31523</v>
      </c>
      <c r="Z402" s="48">
        <v>31667</v>
      </c>
      <c r="AA402" s="48">
        <v>31804</v>
      </c>
      <c r="AB402" s="48">
        <v>31942</v>
      </c>
      <c r="AC402" s="48">
        <v>32069</v>
      </c>
      <c r="AD402" s="48">
        <v>32202</v>
      </c>
      <c r="AE402" s="48">
        <v>32326</v>
      </c>
      <c r="AF402" s="48">
        <v>32462</v>
      </c>
      <c r="AG402" s="48">
        <v>32610</v>
      </c>
      <c r="AH402" s="48">
        <v>32846</v>
      </c>
      <c r="AI402" s="48">
        <v>32954</v>
      </c>
      <c r="AJ402" s="48">
        <v>33107</v>
      </c>
      <c r="AK402" s="48">
        <v>33216</v>
      </c>
      <c r="AL402" s="48">
        <v>33312</v>
      </c>
    </row>
    <row r="403" spans="1:45" hidden="1" x14ac:dyDescent="0.25">
      <c r="A403">
        <v>402</v>
      </c>
      <c r="B403">
        <v>2025</v>
      </c>
      <c r="C403">
        <v>8</v>
      </c>
      <c r="D403" t="s">
        <v>154</v>
      </c>
      <c r="E403">
        <v>31</v>
      </c>
      <c r="F403">
        <v>7</v>
      </c>
      <c r="G403" t="s">
        <v>431</v>
      </c>
      <c r="H403" s="48">
        <v>29655</v>
      </c>
      <c r="I403" s="48">
        <v>29740</v>
      </c>
      <c r="J403" s="48">
        <v>29798</v>
      </c>
      <c r="K403" s="48">
        <v>29871</v>
      </c>
      <c r="L403" s="48">
        <v>29969</v>
      </c>
      <c r="M403" s="48">
        <v>30107</v>
      </c>
      <c r="N403" s="48">
        <v>30275</v>
      </c>
      <c r="O403" s="48">
        <v>30394</v>
      </c>
      <c r="P403" s="48">
        <v>30501</v>
      </c>
      <c r="Q403" s="48" t="s">
        <v>320</v>
      </c>
      <c r="R403" s="48">
        <v>30633</v>
      </c>
      <c r="S403" s="48">
        <v>30760</v>
      </c>
      <c r="T403" s="48">
        <v>30918</v>
      </c>
      <c r="U403" s="48">
        <v>31060</v>
      </c>
      <c r="V403" s="48">
        <v>31168</v>
      </c>
      <c r="W403" s="48">
        <v>31392</v>
      </c>
      <c r="X403" s="48">
        <v>31523</v>
      </c>
      <c r="Y403" s="48">
        <v>31667</v>
      </c>
      <c r="Z403" s="48">
        <v>31804</v>
      </c>
      <c r="AA403" s="48">
        <v>31942</v>
      </c>
      <c r="AB403" s="48">
        <v>32069</v>
      </c>
      <c r="AC403" s="48">
        <v>32202</v>
      </c>
      <c r="AD403" s="48">
        <v>32326</v>
      </c>
      <c r="AE403" s="48">
        <v>32462</v>
      </c>
      <c r="AF403" s="48">
        <v>32610</v>
      </c>
      <c r="AG403" s="48">
        <v>32846</v>
      </c>
      <c r="AH403" s="48">
        <v>32954</v>
      </c>
      <c r="AI403" s="48">
        <v>33107</v>
      </c>
      <c r="AJ403" s="48">
        <v>33216</v>
      </c>
      <c r="AK403" s="48">
        <v>33312</v>
      </c>
      <c r="AL403" s="48">
        <v>33423</v>
      </c>
      <c r="AP403">
        <v>693.18</v>
      </c>
      <c r="AQ403">
        <v>18</v>
      </c>
      <c r="AS403">
        <v>3851</v>
      </c>
    </row>
    <row r="404" spans="1:45" hidden="1" x14ac:dyDescent="0.25">
      <c r="A404">
        <v>403</v>
      </c>
      <c r="B404">
        <v>2025</v>
      </c>
      <c r="C404">
        <v>8</v>
      </c>
      <c r="D404" t="s">
        <v>153</v>
      </c>
      <c r="E404">
        <v>31</v>
      </c>
      <c r="F404">
        <v>7</v>
      </c>
      <c r="G404" t="s">
        <v>430</v>
      </c>
      <c r="H404" s="48" t="s">
        <v>320</v>
      </c>
      <c r="I404" s="48" t="s">
        <v>320</v>
      </c>
      <c r="J404" s="48" t="s">
        <v>320</v>
      </c>
      <c r="K404" s="48" t="s">
        <v>320</v>
      </c>
      <c r="L404" s="48" t="s">
        <v>320</v>
      </c>
      <c r="M404" s="48" t="s">
        <v>375</v>
      </c>
      <c r="N404" s="48" t="s">
        <v>375</v>
      </c>
      <c r="O404" s="48" t="s">
        <v>375</v>
      </c>
      <c r="P404" s="48" t="s">
        <v>375</v>
      </c>
      <c r="Q404" s="48" t="s">
        <v>375</v>
      </c>
      <c r="R404" s="48" t="s">
        <v>375</v>
      </c>
      <c r="S404" s="48" t="s">
        <v>375</v>
      </c>
      <c r="T404" s="48" t="s">
        <v>375</v>
      </c>
      <c r="U404" s="48" t="s">
        <v>375</v>
      </c>
      <c r="V404" s="48" t="s">
        <v>375</v>
      </c>
      <c r="W404" s="48" t="s">
        <v>375</v>
      </c>
      <c r="X404" s="48" t="s">
        <v>375</v>
      </c>
      <c r="Y404" s="48" t="s">
        <v>375</v>
      </c>
      <c r="Z404" s="48" t="s">
        <v>375</v>
      </c>
      <c r="AA404" s="48" t="s">
        <v>375</v>
      </c>
      <c r="AB404" s="48" t="s">
        <v>375</v>
      </c>
      <c r="AC404" s="48" t="s">
        <v>375</v>
      </c>
      <c r="AD404" s="48" t="s">
        <v>375</v>
      </c>
      <c r="AE404" s="48" t="s">
        <v>375</v>
      </c>
      <c r="AF404" s="48" t="s">
        <v>375</v>
      </c>
      <c r="AG404" s="48" t="s">
        <v>375</v>
      </c>
      <c r="AH404" s="48" t="s">
        <v>375</v>
      </c>
      <c r="AI404" s="48" t="s">
        <v>375</v>
      </c>
      <c r="AJ404" s="48" t="s">
        <v>375</v>
      </c>
      <c r="AK404" s="48" t="s">
        <v>375</v>
      </c>
      <c r="AL404" s="48" t="s">
        <v>375</v>
      </c>
    </row>
    <row r="405" spans="1:45" hidden="1" x14ac:dyDescent="0.25">
      <c r="A405">
        <v>404</v>
      </c>
      <c r="B405">
        <v>2025</v>
      </c>
      <c r="C405">
        <v>8</v>
      </c>
      <c r="D405" t="s">
        <v>153</v>
      </c>
      <c r="E405">
        <v>31</v>
      </c>
      <c r="F405">
        <v>7</v>
      </c>
      <c r="G405" t="s">
        <v>431</v>
      </c>
      <c r="H405" s="48" t="s">
        <v>320</v>
      </c>
      <c r="I405" s="48" t="s">
        <v>320</v>
      </c>
      <c r="J405" s="48" t="s">
        <v>320</v>
      </c>
      <c r="K405" s="48" t="s">
        <v>320</v>
      </c>
      <c r="L405" s="48" t="s">
        <v>320</v>
      </c>
      <c r="M405" s="48" t="s">
        <v>376</v>
      </c>
      <c r="N405" s="48" t="s">
        <v>376</v>
      </c>
      <c r="O405" s="48" t="s">
        <v>376</v>
      </c>
      <c r="P405" s="48" t="s">
        <v>376</v>
      </c>
      <c r="Q405" s="48" t="s">
        <v>411</v>
      </c>
      <c r="R405" s="48" t="s">
        <v>376</v>
      </c>
      <c r="S405" s="48" t="s">
        <v>376</v>
      </c>
      <c r="T405" s="48" t="s">
        <v>376</v>
      </c>
      <c r="U405" s="48" t="s">
        <v>376</v>
      </c>
      <c r="V405" s="48" t="s">
        <v>376</v>
      </c>
      <c r="W405" s="48" t="s">
        <v>376</v>
      </c>
      <c r="X405" s="48" t="s">
        <v>376</v>
      </c>
      <c r="Y405" s="48" t="s">
        <v>389</v>
      </c>
      <c r="Z405" s="48" t="s">
        <v>389</v>
      </c>
      <c r="AA405" s="48" t="s">
        <v>376</v>
      </c>
      <c r="AB405" s="48" t="s">
        <v>376</v>
      </c>
      <c r="AC405" s="48" t="s">
        <v>389</v>
      </c>
      <c r="AD405" s="48" t="s">
        <v>376</v>
      </c>
      <c r="AE405" s="48" t="s">
        <v>411</v>
      </c>
      <c r="AF405" s="48" t="s">
        <v>376</v>
      </c>
      <c r="AG405" s="48" t="s">
        <v>389</v>
      </c>
      <c r="AH405" s="48" t="s">
        <v>376</v>
      </c>
      <c r="AI405" s="48" t="s">
        <v>376</v>
      </c>
      <c r="AJ405" s="48" t="s">
        <v>376</v>
      </c>
      <c r="AK405" s="48" t="s">
        <v>376</v>
      </c>
      <c r="AL405" s="48" t="s">
        <v>411</v>
      </c>
      <c r="AM405">
        <v>26</v>
      </c>
      <c r="AO405">
        <v>20.000000000000007</v>
      </c>
    </row>
    <row r="406" spans="1:45" hidden="1" x14ac:dyDescent="0.25">
      <c r="A406">
        <v>405</v>
      </c>
      <c r="B406">
        <v>2025</v>
      </c>
      <c r="C406">
        <v>8</v>
      </c>
      <c r="D406" t="s">
        <v>153</v>
      </c>
      <c r="E406">
        <v>31</v>
      </c>
      <c r="F406">
        <v>7</v>
      </c>
      <c r="G406" t="s">
        <v>430</v>
      </c>
      <c r="H406" s="48" t="s">
        <v>320</v>
      </c>
      <c r="I406" s="48" t="s">
        <v>320</v>
      </c>
      <c r="J406" s="48" t="s">
        <v>320</v>
      </c>
      <c r="K406" s="48" t="s">
        <v>320</v>
      </c>
      <c r="L406" s="48" t="s">
        <v>320</v>
      </c>
      <c r="M406" s="48">
        <v>955181</v>
      </c>
      <c r="N406" s="48">
        <v>955200</v>
      </c>
      <c r="O406" s="48">
        <v>955225</v>
      </c>
      <c r="P406" s="48">
        <v>955270</v>
      </c>
      <c r="Q406" s="48">
        <v>955297</v>
      </c>
      <c r="R406" s="48">
        <v>955426</v>
      </c>
      <c r="S406" s="48">
        <v>955456</v>
      </c>
      <c r="T406" s="48">
        <v>955485</v>
      </c>
      <c r="U406" s="48">
        <v>955512</v>
      </c>
      <c r="V406" s="48">
        <v>955545</v>
      </c>
      <c r="W406" s="48">
        <v>955561</v>
      </c>
      <c r="X406" s="48">
        <v>955594</v>
      </c>
      <c r="Y406" s="48">
        <v>955617</v>
      </c>
      <c r="Z406" s="48">
        <v>955663</v>
      </c>
      <c r="AA406" s="48">
        <v>955698</v>
      </c>
      <c r="AB406" s="48">
        <v>955733</v>
      </c>
      <c r="AC406" s="48">
        <v>955765</v>
      </c>
      <c r="AD406" s="48">
        <v>955805</v>
      </c>
      <c r="AE406" s="48">
        <v>955837</v>
      </c>
      <c r="AF406" s="48">
        <v>955894</v>
      </c>
      <c r="AG406" s="48">
        <v>955928</v>
      </c>
      <c r="AH406" s="48">
        <v>955966</v>
      </c>
      <c r="AI406" s="48">
        <v>955994</v>
      </c>
      <c r="AJ406" s="48">
        <v>956030</v>
      </c>
      <c r="AK406" s="48">
        <v>956073</v>
      </c>
      <c r="AL406" s="48">
        <v>956103</v>
      </c>
    </row>
    <row r="407" spans="1:45" hidden="1" x14ac:dyDescent="0.25">
      <c r="A407">
        <v>406</v>
      </c>
      <c r="B407">
        <v>2025</v>
      </c>
      <c r="C407">
        <v>8</v>
      </c>
      <c r="D407" t="s">
        <v>153</v>
      </c>
      <c r="E407">
        <v>31</v>
      </c>
      <c r="F407">
        <v>7</v>
      </c>
      <c r="G407" t="s">
        <v>431</v>
      </c>
      <c r="H407" s="48" t="s">
        <v>320</v>
      </c>
      <c r="I407" s="48" t="s">
        <v>320</v>
      </c>
      <c r="J407" s="48" t="s">
        <v>320</v>
      </c>
      <c r="K407" s="48" t="s">
        <v>320</v>
      </c>
      <c r="L407" s="48" t="s">
        <v>320</v>
      </c>
      <c r="M407" s="48">
        <v>955200</v>
      </c>
      <c r="N407" s="48">
        <v>955225</v>
      </c>
      <c r="O407" s="48">
        <v>955270</v>
      </c>
      <c r="P407" s="48">
        <v>955297</v>
      </c>
      <c r="Q407" s="48">
        <v>955426</v>
      </c>
      <c r="R407" s="48">
        <v>955456</v>
      </c>
      <c r="S407" s="48">
        <v>955485</v>
      </c>
      <c r="T407" s="48">
        <v>955512</v>
      </c>
      <c r="U407" s="48">
        <v>955545</v>
      </c>
      <c r="V407" s="48">
        <v>955561</v>
      </c>
      <c r="W407" s="48">
        <v>955594</v>
      </c>
      <c r="X407" s="48">
        <v>955617</v>
      </c>
      <c r="Y407" s="48">
        <v>955663</v>
      </c>
      <c r="Z407" s="48">
        <v>955698</v>
      </c>
      <c r="AA407" s="48">
        <v>955733</v>
      </c>
      <c r="AB407" s="48">
        <v>955765</v>
      </c>
      <c r="AC407" s="48">
        <v>955805</v>
      </c>
      <c r="AD407" s="48">
        <v>955837</v>
      </c>
      <c r="AE407" s="48">
        <v>955894</v>
      </c>
      <c r="AF407" s="48">
        <v>955928</v>
      </c>
      <c r="AG407" s="48">
        <v>955966</v>
      </c>
      <c r="AH407" s="48">
        <v>955994</v>
      </c>
      <c r="AI407" s="48">
        <v>956030</v>
      </c>
      <c r="AJ407" s="48">
        <v>956073</v>
      </c>
      <c r="AK407" s="48">
        <v>956103</v>
      </c>
      <c r="AL407" s="48">
        <v>956157</v>
      </c>
      <c r="AP407">
        <v>146.4</v>
      </c>
      <c r="AQ407">
        <v>15</v>
      </c>
      <c r="AS407">
        <v>976</v>
      </c>
    </row>
    <row r="408" spans="1:45" hidden="1" x14ac:dyDescent="0.25">
      <c r="A408">
        <v>407</v>
      </c>
      <c r="B408">
        <v>2025</v>
      </c>
      <c r="C408">
        <v>8</v>
      </c>
      <c r="D408" t="s">
        <v>162</v>
      </c>
      <c r="E408">
        <v>31</v>
      </c>
      <c r="F408">
        <v>7</v>
      </c>
      <c r="G408" t="s">
        <v>430</v>
      </c>
      <c r="H408" s="48" t="s">
        <v>382</v>
      </c>
      <c r="I408" s="48" t="s">
        <v>382</v>
      </c>
      <c r="J408" s="48" t="s">
        <v>382</v>
      </c>
      <c r="K408" s="48" t="s">
        <v>382</v>
      </c>
      <c r="L408" s="48" t="s">
        <v>382</v>
      </c>
      <c r="M408" s="48" t="s">
        <v>382</v>
      </c>
      <c r="N408" s="48" t="s">
        <v>382</v>
      </c>
      <c r="O408" s="48" t="s">
        <v>382</v>
      </c>
      <c r="P408" s="48" t="s">
        <v>382</v>
      </c>
      <c r="Q408" s="48" t="s">
        <v>382</v>
      </c>
      <c r="R408" s="48" t="s">
        <v>382</v>
      </c>
      <c r="S408" s="48" t="s">
        <v>382</v>
      </c>
      <c r="T408" s="48" t="s">
        <v>382</v>
      </c>
      <c r="U408" s="48" t="s">
        <v>382</v>
      </c>
      <c r="V408" s="48" t="s">
        <v>382</v>
      </c>
      <c r="W408" s="48" t="s">
        <v>382</v>
      </c>
      <c r="X408" s="48" t="s">
        <v>382</v>
      </c>
      <c r="Y408" s="48" t="s">
        <v>382</v>
      </c>
      <c r="Z408" s="48" t="s">
        <v>382</v>
      </c>
      <c r="AA408" s="48" t="s">
        <v>382</v>
      </c>
      <c r="AB408" s="48" t="s">
        <v>382</v>
      </c>
      <c r="AC408" s="48" t="s">
        <v>382</v>
      </c>
      <c r="AD408" s="48" t="s">
        <v>382</v>
      </c>
      <c r="AE408" s="48" t="s">
        <v>382</v>
      </c>
      <c r="AF408" s="48" t="s">
        <v>382</v>
      </c>
      <c r="AG408" s="48" t="s">
        <v>382</v>
      </c>
      <c r="AH408" s="48" t="s">
        <v>382</v>
      </c>
      <c r="AI408" s="48" t="s">
        <v>382</v>
      </c>
      <c r="AJ408" s="48" t="s">
        <v>382</v>
      </c>
      <c r="AK408" s="48" t="s">
        <v>382</v>
      </c>
      <c r="AL408" s="48" t="s">
        <v>382</v>
      </c>
    </row>
    <row r="409" spans="1:45" hidden="1" x14ac:dyDescent="0.25">
      <c r="A409">
        <v>408</v>
      </c>
      <c r="B409">
        <v>2025</v>
      </c>
      <c r="C409">
        <v>8</v>
      </c>
      <c r="D409" t="s">
        <v>162</v>
      </c>
      <c r="E409">
        <v>31</v>
      </c>
      <c r="F409">
        <v>7</v>
      </c>
      <c r="G409" t="s">
        <v>431</v>
      </c>
      <c r="H409" s="48">
        <v>0.79166666666666674</v>
      </c>
      <c r="I409" s="48">
        <v>0.79166666666666674</v>
      </c>
      <c r="J409" s="48">
        <v>0.79166666666666674</v>
      </c>
      <c r="K409" s="48">
        <v>0.79166666666666674</v>
      </c>
      <c r="L409" s="48">
        <v>0.79166666666666674</v>
      </c>
      <c r="M409" s="48">
        <v>0.79166666666666674</v>
      </c>
      <c r="N409" s="48">
        <v>0.79166666666666674</v>
      </c>
      <c r="O409" s="48">
        <v>0.79166666666666674</v>
      </c>
      <c r="P409" s="48">
        <v>0.79166666666666674</v>
      </c>
      <c r="Q409" s="48">
        <v>0.875</v>
      </c>
      <c r="R409" s="48">
        <v>0.79166666666666674</v>
      </c>
      <c r="S409" s="48">
        <v>0.79166666666666674</v>
      </c>
      <c r="T409" s="48">
        <v>0.79166666666666674</v>
      </c>
      <c r="U409" s="48">
        <v>0.79166666666666674</v>
      </c>
      <c r="V409" s="48">
        <v>0.79166666666666674</v>
      </c>
      <c r="W409" s="48">
        <v>0.91666666666666674</v>
      </c>
      <c r="X409" s="48">
        <v>0.79166666666666674</v>
      </c>
      <c r="Y409" s="48">
        <v>0.79166666666666674</v>
      </c>
      <c r="Z409" s="48">
        <v>0.79166666666666674</v>
      </c>
      <c r="AA409" s="48">
        <v>0.79166666666666674</v>
      </c>
      <c r="AB409" s="48">
        <v>0.79166666666666674</v>
      </c>
      <c r="AC409" s="48">
        <v>0.79166666666666674</v>
      </c>
      <c r="AD409" s="48">
        <v>0.79166666666666674</v>
      </c>
      <c r="AE409" s="48">
        <v>0.79166666666666674</v>
      </c>
      <c r="AF409" s="48">
        <v>0.79166666666666674</v>
      </c>
      <c r="AG409" s="48">
        <v>0.79166666666666674</v>
      </c>
      <c r="AH409" s="48">
        <v>0.79166666666666674</v>
      </c>
      <c r="AI409" s="48">
        <v>0.79166666666666674</v>
      </c>
      <c r="AJ409" s="48">
        <v>0.79166666666666674</v>
      </c>
      <c r="AK409" s="48">
        <v>0.79166666666666674</v>
      </c>
      <c r="AL409" s="48">
        <v>0.79166666666666674</v>
      </c>
      <c r="AM409">
        <v>31</v>
      </c>
      <c r="AO409">
        <v>98</v>
      </c>
    </row>
    <row r="410" spans="1:45" hidden="1" x14ac:dyDescent="0.25">
      <c r="A410">
        <v>409</v>
      </c>
      <c r="B410">
        <v>2025</v>
      </c>
      <c r="C410">
        <v>8</v>
      </c>
      <c r="D410" t="s">
        <v>162</v>
      </c>
      <c r="E410">
        <v>31</v>
      </c>
      <c r="F410">
        <v>7</v>
      </c>
      <c r="G410" t="s">
        <v>432</v>
      </c>
      <c r="H410" s="48">
        <v>89710</v>
      </c>
      <c r="I410" s="48">
        <v>89878</v>
      </c>
      <c r="J410" s="48">
        <v>90098</v>
      </c>
      <c r="K410" s="48">
        <v>90263</v>
      </c>
      <c r="L410" s="48">
        <v>90436</v>
      </c>
      <c r="M410" s="48">
        <v>90614</v>
      </c>
      <c r="N410" s="48">
        <v>90779</v>
      </c>
      <c r="O410" s="48">
        <v>90986</v>
      </c>
      <c r="P410" s="48">
        <v>91154</v>
      </c>
      <c r="Q410" s="48">
        <v>91326</v>
      </c>
      <c r="R410" s="48">
        <v>91423</v>
      </c>
      <c r="S410" s="48">
        <v>91599</v>
      </c>
      <c r="T410" s="48">
        <v>91781</v>
      </c>
      <c r="U410" s="48">
        <v>91948</v>
      </c>
      <c r="V410" s="48">
        <v>92162</v>
      </c>
      <c r="W410" s="48">
        <v>92335</v>
      </c>
      <c r="X410" s="48">
        <v>92527</v>
      </c>
      <c r="Y410" s="48">
        <v>92694</v>
      </c>
      <c r="Z410" s="48">
        <v>92879</v>
      </c>
      <c r="AA410" s="48">
        <v>93052</v>
      </c>
      <c r="AB410" s="48">
        <v>93220</v>
      </c>
      <c r="AC410" s="48">
        <v>93412</v>
      </c>
      <c r="AD410" s="48">
        <v>93595</v>
      </c>
      <c r="AE410" s="48">
        <v>93822</v>
      </c>
      <c r="AF410" s="48">
        <v>94041</v>
      </c>
      <c r="AG410" s="48">
        <v>94224</v>
      </c>
      <c r="AH410" s="48">
        <v>94418</v>
      </c>
      <c r="AI410" s="48">
        <v>94585</v>
      </c>
      <c r="AJ410" s="48">
        <v>94768</v>
      </c>
      <c r="AK410" s="48">
        <v>94940</v>
      </c>
      <c r="AL410" s="48">
        <v>95108</v>
      </c>
    </row>
    <row r="411" spans="1:45" hidden="1" x14ac:dyDescent="0.25">
      <c r="A411">
        <v>410</v>
      </c>
      <c r="B411">
        <v>2025</v>
      </c>
      <c r="C411">
        <v>8</v>
      </c>
      <c r="D411" t="s">
        <v>162</v>
      </c>
      <c r="E411">
        <v>31</v>
      </c>
      <c r="F411">
        <v>7</v>
      </c>
      <c r="G411" t="s">
        <v>433</v>
      </c>
      <c r="H411" s="48">
        <v>89878</v>
      </c>
      <c r="I411" s="48">
        <v>90098</v>
      </c>
      <c r="J411" s="48">
        <v>90263</v>
      </c>
      <c r="K411" s="48">
        <v>90436</v>
      </c>
      <c r="L411" s="48">
        <v>90614</v>
      </c>
      <c r="M411" s="48">
        <v>90779</v>
      </c>
      <c r="N411" s="48">
        <v>90986</v>
      </c>
      <c r="O411" s="48">
        <v>91154</v>
      </c>
      <c r="P411" s="48">
        <v>91326</v>
      </c>
      <c r="Q411" s="48">
        <v>91423</v>
      </c>
      <c r="R411" s="48">
        <v>91599</v>
      </c>
      <c r="S411" s="48">
        <v>91781</v>
      </c>
      <c r="T411" s="48">
        <v>91948</v>
      </c>
      <c r="U411" s="48">
        <v>92162</v>
      </c>
      <c r="V411" s="48">
        <v>92335</v>
      </c>
      <c r="W411" s="48">
        <v>92527</v>
      </c>
      <c r="X411" s="48">
        <v>92694</v>
      </c>
      <c r="Y411" s="48">
        <v>92879</v>
      </c>
      <c r="Z411" s="48">
        <v>93052</v>
      </c>
      <c r="AA411" s="48">
        <v>93220</v>
      </c>
      <c r="AB411" s="48">
        <v>93412</v>
      </c>
      <c r="AC411" s="48">
        <v>93595</v>
      </c>
      <c r="AD411" s="48">
        <v>93822</v>
      </c>
      <c r="AE411" s="48">
        <v>94041</v>
      </c>
      <c r="AF411" s="48">
        <v>94224</v>
      </c>
      <c r="AG411" s="48">
        <v>94418</v>
      </c>
      <c r="AH411" s="48">
        <v>94585</v>
      </c>
      <c r="AI411" s="48">
        <v>94768</v>
      </c>
      <c r="AJ411" s="48">
        <v>94940</v>
      </c>
      <c r="AK411" s="48">
        <v>95108</v>
      </c>
      <c r="AL411" s="48">
        <v>95281</v>
      </c>
      <c r="AP411">
        <v>649.64999999999986</v>
      </c>
      <c r="AQ411">
        <v>14.999999999999998</v>
      </c>
      <c r="AR411" t="s">
        <v>345</v>
      </c>
      <c r="AS411">
        <v>5571</v>
      </c>
    </row>
    <row r="412" spans="1:45" hidden="1" x14ac:dyDescent="0.25">
      <c r="A412">
        <v>411</v>
      </c>
      <c r="B412">
        <v>2025</v>
      </c>
      <c r="C412">
        <v>8</v>
      </c>
      <c r="D412" t="s">
        <v>171</v>
      </c>
      <c r="E412">
        <v>31</v>
      </c>
      <c r="F412">
        <v>7</v>
      </c>
      <c r="G412" t="s">
        <v>430</v>
      </c>
      <c r="H412" s="48" t="s">
        <v>320</v>
      </c>
      <c r="I412" s="48" t="s">
        <v>320</v>
      </c>
      <c r="J412" s="48" t="s">
        <v>320</v>
      </c>
      <c r="K412" s="48" t="s">
        <v>320</v>
      </c>
      <c r="L412" s="48" t="s">
        <v>320</v>
      </c>
      <c r="M412" s="48" t="s">
        <v>320</v>
      </c>
      <c r="N412" s="48" t="s">
        <v>320</v>
      </c>
      <c r="O412" s="48" t="s">
        <v>320</v>
      </c>
      <c r="P412" s="48" t="s">
        <v>375</v>
      </c>
      <c r="Q412" s="48" t="s">
        <v>375</v>
      </c>
      <c r="R412" s="48" t="s">
        <v>375</v>
      </c>
      <c r="S412" s="48" t="s">
        <v>375</v>
      </c>
      <c r="T412" s="48" t="s">
        <v>375</v>
      </c>
      <c r="U412" s="48" t="s">
        <v>375</v>
      </c>
      <c r="V412" s="48" t="s">
        <v>375</v>
      </c>
      <c r="W412" s="48" t="s">
        <v>375</v>
      </c>
      <c r="X412" s="48" t="s">
        <v>375</v>
      </c>
      <c r="Y412" s="48" t="s">
        <v>375</v>
      </c>
      <c r="Z412" s="48" t="s">
        <v>375</v>
      </c>
      <c r="AA412" s="48" t="s">
        <v>375</v>
      </c>
      <c r="AB412" s="48" t="s">
        <v>375</v>
      </c>
      <c r="AC412" s="48" t="s">
        <v>375</v>
      </c>
      <c r="AD412" s="48" t="s">
        <v>375</v>
      </c>
      <c r="AE412" s="48" t="s">
        <v>320</v>
      </c>
      <c r="AF412" s="48" t="s">
        <v>375</v>
      </c>
      <c r="AG412" s="48" t="s">
        <v>375</v>
      </c>
      <c r="AH412" s="48" t="s">
        <v>375</v>
      </c>
      <c r="AI412" s="48" t="s">
        <v>375</v>
      </c>
      <c r="AJ412" s="48" t="s">
        <v>375</v>
      </c>
      <c r="AK412" s="48" t="s">
        <v>375</v>
      </c>
      <c r="AL412" s="48" t="s">
        <v>375</v>
      </c>
    </row>
    <row r="413" spans="1:45" hidden="1" x14ac:dyDescent="0.25">
      <c r="A413">
        <v>412</v>
      </c>
      <c r="B413">
        <v>2025</v>
      </c>
      <c r="C413">
        <v>8</v>
      </c>
      <c r="D413" t="s">
        <v>171</v>
      </c>
      <c r="E413">
        <v>31</v>
      </c>
      <c r="F413">
        <v>7</v>
      </c>
      <c r="G413" t="s">
        <v>431</v>
      </c>
      <c r="H413" s="48" t="s">
        <v>320</v>
      </c>
      <c r="I413" s="48" t="s">
        <v>320</v>
      </c>
      <c r="J413" s="48" t="s">
        <v>320</v>
      </c>
      <c r="K413" s="48" t="s">
        <v>320</v>
      </c>
      <c r="L413" s="48" t="s">
        <v>320</v>
      </c>
      <c r="M413" s="48" t="s">
        <v>320</v>
      </c>
      <c r="N413" s="48" t="s">
        <v>320</v>
      </c>
      <c r="O413" s="48" t="s">
        <v>320</v>
      </c>
      <c r="P413" s="48">
        <v>0.75</v>
      </c>
      <c r="Q413" s="48">
        <v>0.75</v>
      </c>
      <c r="R413" s="48">
        <v>0.75</v>
      </c>
      <c r="S413" s="48">
        <v>0.75</v>
      </c>
      <c r="T413" s="48">
        <v>0.75</v>
      </c>
      <c r="U413" s="48">
        <v>0.75</v>
      </c>
      <c r="V413" s="48">
        <v>0.75</v>
      </c>
      <c r="W413" s="48">
        <v>0.75</v>
      </c>
      <c r="X413" s="48">
        <v>0.75</v>
      </c>
      <c r="Y413" s="48">
        <v>0.75</v>
      </c>
      <c r="Z413" s="48">
        <v>0.75</v>
      </c>
      <c r="AA413" s="48">
        <v>0.875</v>
      </c>
      <c r="AB413" s="48">
        <v>0.75</v>
      </c>
      <c r="AC413" s="48">
        <v>0.91666666666666674</v>
      </c>
      <c r="AD413" s="48">
        <v>0.75</v>
      </c>
      <c r="AE413" s="48" t="s">
        <v>320</v>
      </c>
      <c r="AF413" s="48">
        <v>0.75</v>
      </c>
      <c r="AG413" s="48">
        <v>0.91666666666666674</v>
      </c>
      <c r="AH413" s="48">
        <v>0.875</v>
      </c>
      <c r="AI413" s="48">
        <v>0.875</v>
      </c>
      <c r="AJ413" s="48">
        <v>0.875</v>
      </c>
      <c r="AK413" s="48">
        <v>0.75</v>
      </c>
      <c r="AL413" s="48">
        <v>0.75</v>
      </c>
      <c r="AM413">
        <v>22</v>
      </c>
      <c r="AO413">
        <v>19.999999999999993</v>
      </c>
    </row>
    <row r="414" spans="1:45" hidden="1" x14ac:dyDescent="0.25">
      <c r="A414">
        <v>413</v>
      </c>
      <c r="B414">
        <v>2025</v>
      </c>
      <c r="C414">
        <v>8</v>
      </c>
      <c r="D414" t="s">
        <v>171</v>
      </c>
      <c r="E414">
        <v>31</v>
      </c>
      <c r="F414">
        <v>7</v>
      </c>
      <c r="G414" t="s">
        <v>430</v>
      </c>
      <c r="H414" s="48" t="s">
        <v>320</v>
      </c>
      <c r="I414" s="48" t="s">
        <v>320</v>
      </c>
      <c r="J414" s="48" t="s">
        <v>320</v>
      </c>
      <c r="K414" s="48" t="s">
        <v>320</v>
      </c>
      <c r="L414" s="48" t="s">
        <v>320</v>
      </c>
      <c r="M414" s="48" t="s">
        <v>320</v>
      </c>
      <c r="N414" s="48" t="s">
        <v>320</v>
      </c>
      <c r="O414" s="48" t="s">
        <v>320</v>
      </c>
      <c r="P414" s="48">
        <v>198480</v>
      </c>
      <c r="Q414" s="48">
        <v>198480</v>
      </c>
      <c r="R414" s="48">
        <v>198480</v>
      </c>
      <c r="S414" s="48">
        <v>198480</v>
      </c>
      <c r="T414" s="48">
        <v>198480</v>
      </c>
      <c r="U414" s="48">
        <v>198480</v>
      </c>
      <c r="V414" s="48">
        <v>198480</v>
      </c>
      <c r="W414" s="48">
        <v>198480</v>
      </c>
      <c r="X414" s="48">
        <v>198480</v>
      </c>
      <c r="Y414" s="48">
        <v>198480</v>
      </c>
      <c r="Z414" s="48">
        <v>198571</v>
      </c>
      <c r="AA414" s="48">
        <v>198650</v>
      </c>
      <c r="AB414" s="48">
        <v>198818</v>
      </c>
      <c r="AC414" s="48">
        <v>198913</v>
      </c>
      <c r="AD414" s="48">
        <v>199035</v>
      </c>
      <c r="AE414" s="48" t="s">
        <v>320</v>
      </c>
      <c r="AF414" s="48">
        <v>199191</v>
      </c>
      <c r="AG414" s="48">
        <v>199258</v>
      </c>
      <c r="AH414" s="48">
        <v>199299</v>
      </c>
      <c r="AI414" s="48">
        <v>199344</v>
      </c>
      <c r="AJ414" s="48">
        <v>199384</v>
      </c>
      <c r="AK414" s="48">
        <v>199423</v>
      </c>
      <c r="AL414" s="48">
        <v>199442</v>
      </c>
    </row>
    <row r="415" spans="1:45" hidden="1" x14ac:dyDescent="0.25">
      <c r="A415">
        <v>414</v>
      </c>
      <c r="B415">
        <v>2025</v>
      </c>
      <c r="C415">
        <v>8</v>
      </c>
      <c r="D415" t="s">
        <v>171</v>
      </c>
      <c r="E415">
        <v>31</v>
      </c>
      <c r="F415">
        <v>7</v>
      </c>
      <c r="G415" t="s">
        <v>431</v>
      </c>
      <c r="H415" s="48" t="s">
        <v>320</v>
      </c>
      <c r="I415" s="48" t="s">
        <v>320</v>
      </c>
      <c r="J415" s="48" t="s">
        <v>320</v>
      </c>
      <c r="K415" s="48" t="s">
        <v>320</v>
      </c>
      <c r="L415" s="48" t="s">
        <v>320</v>
      </c>
      <c r="M415" s="48" t="s">
        <v>320</v>
      </c>
      <c r="N415" s="48" t="s">
        <v>320</v>
      </c>
      <c r="O415" s="48" t="s">
        <v>320</v>
      </c>
      <c r="P415" s="48">
        <v>198571</v>
      </c>
      <c r="Q415" s="48">
        <v>198571</v>
      </c>
      <c r="R415" s="48">
        <v>198571</v>
      </c>
      <c r="S415" s="48">
        <v>198571</v>
      </c>
      <c r="T415" s="48">
        <v>198571</v>
      </c>
      <c r="U415" s="48">
        <v>198571</v>
      </c>
      <c r="V415" s="48">
        <v>198571</v>
      </c>
      <c r="W415" s="48">
        <v>198571</v>
      </c>
      <c r="X415" s="48">
        <v>198571</v>
      </c>
      <c r="Y415" s="48">
        <v>198571</v>
      </c>
      <c r="Z415" s="48">
        <v>198650</v>
      </c>
      <c r="AA415" s="48">
        <v>198818</v>
      </c>
      <c r="AB415" s="48">
        <v>198913</v>
      </c>
      <c r="AC415" s="48">
        <v>199035</v>
      </c>
      <c r="AD415" s="48">
        <v>199191</v>
      </c>
      <c r="AE415" s="48" t="s">
        <v>320</v>
      </c>
      <c r="AF415" s="48">
        <v>199258</v>
      </c>
      <c r="AG415" s="48">
        <v>199299</v>
      </c>
      <c r="AH415" s="48">
        <v>199344</v>
      </c>
      <c r="AI415" s="48">
        <v>199384</v>
      </c>
      <c r="AJ415" s="48">
        <v>199423</v>
      </c>
      <c r="AK415" s="48">
        <v>199442</v>
      </c>
      <c r="AL415" s="48">
        <v>199498</v>
      </c>
      <c r="AP415">
        <v>275.55</v>
      </c>
      <c r="AQ415">
        <v>15</v>
      </c>
      <c r="AS415">
        <v>1837</v>
      </c>
    </row>
    <row r="416" spans="1:45" hidden="1" x14ac:dyDescent="0.25">
      <c r="A416">
        <v>415</v>
      </c>
      <c r="B416">
        <v>2025</v>
      </c>
      <c r="C416">
        <v>8</v>
      </c>
      <c r="D416" t="s">
        <v>150</v>
      </c>
      <c r="E416">
        <v>31</v>
      </c>
      <c r="F416">
        <v>7</v>
      </c>
      <c r="G416" t="s">
        <v>430</v>
      </c>
      <c r="H416" s="48" t="s">
        <v>407</v>
      </c>
      <c r="I416" s="48" t="s">
        <v>407</v>
      </c>
      <c r="J416" s="48" t="s">
        <v>407</v>
      </c>
      <c r="K416" s="48" t="s">
        <v>407</v>
      </c>
      <c r="L416" s="48" t="s">
        <v>407</v>
      </c>
      <c r="M416" s="48" t="s">
        <v>407</v>
      </c>
      <c r="N416" s="48" t="s">
        <v>407</v>
      </c>
      <c r="O416" s="48" t="s">
        <v>407</v>
      </c>
      <c r="P416" s="48" t="s">
        <v>407</v>
      </c>
      <c r="Q416" s="48" t="s">
        <v>407</v>
      </c>
      <c r="R416" s="48" t="s">
        <v>320</v>
      </c>
      <c r="S416" s="48" t="s">
        <v>320</v>
      </c>
      <c r="T416" s="48" t="s">
        <v>320</v>
      </c>
      <c r="U416" s="48" t="s">
        <v>320</v>
      </c>
      <c r="V416" s="48" t="s">
        <v>320</v>
      </c>
      <c r="W416" s="48" t="s">
        <v>320</v>
      </c>
      <c r="X416" s="48" t="s">
        <v>320</v>
      </c>
      <c r="Y416" s="48" t="s">
        <v>320</v>
      </c>
      <c r="Z416" s="48" t="s">
        <v>320</v>
      </c>
      <c r="AA416" s="48" t="s">
        <v>320</v>
      </c>
      <c r="AB416" s="48" t="s">
        <v>320</v>
      </c>
      <c r="AC416" s="48" t="s">
        <v>320</v>
      </c>
      <c r="AD416" s="48" t="s">
        <v>320</v>
      </c>
      <c r="AE416" s="48" t="s">
        <v>320</v>
      </c>
      <c r="AF416" s="48" t="s">
        <v>320</v>
      </c>
      <c r="AG416" s="48" t="s">
        <v>320</v>
      </c>
      <c r="AH416" s="48" t="s">
        <v>320</v>
      </c>
      <c r="AI416" s="48" t="s">
        <v>320</v>
      </c>
      <c r="AJ416" s="48" t="s">
        <v>320</v>
      </c>
      <c r="AK416" s="48" t="s">
        <v>320</v>
      </c>
      <c r="AL416" s="48" t="s">
        <v>320</v>
      </c>
    </row>
    <row r="417" spans="1:45" hidden="1" x14ac:dyDescent="0.25">
      <c r="A417">
        <v>416</v>
      </c>
      <c r="B417">
        <v>2025</v>
      </c>
      <c r="C417">
        <v>8</v>
      </c>
      <c r="D417" t="s">
        <v>150</v>
      </c>
      <c r="E417">
        <v>31</v>
      </c>
      <c r="F417">
        <v>7</v>
      </c>
      <c r="G417" t="s">
        <v>431</v>
      </c>
      <c r="H417" s="48">
        <v>0.85416666666666663</v>
      </c>
      <c r="I417" s="48">
        <v>0.77083333333333326</v>
      </c>
      <c r="J417" s="48">
        <v>0.85416666666666663</v>
      </c>
      <c r="K417" s="48">
        <v>0.85416666666666663</v>
      </c>
      <c r="L417" s="48">
        <v>0.77083333333333326</v>
      </c>
      <c r="M417" s="48">
        <v>0.85416666666666663</v>
      </c>
      <c r="N417" s="48">
        <v>0.85416666666666663</v>
      </c>
      <c r="O417" s="48">
        <v>0.85416666666666663</v>
      </c>
      <c r="P417" s="48">
        <v>0.85416666666666663</v>
      </c>
      <c r="Q417" s="48">
        <v>0.85416666666666663</v>
      </c>
      <c r="R417" s="48" t="s">
        <v>320</v>
      </c>
      <c r="S417" s="48" t="s">
        <v>320</v>
      </c>
      <c r="T417" s="48" t="s">
        <v>320</v>
      </c>
      <c r="U417" s="48" t="s">
        <v>320</v>
      </c>
      <c r="V417" s="48" t="s">
        <v>320</v>
      </c>
      <c r="W417" s="48" t="s">
        <v>320</v>
      </c>
      <c r="X417" s="48" t="s">
        <v>320</v>
      </c>
      <c r="Y417" s="48" t="s">
        <v>320</v>
      </c>
      <c r="Z417" s="48" t="s">
        <v>320</v>
      </c>
      <c r="AA417" s="48" t="s">
        <v>320</v>
      </c>
      <c r="AB417" s="48" t="s">
        <v>320</v>
      </c>
      <c r="AC417" s="48" t="s">
        <v>320</v>
      </c>
      <c r="AD417" s="48" t="s">
        <v>320</v>
      </c>
      <c r="AE417" s="48" t="s">
        <v>320</v>
      </c>
      <c r="AF417" s="48" t="s">
        <v>320</v>
      </c>
      <c r="AG417" s="48" t="s">
        <v>320</v>
      </c>
      <c r="AH417" s="48" t="s">
        <v>320</v>
      </c>
      <c r="AI417" s="48" t="s">
        <v>320</v>
      </c>
      <c r="AJ417" s="48" t="s">
        <v>320</v>
      </c>
      <c r="AK417" s="48" t="s">
        <v>320</v>
      </c>
      <c r="AL417" s="48" t="s">
        <v>320</v>
      </c>
      <c r="AM417">
        <v>10</v>
      </c>
      <c r="AO417">
        <v>25.999999999999986</v>
      </c>
    </row>
    <row r="418" spans="1:45" hidden="1" x14ac:dyDescent="0.25">
      <c r="A418">
        <v>417</v>
      </c>
      <c r="B418">
        <v>2025</v>
      </c>
      <c r="C418">
        <v>8</v>
      </c>
      <c r="D418" t="s">
        <v>150</v>
      </c>
      <c r="E418">
        <v>31</v>
      </c>
      <c r="F418">
        <v>7</v>
      </c>
      <c r="G418" t="s">
        <v>432</v>
      </c>
      <c r="H418" s="48">
        <v>781847</v>
      </c>
      <c r="I418" s="48">
        <v>782069</v>
      </c>
      <c r="J418" s="48">
        <v>782258</v>
      </c>
      <c r="K418" s="48">
        <v>782542</v>
      </c>
      <c r="L418" s="48">
        <v>782691</v>
      </c>
      <c r="M418" s="48">
        <v>782781</v>
      </c>
      <c r="N418" s="48">
        <v>782886</v>
      </c>
      <c r="O418" s="48">
        <v>783026</v>
      </c>
      <c r="P418" s="48">
        <v>783160</v>
      </c>
      <c r="Q418" s="48">
        <v>783290</v>
      </c>
      <c r="R418" s="48" t="s">
        <v>320</v>
      </c>
      <c r="S418" s="48" t="s">
        <v>320</v>
      </c>
      <c r="T418" s="48" t="s">
        <v>320</v>
      </c>
      <c r="U418" s="48" t="s">
        <v>320</v>
      </c>
      <c r="V418" s="48" t="s">
        <v>320</v>
      </c>
      <c r="W418" s="48" t="s">
        <v>320</v>
      </c>
      <c r="X418" s="48" t="s">
        <v>320</v>
      </c>
      <c r="Y418" s="48" t="s">
        <v>320</v>
      </c>
      <c r="Z418" s="48" t="s">
        <v>320</v>
      </c>
      <c r="AA418" s="48" t="s">
        <v>320</v>
      </c>
      <c r="AB418" s="48" t="s">
        <v>320</v>
      </c>
      <c r="AC418" s="48" t="s">
        <v>320</v>
      </c>
      <c r="AD418" s="48" t="s">
        <v>320</v>
      </c>
      <c r="AE418" s="48" t="s">
        <v>320</v>
      </c>
      <c r="AF418" s="48" t="s">
        <v>320</v>
      </c>
      <c r="AG418" s="48" t="s">
        <v>320</v>
      </c>
      <c r="AH418" s="48" t="s">
        <v>320</v>
      </c>
      <c r="AI418" s="48" t="s">
        <v>320</v>
      </c>
      <c r="AJ418" s="48" t="s">
        <v>320</v>
      </c>
      <c r="AK418" s="48" t="s">
        <v>320</v>
      </c>
      <c r="AL418" s="48" t="s">
        <v>320</v>
      </c>
    </row>
    <row r="419" spans="1:45" hidden="1" x14ac:dyDescent="0.25">
      <c r="A419">
        <v>418</v>
      </c>
      <c r="B419">
        <v>2025</v>
      </c>
      <c r="C419">
        <v>8</v>
      </c>
      <c r="D419" t="s">
        <v>150</v>
      </c>
      <c r="E419">
        <v>31</v>
      </c>
      <c r="F419">
        <v>7</v>
      </c>
      <c r="G419" t="s">
        <v>433</v>
      </c>
      <c r="H419" s="48">
        <v>782069</v>
      </c>
      <c r="I419" s="48">
        <v>782203</v>
      </c>
      <c r="J419" s="48">
        <v>782512</v>
      </c>
      <c r="K419" s="48">
        <v>782691</v>
      </c>
      <c r="L419" s="48">
        <v>782781</v>
      </c>
      <c r="M419" s="48">
        <v>782886</v>
      </c>
      <c r="N419" s="48">
        <v>783026</v>
      </c>
      <c r="O419" s="48">
        <v>783160</v>
      </c>
      <c r="P419" s="48">
        <v>783290</v>
      </c>
      <c r="Q419" s="48">
        <v>783410</v>
      </c>
      <c r="R419" s="48" t="s">
        <v>320</v>
      </c>
      <c r="S419" s="48" t="s">
        <v>320</v>
      </c>
      <c r="T419" s="48" t="s">
        <v>320</v>
      </c>
      <c r="U419" s="48" t="s">
        <v>320</v>
      </c>
      <c r="V419" s="48" t="s">
        <v>320</v>
      </c>
      <c r="W419" s="48" t="s">
        <v>320</v>
      </c>
      <c r="X419" s="48" t="s">
        <v>320</v>
      </c>
      <c r="Y419" s="48" t="s">
        <v>320</v>
      </c>
      <c r="Z419" s="48" t="s">
        <v>320</v>
      </c>
      <c r="AA419" s="48" t="s">
        <v>320</v>
      </c>
      <c r="AB419" s="48" t="s">
        <v>320</v>
      </c>
      <c r="AC419" s="48" t="s">
        <v>320</v>
      </c>
      <c r="AD419" s="48" t="s">
        <v>320</v>
      </c>
      <c r="AE419" s="48" t="s">
        <v>320</v>
      </c>
      <c r="AF419" s="48" t="s">
        <v>320</v>
      </c>
      <c r="AG419" s="48" t="s">
        <v>320</v>
      </c>
      <c r="AH419" s="48" t="s">
        <v>320</v>
      </c>
      <c r="AI419" s="48" t="s">
        <v>320</v>
      </c>
      <c r="AJ419" s="48" t="s">
        <v>320</v>
      </c>
      <c r="AK419" s="48" t="s">
        <v>320</v>
      </c>
      <c r="AL419" s="48" t="s">
        <v>320</v>
      </c>
      <c r="AP419">
        <v>140.69999999999999</v>
      </c>
      <c r="AQ419">
        <v>15</v>
      </c>
      <c r="AR419" t="s">
        <v>346</v>
      </c>
      <c r="AS419">
        <v>1478</v>
      </c>
    </row>
    <row r="420" spans="1:45" hidden="1" x14ac:dyDescent="0.25">
      <c r="A420">
        <v>419</v>
      </c>
      <c r="B420">
        <v>2025</v>
      </c>
      <c r="C420">
        <v>8</v>
      </c>
      <c r="D420" t="s">
        <v>161</v>
      </c>
      <c r="E420">
        <v>31</v>
      </c>
      <c r="F420">
        <v>7</v>
      </c>
      <c r="G420" t="s">
        <v>430</v>
      </c>
      <c r="H420" s="48" t="s">
        <v>375</v>
      </c>
      <c r="I420" s="48" t="s">
        <v>375</v>
      </c>
      <c r="J420" s="48" t="s">
        <v>375</v>
      </c>
      <c r="K420" s="48" t="s">
        <v>375</v>
      </c>
      <c r="L420" s="48" t="s">
        <v>375</v>
      </c>
      <c r="M420" s="48" t="s">
        <v>375</v>
      </c>
      <c r="N420" s="48" t="s">
        <v>375</v>
      </c>
      <c r="O420" s="48" t="s">
        <v>375</v>
      </c>
      <c r="P420" s="48" t="s">
        <v>375</v>
      </c>
      <c r="Q420" s="48" t="s">
        <v>375</v>
      </c>
      <c r="R420" s="48" t="s">
        <v>375</v>
      </c>
      <c r="S420" s="48" t="s">
        <v>375</v>
      </c>
      <c r="T420" s="48" t="s">
        <v>375</v>
      </c>
      <c r="U420" s="48" t="s">
        <v>375</v>
      </c>
      <c r="V420" s="48" t="s">
        <v>375</v>
      </c>
      <c r="W420" s="48" t="s">
        <v>375</v>
      </c>
      <c r="X420" s="48" t="s">
        <v>375</v>
      </c>
      <c r="Y420" s="48" t="s">
        <v>375</v>
      </c>
      <c r="Z420" s="48" t="s">
        <v>375</v>
      </c>
      <c r="AA420" s="48" t="s">
        <v>375</v>
      </c>
      <c r="AB420" s="48" t="s">
        <v>375</v>
      </c>
      <c r="AC420" s="48" t="s">
        <v>375</v>
      </c>
      <c r="AD420" s="48" t="s">
        <v>375</v>
      </c>
      <c r="AE420" s="48" t="s">
        <v>320</v>
      </c>
      <c r="AF420" s="48" t="s">
        <v>375</v>
      </c>
      <c r="AG420" s="48" t="s">
        <v>375</v>
      </c>
      <c r="AH420" s="48" t="s">
        <v>375</v>
      </c>
      <c r="AI420" s="48" t="s">
        <v>375</v>
      </c>
      <c r="AJ420" s="48" t="s">
        <v>375</v>
      </c>
      <c r="AK420" s="48" t="s">
        <v>375</v>
      </c>
      <c r="AL420" s="48" t="s">
        <v>375</v>
      </c>
    </row>
    <row r="421" spans="1:45" hidden="1" x14ac:dyDescent="0.25">
      <c r="A421">
        <v>420</v>
      </c>
      <c r="B421">
        <v>2025</v>
      </c>
      <c r="C421">
        <v>8</v>
      </c>
      <c r="D421" t="s">
        <v>161</v>
      </c>
      <c r="E421">
        <v>31</v>
      </c>
      <c r="F421">
        <v>7</v>
      </c>
      <c r="G421" t="s">
        <v>431</v>
      </c>
      <c r="H421" s="48">
        <v>0.79166666666666674</v>
      </c>
      <c r="I421" s="48">
        <v>1.0416666666666667</v>
      </c>
      <c r="J421" s="48">
        <v>1</v>
      </c>
      <c r="K421" s="48">
        <v>0.75</v>
      </c>
      <c r="L421" s="48">
        <v>1.0416666666666667</v>
      </c>
      <c r="M421" s="48">
        <v>0.79166666666666674</v>
      </c>
      <c r="N421" s="48">
        <v>1.0416666666666667</v>
      </c>
      <c r="O421" s="48">
        <v>0.75</v>
      </c>
      <c r="P421" s="48">
        <v>1.0416666666666667</v>
      </c>
      <c r="Q421" s="48">
        <v>0.75</v>
      </c>
      <c r="R421" s="48">
        <v>0.79166666666666674</v>
      </c>
      <c r="S421" s="48">
        <v>1</v>
      </c>
      <c r="T421" s="48">
        <v>0.79166666666666674</v>
      </c>
      <c r="U421" s="48">
        <v>1.0416666666666667</v>
      </c>
      <c r="V421" s="48">
        <v>0.83333333333333326</v>
      </c>
      <c r="W421" s="48">
        <v>1.0833333333333333</v>
      </c>
      <c r="X421" s="48">
        <v>0.75</v>
      </c>
      <c r="Y421" s="48">
        <v>0.75</v>
      </c>
      <c r="Z421" s="48">
        <v>1.0833333333333333</v>
      </c>
      <c r="AA421" s="48">
        <v>0.75</v>
      </c>
      <c r="AB421" s="48">
        <v>0.91666666666666674</v>
      </c>
      <c r="AC421" s="48">
        <v>0.75</v>
      </c>
      <c r="AD421" s="48">
        <v>0.75</v>
      </c>
      <c r="AE421" s="48" t="s">
        <v>320</v>
      </c>
      <c r="AF421" s="48">
        <v>1.0833333333333333</v>
      </c>
      <c r="AG421" s="48">
        <v>0.75</v>
      </c>
      <c r="AH421" s="48">
        <v>1</v>
      </c>
      <c r="AI421" s="48">
        <v>0.75</v>
      </c>
      <c r="AJ421" s="48">
        <v>1.0416666666666667</v>
      </c>
      <c r="AK421" s="48">
        <v>1</v>
      </c>
      <c r="AL421" s="48">
        <v>0.75</v>
      </c>
      <c r="AM421">
        <v>30</v>
      </c>
      <c r="AO421">
        <v>100</v>
      </c>
    </row>
    <row r="422" spans="1:45" hidden="1" x14ac:dyDescent="0.25">
      <c r="A422">
        <v>421</v>
      </c>
      <c r="B422">
        <v>2025</v>
      </c>
      <c r="C422">
        <v>8</v>
      </c>
      <c r="D422" t="s">
        <v>161</v>
      </c>
      <c r="E422">
        <v>31</v>
      </c>
      <c r="F422">
        <v>7</v>
      </c>
      <c r="G422" t="s">
        <v>430</v>
      </c>
      <c r="H422" s="48">
        <v>816037</v>
      </c>
      <c r="I422" s="48">
        <v>816089</v>
      </c>
      <c r="J422" s="48">
        <v>816184</v>
      </c>
      <c r="K422" s="48">
        <v>816267</v>
      </c>
      <c r="L422" s="48">
        <v>816321</v>
      </c>
      <c r="M422" s="48">
        <v>816381</v>
      </c>
      <c r="N422" s="48">
        <v>816435</v>
      </c>
      <c r="O422" s="48">
        <v>816509</v>
      </c>
      <c r="P422" s="48">
        <v>816584</v>
      </c>
      <c r="Q422" s="48">
        <v>816674</v>
      </c>
      <c r="R422" s="48">
        <v>816717</v>
      </c>
      <c r="S422" s="48">
        <v>816803</v>
      </c>
      <c r="T422" s="48">
        <v>816889</v>
      </c>
      <c r="U422" s="48">
        <v>816950</v>
      </c>
      <c r="V422" s="48">
        <v>817024</v>
      </c>
      <c r="W422" s="48">
        <v>817074</v>
      </c>
      <c r="X422" s="48">
        <v>817147</v>
      </c>
      <c r="Y422" s="48">
        <v>817198</v>
      </c>
      <c r="Z422" s="48">
        <v>817254</v>
      </c>
      <c r="AA422" s="48">
        <v>817334</v>
      </c>
      <c r="AB422" s="48">
        <v>817387</v>
      </c>
      <c r="AC422" s="48">
        <v>817478</v>
      </c>
      <c r="AD422" s="48">
        <v>817502</v>
      </c>
      <c r="AE422" s="48" t="s">
        <v>320</v>
      </c>
      <c r="AF422" s="48">
        <v>817581</v>
      </c>
      <c r="AG422" s="48">
        <v>817664</v>
      </c>
      <c r="AH422" s="48">
        <v>817723</v>
      </c>
      <c r="AI422" s="48">
        <v>817786</v>
      </c>
      <c r="AJ422" s="48">
        <v>817856</v>
      </c>
      <c r="AK422" s="48">
        <v>817922</v>
      </c>
      <c r="AL422" s="48">
        <v>818005</v>
      </c>
    </row>
    <row r="423" spans="1:45" hidden="1" x14ac:dyDescent="0.25">
      <c r="A423">
        <v>422</v>
      </c>
      <c r="B423">
        <v>2025</v>
      </c>
      <c r="C423">
        <v>8</v>
      </c>
      <c r="D423" t="s">
        <v>161</v>
      </c>
      <c r="E423">
        <v>31</v>
      </c>
      <c r="F423">
        <v>7</v>
      </c>
      <c r="G423" t="s">
        <v>431</v>
      </c>
      <c r="H423" s="48">
        <v>816089</v>
      </c>
      <c r="I423" s="48">
        <v>816184</v>
      </c>
      <c r="J423" s="48">
        <v>816267</v>
      </c>
      <c r="K423" s="48">
        <v>816321</v>
      </c>
      <c r="L423" s="48">
        <v>816381</v>
      </c>
      <c r="M423" s="48">
        <v>816435</v>
      </c>
      <c r="N423" s="48">
        <v>816509</v>
      </c>
      <c r="O423" s="48">
        <v>816584</v>
      </c>
      <c r="P423" s="48">
        <v>816674</v>
      </c>
      <c r="Q423" s="48">
        <v>816717</v>
      </c>
      <c r="R423" s="48">
        <v>816803</v>
      </c>
      <c r="S423" s="48">
        <v>816889</v>
      </c>
      <c r="T423" s="48">
        <v>816950</v>
      </c>
      <c r="U423" s="48">
        <v>817021</v>
      </c>
      <c r="V423" s="48">
        <v>817074</v>
      </c>
      <c r="W423" s="48">
        <v>817147</v>
      </c>
      <c r="X423" s="48">
        <v>817198</v>
      </c>
      <c r="Y423" s="48">
        <v>817254</v>
      </c>
      <c r="Z423" s="48">
        <v>817334</v>
      </c>
      <c r="AA423" s="48">
        <v>817387</v>
      </c>
      <c r="AB423" s="48">
        <v>817478</v>
      </c>
      <c r="AC423" s="48">
        <v>817502</v>
      </c>
      <c r="AD423" s="48">
        <v>817576</v>
      </c>
      <c r="AE423" s="48" t="s">
        <v>320</v>
      </c>
      <c r="AF423" s="48">
        <v>817664</v>
      </c>
      <c r="AG423" s="48">
        <v>817723</v>
      </c>
      <c r="AH423" s="48">
        <v>817786</v>
      </c>
      <c r="AI423" s="48">
        <v>817856</v>
      </c>
      <c r="AJ423" s="48">
        <v>817922</v>
      </c>
      <c r="AK423" s="48">
        <v>818005</v>
      </c>
      <c r="AL423" s="48">
        <v>818096</v>
      </c>
      <c r="AP423">
        <v>307.64999999999998</v>
      </c>
      <c r="AQ423">
        <v>15</v>
      </c>
      <c r="AS423">
        <v>2051</v>
      </c>
    </row>
    <row r="424" spans="1:45" hidden="1" x14ac:dyDescent="0.25">
      <c r="A424">
        <v>423</v>
      </c>
      <c r="B424">
        <v>2025</v>
      </c>
      <c r="C424">
        <v>8</v>
      </c>
      <c r="D424" t="s">
        <v>157</v>
      </c>
      <c r="E424">
        <v>31</v>
      </c>
      <c r="F424">
        <v>7</v>
      </c>
      <c r="G424" t="s">
        <v>430</v>
      </c>
      <c r="H424" s="48">
        <v>0.29166666666666669</v>
      </c>
      <c r="I424" s="48">
        <v>0.29166666666666669</v>
      </c>
      <c r="J424" s="48">
        <v>0.29166666666666669</v>
      </c>
      <c r="K424" s="48">
        <v>0.29166666666666669</v>
      </c>
      <c r="L424" s="48">
        <v>0.29166666666666669</v>
      </c>
      <c r="M424" s="48">
        <v>0.29166666666666669</v>
      </c>
      <c r="N424" s="48">
        <v>0.29166666666666669</v>
      </c>
      <c r="O424" s="48">
        <v>0.29166666666666669</v>
      </c>
      <c r="P424" s="48">
        <v>0.29166666666666669</v>
      </c>
      <c r="Q424" s="48">
        <v>0.29166666666666669</v>
      </c>
      <c r="R424" s="48">
        <v>0.29166666666666669</v>
      </c>
      <c r="S424" s="48">
        <v>0.29166666666666669</v>
      </c>
      <c r="T424" s="48">
        <v>0.29166666666666669</v>
      </c>
      <c r="U424" s="48">
        <v>0.29166666666666669</v>
      </c>
      <c r="V424" s="48">
        <v>0.29166666666666669</v>
      </c>
      <c r="W424" s="48">
        <v>0.29166666666666669</v>
      </c>
      <c r="X424" s="48">
        <v>0.29166666666666669</v>
      </c>
      <c r="Y424" s="48">
        <v>0.29166666666666669</v>
      </c>
      <c r="Z424" s="48">
        <v>0.29166666666666669</v>
      </c>
      <c r="AA424" s="48">
        <v>0.29166666666666669</v>
      </c>
      <c r="AB424" s="48">
        <v>0.29166666666666669</v>
      </c>
      <c r="AC424" s="48">
        <v>0.29166666666666669</v>
      </c>
      <c r="AD424" s="48">
        <v>0.29166666666666669</v>
      </c>
      <c r="AE424" s="48">
        <v>0.29166666666666669</v>
      </c>
      <c r="AF424" s="48">
        <v>0.29166666666666669</v>
      </c>
      <c r="AG424" s="48">
        <v>0.29166666666666669</v>
      </c>
      <c r="AH424" s="48">
        <v>0.29166666666666669</v>
      </c>
      <c r="AI424" s="48">
        <v>0.29166666666666669</v>
      </c>
      <c r="AJ424" s="48">
        <v>0.29166666666666669</v>
      </c>
      <c r="AK424" s="48">
        <v>0.29166666666666669</v>
      </c>
      <c r="AL424" s="48" t="s">
        <v>320</v>
      </c>
    </row>
    <row r="425" spans="1:45" hidden="1" x14ac:dyDescent="0.25">
      <c r="A425">
        <v>424</v>
      </c>
      <c r="B425">
        <v>2025</v>
      </c>
      <c r="C425">
        <v>8</v>
      </c>
      <c r="D425" t="s">
        <v>157</v>
      </c>
      <c r="E425">
        <v>31</v>
      </c>
      <c r="F425">
        <v>7</v>
      </c>
      <c r="G425" t="s">
        <v>431</v>
      </c>
      <c r="H425" s="48">
        <v>0.75</v>
      </c>
      <c r="I425" s="48">
        <v>0.75</v>
      </c>
      <c r="J425" s="48">
        <v>0.75</v>
      </c>
      <c r="K425" s="48">
        <v>0.75</v>
      </c>
      <c r="L425" s="48">
        <v>0.75</v>
      </c>
      <c r="M425" s="48">
        <v>0.75</v>
      </c>
      <c r="N425" s="48">
        <v>0.75</v>
      </c>
      <c r="O425" s="48">
        <v>0.75</v>
      </c>
      <c r="P425" s="48">
        <v>0.75</v>
      </c>
      <c r="Q425" s="48">
        <v>0.75</v>
      </c>
      <c r="R425" s="48">
        <v>0.75</v>
      </c>
      <c r="S425" s="48">
        <v>0.75</v>
      </c>
      <c r="T425" s="48">
        <v>0.75</v>
      </c>
      <c r="U425" s="48">
        <v>0.75</v>
      </c>
      <c r="V425" s="48">
        <v>0.75</v>
      </c>
      <c r="W425" s="48">
        <v>0.75</v>
      </c>
      <c r="X425" s="48">
        <v>0.75</v>
      </c>
      <c r="Y425" s="48">
        <v>0.75</v>
      </c>
      <c r="Z425" s="48">
        <v>0.75</v>
      </c>
      <c r="AA425" s="48">
        <v>0.75</v>
      </c>
      <c r="AB425" s="48">
        <v>0.75</v>
      </c>
      <c r="AC425" s="48">
        <v>0.75</v>
      </c>
      <c r="AD425" s="48">
        <v>0.75</v>
      </c>
      <c r="AE425" s="48">
        <v>0.75</v>
      </c>
      <c r="AF425" s="48">
        <v>0.75</v>
      </c>
      <c r="AG425" s="48">
        <v>0.75</v>
      </c>
      <c r="AH425" s="48">
        <v>0.75</v>
      </c>
      <c r="AI425" s="48">
        <v>0.75</v>
      </c>
      <c r="AJ425" s="48">
        <v>0.75</v>
      </c>
      <c r="AK425" s="48">
        <v>0.75</v>
      </c>
      <c r="AL425" s="48" t="s">
        <v>320</v>
      </c>
      <c r="AM425">
        <v>30</v>
      </c>
    </row>
    <row r="426" spans="1:45" hidden="1" x14ac:dyDescent="0.25">
      <c r="A426">
        <v>425</v>
      </c>
      <c r="B426">
        <v>2025</v>
      </c>
      <c r="C426">
        <v>8</v>
      </c>
      <c r="D426" t="s">
        <v>157</v>
      </c>
      <c r="E426">
        <v>31</v>
      </c>
      <c r="F426">
        <v>7</v>
      </c>
      <c r="G426" t="s">
        <v>430</v>
      </c>
      <c r="H426" s="48">
        <v>1</v>
      </c>
      <c r="I426" s="48">
        <v>1</v>
      </c>
      <c r="J426" s="48">
        <v>1</v>
      </c>
      <c r="K426" s="48">
        <v>1</v>
      </c>
      <c r="L426" s="48">
        <v>1</v>
      </c>
      <c r="M426" s="48">
        <v>1</v>
      </c>
      <c r="N426" s="48">
        <v>1</v>
      </c>
      <c r="O426" s="48">
        <v>1</v>
      </c>
      <c r="P426" s="48">
        <v>1</v>
      </c>
      <c r="Q426" s="48">
        <v>1</v>
      </c>
      <c r="R426" s="48">
        <v>1</v>
      </c>
      <c r="S426" s="48">
        <v>1</v>
      </c>
      <c r="T426" s="48">
        <v>1</v>
      </c>
      <c r="U426" s="48">
        <v>1</v>
      </c>
      <c r="V426" s="48">
        <v>1</v>
      </c>
      <c r="W426" s="48">
        <v>1</v>
      </c>
      <c r="X426" s="48">
        <v>1</v>
      </c>
      <c r="Y426" s="48">
        <v>1</v>
      </c>
      <c r="Z426" s="48">
        <v>1</v>
      </c>
      <c r="AA426" s="48">
        <v>1</v>
      </c>
      <c r="AB426" s="48">
        <v>1</v>
      </c>
      <c r="AC426" s="48">
        <v>1</v>
      </c>
      <c r="AD426" s="48">
        <v>1</v>
      </c>
      <c r="AE426" s="48">
        <v>1</v>
      </c>
      <c r="AF426" s="48">
        <v>1</v>
      </c>
      <c r="AG426" s="48">
        <v>1</v>
      </c>
      <c r="AH426" s="48">
        <v>1</v>
      </c>
      <c r="AI426" s="48">
        <v>1</v>
      </c>
      <c r="AJ426" s="48">
        <v>1</v>
      </c>
      <c r="AK426" s="48">
        <v>1</v>
      </c>
      <c r="AL426" s="48" t="s">
        <v>320</v>
      </c>
    </row>
    <row r="427" spans="1:45" hidden="1" x14ac:dyDescent="0.25">
      <c r="A427">
        <v>426</v>
      </c>
      <c r="B427">
        <v>2025</v>
      </c>
      <c r="C427">
        <v>8</v>
      </c>
      <c r="D427" t="s">
        <v>157</v>
      </c>
      <c r="E427">
        <v>31</v>
      </c>
      <c r="F427">
        <v>7</v>
      </c>
      <c r="G427" t="s">
        <v>431</v>
      </c>
      <c r="H427" s="48">
        <v>1</v>
      </c>
      <c r="I427" s="48">
        <v>1</v>
      </c>
      <c r="J427" s="48">
        <v>1</v>
      </c>
      <c r="K427" s="48">
        <v>1</v>
      </c>
      <c r="L427" s="48">
        <v>1</v>
      </c>
      <c r="M427" s="48">
        <v>1</v>
      </c>
      <c r="N427" s="48">
        <v>1</v>
      </c>
      <c r="O427" s="48">
        <v>1</v>
      </c>
      <c r="P427" s="48">
        <v>1</v>
      </c>
      <c r="Q427" s="48">
        <v>1</v>
      </c>
      <c r="R427" s="48">
        <v>1</v>
      </c>
      <c r="S427" s="48">
        <v>1</v>
      </c>
      <c r="T427" s="48">
        <v>1</v>
      </c>
      <c r="U427" s="48">
        <v>1</v>
      </c>
      <c r="V427" s="48">
        <v>1</v>
      </c>
      <c r="W427" s="48">
        <v>1</v>
      </c>
      <c r="X427" s="48">
        <v>1</v>
      </c>
      <c r="Y427" s="48">
        <v>1</v>
      </c>
      <c r="Z427" s="48">
        <v>1</v>
      </c>
      <c r="AA427" s="48">
        <v>1</v>
      </c>
      <c r="AB427" s="48">
        <v>1</v>
      </c>
      <c r="AC427" s="48">
        <v>1</v>
      </c>
      <c r="AD427" s="48">
        <v>1</v>
      </c>
      <c r="AE427" s="48">
        <v>1</v>
      </c>
      <c r="AF427" s="48">
        <v>1</v>
      </c>
      <c r="AG427" s="48">
        <v>1</v>
      </c>
      <c r="AH427" s="48">
        <v>1</v>
      </c>
      <c r="AI427" s="48">
        <v>1</v>
      </c>
      <c r="AJ427" s="48">
        <v>1</v>
      </c>
      <c r="AK427" s="48">
        <v>1</v>
      </c>
      <c r="AL427" s="48" t="s">
        <v>320</v>
      </c>
      <c r="AS427" t="s">
        <v>320</v>
      </c>
    </row>
    <row r="428" spans="1:45" hidden="1" x14ac:dyDescent="0.25">
      <c r="A428">
        <v>427</v>
      </c>
      <c r="B428">
        <v>2025</v>
      </c>
      <c r="C428">
        <v>8</v>
      </c>
      <c r="D428" t="s">
        <v>151</v>
      </c>
      <c r="E428">
        <v>31</v>
      </c>
      <c r="F428">
        <v>7</v>
      </c>
      <c r="G428" t="s">
        <v>430</v>
      </c>
      <c r="H428" s="48" t="s">
        <v>375</v>
      </c>
      <c r="I428" s="48" t="s">
        <v>375</v>
      </c>
      <c r="J428" s="48" t="s">
        <v>375</v>
      </c>
      <c r="K428" s="48" t="s">
        <v>375</v>
      </c>
      <c r="L428" s="48" t="s">
        <v>375</v>
      </c>
      <c r="M428" s="48" t="s">
        <v>375</v>
      </c>
      <c r="N428" s="48" t="s">
        <v>375</v>
      </c>
      <c r="O428" s="48" t="s">
        <v>375</v>
      </c>
      <c r="P428" s="48" t="s">
        <v>375</v>
      </c>
      <c r="Q428" s="48" t="s">
        <v>375</v>
      </c>
      <c r="R428" s="48" t="s">
        <v>375</v>
      </c>
      <c r="S428" s="48" t="s">
        <v>375</v>
      </c>
      <c r="T428" s="48" t="s">
        <v>375</v>
      </c>
      <c r="U428" s="48" t="s">
        <v>375</v>
      </c>
      <c r="V428" s="48" t="s">
        <v>375</v>
      </c>
      <c r="W428" s="48" t="s">
        <v>375</v>
      </c>
      <c r="X428" s="48" t="s">
        <v>375</v>
      </c>
      <c r="Y428" s="48" t="s">
        <v>375</v>
      </c>
      <c r="Z428" s="48" t="s">
        <v>375</v>
      </c>
      <c r="AA428" s="48" t="s">
        <v>375</v>
      </c>
      <c r="AB428" s="48" t="s">
        <v>375</v>
      </c>
      <c r="AC428" s="48" t="s">
        <v>375</v>
      </c>
      <c r="AD428" s="48" t="s">
        <v>375</v>
      </c>
      <c r="AE428" s="48" t="s">
        <v>375</v>
      </c>
      <c r="AF428" s="48" t="s">
        <v>375</v>
      </c>
      <c r="AG428" s="48" t="s">
        <v>375</v>
      </c>
      <c r="AH428" s="48" t="s">
        <v>375</v>
      </c>
      <c r="AI428" s="48" t="s">
        <v>375</v>
      </c>
      <c r="AJ428" s="48" t="s">
        <v>375</v>
      </c>
      <c r="AK428" s="48" t="s">
        <v>375</v>
      </c>
      <c r="AL428" s="48" t="s">
        <v>375</v>
      </c>
    </row>
    <row r="429" spans="1:45" hidden="1" x14ac:dyDescent="0.25">
      <c r="A429">
        <v>428</v>
      </c>
      <c r="B429">
        <v>2025</v>
      </c>
      <c r="C429">
        <v>8</v>
      </c>
      <c r="D429" t="s">
        <v>151</v>
      </c>
      <c r="E429">
        <v>31</v>
      </c>
      <c r="F429">
        <v>7</v>
      </c>
      <c r="G429" t="s">
        <v>431</v>
      </c>
      <c r="H429" s="48">
        <v>0.25</v>
      </c>
      <c r="I429" s="48">
        <v>0.25</v>
      </c>
      <c r="J429" s="48">
        <v>0.25</v>
      </c>
      <c r="K429" s="48">
        <v>0.25</v>
      </c>
      <c r="L429" s="48">
        <v>0.25</v>
      </c>
      <c r="M429" s="48">
        <v>0.25</v>
      </c>
      <c r="N429" s="48">
        <v>0.25</v>
      </c>
      <c r="O429" s="48">
        <v>0.25</v>
      </c>
      <c r="P429" s="48">
        <v>0.25</v>
      </c>
      <c r="Q429" s="48">
        <v>0.25</v>
      </c>
      <c r="R429" s="48">
        <v>0.25</v>
      </c>
      <c r="S429" s="48">
        <v>0.25</v>
      </c>
      <c r="T429" s="48">
        <v>0.25</v>
      </c>
      <c r="U429" s="48">
        <v>0.25</v>
      </c>
      <c r="V429" s="48">
        <v>0.25</v>
      </c>
      <c r="W429" s="48">
        <v>0.25</v>
      </c>
      <c r="X429" s="48">
        <v>0.25</v>
      </c>
      <c r="Y429" s="48">
        <v>0.25</v>
      </c>
      <c r="Z429" s="48">
        <v>0.25</v>
      </c>
      <c r="AA429" s="48">
        <v>0.25</v>
      </c>
      <c r="AB429" s="48">
        <v>0.25</v>
      </c>
      <c r="AC429" s="48">
        <v>0.25</v>
      </c>
      <c r="AD429" s="48">
        <v>0.25</v>
      </c>
      <c r="AE429" s="48">
        <v>0.25</v>
      </c>
      <c r="AF429" s="48">
        <v>0.25</v>
      </c>
      <c r="AG429" s="48">
        <v>0.25</v>
      </c>
      <c r="AH429" s="48">
        <v>0.25</v>
      </c>
      <c r="AI429" s="48">
        <v>0.25</v>
      </c>
      <c r="AJ429" s="48">
        <v>0.25</v>
      </c>
      <c r="AK429" s="48">
        <v>0.25</v>
      </c>
      <c r="AL429" s="48">
        <v>0.25</v>
      </c>
      <c r="AM429">
        <v>0</v>
      </c>
      <c r="AN429">
        <v>31</v>
      </c>
    </row>
    <row r="430" spans="1:45" hidden="1" x14ac:dyDescent="0.25">
      <c r="A430">
        <v>429</v>
      </c>
      <c r="B430">
        <v>2025</v>
      </c>
      <c r="C430">
        <v>8</v>
      </c>
      <c r="D430" t="s">
        <v>151</v>
      </c>
      <c r="E430">
        <v>31</v>
      </c>
      <c r="F430">
        <v>7</v>
      </c>
      <c r="G430" t="s">
        <v>432</v>
      </c>
      <c r="H430" s="48">
        <v>268771</v>
      </c>
      <c r="I430" s="48">
        <v>268890</v>
      </c>
      <c r="J430" s="48">
        <v>269010</v>
      </c>
      <c r="K430" s="48">
        <v>269151</v>
      </c>
      <c r="L430" s="48">
        <v>269352</v>
      </c>
      <c r="M430" s="48">
        <v>269474</v>
      </c>
      <c r="N430" s="48">
        <v>269581</v>
      </c>
      <c r="O430" s="48">
        <v>269710</v>
      </c>
      <c r="P430" s="48">
        <v>269786</v>
      </c>
      <c r="Q430" s="48">
        <v>269855</v>
      </c>
      <c r="R430" s="48">
        <v>269980</v>
      </c>
      <c r="S430" s="48">
        <v>270063</v>
      </c>
      <c r="T430" s="48">
        <v>270203</v>
      </c>
      <c r="U430" s="48">
        <v>270275</v>
      </c>
      <c r="V430" s="48">
        <v>270432</v>
      </c>
      <c r="W430" s="48">
        <v>270560</v>
      </c>
      <c r="X430" s="48">
        <v>270681</v>
      </c>
      <c r="Y430" s="48">
        <v>270835</v>
      </c>
      <c r="Z430" s="48">
        <v>270968</v>
      </c>
      <c r="AA430" s="48">
        <v>271105</v>
      </c>
      <c r="AB430" s="48">
        <v>271217</v>
      </c>
      <c r="AC430" s="48">
        <v>271289</v>
      </c>
      <c r="AD430" s="48">
        <v>271444</v>
      </c>
      <c r="AE430" s="48">
        <v>271540</v>
      </c>
      <c r="AF430" s="48">
        <v>271630</v>
      </c>
      <c r="AG430" s="48">
        <v>271684</v>
      </c>
      <c r="AH430" s="48">
        <v>271817</v>
      </c>
      <c r="AI430" s="48">
        <v>271870</v>
      </c>
      <c r="AJ430" s="48">
        <v>271969</v>
      </c>
      <c r="AK430" s="48">
        <v>272060</v>
      </c>
      <c r="AL430" s="48">
        <v>272150</v>
      </c>
    </row>
    <row r="431" spans="1:45" hidden="1" x14ac:dyDescent="0.25">
      <c r="A431">
        <v>430</v>
      </c>
      <c r="B431">
        <v>2025</v>
      </c>
      <c r="C431">
        <v>8</v>
      </c>
      <c r="D431" t="s">
        <v>151</v>
      </c>
      <c r="E431">
        <v>31</v>
      </c>
      <c r="F431">
        <v>7</v>
      </c>
      <c r="G431" t="s">
        <v>433</v>
      </c>
      <c r="H431" s="48">
        <v>268890</v>
      </c>
      <c r="I431" s="48">
        <v>269010</v>
      </c>
      <c r="J431" s="48">
        <v>269151</v>
      </c>
      <c r="K431" s="48">
        <v>269352</v>
      </c>
      <c r="L431" s="48">
        <v>269474</v>
      </c>
      <c r="M431" s="48">
        <v>269581</v>
      </c>
      <c r="N431" s="48">
        <v>269710</v>
      </c>
      <c r="O431" s="48">
        <v>269786</v>
      </c>
      <c r="P431" s="48">
        <v>269895</v>
      </c>
      <c r="Q431" s="48">
        <v>269980</v>
      </c>
      <c r="R431" s="48">
        <v>270063</v>
      </c>
      <c r="S431" s="48">
        <v>270203</v>
      </c>
      <c r="T431" s="48">
        <v>270275</v>
      </c>
      <c r="U431" s="48">
        <v>270432</v>
      </c>
      <c r="V431" s="48">
        <v>270560</v>
      </c>
      <c r="W431" s="48">
        <v>270681</v>
      </c>
      <c r="X431" s="48">
        <v>270835</v>
      </c>
      <c r="Y431" s="48">
        <v>270968</v>
      </c>
      <c r="Z431" s="48">
        <v>271105</v>
      </c>
      <c r="AA431" s="48">
        <v>271217</v>
      </c>
      <c r="AB431" s="48">
        <v>271289</v>
      </c>
      <c r="AC431" s="48">
        <v>271444</v>
      </c>
      <c r="AD431" s="48">
        <v>271540</v>
      </c>
      <c r="AE431" s="48">
        <v>271630</v>
      </c>
      <c r="AF431" s="48">
        <v>271684</v>
      </c>
      <c r="AG431" s="48">
        <v>271817</v>
      </c>
      <c r="AH431" s="48">
        <v>271870</v>
      </c>
      <c r="AI431" s="48">
        <v>271969</v>
      </c>
      <c r="AJ431" s="48">
        <v>272060</v>
      </c>
      <c r="AK431" s="48">
        <v>272150</v>
      </c>
      <c r="AL431" s="48">
        <v>272261</v>
      </c>
      <c r="AP431">
        <v>393.1</v>
      </c>
      <c r="AQ431">
        <v>15</v>
      </c>
      <c r="AR431" t="s">
        <v>434</v>
      </c>
      <c r="AS431">
        <v>3530</v>
      </c>
    </row>
    <row r="432" spans="1:45" hidden="1" x14ac:dyDescent="0.25">
      <c r="A432">
        <v>431</v>
      </c>
      <c r="B432">
        <v>2025</v>
      </c>
      <c r="C432">
        <v>8</v>
      </c>
      <c r="D432" t="s">
        <v>149</v>
      </c>
      <c r="E432">
        <v>31</v>
      </c>
      <c r="F432">
        <v>7</v>
      </c>
      <c r="G432" t="s">
        <v>430</v>
      </c>
      <c r="H432" s="48" t="s">
        <v>375</v>
      </c>
      <c r="I432" s="48" t="s">
        <v>375</v>
      </c>
      <c r="J432" s="48" t="s">
        <v>375</v>
      </c>
      <c r="K432" s="48" t="s">
        <v>375</v>
      </c>
      <c r="L432" s="48" t="s">
        <v>375</v>
      </c>
      <c r="M432" s="48" t="s">
        <v>320</v>
      </c>
      <c r="N432" s="48" t="s">
        <v>375</v>
      </c>
      <c r="O432" s="48" t="s">
        <v>375</v>
      </c>
      <c r="P432" s="48" t="s">
        <v>375</v>
      </c>
      <c r="Q432" s="48" t="s">
        <v>375</v>
      </c>
      <c r="R432" s="48" t="s">
        <v>375</v>
      </c>
      <c r="S432" s="48" t="s">
        <v>375</v>
      </c>
      <c r="T432" s="48" t="s">
        <v>375</v>
      </c>
      <c r="U432" s="48" t="s">
        <v>375</v>
      </c>
      <c r="V432" s="48" t="s">
        <v>375</v>
      </c>
      <c r="W432" s="48" t="s">
        <v>375</v>
      </c>
      <c r="X432" s="48" t="s">
        <v>375</v>
      </c>
      <c r="Y432" s="48" t="s">
        <v>375</v>
      </c>
      <c r="Z432" s="48" t="s">
        <v>375</v>
      </c>
      <c r="AA432" s="48" t="s">
        <v>375</v>
      </c>
      <c r="AB432" s="48" t="s">
        <v>375</v>
      </c>
      <c r="AC432" s="48" t="s">
        <v>375</v>
      </c>
      <c r="AD432" s="48" t="s">
        <v>375</v>
      </c>
      <c r="AE432" s="48" t="s">
        <v>375</v>
      </c>
      <c r="AF432" s="48" t="s">
        <v>375</v>
      </c>
      <c r="AG432" s="48" t="s">
        <v>375</v>
      </c>
      <c r="AH432" s="48" t="s">
        <v>375</v>
      </c>
      <c r="AI432" s="48" t="s">
        <v>375</v>
      </c>
      <c r="AJ432" s="48" t="s">
        <v>375</v>
      </c>
      <c r="AK432" s="48" t="s">
        <v>375</v>
      </c>
      <c r="AL432" s="48" t="s">
        <v>375</v>
      </c>
    </row>
    <row r="433" spans="1:45" hidden="1" x14ac:dyDescent="0.25">
      <c r="A433">
        <v>432</v>
      </c>
      <c r="B433">
        <v>2025</v>
      </c>
      <c r="C433">
        <v>8</v>
      </c>
      <c r="D433" t="s">
        <v>149</v>
      </c>
      <c r="E433">
        <v>31</v>
      </c>
      <c r="F433">
        <v>7</v>
      </c>
      <c r="G433" t="s">
        <v>431</v>
      </c>
      <c r="H433" s="48">
        <v>0.75</v>
      </c>
      <c r="I433" s="48">
        <v>0.75</v>
      </c>
      <c r="J433" s="48">
        <v>0.75</v>
      </c>
      <c r="K433" s="48">
        <v>0.75</v>
      </c>
      <c r="L433" s="48">
        <v>0.75</v>
      </c>
      <c r="M433" s="48" t="s">
        <v>320</v>
      </c>
      <c r="N433" s="48">
        <v>0.75</v>
      </c>
      <c r="O433" s="48">
        <v>0.75</v>
      </c>
      <c r="P433" s="48">
        <v>0.75</v>
      </c>
      <c r="Q433" s="48">
        <v>0.75</v>
      </c>
      <c r="R433" s="48">
        <v>0.75</v>
      </c>
      <c r="S433" s="48">
        <v>0.75</v>
      </c>
      <c r="T433" s="48">
        <v>0.75</v>
      </c>
      <c r="U433" s="48">
        <v>0.75</v>
      </c>
      <c r="V433" s="48">
        <v>0.75</v>
      </c>
      <c r="W433" s="48">
        <v>0.75</v>
      </c>
      <c r="X433" s="48">
        <v>0.75</v>
      </c>
      <c r="Y433" s="48">
        <v>0.75</v>
      </c>
      <c r="Z433" s="48">
        <v>0.75</v>
      </c>
      <c r="AA433" s="48">
        <v>0.75</v>
      </c>
      <c r="AB433" s="48">
        <v>0.75</v>
      </c>
      <c r="AC433" s="48">
        <v>0.75</v>
      </c>
      <c r="AD433" s="48">
        <v>0.75</v>
      </c>
      <c r="AE433" s="48">
        <v>0.75</v>
      </c>
      <c r="AF433" s="48">
        <v>0.75</v>
      </c>
      <c r="AG433" s="48">
        <v>0.75</v>
      </c>
      <c r="AH433" s="48">
        <v>0.75</v>
      </c>
      <c r="AI433" s="48">
        <v>0.75</v>
      </c>
      <c r="AJ433" s="48">
        <v>0.75</v>
      </c>
      <c r="AK433" s="48">
        <v>0.75</v>
      </c>
      <c r="AL433" s="48">
        <v>0.75</v>
      </c>
      <c r="AM433">
        <v>30</v>
      </c>
    </row>
    <row r="434" spans="1:45" hidden="1" x14ac:dyDescent="0.25">
      <c r="A434">
        <v>433</v>
      </c>
      <c r="B434">
        <v>2025</v>
      </c>
      <c r="C434">
        <v>8</v>
      </c>
      <c r="D434" t="s">
        <v>149</v>
      </c>
      <c r="E434">
        <v>31</v>
      </c>
      <c r="F434">
        <v>7</v>
      </c>
      <c r="G434" t="s">
        <v>430</v>
      </c>
      <c r="H434" s="48">
        <v>845528</v>
      </c>
      <c r="I434" s="48">
        <v>845832</v>
      </c>
      <c r="J434" s="48">
        <v>1</v>
      </c>
      <c r="K434" s="48">
        <v>846034</v>
      </c>
      <c r="L434" s="48">
        <v>846249</v>
      </c>
      <c r="M434" s="48" t="s">
        <v>320</v>
      </c>
      <c r="N434" s="48">
        <v>846670</v>
      </c>
      <c r="O434" s="48">
        <v>846883</v>
      </c>
      <c r="P434" s="48">
        <v>847106</v>
      </c>
      <c r="Q434" s="48">
        <v>1</v>
      </c>
      <c r="R434" s="48">
        <v>847307</v>
      </c>
      <c r="S434" s="48">
        <v>847667</v>
      </c>
      <c r="T434" s="48">
        <v>847876</v>
      </c>
      <c r="U434" s="48">
        <v>848084</v>
      </c>
      <c r="V434" s="48">
        <v>848299</v>
      </c>
      <c r="W434" s="48">
        <v>848500</v>
      </c>
      <c r="X434" s="48">
        <v>848693</v>
      </c>
      <c r="Y434" s="48">
        <v>848838</v>
      </c>
      <c r="Z434" s="48">
        <v>849048</v>
      </c>
      <c r="AA434" s="48">
        <v>849256</v>
      </c>
      <c r="AB434" s="48">
        <v>849476</v>
      </c>
      <c r="AC434" s="48">
        <v>849685</v>
      </c>
      <c r="AD434" s="48">
        <v>849897</v>
      </c>
      <c r="AE434" s="48">
        <v>850118</v>
      </c>
      <c r="AF434" s="48">
        <v>850319</v>
      </c>
      <c r="AG434" s="48">
        <v>850533</v>
      </c>
      <c r="AH434" s="48">
        <v>850743</v>
      </c>
      <c r="AI434" s="48">
        <v>850952</v>
      </c>
      <c r="AJ434" s="48">
        <v>851164</v>
      </c>
      <c r="AK434" s="48">
        <v>851375</v>
      </c>
      <c r="AL434" s="48">
        <v>1</v>
      </c>
    </row>
    <row r="435" spans="1:45" hidden="1" x14ac:dyDescent="0.25">
      <c r="A435">
        <v>434</v>
      </c>
      <c r="B435">
        <v>2025</v>
      </c>
      <c r="C435">
        <v>8</v>
      </c>
      <c r="D435" t="s">
        <v>149</v>
      </c>
      <c r="E435">
        <v>31</v>
      </c>
      <c r="F435">
        <v>7</v>
      </c>
      <c r="G435" t="s">
        <v>431</v>
      </c>
      <c r="H435" s="48">
        <v>845832</v>
      </c>
      <c r="I435" s="48">
        <v>846034</v>
      </c>
      <c r="J435" s="48">
        <v>1</v>
      </c>
      <c r="K435" s="48">
        <v>846249</v>
      </c>
      <c r="L435" s="48">
        <v>846458</v>
      </c>
      <c r="M435" s="48" t="s">
        <v>320</v>
      </c>
      <c r="N435" s="48">
        <v>846883</v>
      </c>
      <c r="O435" s="48">
        <v>847106</v>
      </c>
      <c r="P435" s="48">
        <v>847307</v>
      </c>
      <c r="Q435" s="48">
        <v>1</v>
      </c>
      <c r="R435" s="48">
        <v>847667</v>
      </c>
      <c r="S435" s="48">
        <v>847876</v>
      </c>
      <c r="T435" s="48">
        <v>848084</v>
      </c>
      <c r="U435" s="48">
        <v>848299</v>
      </c>
      <c r="V435" s="48">
        <v>848500</v>
      </c>
      <c r="W435" s="48">
        <v>848693</v>
      </c>
      <c r="X435" s="48">
        <v>848838</v>
      </c>
      <c r="Y435" s="48">
        <v>849048</v>
      </c>
      <c r="Z435" s="48">
        <v>849256</v>
      </c>
      <c r="AA435" s="48">
        <v>849476</v>
      </c>
      <c r="AB435" s="48">
        <v>849685</v>
      </c>
      <c r="AC435" s="48">
        <v>849897</v>
      </c>
      <c r="AD435" s="48">
        <v>850118</v>
      </c>
      <c r="AE435" s="48">
        <v>850319</v>
      </c>
      <c r="AF435" s="48">
        <v>850533</v>
      </c>
      <c r="AG435" s="48">
        <v>850743</v>
      </c>
      <c r="AH435" s="48">
        <v>850952</v>
      </c>
      <c r="AI435" s="48">
        <v>851164</v>
      </c>
      <c r="AJ435" s="48">
        <v>851375</v>
      </c>
      <c r="AK435" s="48">
        <v>851585</v>
      </c>
      <c r="AL435" s="48">
        <v>1</v>
      </c>
      <c r="AP435">
        <v>1052.0999999999999</v>
      </c>
      <c r="AQ435">
        <v>18</v>
      </c>
      <c r="AS435">
        <v>5845</v>
      </c>
    </row>
    <row r="436" spans="1:45" hidden="1" x14ac:dyDescent="0.25">
      <c r="A436">
        <v>435</v>
      </c>
      <c r="B436">
        <v>2025</v>
      </c>
      <c r="C436">
        <v>8</v>
      </c>
      <c r="D436" t="s">
        <v>172</v>
      </c>
      <c r="E436">
        <v>31</v>
      </c>
      <c r="F436">
        <v>7</v>
      </c>
      <c r="G436" t="s">
        <v>430</v>
      </c>
      <c r="H436" s="48" t="s">
        <v>320</v>
      </c>
      <c r="I436" s="48" t="s">
        <v>320</v>
      </c>
      <c r="J436" s="48" t="s">
        <v>320</v>
      </c>
      <c r="K436" s="48" t="s">
        <v>320</v>
      </c>
      <c r="L436" s="48" t="s">
        <v>320</v>
      </c>
      <c r="M436" s="48" t="s">
        <v>375</v>
      </c>
      <c r="N436" s="48" t="s">
        <v>375</v>
      </c>
      <c r="O436" s="48" t="s">
        <v>375</v>
      </c>
      <c r="P436" s="48" t="s">
        <v>375</v>
      </c>
      <c r="Q436" s="48" t="s">
        <v>375</v>
      </c>
      <c r="R436" s="48" t="s">
        <v>375</v>
      </c>
      <c r="S436" s="48" t="s">
        <v>375</v>
      </c>
      <c r="T436" s="48" t="s">
        <v>375</v>
      </c>
      <c r="U436" s="48" t="s">
        <v>375</v>
      </c>
      <c r="V436" s="48" t="s">
        <v>375</v>
      </c>
      <c r="W436" s="48" t="s">
        <v>375</v>
      </c>
      <c r="X436" s="48" t="s">
        <v>320</v>
      </c>
      <c r="Y436" s="48" t="s">
        <v>375</v>
      </c>
      <c r="Z436" s="48" t="s">
        <v>375</v>
      </c>
      <c r="AA436" s="48" t="s">
        <v>375</v>
      </c>
      <c r="AB436" s="48" t="s">
        <v>375</v>
      </c>
      <c r="AC436" s="48" t="s">
        <v>375</v>
      </c>
      <c r="AD436" s="48" t="s">
        <v>375</v>
      </c>
      <c r="AE436" s="48" t="s">
        <v>375</v>
      </c>
      <c r="AF436" s="48" t="s">
        <v>375</v>
      </c>
      <c r="AG436" s="48" t="s">
        <v>375</v>
      </c>
      <c r="AH436" s="48" t="s">
        <v>375</v>
      </c>
      <c r="AI436" s="48" t="s">
        <v>375</v>
      </c>
      <c r="AJ436" s="48" t="s">
        <v>375</v>
      </c>
      <c r="AK436" s="48" t="s">
        <v>375</v>
      </c>
      <c r="AL436" s="48" t="s">
        <v>375</v>
      </c>
    </row>
    <row r="437" spans="1:45" hidden="1" x14ac:dyDescent="0.25">
      <c r="A437">
        <v>436</v>
      </c>
      <c r="B437">
        <v>2025</v>
      </c>
      <c r="C437">
        <v>8</v>
      </c>
      <c r="D437" t="s">
        <v>172</v>
      </c>
      <c r="E437">
        <v>31</v>
      </c>
      <c r="F437">
        <v>7</v>
      </c>
      <c r="G437" t="s">
        <v>431</v>
      </c>
      <c r="H437" s="48" t="s">
        <v>320</v>
      </c>
      <c r="I437" s="48" t="s">
        <v>320</v>
      </c>
      <c r="J437" s="48" t="s">
        <v>320</v>
      </c>
      <c r="K437" s="48" t="s">
        <v>320</v>
      </c>
      <c r="L437" s="48" t="s">
        <v>320</v>
      </c>
      <c r="M437" s="48" t="s">
        <v>376</v>
      </c>
      <c r="N437" s="48" t="s">
        <v>376</v>
      </c>
      <c r="O437" s="48" t="s">
        <v>376</v>
      </c>
      <c r="P437" s="48" t="s">
        <v>376</v>
      </c>
      <c r="Q437" s="48" t="s">
        <v>376</v>
      </c>
      <c r="R437" s="48" t="s">
        <v>376</v>
      </c>
      <c r="S437" s="48" t="s">
        <v>376</v>
      </c>
      <c r="T437" s="48" t="s">
        <v>376</v>
      </c>
      <c r="U437" s="48" t="s">
        <v>376</v>
      </c>
      <c r="V437" s="48" t="s">
        <v>376</v>
      </c>
      <c r="W437" s="48" t="s">
        <v>376</v>
      </c>
      <c r="X437" s="48" t="s">
        <v>320</v>
      </c>
      <c r="Y437" s="48" t="s">
        <v>376</v>
      </c>
      <c r="Z437" s="48" t="s">
        <v>376</v>
      </c>
      <c r="AA437" s="48" t="s">
        <v>376</v>
      </c>
      <c r="AB437" s="48" t="s">
        <v>376</v>
      </c>
      <c r="AC437" s="48" t="s">
        <v>376</v>
      </c>
      <c r="AD437" s="48" t="s">
        <v>376</v>
      </c>
      <c r="AE437" s="48" t="s">
        <v>376</v>
      </c>
      <c r="AF437" s="48" t="s">
        <v>376</v>
      </c>
      <c r="AG437" s="48" t="s">
        <v>376</v>
      </c>
      <c r="AH437" s="48" t="s">
        <v>376</v>
      </c>
      <c r="AI437" s="48" t="s">
        <v>376</v>
      </c>
      <c r="AJ437" s="48" t="s">
        <v>376</v>
      </c>
      <c r="AK437" s="48" t="s">
        <v>376</v>
      </c>
      <c r="AL437" s="48" t="s">
        <v>376</v>
      </c>
      <c r="AM437">
        <v>25</v>
      </c>
    </row>
    <row r="438" spans="1:45" hidden="1" x14ac:dyDescent="0.25">
      <c r="A438">
        <v>437</v>
      </c>
      <c r="B438">
        <v>2025</v>
      </c>
      <c r="C438">
        <v>8</v>
      </c>
      <c r="D438" t="s">
        <v>172</v>
      </c>
      <c r="E438">
        <v>31</v>
      </c>
      <c r="F438">
        <v>7</v>
      </c>
      <c r="G438" t="s">
        <v>430</v>
      </c>
      <c r="H438" s="48" t="s">
        <v>320</v>
      </c>
      <c r="I438" s="48" t="s">
        <v>320</v>
      </c>
      <c r="J438" s="48" t="s">
        <v>320</v>
      </c>
      <c r="K438" s="48" t="s">
        <v>320</v>
      </c>
      <c r="L438" s="48" t="s">
        <v>320</v>
      </c>
      <c r="M438" s="48">
        <v>551650</v>
      </c>
      <c r="N438" s="48">
        <v>551702</v>
      </c>
      <c r="O438" s="48">
        <v>551754</v>
      </c>
      <c r="P438" s="48">
        <v>551814</v>
      </c>
      <c r="Q438" s="48">
        <v>551861</v>
      </c>
      <c r="R438" s="48">
        <v>551876</v>
      </c>
      <c r="S438" s="48">
        <v>551944</v>
      </c>
      <c r="T438" s="48">
        <v>552000</v>
      </c>
      <c r="U438" s="48">
        <v>552065</v>
      </c>
      <c r="V438" s="48">
        <v>552128</v>
      </c>
      <c r="W438" s="48">
        <v>552189</v>
      </c>
      <c r="X438" s="48" t="s">
        <v>320</v>
      </c>
      <c r="Y438" s="48">
        <v>552402</v>
      </c>
      <c r="Z438" s="48">
        <v>552561</v>
      </c>
      <c r="AA438" s="48">
        <v>552617</v>
      </c>
      <c r="AB438" s="48">
        <v>552671</v>
      </c>
      <c r="AC438" s="48">
        <v>552721</v>
      </c>
      <c r="AD438" s="48">
        <v>552777</v>
      </c>
      <c r="AE438" s="48">
        <v>552827</v>
      </c>
      <c r="AF438" s="48">
        <v>552885</v>
      </c>
      <c r="AG438" s="48">
        <v>552955</v>
      </c>
      <c r="AH438" s="48">
        <v>553010</v>
      </c>
      <c r="AI438" s="48">
        <v>553048</v>
      </c>
      <c r="AJ438" s="48">
        <v>553081</v>
      </c>
      <c r="AK438" s="48">
        <v>553126</v>
      </c>
      <c r="AL438" s="48">
        <v>553159</v>
      </c>
    </row>
    <row r="439" spans="1:45" hidden="1" x14ac:dyDescent="0.25">
      <c r="A439">
        <v>438</v>
      </c>
      <c r="B439">
        <v>2025</v>
      </c>
      <c r="C439">
        <v>8</v>
      </c>
      <c r="D439" t="s">
        <v>172</v>
      </c>
      <c r="E439">
        <v>31</v>
      </c>
      <c r="F439">
        <v>7</v>
      </c>
      <c r="G439" t="s">
        <v>431</v>
      </c>
      <c r="H439" s="48" t="s">
        <v>320</v>
      </c>
      <c r="I439" s="48" t="s">
        <v>320</v>
      </c>
      <c r="J439" s="48" t="s">
        <v>320</v>
      </c>
      <c r="K439" s="48" t="s">
        <v>320</v>
      </c>
      <c r="L439" s="48" t="s">
        <v>320</v>
      </c>
      <c r="M439" s="48">
        <v>551701</v>
      </c>
      <c r="N439" s="48">
        <v>551754</v>
      </c>
      <c r="O439" s="48">
        <v>551814</v>
      </c>
      <c r="P439" s="48">
        <v>551861</v>
      </c>
      <c r="Q439" s="48">
        <v>551876</v>
      </c>
      <c r="R439" s="48">
        <v>551944</v>
      </c>
      <c r="S439" s="48">
        <v>552000</v>
      </c>
      <c r="T439" s="48">
        <v>552065</v>
      </c>
      <c r="U439" s="48">
        <v>552128</v>
      </c>
      <c r="V439" s="48">
        <v>552189</v>
      </c>
      <c r="W439" s="48">
        <v>552352</v>
      </c>
      <c r="X439" s="48" t="s">
        <v>320</v>
      </c>
      <c r="Y439" s="48">
        <v>552561</v>
      </c>
      <c r="Z439" s="48">
        <v>552617</v>
      </c>
      <c r="AA439" s="48">
        <v>552671</v>
      </c>
      <c r="AB439" s="48">
        <v>552721</v>
      </c>
      <c r="AC439" s="48">
        <v>552777</v>
      </c>
      <c r="AD439" s="48">
        <v>552827</v>
      </c>
      <c r="AE439" s="48">
        <v>552885</v>
      </c>
      <c r="AF439" s="48">
        <v>552955</v>
      </c>
      <c r="AG439" s="48">
        <v>553010</v>
      </c>
      <c r="AH439" s="48">
        <v>553048</v>
      </c>
      <c r="AI439" s="48">
        <v>553081</v>
      </c>
      <c r="AJ439" s="48">
        <v>553126</v>
      </c>
      <c r="AK439" s="48">
        <v>553159</v>
      </c>
      <c r="AL439" s="48">
        <v>553186</v>
      </c>
      <c r="AP439">
        <v>222.75</v>
      </c>
      <c r="AQ439">
        <v>15</v>
      </c>
      <c r="AS439">
        <v>1485</v>
      </c>
    </row>
    <row r="440" spans="1:45" hidden="1" x14ac:dyDescent="0.25">
      <c r="A440">
        <v>439</v>
      </c>
      <c r="B440">
        <v>2025</v>
      </c>
      <c r="C440">
        <v>8</v>
      </c>
      <c r="D440" t="s">
        <v>167</v>
      </c>
      <c r="E440">
        <v>31</v>
      </c>
      <c r="F440">
        <v>7</v>
      </c>
      <c r="G440" t="s">
        <v>430</v>
      </c>
      <c r="H440" s="48" t="s">
        <v>375</v>
      </c>
      <c r="I440" s="48" t="s">
        <v>375</v>
      </c>
      <c r="J440" s="48" t="s">
        <v>375</v>
      </c>
      <c r="K440" s="48" t="s">
        <v>375</v>
      </c>
      <c r="L440" s="48" t="s">
        <v>375</v>
      </c>
      <c r="M440" s="48" t="s">
        <v>375</v>
      </c>
      <c r="N440" s="48" t="s">
        <v>375</v>
      </c>
      <c r="O440" s="48" t="s">
        <v>375</v>
      </c>
      <c r="P440" s="48" t="s">
        <v>375</v>
      </c>
      <c r="Q440" s="48" t="s">
        <v>320</v>
      </c>
      <c r="R440" s="48" t="s">
        <v>375</v>
      </c>
      <c r="S440" s="48" t="s">
        <v>375</v>
      </c>
      <c r="T440" s="48" t="s">
        <v>375</v>
      </c>
      <c r="U440" s="48" t="s">
        <v>375</v>
      </c>
      <c r="V440" s="48" t="s">
        <v>375</v>
      </c>
      <c r="W440" s="48" t="s">
        <v>375</v>
      </c>
      <c r="X440" s="48" t="s">
        <v>375</v>
      </c>
      <c r="Y440" s="48" t="s">
        <v>375</v>
      </c>
      <c r="Z440" s="48" t="s">
        <v>375</v>
      </c>
      <c r="AA440" s="48" t="s">
        <v>375</v>
      </c>
      <c r="AB440" s="48" t="s">
        <v>375</v>
      </c>
      <c r="AC440" s="48" t="s">
        <v>375</v>
      </c>
      <c r="AD440" s="48" t="s">
        <v>375</v>
      </c>
      <c r="AE440" s="48" t="s">
        <v>320</v>
      </c>
      <c r="AF440" s="48" t="s">
        <v>375</v>
      </c>
      <c r="AG440" s="48" t="s">
        <v>375</v>
      </c>
      <c r="AH440" s="48" t="s">
        <v>375</v>
      </c>
      <c r="AI440" s="48" t="s">
        <v>375</v>
      </c>
      <c r="AJ440" s="48" t="s">
        <v>375</v>
      </c>
      <c r="AK440" s="48" t="s">
        <v>375</v>
      </c>
      <c r="AL440" s="48" t="s">
        <v>375</v>
      </c>
    </row>
    <row r="441" spans="1:45" hidden="1" x14ac:dyDescent="0.25">
      <c r="A441">
        <v>440</v>
      </c>
      <c r="B441">
        <v>2025</v>
      </c>
      <c r="C441">
        <v>8</v>
      </c>
      <c r="D441" t="s">
        <v>167</v>
      </c>
      <c r="E441">
        <v>31</v>
      </c>
      <c r="F441">
        <v>7</v>
      </c>
      <c r="G441" t="s">
        <v>431</v>
      </c>
      <c r="H441" s="48" t="s">
        <v>376</v>
      </c>
      <c r="I441" s="48" t="s">
        <v>376</v>
      </c>
      <c r="J441" s="48" t="s">
        <v>376</v>
      </c>
      <c r="K441" s="48" t="s">
        <v>376</v>
      </c>
      <c r="L441" s="48" t="s">
        <v>376</v>
      </c>
      <c r="M441" s="48" t="s">
        <v>376</v>
      </c>
      <c r="N441" s="48" t="s">
        <v>376</v>
      </c>
      <c r="O441" s="48" t="s">
        <v>376</v>
      </c>
      <c r="P441" s="48" t="s">
        <v>376</v>
      </c>
      <c r="Q441" s="48" t="s">
        <v>320</v>
      </c>
      <c r="R441" s="48" t="s">
        <v>376</v>
      </c>
      <c r="S441" s="48" t="s">
        <v>376</v>
      </c>
      <c r="T441" s="48" t="s">
        <v>376</v>
      </c>
      <c r="U441" s="48" t="s">
        <v>376</v>
      </c>
      <c r="V441" s="48" t="s">
        <v>376</v>
      </c>
      <c r="W441" s="48" t="s">
        <v>376</v>
      </c>
      <c r="X441" s="48" t="s">
        <v>376</v>
      </c>
      <c r="Y441" s="48" t="s">
        <v>376</v>
      </c>
      <c r="Z441" s="48" t="s">
        <v>376</v>
      </c>
      <c r="AA441" s="48" t="s">
        <v>376</v>
      </c>
      <c r="AB441" s="48" t="s">
        <v>376</v>
      </c>
      <c r="AC441" s="48" t="s">
        <v>376</v>
      </c>
      <c r="AD441" s="48" t="s">
        <v>376</v>
      </c>
      <c r="AE441" s="48" t="s">
        <v>320</v>
      </c>
      <c r="AF441" s="48" t="s">
        <v>376</v>
      </c>
      <c r="AG441" s="48" t="s">
        <v>376</v>
      </c>
      <c r="AH441" s="48" t="s">
        <v>376</v>
      </c>
      <c r="AI441" s="48" t="s">
        <v>376</v>
      </c>
      <c r="AJ441" s="48" t="s">
        <v>376</v>
      </c>
      <c r="AK441" s="48" t="s">
        <v>376</v>
      </c>
      <c r="AL441" s="48" t="s">
        <v>376</v>
      </c>
      <c r="AM441">
        <v>29</v>
      </c>
    </row>
    <row r="442" spans="1:45" hidden="1" x14ac:dyDescent="0.25">
      <c r="A442">
        <v>441</v>
      </c>
      <c r="B442">
        <v>2025</v>
      </c>
      <c r="C442">
        <v>8</v>
      </c>
      <c r="D442" t="s">
        <v>167</v>
      </c>
      <c r="E442">
        <v>31</v>
      </c>
      <c r="F442">
        <v>7</v>
      </c>
      <c r="G442" t="s">
        <v>430</v>
      </c>
      <c r="H442" s="48">
        <v>204711</v>
      </c>
      <c r="I442" s="48">
        <v>204805</v>
      </c>
      <c r="J442" s="48">
        <v>204889</v>
      </c>
      <c r="K442" s="48">
        <v>204942</v>
      </c>
      <c r="L442" s="48">
        <v>205022</v>
      </c>
      <c r="M442" s="48">
        <v>205116</v>
      </c>
      <c r="N442" s="48">
        <v>205205</v>
      </c>
      <c r="O442" s="48">
        <v>205265</v>
      </c>
      <c r="P442" s="48">
        <v>205341</v>
      </c>
      <c r="Q442" s="48" t="s">
        <v>320</v>
      </c>
      <c r="R442" s="48">
        <v>205474</v>
      </c>
      <c r="S442" s="48">
        <v>205560</v>
      </c>
      <c r="T442" s="48">
        <v>205653</v>
      </c>
      <c r="U442" s="48">
        <v>205711</v>
      </c>
      <c r="V442" s="48">
        <v>205846</v>
      </c>
      <c r="W442" s="48">
        <v>205959</v>
      </c>
      <c r="X442" s="48">
        <v>206065</v>
      </c>
      <c r="Y442" s="48">
        <v>206221</v>
      </c>
      <c r="Z442" s="48">
        <v>206285</v>
      </c>
      <c r="AA442" s="48">
        <v>206354</v>
      </c>
      <c r="AB442" s="48">
        <v>206422</v>
      </c>
      <c r="AC442" s="48">
        <v>206514</v>
      </c>
      <c r="AD442" s="48">
        <v>206601</v>
      </c>
      <c r="AE442" s="48" t="s">
        <v>320</v>
      </c>
      <c r="AF442" s="48">
        <v>206717</v>
      </c>
      <c r="AG442" s="48">
        <v>206776</v>
      </c>
      <c r="AH442" s="48">
        <v>206831</v>
      </c>
      <c r="AI442" s="48">
        <v>206912</v>
      </c>
      <c r="AJ442" s="48">
        <v>207044</v>
      </c>
      <c r="AK442" s="48">
        <v>207103</v>
      </c>
      <c r="AL442" s="48">
        <v>207152</v>
      </c>
    </row>
    <row r="443" spans="1:45" hidden="1" x14ac:dyDescent="0.25">
      <c r="A443">
        <v>442</v>
      </c>
      <c r="B443">
        <v>2025</v>
      </c>
      <c r="C443">
        <v>8</v>
      </c>
      <c r="D443" t="s">
        <v>167</v>
      </c>
      <c r="E443">
        <v>31</v>
      </c>
      <c r="F443">
        <v>7</v>
      </c>
      <c r="G443" t="s">
        <v>431</v>
      </c>
      <c r="H443" s="48">
        <v>204805</v>
      </c>
      <c r="I443" s="48">
        <v>204889</v>
      </c>
      <c r="J443" s="48">
        <v>204942</v>
      </c>
      <c r="K443" s="48">
        <v>205022</v>
      </c>
      <c r="L443" s="48">
        <v>205116</v>
      </c>
      <c r="M443" s="48">
        <v>205205</v>
      </c>
      <c r="N443" s="48">
        <v>205265</v>
      </c>
      <c r="O443" s="48">
        <v>205341</v>
      </c>
      <c r="P443" s="48">
        <v>205422</v>
      </c>
      <c r="Q443" s="48" t="s">
        <v>320</v>
      </c>
      <c r="R443" s="48">
        <v>205560</v>
      </c>
      <c r="S443" s="48">
        <v>205653</v>
      </c>
      <c r="T443" s="48">
        <v>205711</v>
      </c>
      <c r="U443" s="48">
        <v>205846</v>
      </c>
      <c r="V443" s="48">
        <v>205959</v>
      </c>
      <c r="W443" s="48">
        <v>206065</v>
      </c>
      <c r="X443" s="48">
        <v>206139</v>
      </c>
      <c r="Y443" s="48">
        <v>206285</v>
      </c>
      <c r="Z443" s="48">
        <v>206354</v>
      </c>
      <c r="AA443" s="48">
        <v>206422</v>
      </c>
      <c r="AB443" s="48">
        <v>206514</v>
      </c>
      <c r="AC443" s="48">
        <v>206601</v>
      </c>
      <c r="AD443" s="48">
        <v>206652</v>
      </c>
      <c r="AE443" s="48" t="s">
        <v>320</v>
      </c>
      <c r="AF443" s="48">
        <v>206776</v>
      </c>
      <c r="AG443" s="48">
        <v>206831</v>
      </c>
      <c r="AH443" s="48">
        <v>206912</v>
      </c>
      <c r="AI443" s="48">
        <v>207044</v>
      </c>
      <c r="AJ443" s="48">
        <v>207103</v>
      </c>
      <c r="AK443" s="48">
        <v>207152</v>
      </c>
      <c r="AL443" s="48">
        <v>207203</v>
      </c>
      <c r="AP443">
        <v>343.95</v>
      </c>
      <c r="AQ443">
        <v>15</v>
      </c>
      <c r="AS443">
        <v>2293</v>
      </c>
    </row>
    <row r="444" spans="1:45" hidden="1" x14ac:dyDescent="0.25">
      <c r="A444">
        <v>443</v>
      </c>
      <c r="B444">
        <v>2025</v>
      </c>
      <c r="C444">
        <v>8</v>
      </c>
      <c r="D444" t="s">
        <v>160</v>
      </c>
      <c r="E444">
        <v>31</v>
      </c>
      <c r="F444">
        <v>7</v>
      </c>
      <c r="G444" t="s">
        <v>430</v>
      </c>
      <c r="H444" s="48" t="s">
        <v>375</v>
      </c>
      <c r="I444" s="48" t="s">
        <v>375</v>
      </c>
      <c r="J444" s="48" t="s">
        <v>375</v>
      </c>
      <c r="K444" s="48" t="s">
        <v>375</v>
      </c>
      <c r="L444" s="48" t="s">
        <v>375</v>
      </c>
      <c r="M444" s="48" t="s">
        <v>375</v>
      </c>
      <c r="N444" s="48" t="s">
        <v>375</v>
      </c>
      <c r="O444" s="48" t="s">
        <v>375</v>
      </c>
      <c r="P444" s="48" t="s">
        <v>375</v>
      </c>
      <c r="Q444" s="48" t="s">
        <v>375</v>
      </c>
      <c r="R444" s="48" t="s">
        <v>375</v>
      </c>
      <c r="S444" s="48" t="s">
        <v>375</v>
      </c>
      <c r="T444" s="48" t="s">
        <v>375</v>
      </c>
      <c r="U444" s="48" t="s">
        <v>375</v>
      </c>
      <c r="V444" s="48" t="s">
        <v>375</v>
      </c>
      <c r="W444" s="48" t="s">
        <v>320</v>
      </c>
      <c r="X444" s="48" t="s">
        <v>320</v>
      </c>
      <c r="Y444" s="48" t="s">
        <v>320</v>
      </c>
      <c r="Z444" s="48" t="s">
        <v>320</v>
      </c>
      <c r="AA444" s="48" t="s">
        <v>320</v>
      </c>
      <c r="AB444" s="48" t="s">
        <v>320</v>
      </c>
      <c r="AC444" s="48" t="s">
        <v>320</v>
      </c>
      <c r="AD444" s="48" t="s">
        <v>320</v>
      </c>
      <c r="AE444" s="48" t="s">
        <v>320</v>
      </c>
      <c r="AF444" s="48" t="s">
        <v>320</v>
      </c>
      <c r="AG444" s="48" t="s">
        <v>320</v>
      </c>
      <c r="AH444" s="48" t="s">
        <v>320</v>
      </c>
      <c r="AI444" s="48" t="s">
        <v>320</v>
      </c>
      <c r="AJ444" s="48" t="s">
        <v>320</v>
      </c>
      <c r="AK444" s="48" t="s">
        <v>320</v>
      </c>
      <c r="AL444" s="48" t="s">
        <v>320</v>
      </c>
    </row>
    <row r="445" spans="1:45" hidden="1" x14ac:dyDescent="0.25">
      <c r="A445">
        <v>444</v>
      </c>
      <c r="B445">
        <v>2025</v>
      </c>
      <c r="C445">
        <v>8</v>
      </c>
      <c r="D445" t="s">
        <v>160</v>
      </c>
      <c r="E445">
        <v>31</v>
      </c>
      <c r="F445">
        <v>7</v>
      </c>
      <c r="G445" t="s">
        <v>431</v>
      </c>
      <c r="H445" s="48" t="s">
        <v>376</v>
      </c>
      <c r="I445" s="48" t="s">
        <v>376</v>
      </c>
      <c r="J445" s="48" t="s">
        <v>376</v>
      </c>
      <c r="K445" s="48" t="s">
        <v>376</v>
      </c>
      <c r="L445" s="48" t="s">
        <v>376</v>
      </c>
      <c r="M445" s="48" t="s">
        <v>376</v>
      </c>
      <c r="N445" s="48" t="s">
        <v>376</v>
      </c>
      <c r="O445" s="48" t="s">
        <v>376</v>
      </c>
      <c r="P445" s="48" t="s">
        <v>376</v>
      </c>
      <c r="Q445" s="48" t="s">
        <v>376</v>
      </c>
      <c r="R445" s="48" t="s">
        <v>376</v>
      </c>
      <c r="S445" s="48" t="s">
        <v>376</v>
      </c>
      <c r="T445" s="48" t="s">
        <v>376</v>
      </c>
      <c r="U445" s="48" t="s">
        <v>376</v>
      </c>
      <c r="V445" s="48" t="s">
        <v>376</v>
      </c>
      <c r="W445" s="48" t="s">
        <v>320</v>
      </c>
      <c r="X445" s="48" t="s">
        <v>320</v>
      </c>
      <c r="Y445" s="48" t="s">
        <v>320</v>
      </c>
      <c r="Z445" s="48" t="s">
        <v>320</v>
      </c>
      <c r="AA445" s="48" t="s">
        <v>320</v>
      </c>
      <c r="AB445" s="48" t="s">
        <v>320</v>
      </c>
      <c r="AC445" s="48" t="s">
        <v>320</v>
      </c>
      <c r="AD445" s="48" t="s">
        <v>320</v>
      </c>
      <c r="AE445" s="48" t="s">
        <v>320</v>
      </c>
      <c r="AF445" s="48" t="s">
        <v>320</v>
      </c>
      <c r="AG445" s="48" t="s">
        <v>320</v>
      </c>
      <c r="AH445" s="48" t="s">
        <v>320</v>
      </c>
      <c r="AI445" s="48" t="s">
        <v>320</v>
      </c>
      <c r="AJ445" s="48" t="s">
        <v>320</v>
      </c>
      <c r="AK445" s="48" t="s">
        <v>320</v>
      </c>
      <c r="AL445" s="48" t="s">
        <v>320</v>
      </c>
      <c r="AM445">
        <v>15</v>
      </c>
    </row>
    <row r="446" spans="1:45" hidden="1" x14ac:dyDescent="0.25">
      <c r="A446">
        <v>445</v>
      </c>
      <c r="B446">
        <v>2025</v>
      </c>
      <c r="C446">
        <v>8</v>
      </c>
      <c r="D446" t="s">
        <v>169</v>
      </c>
      <c r="E446">
        <v>31</v>
      </c>
      <c r="F446">
        <v>7</v>
      </c>
      <c r="G446" t="s">
        <v>430</v>
      </c>
      <c r="H446" s="48" t="s">
        <v>375</v>
      </c>
      <c r="I446" s="48" t="s">
        <v>375</v>
      </c>
      <c r="J446" s="48" t="s">
        <v>375</v>
      </c>
      <c r="K446" s="48" t="s">
        <v>375</v>
      </c>
      <c r="L446" s="48" t="s">
        <v>375</v>
      </c>
      <c r="M446" s="48" t="s">
        <v>375</v>
      </c>
      <c r="N446" s="48" t="s">
        <v>375</v>
      </c>
      <c r="O446" s="48" t="s">
        <v>375</v>
      </c>
      <c r="P446" s="48" t="s">
        <v>375</v>
      </c>
      <c r="Q446" s="48" t="s">
        <v>320</v>
      </c>
      <c r="R446" s="48" t="s">
        <v>375</v>
      </c>
      <c r="S446" s="48" t="s">
        <v>375</v>
      </c>
      <c r="T446" s="48" t="s">
        <v>375</v>
      </c>
      <c r="U446" s="48" t="s">
        <v>375</v>
      </c>
      <c r="V446" s="48" t="s">
        <v>375</v>
      </c>
      <c r="W446" s="48" t="s">
        <v>375</v>
      </c>
      <c r="X446" s="48" t="s">
        <v>375</v>
      </c>
      <c r="Y446" s="48" t="s">
        <v>375</v>
      </c>
      <c r="Z446" s="48" t="s">
        <v>375</v>
      </c>
      <c r="AA446" s="48" t="s">
        <v>375</v>
      </c>
      <c r="AB446" s="48" t="s">
        <v>375</v>
      </c>
      <c r="AC446" s="48" t="s">
        <v>375</v>
      </c>
      <c r="AD446" s="48" t="s">
        <v>375</v>
      </c>
      <c r="AE446" s="48" t="s">
        <v>320</v>
      </c>
      <c r="AF446" s="48" t="s">
        <v>375</v>
      </c>
      <c r="AG446" s="48" t="s">
        <v>375</v>
      </c>
      <c r="AH446" s="48" t="s">
        <v>375</v>
      </c>
      <c r="AI446" s="48" t="s">
        <v>375</v>
      </c>
      <c r="AJ446" s="48" t="s">
        <v>375</v>
      </c>
      <c r="AK446" s="48" t="s">
        <v>375</v>
      </c>
      <c r="AL446" s="48" t="s">
        <v>375</v>
      </c>
    </row>
    <row r="447" spans="1:45" hidden="1" x14ac:dyDescent="0.25">
      <c r="A447">
        <v>446</v>
      </c>
      <c r="B447">
        <v>2025</v>
      </c>
      <c r="C447">
        <v>8</v>
      </c>
      <c r="D447" t="s">
        <v>169</v>
      </c>
      <c r="E447">
        <v>31</v>
      </c>
      <c r="F447">
        <v>7</v>
      </c>
      <c r="G447" t="s">
        <v>431</v>
      </c>
      <c r="H447" s="48">
        <v>0.75</v>
      </c>
      <c r="I447" s="48">
        <v>0.75</v>
      </c>
      <c r="J447" s="48">
        <v>0.79166666666666674</v>
      </c>
      <c r="K447" s="48">
        <v>0.75</v>
      </c>
      <c r="L447" s="48">
        <v>0.91666666666666674</v>
      </c>
      <c r="M447" s="48">
        <v>0.75</v>
      </c>
      <c r="N447" s="48">
        <v>0.75</v>
      </c>
      <c r="O447" s="48">
        <v>0.75</v>
      </c>
      <c r="P447" s="48">
        <v>0.75</v>
      </c>
      <c r="Q447" s="48" t="s">
        <v>320</v>
      </c>
      <c r="R447" s="48">
        <v>0.75</v>
      </c>
      <c r="S447" s="48">
        <v>0.75</v>
      </c>
      <c r="T447" s="48">
        <v>0.875</v>
      </c>
      <c r="U447" s="48">
        <v>0.75</v>
      </c>
      <c r="V447" s="48">
        <v>0.83333333333333326</v>
      </c>
      <c r="W447" s="48">
        <v>0.75</v>
      </c>
      <c r="X447" s="48">
        <v>0.79166666666666674</v>
      </c>
      <c r="Y447" s="48">
        <v>0.75</v>
      </c>
      <c r="Z447" s="48">
        <v>0.75</v>
      </c>
      <c r="AA447" s="48">
        <v>0.75</v>
      </c>
      <c r="AB447" s="48">
        <v>0.75</v>
      </c>
      <c r="AC447" s="48">
        <v>0.75</v>
      </c>
      <c r="AD447" s="48">
        <v>0.75</v>
      </c>
      <c r="AE447" s="48" t="s">
        <v>320</v>
      </c>
      <c r="AF447" s="48">
        <v>0.75</v>
      </c>
      <c r="AG447" s="48">
        <v>0.75</v>
      </c>
      <c r="AH447" s="48">
        <v>0.75</v>
      </c>
      <c r="AI447" s="48">
        <v>0.75</v>
      </c>
      <c r="AJ447" s="48">
        <v>0.79166666666666674</v>
      </c>
      <c r="AK447" s="48">
        <v>0.75</v>
      </c>
      <c r="AL447" s="48">
        <v>0.75</v>
      </c>
      <c r="AM447">
        <v>29</v>
      </c>
      <c r="AO447">
        <v>11.999999999999995</v>
      </c>
    </row>
    <row r="448" spans="1:45" hidden="1" x14ac:dyDescent="0.25">
      <c r="A448">
        <v>447</v>
      </c>
      <c r="B448">
        <v>2025</v>
      </c>
      <c r="C448">
        <v>8</v>
      </c>
      <c r="D448" t="s">
        <v>169</v>
      </c>
      <c r="E448">
        <v>31</v>
      </c>
      <c r="F448">
        <v>7</v>
      </c>
      <c r="G448" t="s">
        <v>430</v>
      </c>
      <c r="H448" s="48">
        <v>237683</v>
      </c>
      <c r="I448" s="48">
        <v>237787</v>
      </c>
      <c r="J448" s="48">
        <v>237818</v>
      </c>
      <c r="K448" s="48">
        <v>237852</v>
      </c>
      <c r="L448" s="48">
        <v>237883</v>
      </c>
      <c r="M448" s="48">
        <v>237902</v>
      </c>
      <c r="N448" s="48">
        <v>237955</v>
      </c>
      <c r="O448" s="48">
        <v>237987</v>
      </c>
      <c r="P448" s="48">
        <v>238230</v>
      </c>
      <c r="Q448" s="48" t="s">
        <v>320</v>
      </c>
      <c r="R448" s="48">
        <v>238466</v>
      </c>
      <c r="S448" s="48">
        <v>238592</v>
      </c>
      <c r="T448" s="48">
        <v>238608</v>
      </c>
      <c r="U448" s="48">
        <v>238642</v>
      </c>
      <c r="V448" s="48">
        <v>238809</v>
      </c>
      <c r="W448" s="48">
        <v>238950</v>
      </c>
      <c r="X448" s="48">
        <v>238969</v>
      </c>
      <c r="Y448" s="48">
        <v>238994</v>
      </c>
      <c r="Z448" s="48">
        <v>239040</v>
      </c>
      <c r="AA448" s="48">
        <v>239075</v>
      </c>
      <c r="AB448" s="48">
        <v>239253</v>
      </c>
      <c r="AC448" s="48">
        <v>239350</v>
      </c>
      <c r="AD448" s="48">
        <v>239394</v>
      </c>
      <c r="AE448" s="48" t="s">
        <v>320</v>
      </c>
      <c r="AF448" s="48">
        <v>239633</v>
      </c>
      <c r="AG448" s="48">
        <v>239757</v>
      </c>
      <c r="AH448" s="48">
        <v>239786</v>
      </c>
      <c r="AI448" s="48">
        <v>239928</v>
      </c>
      <c r="AJ448" s="48">
        <v>240062</v>
      </c>
      <c r="AK448" s="48">
        <v>240103</v>
      </c>
      <c r="AL448" s="48">
        <v>240249</v>
      </c>
    </row>
    <row r="449" spans="1:45" hidden="1" x14ac:dyDescent="0.25">
      <c r="A449">
        <v>448</v>
      </c>
      <c r="B449">
        <v>2025</v>
      </c>
      <c r="C449">
        <v>8</v>
      </c>
      <c r="D449" t="s">
        <v>169</v>
      </c>
      <c r="E449">
        <v>31</v>
      </c>
      <c r="F449">
        <v>7</v>
      </c>
      <c r="G449" t="s">
        <v>431</v>
      </c>
      <c r="H449" s="48">
        <v>237787</v>
      </c>
      <c r="I449" s="48">
        <v>237818</v>
      </c>
      <c r="J449" s="48">
        <v>237852</v>
      </c>
      <c r="K449" s="48">
        <v>237883</v>
      </c>
      <c r="L449" s="48">
        <v>237902</v>
      </c>
      <c r="M449" s="48">
        <v>237955</v>
      </c>
      <c r="N449" s="48">
        <v>237987</v>
      </c>
      <c r="O449" s="48">
        <v>238223</v>
      </c>
      <c r="P449" s="48">
        <v>238456</v>
      </c>
      <c r="Q449" s="48" t="s">
        <v>320</v>
      </c>
      <c r="R449" s="48">
        <v>238591</v>
      </c>
      <c r="S449" s="48">
        <v>238607</v>
      </c>
      <c r="T449" s="48">
        <v>238632</v>
      </c>
      <c r="U449" s="48">
        <v>238787</v>
      </c>
      <c r="V449" s="48">
        <v>238930</v>
      </c>
      <c r="W449" s="48">
        <v>238969</v>
      </c>
      <c r="X449" s="48">
        <v>238990</v>
      </c>
      <c r="Y449" s="48">
        <v>239039</v>
      </c>
      <c r="Z449" s="48">
        <v>239075</v>
      </c>
      <c r="AA449" s="48">
        <v>239216</v>
      </c>
      <c r="AB449" s="48">
        <v>239350</v>
      </c>
      <c r="AC449" s="48">
        <v>239393</v>
      </c>
      <c r="AD449" s="48">
        <v>239514</v>
      </c>
      <c r="AE449" s="48" t="s">
        <v>320</v>
      </c>
      <c r="AF449" s="48">
        <v>239754</v>
      </c>
      <c r="AG449" s="48">
        <v>239786</v>
      </c>
      <c r="AH449" s="48">
        <v>239826</v>
      </c>
      <c r="AI449" s="48">
        <v>240062</v>
      </c>
      <c r="AJ449" s="48">
        <v>240103</v>
      </c>
      <c r="AK449" s="48">
        <v>240232</v>
      </c>
      <c r="AL449" s="48">
        <v>240365</v>
      </c>
      <c r="AP449">
        <v>349.04999999999995</v>
      </c>
      <c r="AQ449">
        <v>14.999999999999998</v>
      </c>
      <c r="AS449">
        <v>2327</v>
      </c>
    </row>
    <row r="450" spans="1:45" hidden="1" x14ac:dyDescent="0.25">
      <c r="A450">
        <v>449</v>
      </c>
      <c r="B450">
        <v>2025</v>
      </c>
      <c r="C450">
        <v>8</v>
      </c>
      <c r="D450" t="s">
        <v>170</v>
      </c>
      <c r="E450">
        <v>31</v>
      </c>
      <c r="F450">
        <v>7</v>
      </c>
      <c r="G450" t="s">
        <v>430</v>
      </c>
      <c r="H450" s="48" t="s">
        <v>320</v>
      </c>
      <c r="I450" s="48" t="s">
        <v>320</v>
      </c>
      <c r="J450" s="48" t="s">
        <v>320</v>
      </c>
      <c r="K450" s="48" t="s">
        <v>320</v>
      </c>
      <c r="L450" s="48" t="s">
        <v>320</v>
      </c>
      <c r="M450" s="48" t="s">
        <v>320</v>
      </c>
      <c r="N450" s="48" t="s">
        <v>320</v>
      </c>
      <c r="O450" s="48" t="s">
        <v>320</v>
      </c>
      <c r="P450" s="48" t="s">
        <v>320</v>
      </c>
      <c r="Q450" s="48" t="s">
        <v>320</v>
      </c>
      <c r="R450" s="48" t="s">
        <v>320</v>
      </c>
      <c r="S450" s="48" t="s">
        <v>320</v>
      </c>
      <c r="T450" s="48" t="s">
        <v>320</v>
      </c>
      <c r="U450" s="48" t="s">
        <v>320</v>
      </c>
      <c r="V450" s="48" t="s">
        <v>320</v>
      </c>
      <c r="W450" s="48" t="s">
        <v>320</v>
      </c>
      <c r="X450" s="48" t="s">
        <v>320</v>
      </c>
      <c r="Y450" s="48" t="s">
        <v>375</v>
      </c>
      <c r="Z450" s="48" t="s">
        <v>375</v>
      </c>
      <c r="AA450" s="48" t="s">
        <v>375</v>
      </c>
      <c r="AB450" s="48" t="s">
        <v>375</v>
      </c>
      <c r="AC450" s="48" t="s">
        <v>375</v>
      </c>
      <c r="AD450" s="48" t="s">
        <v>375</v>
      </c>
      <c r="AE450" s="48" t="s">
        <v>375</v>
      </c>
      <c r="AF450" s="48" t="s">
        <v>375</v>
      </c>
      <c r="AG450" s="48" t="s">
        <v>375</v>
      </c>
      <c r="AH450" s="48" t="s">
        <v>375</v>
      </c>
      <c r="AI450" s="48" t="s">
        <v>375</v>
      </c>
      <c r="AJ450" s="48" t="s">
        <v>375</v>
      </c>
      <c r="AK450" s="48" t="s">
        <v>375</v>
      </c>
      <c r="AL450" s="48" t="s">
        <v>375</v>
      </c>
    </row>
    <row r="451" spans="1:45" hidden="1" x14ac:dyDescent="0.25">
      <c r="A451">
        <v>450</v>
      </c>
      <c r="B451">
        <v>2025</v>
      </c>
      <c r="C451">
        <v>8</v>
      </c>
      <c r="D451" t="s">
        <v>170</v>
      </c>
      <c r="E451">
        <v>31</v>
      </c>
      <c r="F451">
        <v>7</v>
      </c>
      <c r="G451" t="s">
        <v>431</v>
      </c>
      <c r="H451" s="48" t="s">
        <v>320</v>
      </c>
      <c r="I451" s="48" t="s">
        <v>320</v>
      </c>
      <c r="J451" s="48" t="s">
        <v>320</v>
      </c>
      <c r="K451" s="48" t="s">
        <v>320</v>
      </c>
      <c r="L451" s="48" t="s">
        <v>320</v>
      </c>
      <c r="M451" s="48" t="s">
        <v>320</v>
      </c>
      <c r="N451" s="48" t="s">
        <v>320</v>
      </c>
      <c r="O451" s="48" t="s">
        <v>320</v>
      </c>
      <c r="P451" s="48" t="s">
        <v>320</v>
      </c>
      <c r="Q451" s="48" t="s">
        <v>320</v>
      </c>
      <c r="R451" s="48" t="s">
        <v>320</v>
      </c>
      <c r="S451" s="48" t="s">
        <v>320</v>
      </c>
      <c r="T451" s="48" t="s">
        <v>320</v>
      </c>
      <c r="U451" s="48" t="s">
        <v>320</v>
      </c>
      <c r="V451" s="48" t="s">
        <v>320</v>
      </c>
      <c r="W451" s="48" t="s">
        <v>320</v>
      </c>
      <c r="X451" s="48" t="s">
        <v>320</v>
      </c>
      <c r="Y451" s="48" t="s">
        <v>412</v>
      </c>
      <c r="Z451" s="48" t="s">
        <v>412</v>
      </c>
      <c r="AA451" s="48" t="s">
        <v>412</v>
      </c>
      <c r="AB451" s="48" t="s">
        <v>412</v>
      </c>
      <c r="AC451" s="48" t="s">
        <v>412</v>
      </c>
      <c r="AD451" s="48" t="s">
        <v>412</v>
      </c>
      <c r="AE451" s="48" t="s">
        <v>412</v>
      </c>
      <c r="AF451" s="48" t="s">
        <v>412</v>
      </c>
      <c r="AG451" s="48" t="s">
        <v>412</v>
      </c>
      <c r="AH451" s="48" t="s">
        <v>413</v>
      </c>
      <c r="AI451" s="48" t="s">
        <v>414</v>
      </c>
      <c r="AJ451" s="48" t="s">
        <v>415</v>
      </c>
      <c r="AK451" s="48" t="s">
        <v>416</v>
      </c>
      <c r="AL451" s="48" t="s">
        <v>416</v>
      </c>
      <c r="AM451">
        <v>14</v>
      </c>
    </row>
    <row r="452" spans="1:45" hidden="1" x14ac:dyDescent="0.25">
      <c r="A452">
        <v>451</v>
      </c>
      <c r="B452">
        <v>2025</v>
      </c>
      <c r="C452">
        <v>8</v>
      </c>
      <c r="D452" t="s">
        <v>170</v>
      </c>
      <c r="E452">
        <v>31</v>
      </c>
      <c r="F452">
        <v>7</v>
      </c>
      <c r="G452" t="s">
        <v>430</v>
      </c>
      <c r="H452" s="48" t="s">
        <v>320</v>
      </c>
      <c r="I452" s="48" t="s">
        <v>320</v>
      </c>
      <c r="J452" s="48" t="s">
        <v>320</v>
      </c>
      <c r="K452" s="48" t="s">
        <v>320</v>
      </c>
      <c r="L452" s="48" t="s">
        <v>320</v>
      </c>
      <c r="M452" s="48" t="s">
        <v>320</v>
      </c>
      <c r="N452" s="48" t="s">
        <v>320</v>
      </c>
      <c r="O452" s="48" t="s">
        <v>320</v>
      </c>
      <c r="P452" s="48" t="s">
        <v>320</v>
      </c>
      <c r="Q452" s="48" t="s">
        <v>320</v>
      </c>
      <c r="R452" s="48" t="s">
        <v>320</v>
      </c>
      <c r="S452" s="48" t="s">
        <v>320</v>
      </c>
      <c r="T452" s="48" t="s">
        <v>320</v>
      </c>
      <c r="U452" s="48" t="s">
        <v>320</v>
      </c>
      <c r="V452" s="48" t="s">
        <v>320</v>
      </c>
      <c r="W452" s="48" t="s">
        <v>320</v>
      </c>
      <c r="X452" s="48" t="s">
        <v>320</v>
      </c>
      <c r="Y452" s="48">
        <v>364905</v>
      </c>
      <c r="Z452" s="48">
        <v>365010</v>
      </c>
      <c r="AA452" s="48">
        <v>365111</v>
      </c>
      <c r="AB452" s="48">
        <v>365212</v>
      </c>
      <c r="AC452" s="48">
        <v>365313</v>
      </c>
      <c r="AD452" s="48">
        <v>365414</v>
      </c>
      <c r="AE452" s="48">
        <v>365515</v>
      </c>
      <c r="AF452" s="48">
        <v>365616</v>
      </c>
      <c r="AG452" s="48">
        <v>365616</v>
      </c>
      <c r="AH452" s="48">
        <v>365717</v>
      </c>
      <c r="AI452" s="48">
        <v>365931</v>
      </c>
      <c r="AJ452" s="48">
        <v>366141</v>
      </c>
      <c r="AK452" s="48">
        <v>366321</v>
      </c>
      <c r="AL452" s="48">
        <v>1</v>
      </c>
    </row>
    <row r="453" spans="1:45" hidden="1" x14ac:dyDescent="0.25">
      <c r="A453">
        <v>452</v>
      </c>
      <c r="B453">
        <v>2025</v>
      </c>
      <c r="C453">
        <v>8</v>
      </c>
      <c r="D453" t="s">
        <v>170</v>
      </c>
      <c r="E453">
        <v>31</v>
      </c>
      <c r="F453">
        <v>7</v>
      </c>
      <c r="G453" t="s">
        <v>431</v>
      </c>
      <c r="H453" s="48" t="s">
        <v>320</v>
      </c>
      <c r="I453" s="48" t="s">
        <v>320</v>
      </c>
      <c r="J453" s="48" t="s">
        <v>320</v>
      </c>
      <c r="K453" s="48" t="s">
        <v>320</v>
      </c>
      <c r="L453" s="48" t="s">
        <v>320</v>
      </c>
      <c r="M453" s="48" t="s">
        <v>320</v>
      </c>
      <c r="N453" s="48" t="s">
        <v>320</v>
      </c>
      <c r="O453" s="48" t="s">
        <v>320</v>
      </c>
      <c r="P453" s="48" t="s">
        <v>320</v>
      </c>
      <c r="Q453" s="48" t="s">
        <v>320</v>
      </c>
      <c r="R453" s="48" t="s">
        <v>320</v>
      </c>
      <c r="S453" s="48" t="s">
        <v>320</v>
      </c>
      <c r="T453" s="48" t="s">
        <v>320</v>
      </c>
      <c r="U453" s="48" t="s">
        <v>320</v>
      </c>
      <c r="V453" s="48" t="s">
        <v>320</v>
      </c>
      <c r="W453" s="48" t="s">
        <v>320</v>
      </c>
      <c r="X453" s="48" t="s">
        <v>320</v>
      </c>
      <c r="Y453" s="48">
        <v>365010</v>
      </c>
      <c r="Z453" s="48">
        <v>365111</v>
      </c>
      <c r="AA453" s="48">
        <v>365212</v>
      </c>
      <c r="AB453" s="48">
        <v>365313</v>
      </c>
      <c r="AC453" s="48">
        <v>365414</v>
      </c>
      <c r="AD453" s="48">
        <v>365515</v>
      </c>
      <c r="AE453" s="48">
        <v>365616</v>
      </c>
      <c r="AF453" s="48">
        <v>365717</v>
      </c>
      <c r="AG453" s="48">
        <v>365717</v>
      </c>
      <c r="AH453" s="48">
        <v>365930</v>
      </c>
      <c r="AI453" s="48">
        <v>366140</v>
      </c>
      <c r="AJ453" s="48">
        <v>366321</v>
      </c>
      <c r="AK453" s="48">
        <v>366525</v>
      </c>
      <c r="AL453" s="48">
        <v>1</v>
      </c>
      <c r="AP453">
        <v>309.4199999999999</v>
      </c>
      <c r="AQ453">
        <v>17.999999999999996</v>
      </c>
      <c r="AS453">
        <v>1719</v>
      </c>
    </row>
    <row r="454" spans="1:45" hidden="1" x14ac:dyDescent="0.25">
      <c r="A454">
        <v>453</v>
      </c>
      <c r="B454">
        <v>2025</v>
      </c>
      <c r="C454">
        <v>8</v>
      </c>
      <c r="D454" t="s">
        <v>158</v>
      </c>
      <c r="E454">
        <v>31</v>
      </c>
      <c r="F454">
        <v>7</v>
      </c>
      <c r="G454" t="s">
        <v>430</v>
      </c>
      <c r="H454" s="48">
        <v>0.29166666666666669</v>
      </c>
      <c r="I454" s="48">
        <v>0.29166666666666669</v>
      </c>
      <c r="J454" s="48">
        <v>0.29166666666666669</v>
      </c>
      <c r="K454" s="48">
        <v>0.29166666666666669</v>
      </c>
      <c r="L454" s="48">
        <v>0.29166666666666669</v>
      </c>
      <c r="M454" s="48">
        <v>0.29166666666666669</v>
      </c>
      <c r="N454" s="48">
        <v>0.29166666666666669</v>
      </c>
      <c r="O454" s="48">
        <v>0.29166666666666669</v>
      </c>
      <c r="P454" s="48">
        <v>0.29166666666666669</v>
      </c>
      <c r="Q454" s="48">
        <v>0.29166666666666669</v>
      </c>
      <c r="R454" s="48">
        <v>0.29166666666666669</v>
      </c>
      <c r="S454" s="48">
        <v>0.29166666666666669</v>
      </c>
      <c r="T454" s="48">
        <v>0.29166666666666669</v>
      </c>
      <c r="U454" s="48">
        <v>0.29166666666666669</v>
      </c>
      <c r="V454" s="48">
        <v>0.29166666666666669</v>
      </c>
      <c r="W454" s="48">
        <v>0.29166666666666669</v>
      </c>
      <c r="X454" s="48">
        <v>0.29166666666666669</v>
      </c>
      <c r="Y454" s="48">
        <v>0.29166666666666669</v>
      </c>
      <c r="Z454" s="48">
        <v>0.29166666666666669</v>
      </c>
      <c r="AA454" s="48">
        <v>0.29166666666666669</v>
      </c>
      <c r="AB454" s="48">
        <v>0.29166666666666669</v>
      </c>
      <c r="AC454" s="48">
        <v>0.29166666666666669</v>
      </c>
      <c r="AD454" s="48">
        <v>0.29166666666666669</v>
      </c>
      <c r="AE454" s="48">
        <v>0.29166666666666669</v>
      </c>
      <c r="AF454" s="48">
        <v>0.29166666666666669</v>
      </c>
      <c r="AG454" s="48">
        <v>0.29166666666666669</v>
      </c>
      <c r="AH454" s="48">
        <v>0.29166666666666669</v>
      </c>
      <c r="AI454" s="48">
        <v>0.29166666666666669</v>
      </c>
      <c r="AJ454" s="48">
        <v>0.29166666666666669</v>
      </c>
      <c r="AK454" s="48">
        <v>0.29166666666666669</v>
      </c>
      <c r="AL454" s="48" t="s">
        <v>320</v>
      </c>
    </row>
    <row r="455" spans="1:45" hidden="1" x14ac:dyDescent="0.25">
      <c r="A455">
        <v>454</v>
      </c>
      <c r="B455">
        <v>2025</v>
      </c>
      <c r="C455">
        <v>8</v>
      </c>
      <c r="D455" t="s">
        <v>158</v>
      </c>
      <c r="E455">
        <v>31</v>
      </c>
      <c r="F455">
        <v>7</v>
      </c>
      <c r="G455" t="s">
        <v>431</v>
      </c>
      <c r="H455" s="48">
        <v>0.75</v>
      </c>
      <c r="I455" s="48">
        <v>0.75</v>
      </c>
      <c r="J455" s="48">
        <v>0.75</v>
      </c>
      <c r="K455" s="48">
        <v>0.75</v>
      </c>
      <c r="L455" s="48">
        <v>0.75</v>
      </c>
      <c r="M455" s="48">
        <v>0.75</v>
      </c>
      <c r="N455" s="48">
        <v>0.75</v>
      </c>
      <c r="O455" s="48">
        <v>0.75</v>
      </c>
      <c r="P455" s="48">
        <v>0.75</v>
      </c>
      <c r="Q455" s="48">
        <v>0.75</v>
      </c>
      <c r="R455" s="48">
        <v>0.75</v>
      </c>
      <c r="S455" s="48">
        <v>0.75</v>
      </c>
      <c r="T455" s="48">
        <v>0.75</v>
      </c>
      <c r="U455" s="48">
        <v>0.75</v>
      </c>
      <c r="V455" s="48">
        <v>0.75</v>
      </c>
      <c r="W455" s="48">
        <v>0.75</v>
      </c>
      <c r="X455" s="48">
        <v>0.75</v>
      </c>
      <c r="Y455" s="48">
        <v>0.75</v>
      </c>
      <c r="Z455" s="48">
        <v>0.75</v>
      </c>
      <c r="AA455" s="48">
        <v>0.75</v>
      </c>
      <c r="AB455" s="48">
        <v>0.75</v>
      </c>
      <c r="AC455" s="48">
        <v>0.75</v>
      </c>
      <c r="AD455" s="48">
        <v>0.75</v>
      </c>
      <c r="AE455" s="48">
        <v>0.75</v>
      </c>
      <c r="AF455" s="48">
        <v>0.75</v>
      </c>
      <c r="AG455" s="48">
        <v>0.75</v>
      </c>
      <c r="AH455" s="48">
        <v>0.75</v>
      </c>
      <c r="AI455" s="48">
        <v>0.75</v>
      </c>
      <c r="AJ455" s="48">
        <v>0.75</v>
      </c>
      <c r="AK455" s="48">
        <v>0.75</v>
      </c>
      <c r="AL455" s="48" t="s">
        <v>320</v>
      </c>
      <c r="AM455">
        <v>30</v>
      </c>
    </row>
    <row r="456" spans="1:45" hidden="1" x14ac:dyDescent="0.25">
      <c r="A456">
        <v>455</v>
      </c>
      <c r="B456">
        <v>2025</v>
      </c>
      <c r="C456">
        <v>8</v>
      </c>
      <c r="D456" t="s">
        <v>158</v>
      </c>
      <c r="E456">
        <v>31</v>
      </c>
      <c r="F456">
        <v>7</v>
      </c>
      <c r="G456" t="s">
        <v>430</v>
      </c>
      <c r="H456" s="48">
        <v>1</v>
      </c>
      <c r="I456" s="48">
        <v>1</v>
      </c>
      <c r="J456" s="48">
        <v>1</v>
      </c>
      <c r="K456" s="48">
        <v>1</v>
      </c>
      <c r="L456" s="48">
        <v>1</v>
      </c>
      <c r="M456" s="48">
        <v>1</v>
      </c>
      <c r="N456" s="48">
        <v>1</v>
      </c>
      <c r="O456" s="48">
        <v>1</v>
      </c>
      <c r="P456" s="48">
        <v>1</v>
      </c>
      <c r="Q456" s="48">
        <v>1</v>
      </c>
      <c r="R456" s="48">
        <v>1</v>
      </c>
      <c r="S456" s="48">
        <v>1</v>
      </c>
      <c r="T456" s="48">
        <v>1</v>
      </c>
      <c r="U456" s="48">
        <v>1</v>
      </c>
      <c r="V456" s="48">
        <v>1</v>
      </c>
      <c r="W456" s="48">
        <v>1</v>
      </c>
      <c r="X456" s="48">
        <v>1</v>
      </c>
      <c r="Y456" s="48">
        <v>1</v>
      </c>
      <c r="Z456" s="48">
        <v>1</v>
      </c>
      <c r="AA456" s="48">
        <v>1</v>
      </c>
      <c r="AB456" s="48">
        <v>1</v>
      </c>
      <c r="AC456" s="48">
        <v>1</v>
      </c>
      <c r="AD456" s="48">
        <v>1</v>
      </c>
      <c r="AE456" s="48">
        <v>1</v>
      </c>
      <c r="AF456" s="48">
        <v>1</v>
      </c>
      <c r="AG456" s="48">
        <v>1</v>
      </c>
      <c r="AH456" s="48">
        <v>1</v>
      </c>
      <c r="AI456" s="48">
        <v>1</v>
      </c>
      <c r="AJ456" s="48">
        <v>1</v>
      </c>
      <c r="AK456" s="48">
        <v>1</v>
      </c>
      <c r="AL456" s="48" t="s">
        <v>320</v>
      </c>
    </row>
    <row r="457" spans="1:45" hidden="1" x14ac:dyDescent="0.25">
      <c r="A457">
        <v>456</v>
      </c>
      <c r="B457">
        <v>2025</v>
      </c>
      <c r="C457">
        <v>8</v>
      </c>
      <c r="D457" t="s">
        <v>158</v>
      </c>
      <c r="E457">
        <v>31</v>
      </c>
      <c r="F457">
        <v>7</v>
      </c>
      <c r="G457" t="s">
        <v>431</v>
      </c>
      <c r="H457" s="48">
        <v>1</v>
      </c>
      <c r="I457" s="48">
        <v>1</v>
      </c>
      <c r="J457" s="48">
        <v>1</v>
      </c>
      <c r="K457" s="48">
        <v>1</v>
      </c>
      <c r="L457" s="48">
        <v>1</v>
      </c>
      <c r="M457" s="48">
        <v>1</v>
      </c>
      <c r="N457" s="48">
        <v>1</v>
      </c>
      <c r="O457" s="48">
        <v>1</v>
      </c>
      <c r="P457" s="48">
        <v>1</v>
      </c>
      <c r="Q457" s="48">
        <v>1</v>
      </c>
      <c r="R457" s="48">
        <v>1</v>
      </c>
      <c r="S457" s="48">
        <v>1</v>
      </c>
      <c r="T457" s="48">
        <v>1</v>
      </c>
      <c r="U457" s="48">
        <v>1</v>
      </c>
      <c r="V457" s="48">
        <v>1</v>
      </c>
      <c r="W457" s="48">
        <v>1</v>
      </c>
      <c r="X457" s="48">
        <v>1</v>
      </c>
      <c r="Y457" s="48">
        <v>1</v>
      </c>
      <c r="Z457" s="48">
        <v>1</v>
      </c>
      <c r="AA457" s="48">
        <v>1</v>
      </c>
      <c r="AB457" s="48">
        <v>1</v>
      </c>
      <c r="AC457" s="48">
        <v>1</v>
      </c>
      <c r="AD457" s="48">
        <v>1</v>
      </c>
      <c r="AE457" s="48">
        <v>1</v>
      </c>
      <c r="AF457" s="48">
        <v>1</v>
      </c>
      <c r="AG457" s="48">
        <v>1</v>
      </c>
      <c r="AH457" s="48">
        <v>1</v>
      </c>
      <c r="AI457" s="48">
        <v>1</v>
      </c>
      <c r="AJ457" s="48">
        <v>1</v>
      </c>
      <c r="AK457" s="48">
        <v>1</v>
      </c>
      <c r="AL457" s="48" t="s">
        <v>320</v>
      </c>
      <c r="AP457" t="s">
        <v>320</v>
      </c>
      <c r="AQ457" t="s">
        <v>320</v>
      </c>
    </row>
    <row r="458" spans="1:45" hidden="1" x14ac:dyDescent="0.25">
      <c r="A458">
        <v>457</v>
      </c>
      <c r="B458">
        <v>2025</v>
      </c>
      <c r="C458">
        <v>8</v>
      </c>
      <c r="D458" t="s">
        <v>140</v>
      </c>
      <c r="E458">
        <v>31</v>
      </c>
      <c r="F458">
        <v>7</v>
      </c>
      <c r="G458" t="s">
        <v>430</v>
      </c>
      <c r="H458" s="48" t="s">
        <v>375</v>
      </c>
      <c r="I458" s="48" t="s">
        <v>375</v>
      </c>
      <c r="J458" s="48" t="s">
        <v>375</v>
      </c>
      <c r="K458" s="48" t="s">
        <v>375</v>
      </c>
      <c r="L458" s="48" t="s">
        <v>375</v>
      </c>
      <c r="M458" s="48" t="s">
        <v>375</v>
      </c>
      <c r="N458" s="48" t="s">
        <v>375</v>
      </c>
      <c r="O458" s="48" t="s">
        <v>375</v>
      </c>
      <c r="P458" s="48" t="s">
        <v>375</v>
      </c>
      <c r="Q458" s="48" t="s">
        <v>375</v>
      </c>
      <c r="R458" s="48" t="s">
        <v>375</v>
      </c>
      <c r="S458" s="48" t="s">
        <v>375</v>
      </c>
      <c r="T458" s="48" t="s">
        <v>375</v>
      </c>
      <c r="U458" s="48" t="s">
        <v>375</v>
      </c>
      <c r="V458" s="48" t="s">
        <v>375</v>
      </c>
      <c r="W458" s="48" t="s">
        <v>375</v>
      </c>
      <c r="X458" s="48" t="s">
        <v>417</v>
      </c>
      <c r="Y458" s="48" t="s">
        <v>418</v>
      </c>
      <c r="Z458" s="48" t="s">
        <v>382</v>
      </c>
      <c r="AA458" s="48" t="s">
        <v>375</v>
      </c>
      <c r="AB458" s="48" t="s">
        <v>375</v>
      </c>
      <c r="AC458" s="48" t="s">
        <v>375</v>
      </c>
      <c r="AD458" s="48" t="s">
        <v>320</v>
      </c>
      <c r="AE458" s="48" t="s">
        <v>375</v>
      </c>
      <c r="AF458" s="48" t="s">
        <v>375</v>
      </c>
      <c r="AG458" s="48" t="s">
        <v>375</v>
      </c>
      <c r="AH458" s="48" t="s">
        <v>375</v>
      </c>
      <c r="AI458" s="48" t="s">
        <v>419</v>
      </c>
      <c r="AJ458" s="48" t="s">
        <v>375</v>
      </c>
      <c r="AK458" s="48" t="s">
        <v>375</v>
      </c>
      <c r="AL458" s="48" t="s">
        <v>375</v>
      </c>
    </row>
    <row r="459" spans="1:45" hidden="1" x14ac:dyDescent="0.25">
      <c r="A459">
        <v>458</v>
      </c>
      <c r="B459">
        <v>2025</v>
      </c>
      <c r="C459">
        <v>8</v>
      </c>
      <c r="D459" t="s">
        <v>140</v>
      </c>
      <c r="E459">
        <v>31</v>
      </c>
      <c r="F459">
        <v>7</v>
      </c>
      <c r="G459" t="s">
        <v>431</v>
      </c>
      <c r="H459" s="48">
        <v>0.75</v>
      </c>
      <c r="I459" s="48">
        <v>0.95833333333333326</v>
      </c>
      <c r="J459" s="48">
        <v>0.95833333333333326</v>
      </c>
      <c r="K459" s="48">
        <v>0.79166666666666674</v>
      </c>
      <c r="L459" s="48">
        <v>0.79166666666666674</v>
      </c>
      <c r="M459" s="48">
        <v>0.83333333333333326</v>
      </c>
      <c r="N459" s="48">
        <v>0.79166666666666674</v>
      </c>
      <c r="O459" s="48">
        <v>0.95833333333333326</v>
      </c>
      <c r="P459" s="48">
        <v>0.95833333333333326</v>
      </c>
      <c r="Q459" s="48">
        <v>0.95833333333333326</v>
      </c>
      <c r="R459" s="48">
        <v>0.79166666666666674</v>
      </c>
      <c r="S459" s="48">
        <v>0.79166666666666674</v>
      </c>
      <c r="T459" s="48">
        <v>0.95833333333333326</v>
      </c>
      <c r="U459" s="48">
        <v>0.95833333333333326</v>
      </c>
      <c r="V459" s="48">
        <v>0.95833333333333326</v>
      </c>
      <c r="W459" s="48">
        <v>0.95833333333333326</v>
      </c>
      <c r="X459" s="48">
        <v>0.63541666666666663</v>
      </c>
      <c r="Y459" s="48">
        <v>0.94097222222222232</v>
      </c>
      <c r="Z459" s="48">
        <v>1.1249958333333334</v>
      </c>
      <c r="AA459" s="48">
        <v>0.9375</v>
      </c>
      <c r="AB459" s="48">
        <v>0.95833333333333326</v>
      </c>
      <c r="AC459" s="48">
        <v>0.95833333333333326</v>
      </c>
      <c r="AD459" s="48" t="s">
        <v>320</v>
      </c>
      <c r="AE459" s="48">
        <v>0.95833333333333326</v>
      </c>
      <c r="AF459" s="48">
        <v>0.91666666666666674</v>
      </c>
      <c r="AG459" s="48">
        <v>0.95833333333333326</v>
      </c>
      <c r="AH459" s="48">
        <v>0.875</v>
      </c>
      <c r="AI459" s="48">
        <v>0.79861111111111116</v>
      </c>
      <c r="AJ459" s="48">
        <v>0.91666666666666674</v>
      </c>
      <c r="AK459" s="48">
        <v>0.83333333333333326</v>
      </c>
      <c r="AL459" s="48">
        <v>0.83333333333333326</v>
      </c>
      <c r="AM459">
        <v>30</v>
      </c>
      <c r="AO459">
        <v>116.49989999999997</v>
      </c>
    </row>
    <row r="460" spans="1:45" hidden="1" x14ac:dyDescent="0.25">
      <c r="A460">
        <v>459</v>
      </c>
      <c r="B460">
        <v>2025</v>
      </c>
      <c r="C460">
        <v>8</v>
      </c>
      <c r="D460" t="s">
        <v>140</v>
      </c>
      <c r="E460">
        <v>31</v>
      </c>
      <c r="F460">
        <v>7</v>
      </c>
      <c r="G460" t="s">
        <v>430</v>
      </c>
      <c r="H460" s="48">
        <v>391771</v>
      </c>
      <c r="I460" s="48">
        <v>391946</v>
      </c>
      <c r="J460" s="48">
        <v>392311</v>
      </c>
      <c r="K460" s="48">
        <v>392553</v>
      </c>
      <c r="L460" s="48">
        <v>392852</v>
      </c>
      <c r="M460" s="48">
        <v>392984</v>
      </c>
      <c r="N460" s="48">
        <v>393271</v>
      </c>
      <c r="O460" s="48">
        <v>393588</v>
      </c>
      <c r="P460" s="48">
        <v>393895</v>
      </c>
      <c r="Q460" s="48">
        <v>394236</v>
      </c>
      <c r="R460" s="48">
        <v>394426</v>
      </c>
      <c r="S460" s="48">
        <v>394796</v>
      </c>
      <c r="T460" s="48">
        <v>395073</v>
      </c>
      <c r="U460" s="48">
        <v>395387</v>
      </c>
      <c r="V460" s="48">
        <v>395830</v>
      </c>
      <c r="W460" s="48">
        <v>396041</v>
      </c>
      <c r="X460" s="48">
        <v>396507</v>
      </c>
      <c r="Y460" s="48">
        <v>397008</v>
      </c>
      <c r="Z460" s="48">
        <v>397260</v>
      </c>
      <c r="AA460" s="48">
        <v>397885</v>
      </c>
      <c r="AB460" s="48">
        <v>398382</v>
      </c>
      <c r="AC460" s="48">
        <v>398596</v>
      </c>
      <c r="AD460" s="48" t="s">
        <v>320</v>
      </c>
      <c r="AE460" s="48">
        <v>399036</v>
      </c>
      <c r="AF460" s="48">
        <v>399271</v>
      </c>
      <c r="AG460" s="48">
        <v>399610</v>
      </c>
      <c r="AH460" s="48">
        <v>399848</v>
      </c>
      <c r="AI460" s="48">
        <v>400144</v>
      </c>
      <c r="AJ460" s="48">
        <v>400722</v>
      </c>
      <c r="AK460" s="48">
        <v>401056</v>
      </c>
      <c r="AL460" s="48">
        <v>401344</v>
      </c>
    </row>
    <row r="461" spans="1:45" hidden="1" x14ac:dyDescent="0.25">
      <c r="A461">
        <v>460</v>
      </c>
      <c r="B461">
        <v>2025</v>
      </c>
      <c r="C461">
        <v>8</v>
      </c>
      <c r="D461" t="s">
        <v>140</v>
      </c>
      <c r="E461">
        <v>31</v>
      </c>
      <c r="F461">
        <v>7</v>
      </c>
      <c r="G461" t="s">
        <v>431</v>
      </c>
      <c r="H461" s="48">
        <v>391927</v>
      </c>
      <c r="I461" s="48">
        <v>392288</v>
      </c>
      <c r="J461" s="48">
        <v>392553</v>
      </c>
      <c r="K461" s="48">
        <v>392818</v>
      </c>
      <c r="L461" s="48">
        <v>392946</v>
      </c>
      <c r="M461" s="48">
        <v>393271</v>
      </c>
      <c r="N461" s="48">
        <v>393540</v>
      </c>
      <c r="O461" s="48">
        <v>393895</v>
      </c>
      <c r="P461" s="48">
        <v>394224</v>
      </c>
      <c r="Q461" s="48">
        <v>394426</v>
      </c>
      <c r="R461" s="48">
        <v>394776</v>
      </c>
      <c r="S461" s="48">
        <v>395050</v>
      </c>
      <c r="T461" s="48">
        <v>395370</v>
      </c>
      <c r="U461" s="48">
        <v>395791</v>
      </c>
      <c r="V461" s="48">
        <v>396041</v>
      </c>
      <c r="W461" s="48">
        <v>396507</v>
      </c>
      <c r="X461" s="48">
        <v>396997</v>
      </c>
      <c r="Y461" s="48">
        <v>397253</v>
      </c>
      <c r="Z461" s="48">
        <v>397745</v>
      </c>
      <c r="AA461" s="48">
        <v>398365</v>
      </c>
      <c r="AB461" s="48">
        <v>398596</v>
      </c>
      <c r="AC461" s="48">
        <v>398754</v>
      </c>
      <c r="AD461" s="48" t="s">
        <v>320</v>
      </c>
      <c r="AE461" s="48">
        <v>399271</v>
      </c>
      <c r="AF461" s="48">
        <v>399610</v>
      </c>
      <c r="AG461" s="48">
        <v>399848</v>
      </c>
      <c r="AH461" s="48">
        <v>400144</v>
      </c>
      <c r="AI461" s="48">
        <v>400722</v>
      </c>
      <c r="AJ461" s="48">
        <v>401056</v>
      </c>
      <c r="AK461" s="48">
        <v>401339</v>
      </c>
      <c r="AL461" s="48">
        <v>401608</v>
      </c>
      <c r="AP461">
        <v>1092.24</v>
      </c>
      <c r="AQ461">
        <v>12</v>
      </c>
      <c r="AS461">
        <v>9102</v>
      </c>
    </row>
    <row r="462" spans="1:45" hidden="1" x14ac:dyDescent="0.25">
      <c r="A462">
        <v>461</v>
      </c>
      <c r="B462">
        <v>2025</v>
      </c>
      <c r="C462">
        <v>8</v>
      </c>
      <c r="D462" t="s">
        <v>166</v>
      </c>
      <c r="E462">
        <v>31</v>
      </c>
      <c r="F462">
        <v>7</v>
      </c>
      <c r="G462" t="s">
        <v>430</v>
      </c>
      <c r="H462" s="48" t="s">
        <v>375</v>
      </c>
      <c r="I462" s="48" t="s">
        <v>406</v>
      </c>
      <c r="J462" s="48" t="s">
        <v>375</v>
      </c>
      <c r="K462" s="48" t="s">
        <v>375</v>
      </c>
      <c r="L462" s="48" t="s">
        <v>375</v>
      </c>
      <c r="M462" s="48" t="s">
        <v>375</v>
      </c>
      <c r="N462" s="48" t="s">
        <v>375</v>
      </c>
      <c r="O462" s="48" t="s">
        <v>375</v>
      </c>
      <c r="P462" s="48" t="s">
        <v>375</v>
      </c>
      <c r="Q462" s="48" t="s">
        <v>320</v>
      </c>
      <c r="R462" s="48" t="s">
        <v>375</v>
      </c>
      <c r="S462" s="48" t="s">
        <v>375</v>
      </c>
      <c r="T462" s="48" t="s">
        <v>375</v>
      </c>
      <c r="U462" s="48" t="s">
        <v>375</v>
      </c>
      <c r="V462" s="48" t="s">
        <v>375</v>
      </c>
      <c r="W462" s="48" t="s">
        <v>375</v>
      </c>
      <c r="X462" s="48" t="s">
        <v>375</v>
      </c>
      <c r="Y462" s="48" t="s">
        <v>375</v>
      </c>
      <c r="Z462" s="48" t="s">
        <v>375</v>
      </c>
      <c r="AA462" s="48" t="s">
        <v>375</v>
      </c>
      <c r="AB462" s="48" t="s">
        <v>375</v>
      </c>
      <c r="AC462" s="48" t="s">
        <v>375</v>
      </c>
      <c r="AD462" s="48" t="s">
        <v>375</v>
      </c>
      <c r="AE462" s="48" t="s">
        <v>375</v>
      </c>
      <c r="AF462" s="48" t="s">
        <v>375</v>
      </c>
      <c r="AG462" s="48" t="s">
        <v>375</v>
      </c>
      <c r="AH462" s="48" t="s">
        <v>375</v>
      </c>
      <c r="AI462" s="48" t="s">
        <v>375</v>
      </c>
      <c r="AJ462" s="48" t="s">
        <v>375</v>
      </c>
      <c r="AK462" s="48" t="s">
        <v>375</v>
      </c>
      <c r="AL462" s="48" t="s">
        <v>375</v>
      </c>
    </row>
    <row r="463" spans="1:45" hidden="1" x14ac:dyDescent="0.25">
      <c r="A463">
        <v>462</v>
      </c>
      <c r="B463">
        <v>2025</v>
      </c>
      <c r="C463">
        <v>8</v>
      </c>
      <c r="D463" t="s">
        <v>166</v>
      </c>
      <c r="E463">
        <v>31</v>
      </c>
      <c r="F463">
        <v>7</v>
      </c>
      <c r="G463" t="s">
        <v>431</v>
      </c>
      <c r="H463" s="48">
        <v>1.1666666666666667</v>
      </c>
      <c r="I463" s="48">
        <v>0.79166666666666663</v>
      </c>
      <c r="J463" s="48">
        <v>0.91666666666666674</v>
      </c>
      <c r="K463" s="48">
        <v>1</v>
      </c>
      <c r="L463" s="48">
        <v>0.79166666666666674</v>
      </c>
      <c r="M463" s="48">
        <v>1</v>
      </c>
      <c r="N463" s="48">
        <v>0.79166666666666674</v>
      </c>
      <c r="O463" s="48">
        <v>1</v>
      </c>
      <c r="P463" s="48">
        <v>1</v>
      </c>
      <c r="Q463" s="48" t="s">
        <v>320</v>
      </c>
      <c r="R463" s="48">
        <v>1</v>
      </c>
      <c r="S463" s="48">
        <v>0.91666666666666674</v>
      </c>
      <c r="T463" s="48">
        <v>1</v>
      </c>
      <c r="U463" s="48">
        <v>0.79166666666666674</v>
      </c>
      <c r="V463" s="48">
        <v>1.0416666666666667</v>
      </c>
      <c r="W463" s="48">
        <v>1</v>
      </c>
      <c r="X463" s="48">
        <v>0.75</v>
      </c>
      <c r="Y463" s="48">
        <v>0.91666666666666674</v>
      </c>
      <c r="Z463" s="48">
        <v>0.83333333333333326</v>
      </c>
      <c r="AA463" s="48">
        <v>1</v>
      </c>
      <c r="AB463" s="48">
        <v>0.75</v>
      </c>
      <c r="AC463" s="48">
        <v>1</v>
      </c>
      <c r="AD463" s="48">
        <v>0.79166666666666674</v>
      </c>
      <c r="AE463" s="48">
        <v>0.79166666666666674</v>
      </c>
      <c r="AF463" s="48">
        <v>0.75</v>
      </c>
      <c r="AG463" s="48">
        <v>0.83333333333333326</v>
      </c>
      <c r="AH463" s="48">
        <v>0.75</v>
      </c>
      <c r="AI463" s="48">
        <v>0.875</v>
      </c>
      <c r="AJ463" s="48">
        <v>0.79166666666666674</v>
      </c>
      <c r="AK463" s="48">
        <v>0.79166666666666674</v>
      </c>
      <c r="AL463" s="48">
        <v>0.875</v>
      </c>
      <c r="AM463">
        <v>30</v>
      </c>
      <c r="AO463">
        <v>102</v>
      </c>
    </row>
    <row r="464" spans="1:45" hidden="1" x14ac:dyDescent="0.25">
      <c r="A464">
        <v>463</v>
      </c>
      <c r="B464">
        <v>2025</v>
      </c>
      <c r="C464">
        <v>8</v>
      </c>
      <c r="D464" t="s">
        <v>166</v>
      </c>
      <c r="E464">
        <v>31</v>
      </c>
      <c r="F464">
        <v>7</v>
      </c>
      <c r="G464" t="s">
        <v>430</v>
      </c>
      <c r="H464" s="48">
        <v>268552</v>
      </c>
      <c r="I464" s="48">
        <v>268645</v>
      </c>
      <c r="J464" s="48">
        <v>268726</v>
      </c>
      <c r="K464" s="48">
        <v>268779</v>
      </c>
      <c r="L464" s="48">
        <v>268845</v>
      </c>
      <c r="M464" s="48">
        <v>268918</v>
      </c>
      <c r="N464" s="48">
        <v>269014</v>
      </c>
      <c r="O464" s="48">
        <v>269098</v>
      </c>
      <c r="P464" s="48">
        <v>269293</v>
      </c>
      <c r="Q464" s="48" t="s">
        <v>320</v>
      </c>
      <c r="R464" s="48">
        <v>269383</v>
      </c>
      <c r="S464" s="48">
        <v>269486</v>
      </c>
      <c r="T464" s="48">
        <v>269561</v>
      </c>
      <c r="U464" s="48">
        <v>269649</v>
      </c>
      <c r="V464" s="48">
        <v>269744</v>
      </c>
      <c r="W464" s="48">
        <v>269835</v>
      </c>
      <c r="X464" s="48">
        <v>269926</v>
      </c>
      <c r="Y464" s="48">
        <v>269946</v>
      </c>
      <c r="Z464" s="48">
        <v>270032</v>
      </c>
      <c r="AA464" s="48">
        <v>270110</v>
      </c>
      <c r="AB464" s="48">
        <v>270201</v>
      </c>
      <c r="AC464" s="48">
        <v>270279</v>
      </c>
      <c r="AD464" s="48">
        <v>270365</v>
      </c>
      <c r="AE464" s="48">
        <v>270449</v>
      </c>
      <c r="AF464" s="48">
        <v>270528</v>
      </c>
      <c r="AG464" s="48">
        <v>270605</v>
      </c>
      <c r="AH464" s="48">
        <v>270717</v>
      </c>
      <c r="AI464" s="48">
        <v>270788</v>
      </c>
      <c r="AJ464" s="48">
        <v>270869</v>
      </c>
      <c r="AK464" s="48">
        <v>270960</v>
      </c>
      <c r="AL464" s="48">
        <v>271040</v>
      </c>
    </row>
    <row r="465" spans="1:45" hidden="1" x14ac:dyDescent="0.25">
      <c r="A465">
        <v>464</v>
      </c>
      <c r="B465">
        <v>2025</v>
      </c>
      <c r="C465">
        <v>8</v>
      </c>
      <c r="D465" t="s">
        <v>166</v>
      </c>
      <c r="E465">
        <v>31</v>
      </c>
      <c r="F465">
        <v>7</v>
      </c>
      <c r="G465" t="s">
        <v>431</v>
      </c>
      <c r="H465" s="48">
        <v>268645</v>
      </c>
      <c r="I465" s="48">
        <v>268726</v>
      </c>
      <c r="J465" s="48">
        <v>268779</v>
      </c>
      <c r="K465" s="48">
        <v>268845</v>
      </c>
      <c r="L465" s="48">
        <v>268918</v>
      </c>
      <c r="M465" s="48">
        <v>269014</v>
      </c>
      <c r="N465" s="48">
        <v>269098</v>
      </c>
      <c r="O465" s="48">
        <v>269293</v>
      </c>
      <c r="P465" s="48">
        <v>269383</v>
      </c>
      <c r="Q465" s="48" t="s">
        <v>320</v>
      </c>
      <c r="R465" s="48">
        <v>269486</v>
      </c>
      <c r="S465" s="48">
        <v>269561</v>
      </c>
      <c r="T465" s="48">
        <v>269649</v>
      </c>
      <c r="U465" s="48">
        <v>269744</v>
      </c>
      <c r="V465" s="48">
        <v>269835</v>
      </c>
      <c r="W465" s="48">
        <v>269926</v>
      </c>
      <c r="X465" s="48">
        <v>269946</v>
      </c>
      <c r="Y465" s="48">
        <v>270032</v>
      </c>
      <c r="Z465" s="48">
        <v>270110</v>
      </c>
      <c r="AA465" s="48">
        <v>270201</v>
      </c>
      <c r="AB465" s="48">
        <v>270279</v>
      </c>
      <c r="AC465" s="48">
        <v>270365</v>
      </c>
      <c r="AD465" s="48">
        <v>270449</v>
      </c>
      <c r="AE465" s="48">
        <v>270528</v>
      </c>
      <c r="AF465" s="48">
        <v>270605</v>
      </c>
      <c r="AG465" s="48">
        <v>270717</v>
      </c>
      <c r="AH465" s="48">
        <v>270788</v>
      </c>
      <c r="AI465" s="48">
        <v>270869</v>
      </c>
      <c r="AJ465" s="48">
        <v>270960</v>
      </c>
      <c r="AK465" s="48">
        <v>271040</v>
      </c>
      <c r="AL465" s="48">
        <v>271123</v>
      </c>
      <c r="AP465">
        <v>385.65</v>
      </c>
      <c r="AQ465">
        <v>15</v>
      </c>
      <c r="AS465">
        <v>2571</v>
      </c>
    </row>
    <row r="466" spans="1:45" hidden="1" x14ac:dyDescent="0.25">
      <c r="A466">
        <v>465</v>
      </c>
      <c r="B466">
        <v>2025</v>
      </c>
      <c r="C466">
        <v>8</v>
      </c>
      <c r="D466" t="s">
        <v>144</v>
      </c>
      <c r="E466">
        <v>31</v>
      </c>
      <c r="F466">
        <v>7</v>
      </c>
      <c r="G466" t="s">
        <v>430</v>
      </c>
      <c r="H466" s="48" t="s">
        <v>375</v>
      </c>
      <c r="I466" s="48" t="s">
        <v>375</v>
      </c>
      <c r="J466" s="48" t="s">
        <v>375</v>
      </c>
      <c r="K466" s="48" t="s">
        <v>375</v>
      </c>
      <c r="L466" s="48" t="s">
        <v>375</v>
      </c>
      <c r="M466" s="48" t="s">
        <v>375</v>
      </c>
      <c r="N466" s="48" t="s">
        <v>375</v>
      </c>
      <c r="O466" s="48" t="s">
        <v>375</v>
      </c>
      <c r="P466" s="48" t="s">
        <v>375</v>
      </c>
      <c r="Q466" s="48" t="s">
        <v>320</v>
      </c>
      <c r="R466" s="48" t="s">
        <v>375</v>
      </c>
      <c r="S466" s="48" t="s">
        <v>375</v>
      </c>
      <c r="T466" s="48" t="s">
        <v>375</v>
      </c>
      <c r="U466" s="48" t="s">
        <v>375</v>
      </c>
      <c r="V466" s="48" t="s">
        <v>375</v>
      </c>
      <c r="W466" s="48" t="s">
        <v>375</v>
      </c>
      <c r="X466" s="48" t="s">
        <v>375</v>
      </c>
      <c r="Y466" s="48" t="s">
        <v>375</v>
      </c>
      <c r="Z466" s="48" t="s">
        <v>375</v>
      </c>
      <c r="AA466" s="48" t="s">
        <v>375</v>
      </c>
      <c r="AB466" s="48" t="s">
        <v>375</v>
      </c>
      <c r="AC466" s="48" t="s">
        <v>375</v>
      </c>
      <c r="AD466" s="48" t="s">
        <v>375</v>
      </c>
      <c r="AE466" s="48" t="s">
        <v>375</v>
      </c>
      <c r="AF466" s="48" t="s">
        <v>375</v>
      </c>
      <c r="AG466" s="48" t="s">
        <v>375</v>
      </c>
      <c r="AH466" s="48" t="s">
        <v>375</v>
      </c>
      <c r="AI466" s="48" t="s">
        <v>375</v>
      </c>
      <c r="AJ466" s="48" t="s">
        <v>375</v>
      </c>
      <c r="AK466" s="48" t="s">
        <v>375</v>
      </c>
      <c r="AL466" s="48" t="s">
        <v>375</v>
      </c>
    </row>
    <row r="467" spans="1:45" hidden="1" x14ac:dyDescent="0.25">
      <c r="A467">
        <v>466</v>
      </c>
      <c r="B467">
        <v>2025</v>
      </c>
      <c r="C467">
        <v>8</v>
      </c>
      <c r="D467" t="s">
        <v>144</v>
      </c>
      <c r="E467">
        <v>31</v>
      </c>
      <c r="F467">
        <v>7</v>
      </c>
      <c r="G467" t="s">
        <v>431</v>
      </c>
      <c r="H467" s="48">
        <v>0.79166666666666674</v>
      </c>
      <c r="I467" s="48">
        <v>0.79166666666666674</v>
      </c>
      <c r="J467" s="48">
        <v>0.875</v>
      </c>
      <c r="K467" s="48">
        <v>0.83333333333333326</v>
      </c>
      <c r="L467" s="48">
        <v>0.95833333333333326</v>
      </c>
      <c r="M467" s="48">
        <v>0.91666666666666674</v>
      </c>
      <c r="N467" s="48">
        <v>0.75</v>
      </c>
      <c r="O467" s="48">
        <v>0.875</v>
      </c>
      <c r="P467" s="48">
        <v>0.83333333333333326</v>
      </c>
      <c r="Q467" s="48" t="s">
        <v>320</v>
      </c>
      <c r="R467" s="48">
        <v>0.83333333333333326</v>
      </c>
      <c r="S467" s="48">
        <v>0.91666666666666674</v>
      </c>
      <c r="T467" s="48">
        <v>0.91666666666666674</v>
      </c>
      <c r="U467" s="48">
        <v>0.91666666666666674</v>
      </c>
      <c r="V467" s="48">
        <v>0.83333333333333326</v>
      </c>
      <c r="W467" s="48">
        <v>0.91666666666666674</v>
      </c>
      <c r="X467" s="48">
        <v>0.79166666666666674</v>
      </c>
      <c r="Y467" s="48">
        <v>0.91666666666666674</v>
      </c>
      <c r="Z467" s="48">
        <v>0.95833333333333326</v>
      </c>
      <c r="AA467" s="48">
        <v>0.83333333333333326</v>
      </c>
      <c r="AB467" s="48">
        <v>0.75</v>
      </c>
      <c r="AC467" s="48">
        <v>0.91666666666666674</v>
      </c>
      <c r="AD467" s="48">
        <v>1</v>
      </c>
      <c r="AE467" s="48">
        <v>0.75</v>
      </c>
      <c r="AF467" s="48">
        <v>1</v>
      </c>
      <c r="AG467" s="48">
        <v>0.91666666666666674</v>
      </c>
      <c r="AH467" s="48">
        <v>0.91666666666666674</v>
      </c>
      <c r="AI467" s="48">
        <v>0.83333333333333326</v>
      </c>
      <c r="AJ467" s="48">
        <v>0.91666666666666674</v>
      </c>
      <c r="AK467" s="48">
        <v>0.875</v>
      </c>
      <c r="AL467" s="48">
        <v>0.91666666666666674</v>
      </c>
      <c r="AM467">
        <v>30</v>
      </c>
      <c r="AO467">
        <v>89.999999999999986</v>
      </c>
    </row>
    <row r="468" spans="1:45" hidden="1" x14ac:dyDescent="0.25">
      <c r="A468">
        <v>467</v>
      </c>
      <c r="B468">
        <v>2025</v>
      </c>
      <c r="C468">
        <v>8</v>
      </c>
      <c r="D468" t="s">
        <v>144</v>
      </c>
      <c r="E468">
        <v>31</v>
      </c>
      <c r="F468">
        <v>7</v>
      </c>
      <c r="G468" t="s">
        <v>430</v>
      </c>
      <c r="H468" s="48">
        <v>363140</v>
      </c>
      <c r="I468" s="48">
        <v>363265</v>
      </c>
      <c r="J468" s="48">
        <v>363383</v>
      </c>
      <c r="K468" s="48">
        <v>363589</v>
      </c>
      <c r="L468" s="48">
        <v>363659</v>
      </c>
      <c r="M468" s="48">
        <v>363937</v>
      </c>
      <c r="N468" s="48">
        <v>364164</v>
      </c>
      <c r="O468" s="48">
        <v>364432</v>
      </c>
      <c r="P468" s="48">
        <v>364613</v>
      </c>
      <c r="Q468" s="48" t="s">
        <v>320</v>
      </c>
      <c r="R468" s="48">
        <v>364894</v>
      </c>
      <c r="S468" s="48">
        <v>365056</v>
      </c>
      <c r="T468" s="48">
        <v>365339</v>
      </c>
      <c r="U468" s="48">
        <v>365469</v>
      </c>
      <c r="V468" s="48">
        <v>365546</v>
      </c>
      <c r="W468" s="48">
        <v>365760</v>
      </c>
      <c r="X468" s="48">
        <v>366049</v>
      </c>
      <c r="Y468" s="48">
        <v>366143</v>
      </c>
      <c r="Z468" s="48">
        <v>366281</v>
      </c>
      <c r="AA468" s="48">
        <v>366419</v>
      </c>
      <c r="AB468" s="48">
        <v>366558</v>
      </c>
      <c r="AC468" s="48">
        <v>366787</v>
      </c>
      <c r="AD468" s="48">
        <v>366931</v>
      </c>
      <c r="AE468" s="48">
        <v>367132</v>
      </c>
      <c r="AF468" s="48">
        <v>367319</v>
      </c>
      <c r="AG468" s="48">
        <v>367465</v>
      </c>
      <c r="AH468" s="48">
        <v>367708</v>
      </c>
      <c r="AI468" s="48">
        <v>367735</v>
      </c>
      <c r="AJ468" s="48">
        <v>367903</v>
      </c>
      <c r="AK468" s="48">
        <v>368082</v>
      </c>
      <c r="AL468" s="48">
        <v>368235</v>
      </c>
    </row>
    <row r="469" spans="1:45" hidden="1" x14ac:dyDescent="0.25">
      <c r="A469">
        <v>468</v>
      </c>
      <c r="B469">
        <v>2025</v>
      </c>
      <c r="C469">
        <v>8</v>
      </c>
      <c r="D469" t="s">
        <v>144</v>
      </c>
      <c r="E469">
        <v>31</v>
      </c>
      <c r="F469">
        <v>7</v>
      </c>
      <c r="G469" t="s">
        <v>433</v>
      </c>
      <c r="H469" s="48">
        <v>363256</v>
      </c>
      <c r="I469" s="48">
        <v>363362</v>
      </c>
      <c r="J469" s="48">
        <v>363497</v>
      </c>
      <c r="K469" s="48">
        <v>363655</v>
      </c>
      <c r="L469" s="48">
        <v>363783</v>
      </c>
      <c r="M469" s="48">
        <v>364164</v>
      </c>
      <c r="N469" s="48">
        <v>364279</v>
      </c>
      <c r="O469" s="48">
        <v>364597</v>
      </c>
      <c r="P469" s="48">
        <v>364727</v>
      </c>
      <c r="Q469" s="48" t="s">
        <v>320</v>
      </c>
      <c r="R469" s="48">
        <v>365023</v>
      </c>
      <c r="S469" s="48">
        <v>365252</v>
      </c>
      <c r="T469" s="48">
        <v>365469</v>
      </c>
      <c r="U469" s="48">
        <v>365539</v>
      </c>
      <c r="V469" s="48">
        <v>365743</v>
      </c>
      <c r="W469" s="48">
        <v>366049</v>
      </c>
      <c r="X469" s="48">
        <v>366143</v>
      </c>
      <c r="Y469" s="48">
        <v>366281</v>
      </c>
      <c r="Z469" s="48">
        <v>366419</v>
      </c>
      <c r="AA469" s="48">
        <v>366558</v>
      </c>
      <c r="AB469" s="48">
        <v>366745</v>
      </c>
      <c r="AC469" s="48">
        <v>366931</v>
      </c>
      <c r="AD469" s="48">
        <v>367132</v>
      </c>
      <c r="AE469" s="48">
        <v>367302</v>
      </c>
      <c r="AF469" s="48">
        <v>367450</v>
      </c>
      <c r="AG469" s="48">
        <v>367575</v>
      </c>
      <c r="AH469" s="48">
        <v>367735</v>
      </c>
      <c r="AI469" s="48">
        <v>367903</v>
      </c>
      <c r="AJ469" s="48">
        <v>368082</v>
      </c>
      <c r="AK469" s="48">
        <v>368235</v>
      </c>
      <c r="AL469" s="48">
        <v>368536</v>
      </c>
      <c r="AP469">
        <v>664.35</v>
      </c>
      <c r="AQ469">
        <v>15</v>
      </c>
      <c r="AS469">
        <v>4429</v>
      </c>
    </row>
    <row r="470" spans="1:45" hidden="1" x14ac:dyDescent="0.25">
      <c r="A470">
        <v>469</v>
      </c>
      <c r="B470">
        <v>2025</v>
      </c>
      <c r="C470">
        <v>8</v>
      </c>
      <c r="D470" t="s">
        <v>159</v>
      </c>
      <c r="E470">
        <v>31</v>
      </c>
      <c r="F470">
        <v>7</v>
      </c>
      <c r="G470" t="s">
        <v>430</v>
      </c>
      <c r="H470" s="48" t="s">
        <v>375</v>
      </c>
      <c r="I470" s="48" t="s">
        <v>375</v>
      </c>
      <c r="J470" s="48" t="s">
        <v>375</v>
      </c>
      <c r="K470" s="48" t="s">
        <v>375</v>
      </c>
      <c r="L470" s="48" t="s">
        <v>375</v>
      </c>
      <c r="M470" s="48" t="s">
        <v>375</v>
      </c>
      <c r="N470" s="48" t="s">
        <v>375</v>
      </c>
      <c r="O470" s="48" t="s">
        <v>375</v>
      </c>
      <c r="P470" s="48" t="s">
        <v>375</v>
      </c>
      <c r="Q470" s="48" t="s">
        <v>375</v>
      </c>
      <c r="R470" s="48" t="s">
        <v>375</v>
      </c>
      <c r="S470" s="48" t="s">
        <v>375</v>
      </c>
      <c r="T470" s="48" t="s">
        <v>375</v>
      </c>
      <c r="U470" s="48" t="s">
        <v>375</v>
      </c>
      <c r="V470" s="48" t="s">
        <v>375</v>
      </c>
      <c r="W470" s="48" t="s">
        <v>375</v>
      </c>
      <c r="X470" s="48" t="s">
        <v>375</v>
      </c>
      <c r="Y470" s="48" t="s">
        <v>375</v>
      </c>
      <c r="Z470" s="48" t="s">
        <v>320</v>
      </c>
      <c r="AA470" s="48" t="s">
        <v>320</v>
      </c>
      <c r="AB470" s="48" t="s">
        <v>375</v>
      </c>
      <c r="AC470" s="48" t="s">
        <v>375</v>
      </c>
      <c r="AD470" s="48" t="s">
        <v>375</v>
      </c>
      <c r="AE470" s="48" t="s">
        <v>375</v>
      </c>
      <c r="AF470" s="48" t="s">
        <v>375</v>
      </c>
      <c r="AG470" s="48" t="s">
        <v>375</v>
      </c>
      <c r="AH470" s="48" t="s">
        <v>375</v>
      </c>
      <c r="AI470" s="48" t="s">
        <v>375</v>
      </c>
      <c r="AJ470" s="48" t="s">
        <v>375</v>
      </c>
      <c r="AK470" s="48" t="s">
        <v>375</v>
      </c>
      <c r="AL470" s="48" t="s">
        <v>375</v>
      </c>
    </row>
    <row r="471" spans="1:45" hidden="1" x14ac:dyDescent="0.25">
      <c r="A471">
        <v>470</v>
      </c>
      <c r="B471">
        <v>2025</v>
      </c>
      <c r="C471">
        <v>8</v>
      </c>
      <c r="D471" t="s">
        <v>159</v>
      </c>
      <c r="E471">
        <v>31</v>
      </c>
      <c r="F471">
        <v>7</v>
      </c>
      <c r="G471" t="s">
        <v>431</v>
      </c>
      <c r="H471" s="48">
        <v>0.75</v>
      </c>
      <c r="I471" s="48">
        <v>0.75</v>
      </c>
      <c r="J471" s="48">
        <v>0.75</v>
      </c>
      <c r="K471" s="48">
        <v>0.75</v>
      </c>
      <c r="L471" s="48">
        <v>0.75</v>
      </c>
      <c r="M471" s="48">
        <v>0.75</v>
      </c>
      <c r="N471" s="48">
        <v>1.1666666666666667</v>
      </c>
      <c r="O471" s="48">
        <v>1.1666666666666667</v>
      </c>
      <c r="P471" s="48">
        <v>1.1666666666666667</v>
      </c>
      <c r="Q471" s="48">
        <v>1.1666666666666667</v>
      </c>
      <c r="R471" s="48">
        <v>1.1666666666666667</v>
      </c>
      <c r="S471" s="48">
        <v>1.1666666666666667</v>
      </c>
      <c r="T471" s="48">
        <v>1.1666666666666667</v>
      </c>
      <c r="U471" s="48">
        <v>1.1666666666666667</v>
      </c>
      <c r="V471" s="48">
        <v>1.1666666666666667</v>
      </c>
      <c r="W471" s="48">
        <v>1.1666666666666667</v>
      </c>
      <c r="X471" s="48">
        <v>0.75</v>
      </c>
      <c r="Y471" s="48">
        <v>0.75</v>
      </c>
      <c r="Z471" s="48" t="s">
        <v>320</v>
      </c>
      <c r="AA471" s="48" t="s">
        <v>320</v>
      </c>
      <c r="AB471" s="48">
        <v>1.1666666666666667</v>
      </c>
      <c r="AC471" s="48">
        <v>1.1666666666666667</v>
      </c>
      <c r="AD471" s="48">
        <v>1.1666666666666667</v>
      </c>
      <c r="AE471" s="48">
        <v>0.75</v>
      </c>
      <c r="AF471" s="48">
        <v>1.1666666666666667</v>
      </c>
      <c r="AG471" s="48">
        <v>1.1666666666666667</v>
      </c>
      <c r="AH471" s="48">
        <v>1.1666666666666667</v>
      </c>
      <c r="AI471" s="48">
        <v>1.1666666666666667</v>
      </c>
      <c r="AJ471" s="48">
        <v>1.1666666666666667</v>
      </c>
      <c r="AK471" s="48">
        <v>1.1666666666666667</v>
      </c>
      <c r="AL471" s="48">
        <v>1.1666666666666667</v>
      </c>
      <c r="AM471">
        <v>29</v>
      </c>
      <c r="AO471">
        <v>200</v>
      </c>
    </row>
    <row r="472" spans="1:45" hidden="1" x14ac:dyDescent="0.25">
      <c r="A472">
        <v>471</v>
      </c>
      <c r="B472">
        <v>2025</v>
      </c>
      <c r="C472">
        <v>8</v>
      </c>
      <c r="D472" t="s">
        <v>159</v>
      </c>
      <c r="E472">
        <v>31</v>
      </c>
      <c r="F472">
        <v>7</v>
      </c>
      <c r="G472" t="s">
        <v>430</v>
      </c>
      <c r="H472" s="48">
        <v>326047</v>
      </c>
      <c r="I472" s="48">
        <v>326102</v>
      </c>
      <c r="J472" s="48">
        <v>326263</v>
      </c>
      <c r="K472" s="48">
        <v>326302</v>
      </c>
      <c r="L472" s="48">
        <v>326332</v>
      </c>
      <c r="M472" s="48">
        <v>326368</v>
      </c>
      <c r="N472" s="48">
        <v>326475</v>
      </c>
      <c r="O472" s="48">
        <v>326600</v>
      </c>
      <c r="P472" s="48">
        <v>326645</v>
      </c>
      <c r="Q472" s="48">
        <v>326712</v>
      </c>
      <c r="R472" s="48">
        <v>326726</v>
      </c>
      <c r="S472" s="48">
        <v>326925</v>
      </c>
      <c r="T472" s="48">
        <v>327074</v>
      </c>
      <c r="U472" s="48">
        <v>327173</v>
      </c>
      <c r="V472" s="48">
        <v>327255</v>
      </c>
      <c r="W472" s="48">
        <v>327340</v>
      </c>
      <c r="X472" s="48">
        <v>327414</v>
      </c>
      <c r="Y472" s="48">
        <v>327563</v>
      </c>
      <c r="Z472" s="48" t="s">
        <v>320</v>
      </c>
      <c r="AA472" s="48" t="s">
        <v>320</v>
      </c>
      <c r="AB472" s="48">
        <v>327600</v>
      </c>
      <c r="AC472" s="48">
        <v>327631</v>
      </c>
      <c r="AD472" s="48">
        <v>327708</v>
      </c>
      <c r="AE472" s="48">
        <v>327788</v>
      </c>
      <c r="AF472" s="48">
        <v>327924</v>
      </c>
      <c r="AG472" s="48">
        <v>327997</v>
      </c>
      <c r="AH472" s="48">
        <v>328101</v>
      </c>
      <c r="AI472" s="48">
        <v>328220</v>
      </c>
      <c r="AJ472" s="48">
        <v>328296</v>
      </c>
      <c r="AK472" s="48">
        <v>328355</v>
      </c>
      <c r="AL472" s="48">
        <v>328532</v>
      </c>
    </row>
    <row r="473" spans="1:45" hidden="1" x14ac:dyDescent="0.25">
      <c r="A473">
        <v>472</v>
      </c>
      <c r="B473">
        <v>2025</v>
      </c>
      <c r="C473">
        <v>8</v>
      </c>
      <c r="D473" t="s">
        <v>159</v>
      </c>
      <c r="E473">
        <v>31</v>
      </c>
      <c r="F473">
        <v>7</v>
      </c>
      <c r="G473" t="s">
        <v>431</v>
      </c>
      <c r="H473" s="48">
        <v>326102</v>
      </c>
      <c r="I473" s="48">
        <v>326263</v>
      </c>
      <c r="J473" s="48">
        <v>326302</v>
      </c>
      <c r="K473" s="48">
        <v>326332</v>
      </c>
      <c r="L473" s="48">
        <v>326368</v>
      </c>
      <c r="M473" s="48">
        <v>326475</v>
      </c>
      <c r="N473" s="48">
        <v>326567</v>
      </c>
      <c r="O473" s="48">
        <v>326645</v>
      </c>
      <c r="P473" s="48">
        <v>326712</v>
      </c>
      <c r="Q473" s="48">
        <v>326726</v>
      </c>
      <c r="R473" s="48">
        <v>326925</v>
      </c>
      <c r="S473" s="48">
        <v>327074</v>
      </c>
      <c r="T473" s="48">
        <v>327141</v>
      </c>
      <c r="U473" s="48">
        <v>327222</v>
      </c>
      <c r="V473" s="48">
        <v>327302</v>
      </c>
      <c r="W473" s="48">
        <v>327381</v>
      </c>
      <c r="X473" s="48">
        <v>327472</v>
      </c>
      <c r="Y473" s="48">
        <v>327600</v>
      </c>
      <c r="Z473" s="48" t="s">
        <v>320</v>
      </c>
      <c r="AA473" s="48" t="s">
        <v>320</v>
      </c>
      <c r="AB473" s="48">
        <v>327611</v>
      </c>
      <c r="AC473" s="48">
        <v>327677</v>
      </c>
      <c r="AD473" s="48">
        <v>327755</v>
      </c>
      <c r="AE473" s="48">
        <v>327924</v>
      </c>
      <c r="AF473" s="48">
        <v>327968</v>
      </c>
      <c r="AG473" s="48">
        <v>328042</v>
      </c>
      <c r="AH473" s="48">
        <v>328161</v>
      </c>
      <c r="AI473" s="48">
        <v>328253</v>
      </c>
      <c r="AJ473" s="48">
        <v>328325</v>
      </c>
      <c r="AK473" s="48">
        <v>328507</v>
      </c>
      <c r="AL473" s="48">
        <v>328562</v>
      </c>
      <c r="AP473">
        <v>288.89999999999998</v>
      </c>
      <c r="AQ473">
        <v>15</v>
      </c>
      <c r="AS473">
        <v>1926</v>
      </c>
    </row>
    <row r="474" spans="1:45" hidden="1" x14ac:dyDescent="0.25">
      <c r="A474">
        <v>473</v>
      </c>
      <c r="B474">
        <v>2025</v>
      </c>
      <c r="C474">
        <v>8</v>
      </c>
      <c r="D474" t="s">
        <v>156</v>
      </c>
      <c r="E474">
        <v>31</v>
      </c>
      <c r="F474">
        <v>7</v>
      </c>
      <c r="G474" t="s">
        <v>430</v>
      </c>
      <c r="H474" s="48" t="s">
        <v>375</v>
      </c>
      <c r="I474" s="48" t="s">
        <v>375</v>
      </c>
      <c r="J474" s="48" t="s">
        <v>375</v>
      </c>
      <c r="K474" s="48" t="s">
        <v>375</v>
      </c>
      <c r="L474" s="48" t="s">
        <v>375</v>
      </c>
      <c r="M474" s="48" t="s">
        <v>375</v>
      </c>
      <c r="N474" s="48" t="s">
        <v>375</v>
      </c>
      <c r="O474" s="48" t="s">
        <v>375</v>
      </c>
      <c r="P474" s="48" t="s">
        <v>375</v>
      </c>
      <c r="Q474" s="48" t="s">
        <v>320</v>
      </c>
      <c r="R474" s="48" t="s">
        <v>375</v>
      </c>
      <c r="S474" s="48" t="s">
        <v>375</v>
      </c>
      <c r="T474" s="48" t="s">
        <v>375</v>
      </c>
      <c r="U474" s="48" t="s">
        <v>375</v>
      </c>
      <c r="V474" s="48" t="s">
        <v>375</v>
      </c>
      <c r="W474" s="48" t="s">
        <v>375</v>
      </c>
      <c r="X474" s="48" t="s">
        <v>375</v>
      </c>
      <c r="Y474" s="48" t="s">
        <v>375</v>
      </c>
      <c r="Z474" s="48" t="s">
        <v>375</v>
      </c>
      <c r="AA474" s="48" t="s">
        <v>375</v>
      </c>
      <c r="AB474" s="48" t="s">
        <v>375</v>
      </c>
      <c r="AC474" s="48" t="s">
        <v>375</v>
      </c>
      <c r="AD474" s="48" t="s">
        <v>375</v>
      </c>
      <c r="AE474" s="48" t="s">
        <v>320</v>
      </c>
      <c r="AF474" s="48" t="s">
        <v>375</v>
      </c>
      <c r="AG474" s="48" t="s">
        <v>375</v>
      </c>
      <c r="AH474" s="48" t="s">
        <v>375</v>
      </c>
      <c r="AI474" s="48" t="s">
        <v>375</v>
      </c>
      <c r="AJ474" s="48" t="s">
        <v>375</v>
      </c>
      <c r="AK474" s="48" t="s">
        <v>375</v>
      </c>
      <c r="AL474" s="48" t="s">
        <v>375</v>
      </c>
    </row>
    <row r="475" spans="1:45" hidden="1" x14ac:dyDescent="0.25">
      <c r="A475">
        <v>474</v>
      </c>
      <c r="B475">
        <v>2025</v>
      </c>
      <c r="C475">
        <v>8</v>
      </c>
      <c r="D475" t="s">
        <v>156</v>
      </c>
      <c r="E475">
        <v>31</v>
      </c>
      <c r="F475">
        <v>7</v>
      </c>
      <c r="G475" t="s">
        <v>431</v>
      </c>
      <c r="H475" s="48" t="s">
        <v>376</v>
      </c>
      <c r="I475" s="48" t="s">
        <v>376</v>
      </c>
      <c r="J475" s="48" t="s">
        <v>376</v>
      </c>
      <c r="K475" s="48" t="s">
        <v>376</v>
      </c>
      <c r="L475" s="48" t="s">
        <v>376</v>
      </c>
      <c r="M475" s="48" t="s">
        <v>376</v>
      </c>
      <c r="N475" s="48" t="s">
        <v>376</v>
      </c>
      <c r="O475" s="48" t="s">
        <v>376</v>
      </c>
      <c r="P475" s="48" t="s">
        <v>376</v>
      </c>
      <c r="Q475" s="48" t="s">
        <v>320</v>
      </c>
      <c r="R475" s="48" t="s">
        <v>376</v>
      </c>
      <c r="S475" s="48" t="s">
        <v>376</v>
      </c>
      <c r="T475" s="48" t="s">
        <v>376</v>
      </c>
      <c r="U475" s="48" t="s">
        <v>376</v>
      </c>
      <c r="V475" s="48" t="s">
        <v>376</v>
      </c>
      <c r="W475" s="48" t="s">
        <v>376</v>
      </c>
      <c r="X475" s="48" t="s">
        <v>376</v>
      </c>
      <c r="Y475" s="48" t="s">
        <v>376</v>
      </c>
      <c r="Z475" s="48" t="s">
        <v>376</v>
      </c>
      <c r="AA475" s="48" t="s">
        <v>376</v>
      </c>
      <c r="AB475" s="48" t="s">
        <v>376</v>
      </c>
      <c r="AC475" s="48" t="s">
        <v>376</v>
      </c>
      <c r="AD475" s="48" t="s">
        <v>376</v>
      </c>
      <c r="AE475" s="48" t="s">
        <v>320</v>
      </c>
      <c r="AF475" s="48" t="s">
        <v>376</v>
      </c>
      <c r="AG475" s="48" t="s">
        <v>376</v>
      </c>
      <c r="AH475" s="48" t="s">
        <v>376</v>
      </c>
      <c r="AI475" s="48" t="s">
        <v>376</v>
      </c>
      <c r="AJ475" s="48" t="s">
        <v>376</v>
      </c>
      <c r="AK475" s="48" t="s">
        <v>376</v>
      </c>
      <c r="AL475" s="48" t="s">
        <v>376</v>
      </c>
      <c r="AM475">
        <v>29</v>
      </c>
    </row>
    <row r="476" spans="1:45" hidden="1" x14ac:dyDescent="0.25">
      <c r="A476">
        <v>475</v>
      </c>
      <c r="B476">
        <v>2025</v>
      </c>
      <c r="C476">
        <v>8</v>
      </c>
      <c r="D476" t="s">
        <v>156</v>
      </c>
      <c r="E476">
        <v>31</v>
      </c>
      <c r="F476">
        <v>7</v>
      </c>
      <c r="G476" t="s">
        <v>430</v>
      </c>
      <c r="H476" s="48">
        <v>799558</v>
      </c>
      <c r="I476" s="48">
        <v>799770</v>
      </c>
      <c r="J476" s="48">
        <v>799932</v>
      </c>
      <c r="K476" s="48">
        <v>800082</v>
      </c>
      <c r="L476" s="48">
        <v>800257</v>
      </c>
      <c r="M476" s="48">
        <v>800409</v>
      </c>
      <c r="N476" s="48">
        <v>800513</v>
      </c>
      <c r="O476" s="48">
        <v>800603</v>
      </c>
      <c r="P476" s="48">
        <v>800711</v>
      </c>
      <c r="Q476" s="48" t="s">
        <v>320</v>
      </c>
      <c r="R476" s="48">
        <v>800863</v>
      </c>
      <c r="S476" s="48">
        <v>801019</v>
      </c>
      <c r="T476" s="48">
        <v>801170</v>
      </c>
      <c r="U476" s="48">
        <v>801320</v>
      </c>
      <c r="V476" s="48">
        <v>801483</v>
      </c>
      <c r="W476" s="48">
        <v>801633</v>
      </c>
      <c r="X476" s="48">
        <v>801909</v>
      </c>
      <c r="Y476" s="48">
        <v>802784</v>
      </c>
      <c r="Z476" s="48">
        <v>802934</v>
      </c>
      <c r="AA476" s="48">
        <v>803089</v>
      </c>
      <c r="AB476" s="48">
        <v>803239</v>
      </c>
      <c r="AC476" s="48">
        <v>803389</v>
      </c>
      <c r="AD476" s="48">
        <v>803541</v>
      </c>
      <c r="AE476" s="48" t="s">
        <v>320</v>
      </c>
      <c r="AF476" s="48">
        <v>803693</v>
      </c>
      <c r="AG476" s="48">
        <v>803924</v>
      </c>
      <c r="AH476" s="48">
        <v>804076</v>
      </c>
      <c r="AI476" s="48">
        <v>804230</v>
      </c>
      <c r="AJ476" s="48">
        <v>804465</v>
      </c>
      <c r="AK476" s="48">
        <v>804616</v>
      </c>
      <c r="AL476" s="48">
        <v>804769</v>
      </c>
    </row>
    <row r="477" spans="1:45" hidden="1" x14ac:dyDescent="0.25">
      <c r="A477">
        <v>476</v>
      </c>
      <c r="B477">
        <v>2025</v>
      </c>
      <c r="C477">
        <v>8</v>
      </c>
      <c r="D477" t="s">
        <v>156</v>
      </c>
      <c r="E477">
        <v>31</v>
      </c>
      <c r="F477">
        <v>7</v>
      </c>
      <c r="G477" t="s">
        <v>431</v>
      </c>
      <c r="H477" s="48">
        <v>799770</v>
      </c>
      <c r="I477" s="48">
        <v>799921</v>
      </c>
      <c r="J477" s="48">
        <v>800082</v>
      </c>
      <c r="K477" s="48">
        <v>800257</v>
      </c>
      <c r="L477" s="48">
        <v>800409</v>
      </c>
      <c r="M477" s="48">
        <v>800513</v>
      </c>
      <c r="N477" s="48">
        <v>800603</v>
      </c>
      <c r="O477" s="48">
        <v>800711</v>
      </c>
      <c r="P477" s="48">
        <v>800863</v>
      </c>
      <c r="Q477" s="48" t="s">
        <v>320</v>
      </c>
      <c r="R477" s="48">
        <v>801019</v>
      </c>
      <c r="S477" s="48">
        <v>801170</v>
      </c>
      <c r="T477" s="48">
        <v>801320</v>
      </c>
      <c r="U477" s="48">
        <v>801483</v>
      </c>
      <c r="V477" s="48">
        <v>801633</v>
      </c>
      <c r="W477" s="48">
        <v>801908</v>
      </c>
      <c r="X477" s="48">
        <v>802484</v>
      </c>
      <c r="Y477" s="48">
        <v>802934</v>
      </c>
      <c r="Z477" s="48">
        <v>803089</v>
      </c>
      <c r="AA477" s="48">
        <v>803239</v>
      </c>
      <c r="AB477" s="48">
        <v>803389</v>
      </c>
      <c r="AC477" s="48">
        <v>803541</v>
      </c>
      <c r="AD477" s="48">
        <v>803693</v>
      </c>
      <c r="AE477" s="48" t="s">
        <v>320</v>
      </c>
      <c r="AF477" s="48">
        <v>803924</v>
      </c>
      <c r="AG477" s="48">
        <v>804076</v>
      </c>
      <c r="AH477" s="48">
        <v>804230</v>
      </c>
      <c r="AI477" s="48">
        <v>804465</v>
      </c>
      <c r="AJ477" s="48">
        <v>804616</v>
      </c>
      <c r="AK477" s="48">
        <v>804769</v>
      </c>
      <c r="AL477" s="48">
        <v>805139</v>
      </c>
      <c r="AP477">
        <v>948.42</v>
      </c>
      <c r="AQ477">
        <v>18</v>
      </c>
      <c r="AS477">
        <v>5269</v>
      </c>
    </row>
    <row r="478" spans="1:45" hidden="1" x14ac:dyDescent="0.25">
      <c r="A478">
        <v>477</v>
      </c>
      <c r="B478">
        <v>2025</v>
      </c>
      <c r="C478">
        <v>8</v>
      </c>
      <c r="D478" t="s">
        <v>168</v>
      </c>
      <c r="E478">
        <v>31</v>
      </c>
      <c r="F478">
        <v>7</v>
      </c>
      <c r="G478" t="s">
        <v>430</v>
      </c>
      <c r="H478" s="48" t="s">
        <v>375</v>
      </c>
      <c r="I478" s="48" t="s">
        <v>375</v>
      </c>
      <c r="J478" s="48" t="s">
        <v>375</v>
      </c>
      <c r="K478" s="48" t="s">
        <v>375</v>
      </c>
      <c r="L478" s="48" t="s">
        <v>375</v>
      </c>
      <c r="M478" s="48" t="s">
        <v>375</v>
      </c>
      <c r="N478" s="48" t="s">
        <v>375</v>
      </c>
      <c r="O478" s="48" t="s">
        <v>375</v>
      </c>
      <c r="P478" s="48" t="s">
        <v>375</v>
      </c>
      <c r="Q478" s="48" t="s">
        <v>320</v>
      </c>
      <c r="R478" s="48" t="s">
        <v>375</v>
      </c>
      <c r="S478" s="48" t="s">
        <v>375</v>
      </c>
      <c r="T478" s="48" t="s">
        <v>375</v>
      </c>
      <c r="U478" s="48" t="s">
        <v>375</v>
      </c>
      <c r="V478" s="48" t="s">
        <v>375</v>
      </c>
      <c r="W478" s="48" t="s">
        <v>375</v>
      </c>
      <c r="X478" s="48" t="s">
        <v>375</v>
      </c>
      <c r="Y478" s="48" t="s">
        <v>375</v>
      </c>
      <c r="Z478" s="48" t="s">
        <v>375</v>
      </c>
      <c r="AA478" s="48" t="s">
        <v>375</v>
      </c>
      <c r="AB478" s="48" t="s">
        <v>375</v>
      </c>
      <c r="AC478" s="48" t="s">
        <v>375</v>
      </c>
      <c r="AD478" s="48" t="s">
        <v>375</v>
      </c>
      <c r="AE478" s="48" t="s">
        <v>375</v>
      </c>
      <c r="AF478" s="48" t="s">
        <v>375</v>
      </c>
      <c r="AG478" s="48" t="s">
        <v>375</v>
      </c>
      <c r="AH478" s="48" t="s">
        <v>375</v>
      </c>
      <c r="AI478" s="48" t="s">
        <v>375</v>
      </c>
      <c r="AJ478" s="48" t="s">
        <v>375</v>
      </c>
      <c r="AK478" s="48" t="s">
        <v>375</v>
      </c>
      <c r="AL478" s="48" t="s">
        <v>320</v>
      </c>
    </row>
    <row r="479" spans="1:45" hidden="1" x14ac:dyDescent="0.25">
      <c r="A479">
        <v>478</v>
      </c>
      <c r="B479">
        <v>2025</v>
      </c>
      <c r="C479">
        <v>8</v>
      </c>
      <c r="D479" t="s">
        <v>168</v>
      </c>
      <c r="E479">
        <v>31</v>
      </c>
      <c r="F479">
        <v>7</v>
      </c>
      <c r="G479" t="s">
        <v>431</v>
      </c>
      <c r="H479" s="48">
        <v>0.83333333333333326</v>
      </c>
      <c r="I479" s="48">
        <v>0.91666666666666674</v>
      </c>
      <c r="J479" s="48">
        <v>0.75</v>
      </c>
      <c r="K479" s="48">
        <v>0.75</v>
      </c>
      <c r="L479" s="48">
        <v>0.91666666666666674</v>
      </c>
      <c r="M479" s="48">
        <v>0.75</v>
      </c>
      <c r="N479" s="48">
        <v>0.75</v>
      </c>
      <c r="O479" s="48">
        <v>1.0416666666666667</v>
      </c>
      <c r="P479" s="48">
        <v>0.75</v>
      </c>
      <c r="Q479" s="48" t="s">
        <v>320</v>
      </c>
      <c r="R479" s="48">
        <v>0.95833333333333326</v>
      </c>
      <c r="S479" s="48">
        <v>0.75</v>
      </c>
      <c r="T479" s="48">
        <v>0.75</v>
      </c>
      <c r="U479" s="48">
        <v>0.875</v>
      </c>
      <c r="V479" s="48">
        <v>0.75</v>
      </c>
      <c r="W479" s="48">
        <v>0.75</v>
      </c>
      <c r="X479" s="48">
        <v>0.75</v>
      </c>
      <c r="Y479" s="48">
        <v>0.875</v>
      </c>
      <c r="Z479" s="48">
        <v>0.75</v>
      </c>
      <c r="AA479" s="48">
        <v>0.75</v>
      </c>
      <c r="AB479" s="48">
        <v>0.75</v>
      </c>
      <c r="AC479" s="48">
        <v>0.75</v>
      </c>
      <c r="AD479" s="48">
        <v>0.75</v>
      </c>
      <c r="AE479" s="48">
        <v>0.75</v>
      </c>
      <c r="AF479" s="48">
        <v>0.875</v>
      </c>
      <c r="AG479" s="48">
        <v>1.0416666666666667</v>
      </c>
      <c r="AH479" s="48">
        <v>1.1666666666666667</v>
      </c>
      <c r="AI479" s="48">
        <v>1.1666666666666667</v>
      </c>
      <c r="AJ479" s="48">
        <v>0.75</v>
      </c>
      <c r="AK479" s="48">
        <v>0.75</v>
      </c>
      <c r="AL479" s="48" t="s">
        <v>320</v>
      </c>
      <c r="AM479">
        <v>29</v>
      </c>
      <c r="AO479">
        <v>57.999999999999993</v>
      </c>
    </row>
    <row r="480" spans="1:45" hidden="1" x14ac:dyDescent="0.25">
      <c r="A480">
        <v>479</v>
      </c>
      <c r="B480">
        <v>2025</v>
      </c>
      <c r="C480">
        <v>8</v>
      </c>
      <c r="D480" t="s">
        <v>168</v>
      </c>
      <c r="E480">
        <v>31</v>
      </c>
      <c r="F480">
        <v>7</v>
      </c>
      <c r="G480" t="s">
        <v>432</v>
      </c>
      <c r="H480" s="48">
        <v>277142</v>
      </c>
      <c r="I480" s="48">
        <v>277170</v>
      </c>
      <c r="J480" s="48">
        <v>277287</v>
      </c>
      <c r="K480" s="48">
        <v>277376</v>
      </c>
      <c r="L480" s="48">
        <v>277401</v>
      </c>
      <c r="M480" s="48">
        <v>277508</v>
      </c>
      <c r="N480" s="48">
        <v>277638</v>
      </c>
      <c r="O480" s="48">
        <v>277746</v>
      </c>
      <c r="P480" s="48">
        <v>277791</v>
      </c>
      <c r="Q480" s="48" t="s">
        <v>320</v>
      </c>
      <c r="R480" s="48">
        <v>278015</v>
      </c>
      <c r="S480" s="48">
        <v>278078</v>
      </c>
      <c r="T480" s="48">
        <v>278239</v>
      </c>
      <c r="U480" s="48">
        <v>278393</v>
      </c>
      <c r="V480" s="48">
        <v>278505</v>
      </c>
      <c r="W480" s="48">
        <v>278523</v>
      </c>
      <c r="X480" s="48">
        <v>278650</v>
      </c>
      <c r="Y480" s="48">
        <v>278735</v>
      </c>
      <c r="Z480" s="48">
        <v>278801</v>
      </c>
      <c r="AA480" s="48">
        <v>278968</v>
      </c>
      <c r="AB480" s="48">
        <v>279082</v>
      </c>
      <c r="AC480" s="48">
        <v>279203</v>
      </c>
      <c r="AD480" s="48">
        <v>279318</v>
      </c>
      <c r="AE480" s="48">
        <v>279356</v>
      </c>
      <c r="AF480" s="48">
        <v>279538</v>
      </c>
      <c r="AG480" s="48">
        <v>279598</v>
      </c>
      <c r="AH480" s="48">
        <v>279722</v>
      </c>
      <c r="AI480" s="48">
        <v>279790</v>
      </c>
      <c r="AJ480" s="48">
        <v>279820</v>
      </c>
      <c r="AK480" s="48">
        <v>279859</v>
      </c>
      <c r="AL480" s="48" t="s">
        <v>320</v>
      </c>
    </row>
    <row r="481" spans="1:45" hidden="1" x14ac:dyDescent="0.25">
      <c r="A481">
        <v>480</v>
      </c>
      <c r="B481">
        <v>2025</v>
      </c>
      <c r="C481">
        <v>8</v>
      </c>
      <c r="D481" t="s">
        <v>168</v>
      </c>
      <c r="E481">
        <v>31</v>
      </c>
      <c r="F481">
        <v>7</v>
      </c>
      <c r="G481" t="s">
        <v>433</v>
      </c>
      <c r="H481" s="48">
        <v>277170</v>
      </c>
      <c r="I481" s="48">
        <v>277276</v>
      </c>
      <c r="J481" s="48">
        <v>277376</v>
      </c>
      <c r="K481" s="48">
        <v>277401</v>
      </c>
      <c r="L481" s="48">
        <v>277508</v>
      </c>
      <c r="M481" s="48">
        <v>277636</v>
      </c>
      <c r="N481" s="48">
        <v>277746</v>
      </c>
      <c r="O481" s="48">
        <v>277791</v>
      </c>
      <c r="P481" s="48">
        <v>277857</v>
      </c>
      <c r="Q481" s="48" t="s">
        <v>320</v>
      </c>
      <c r="R481" s="48">
        <v>278078</v>
      </c>
      <c r="S481" s="48">
        <v>278132</v>
      </c>
      <c r="T481" s="48">
        <v>278393</v>
      </c>
      <c r="U481" s="48">
        <v>278505</v>
      </c>
      <c r="V481" s="48">
        <v>278523</v>
      </c>
      <c r="W481" s="48">
        <v>278623</v>
      </c>
      <c r="X481" s="48">
        <v>278735</v>
      </c>
      <c r="Y481" s="48">
        <v>278801</v>
      </c>
      <c r="Z481" s="48">
        <v>278891</v>
      </c>
      <c r="AA481" s="48">
        <v>279082</v>
      </c>
      <c r="AB481" s="48">
        <v>279198</v>
      </c>
      <c r="AC481" s="48">
        <v>279318</v>
      </c>
      <c r="AD481" s="48">
        <v>279356</v>
      </c>
      <c r="AE481" s="48">
        <v>279484</v>
      </c>
      <c r="AF481" s="48">
        <v>279598</v>
      </c>
      <c r="AG481" s="48">
        <v>279722</v>
      </c>
      <c r="AH481" s="48">
        <v>279790</v>
      </c>
      <c r="AI481" s="48">
        <v>279820</v>
      </c>
      <c r="AJ481" s="48">
        <v>279859</v>
      </c>
      <c r="AK481" s="48">
        <v>279958</v>
      </c>
      <c r="AL481" s="48" t="s">
        <v>320</v>
      </c>
      <c r="AP481">
        <v>356.25</v>
      </c>
      <c r="AQ481">
        <v>15</v>
      </c>
      <c r="AS481">
        <v>2375</v>
      </c>
    </row>
    <row r="482" spans="1:45" hidden="1" x14ac:dyDescent="0.25">
      <c r="A482">
        <v>481</v>
      </c>
      <c r="B482">
        <v>2025</v>
      </c>
      <c r="C482">
        <v>8</v>
      </c>
      <c r="D482" t="s">
        <v>164</v>
      </c>
      <c r="E482">
        <v>31</v>
      </c>
      <c r="F482">
        <v>7</v>
      </c>
      <c r="G482" t="s">
        <v>430</v>
      </c>
      <c r="H482" s="48" t="s">
        <v>375</v>
      </c>
      <c r="I482" s="48" t="s">
        <v>375</v>
      </c>
      <c r="J482" s="48" t="s">
        <v>375</v>
      </c>
      <c r="K482" s="48" t="s">
        <v>375</v>
      </c>
      <c r="L482" s="48" t="s">
        <v>375</v>
      </c>
      <c r="M482" s="48" t="s">
        <v>375</v>
      </c>
      <c r="N482" s="48" t="s">
        <v>375</v>
      </c>
      <c r="O482" s="48" t="s">
        <v>375</v>
      </c>
      <c r="P482" s="48" t="s">
        <v>375</v>
      </c>
      <c r="Q482" s="48" t="s">
        <v>375</v>
      </c>
      <c r="R482" s="48" t="s">
        <v>375</v>
      </c>
      <c r="S482" s="48" t="s">
        <v>375</v>
      </c>
      <c r="T482" s="48" t="s">
        <v>375</v>
      </c>
      <c r="U482" s="48" t="s">
        <v>375</v>
      </c>
      <c r="V482" s="48" t="s">
        <v>375</v>
      </c>
      <c r="W482" s="48" t="s">
        <v>375</v>
      </c>
      <c r="X482" s="48" t="s">
        <v>375</v>
      </c>
      <c r="Y482" s="48" t="s">
        <v>375</v>
      </c>
      <c r="Z482" s="48" t="s">
        <v>375</v>
      </c>
      <c r="AA482" s="48" t="s">
        <v>375</v>
      </c>
      <c r="AB482" s="48" t="s">
        <v>375</v>
      </c>
      <c r="AC482" s="48" t="s">
        <v>375</v>
      </c>
      <c r="AD482" s="48" t="s">
        <v>375</v>
      </c>
      <c r="AE482" s="48" t="s">
        <v>375</v>
      </c>
      <c r="AF482" s="48" t="s">
        <v>375</v>
      </c>
      <c r="AG482" s="48" t="s">
        <v>375</v>
      </c>
      <c r="AH482" s="48" t="s">
        <v>375</v>
      </c>
      <c r="AI482" s="48" t="s">
        <v>375</v>
      </c>
      <c r="AJ482" s="48" t="s">
        <v>375</v>
      </c>
      <c r="AK482" s="48" t="s">
        <v>375</v>
      </c>
      <c r="AL482" s="48" t="s">
        <v>375</v>
      </c>
    </row>
    <row r="483" spans="1:45" hidden="1" x14ac:dyDescent="0.25">
      <c r="A483">
        <v>482</v>
      </c>
      <c r="B483">
        <v>2025</v>
      </c>
      <c r="C483">
        <v>8</v>
      </c>
      <c r="D483" t="s">
        <v>164</v>
      </c>
      <c r="E483">
        <v>31</v>
      </c>
      <c r="F483">
        <v>7</v>
      </c>
      <c r="G483" t="s">
        <v>431</v>
      </c>
      <c r="H483" s="48" t="s">
        <v>389</v>
      </c>
      <c r="I483" s="48" t="s">
        <v>389</v>
      </c>
      <c r="J483" s="48" t="s">
        <v>389</v>
      </c>
      <c r="K483" s="48" t="s">
        <v>389</v>
      </c>
      <c r="L483" s="48" t="s">
        <v>389</v>
      </c>
      <c r="M483" s="48" t="s">
        <v>389</v>
      </c>
      <c r="N483" s="48" t="s">
        <v>389</v>
      </c>
      <c r="O483" s="48" t="s">
        <v>389</v>
      </c>
      <c r="P483" s="48" t="s">
        <v>389</v>
      </c>
      <c r="Q483" s="48" t="s">
        <v>389</v>
      </c>
      <c r="R483" s="48" t="s">
        <v>389</v>
      </c>
      <c r="S483" s="48" t="s">
        <v>389</v>
      </c>
      <c r="T483" s="48" t="s">
        <v>389</v>
      </c>
      <c r="U483" s="48" t="s">
        <v>389</v>
      </c>
      <c r="V483" s="48" t="s">
        <v>389</v>
      </c>
      <c r="W483" s="48" t="s">
        <v>389</v>
      </c>
      <c r="X483" s="48" t="s">
        <v>389</v>
      </c>
      <c r="Y483" s="48" t="s">
        <v>389</v>
      </c>
      <c r="Z483" s="48" t="s">
        <v>389</v>
      </c>
      <c r="AA483" s="48" t="s">
        <v>389</v>
      </c>
      <c r="AB483" s="48" t="s">
        <v>389</v>
      </c>
      <c r="AC483" s="48" t="s">
        <v>389</v>
      </c>
      <c r="AD483" s="48" t="s">
        <v>389</v>
      </c>
      <c r="AE483" s="48" t="s">
        <v>389</v>
      </c>
      <c r="AF483" s="48" t="s">
        <v>389</v>
      </c>
      <c r="AG483" s="48">
        <v>0.75</v>
      </c>
      <c r="AH483" s="48">
        <v>0.75</v>
      </c>
      <c r="AI483" s="48">
        <v>0.75</v>
      </c>
      <c r="AJ483" s="48">
        <v>0.75</v>
      </c>
      <c r="AK483" s="48">
        <v>0.91666666666666663</v>
      </c>
      <c r="AL483" s="48" t="s">
        <v>376</v>
      </c>
      <c r="AM483">
        <v>31</v>
      </c>
      <c r="AO483">
        <v>54.000000000000014</v>
      </c>
    </row>
    <row r="484" spans="1:45" hidden="1" x14ac:dyDescent="0.25">
      <c r="A484">
        <v>483</v>
      </c>
      <c r="B484">
        <v>2025</v>
      </c>
      <c r="C484">
        <v>8</v>
      </c>
      <c r="D484" t="s">
        <v>164</v>
      </c>
      <c r="E484">
        <v>31</v>
      </c>
      <c r="F484">
        <v>7</v>
      </c>
      <c r="G484" t="s">
        <v>432</v>
      </c>
      <c r="H484" s="48">
        <v>27388</v>
      </c>
      <c r="I484" s="48">
        <v>27411</v>
      </c>
      <c r="J484" s="48">
        <v>27427</v>
      </c>
      <c r="K484" s="48">
        <v>27432</v>
      </c>
      <c r="L484" s="48">
        <v>27446</v>
      </c>
      <c r="M484" s="48">
        <v>27456</v>
      </c>
      <c r="N484" s="48">
        <v>27464</v>
      </c>
      <c r="O484" s="48">
        <v>27468</v>
      </c>
      <c r="P484" s="48">
        <v>27496</v>
      </c>
      <c r="Q484" s="48">
        <v>27514</v>
      </c>
      <c r="R484" s="48">
        <v>27534</v>
      </c>
      <c r="S484" s="48">
        <v>27571</v>
      </c>
      <c r="T484" s="48">
        <v>27581</v>
      </c>
      <c r="U484" s="48">
        <v>27589</v>
      </c>
      <c r="V484" s="48">
        <v>27594</v>
      </c>
      <c r="W484" s="48">
        <v>27607</v>
      </c>
      <c r="X484" s="48">
        <v>27612</v>
      </c>
      <c r="Y484" s="48">
        <v>27620</v>
      </c>
      <c r="Z484" s="48">
        <v>27630</v>
      </c>
      <c r="AA484" s="48">
        <v>27638</v>
      </c>
      <c r="AB484" s="48">
        <v>27652</v>
      </c>
      <c r="AC484" s="48">
        <v>27665</v>
      </c>
      <c r="AD484" s="48">
        <v>27696</v>
      </c>
      <c r="AE484" s="48">
        <v>27742</v>
      </c>
      <c r="AF484" s="48">
        <v>27747</v>
      </c>
      <c r="AG484" s="48">
        <v>27753</v>
      </c>
      <c r="AH484" s="48">
        <v>27765</v>
      </c>
      <c r="AI484" s="48">
        <v>27786</v>
      </c>
      <c r="AJ484" s="48">
        <v>27790</v>
      </c>
      <c r="AK484" s="48">
        <v>27798</v>
      </c>
      <c r="AL484" s="48">
        <v>27908</v>
      </c>
    </row>
    <row r="485" spans="1:45" hidden="1" x14ac:dyDescent="0.25">
      <c r="A485">
        <v>484</v>
      </c>
      <c r="B485">
        <v>2025</v>
      </c>
      <c r="C485">
        <v>8</v>
      </c>
      <c r="D485" t="s">
        <v>164</v>
      </c>
      <c r="E485">
        <v>31</v>
      </c>
      <c r="F485">
        <v>7</v>
      </c>
      <c r="G485" t="s">
        <v>433</v>
      </c>
      <c r="H485" s="48">
        <v>27411</v>
      </c>
      <c r="I485" s="48">
        <v>27427</v>
      </c>
      <c r="J485" s="48">
        <v>27432</v>
      </c>
      <c r="K485" s="48">
        <v>27446</v>
      </c>
      <c r="L485" s="48">
        <v>27456</v>
      </c>
      <c r="M485" s="48">
        <v>27464</v>
      </c>
      <c r="N485" s="48">
        <v>27468</v>
      </c>
      <c r="O485" s="48">
        <v>27496</v>
      </c>
      <c r="P485" s="48">
        <v>27514</v>
      </c>
      <c r="Q485" s="48">
        <v>27534</v>
      </c>
      <c r="R485" s="48">
        <v>27571</v>
      </c>
      <c r="S485" s="48">
        <v>27581</v>
      </c>
      <c r="T485" s="48">
        <v>27589</v>
      </c>
      <c r="U485" s="48">
        <v>27594</v>
      </c>
      <c r="V485" s="48">
        <v>27607</v>
      </c>
      <c r="W485" s="48">
        <v>27612</v>
      </c>
      <c r="X485" s="48">
        <v>27620</v>
      </c>
      <c r="Y485" s="48">
        <v>27630</v>
      </c>
      <c r="Z485" s="48">
        <v>27638</v>
      </c>
      <c r="AA485" s="48">
        <v>27652</v>
      </c>
      <c r="AB485" s="48">
        <v>27665</v>
      </c>
      <c r="AC485" s="48">
        <v>27696</v>
      </c>
      <c r="AD485" s="48">
        <v>27742</v>
      </c>
      <c r="AE485" s="48">
        <v>27747</v>
      </c>
      <c r="AF485" s="48">
        <v>27753</v>
      </c>
      <c r="AG485" s="48">
        <v>27765</v>
      </c>
      <c r="AH485" s="48">
        <v>27786</v>
      </c>
      <c r="AI485" s="48">
        <v>27790</v>
      </c>
      <c r="AJ485" s="48">
        <v>27798</v>
      </c>
      <c r="AK485" s="48">
        <v>27908</v>
      </c>
      <c r="AL485" s="48">
        <v>27910</v>
      </c>
      <c r="AP485">
        <v>78.3</v>
      </c>
      <c r="AQ485">
        <v>15</v>
      </c>
      <c r="AS485">
        <v>522</v>
      </c>
    </row>
    <row r="486" spans="1:45" hidden="1" x14ac:dyDescent="0.25">
      <c r="A486">
        <v>485</v>
      </c>
      <c r="B486">
        <v>2025</v>
      </c>
      <c r="C486">
        <v>8</v>
      </c>
      <c r="D486" t="s">
        <v>163</v>
      </c>
      <c r="E486">
        <v>31</v>
      </c>
      <c r="F486">
        <v>7</v>
      </c>
      <c r="G486" t="s">
        <v>430</v>
      </c>
      <c r="H486" s="48" t="s">
        <v>382</v>
      </c>
      <c r="I486" s="48" t="s">
        <v>382</v>
      </c>
      <c r="J486" s="48" t="s">
        <v>382</v>
      </c>
      <c r="K486" s="48" t="s">
        <v>382</v>
      </c>
      <c r="L486" s="48" t="s">
        <v>382</v>
      </c>
      <c r="M486" s="48" t="s">
        <v>382</v>
      </c>
      <c r="N486" s="48" t="s">
        <v>382</v>
      </c>
      <c r="O486" s="48" t="s">
        <v>382</v>
      </c>
      <c r="P486" s="48" t="s">
        <v>382</v>
      </c>
      <c r="Q486" s="48" t="s">
        <v>320</v>
      </c>
      <c r="R486" s="48" t="s">
        <v>382</v>
      </c>
      <c r="S486" s="48" t="s">
        <v>382</v>
      </c>
      <c r="T486" s="48" t="s">
        <v>382</v>
      </c>
      <c r="U486" s="48" t="s">
        <v>382</v>
      </c>
      <c r="V486" s="48" t="s">
        <v>382</v>
      </c>
      <c r="W486" s="48" t="s">
        <v>382</v>
      </c>
      <c r="X486" s="48" t="s">
        <v>382</v>
      </c>
      <c r="Y486" s="48" t="s">
        <v>382</v>
      </c>
      <c r="Z486" s="48" t="s">
        <v>382</v>
      </c>
      <c r="AA486" s="48" t="s">
        <v>382</v>
      </c>
      <c r="AB486" s="48" t="s">
        <v>382</v>
      </c>
      <c r="AC486" s="48" t="s">
        <v>382</v>
      </c>
      <c r="AD486" s="48" t="s">
        <v>382</v>
      </c>
      <c r="AE486" s="48" t="s">
        <v>382</v>
      </c>
      <c r="AF486" s="48" t="s">
        <v>382</v>
      </c>
      <c r="AG486" s="48" t="s">
        <v>382</v>
      </c>
      <c r="AH486" s="48" t="s">
        <v>382</v>
      </c>
      <c r="AI486" s="48" t="s">
        <v>382</v>
      </c>
      <c r="AJ486" s="48" t="s">
        <v>382</v>
      </c>
      <c r="AK486" s="48" t="s">
        <v>382</v>
      </c>
      <c r="AL486" s="48" t="s">
        <v>382</v>
      </c>
    </row>
    <row r="487" spans="1:45" hidden="1" x14ac:dyDescent="0.25">
      <c r="A487">
        <v>486</v>
      </c>
      <c r="B487">
        <v>2025</v>
      </c>
      <c r="C487">
        <v>8</v>
      </c>
      <c r="D487" t="s">
        <v>163</v>
      </c>
      <c r="E487">
        <v>31</v>
      </c>
      <c r="F487">
        <v>7</v>
      </c>
      <c r="G487" t="s">
        <v>431</v>
      </c>
      <c r="H487" s="48">
        <v>0.79166666666666674</v>
      </c>
      <c r="I487" s="48">
        <v>0.79166666666666674</v>
      </c>
      <c r="J487" s="48">
        <v>0.79166666666666674</v>
      </c>
      <c r="K487" s="48">
        <v>0.79166666666666674</v>
      </c>
      <c r="L487" s="48">
        <v>0.79166666666666674</v>
      </c>
      <c r="M487" s="48">
        <v>0.79166666666666674</v>
      </c>
      <c r="N487" s="48">
        <v>0.79166666666666674</v>
      </c>
      <c r="O487" s="48">
        <v>0.79166666666666674</v>
      </c>
      <c r="P487" s="48">
        <v>0.79166666666666674</v>
      </c>
      <c r="Q487" s="48" t="s">
        <v>320</v>
      </c>
      <c r="R487" s="48">
        <v>0.79166666666666674</v>
      </c>
      <c r="S487" s="48">
        <v>0.79166666666666674</v>
      </c>
      <c r="T487" s="48">
        <v>0.79166666666666674</v>
      </c>
      <c r="U487" s="48">
        <v>0.79166666666666674</v>
      </c>
      <c r="V487" s="48">
        <v>0.79166666666666674</v>
      </c>
      <c r="W487" s="48">
        <v>0.91666666666666674</v>
      </c>
      <c r="X487" s="48">
        <v>0.79166666666666674</v>
      </c>
      <c r="Y487" s="48">
        <v>0.79166666666666674</v>
      </c>
      <c r="Z487" s="48">
        <v>0.79166666666666674</v>
      </c>
      <c r="AA487" s="48">
        <v>0.79166666666666674</v>
      </c>
      <c r="AB487" s="48">
        <v>0.79166666666666674</v>
      </c>
      <c r="AC487" s="48">
        <v>0.79166666666666674</v>
      </c>
      <c r="AD487" s="48">
        <v>0.79166666666666674</v>
      </c>
      <c r="AE487" s="48">
        <v>0.79166666666666674</v>
      </c>
      <c r="AF487" s="48">
        <v>0.79166666666666674</v>
      </c>
      <c r="AG487" s="48">
        <v>0.79166666666666674</v>
      </c>
      <c r="AH487" s="48">
        <v>0.79166666666666674</v>
      </c>
      <c r="AI487" s="48">
        <v>0.79166666666666674</v>
      </c>
      <c r="AJ487" s="48">
        <v>0.79166666666666674</v>
      </c>
      <c r="AK487" s="48">
        <v>0.79166666666666674</v>
      </c>
      <c r="AL487" s="48">
        <v>0.79166666666666674</v>
      </c>
      <c r="AM487">
        <v>30</v>
      </c>
      <c r="AO487">
        <v>93</v>
      </c>
    </row>
    <row r="488" spans="1:45" hidden="1" x14ac:dyDescent="0.25">
      <c r="A488">
        <v>487</v>
      </c>
      <c r="B488">
        <v>2025</v>
      </c>
      <c r="C488">
        <v>8</v>
      </c>
      <c r="D488" t="s">
        <v>163</v>
      </c>
      <c r="E488">
        <v>31</v>
      </c>
      <c r="F488">
        <v>7</v>
      </c>
      <c r="G488" t="s">
        <v>432</v>
      </c>
      <c r="H488" s="48">
        <v>327747</v>
      </c>
      <c r="I488" s="48">
        <v>327918</v>
      </c>
      <c r="J488" s="48">
        <v>328085</v>
      </c>
      <c r="K488" s="48">
        <v>328280</v>
      </c>
      <c r="L488" s="48">
        <v>328464</v>
      </c>
      <c r="M488" s="48">
        <v>328688</v>
      </c>
      <c r="N488" s="48">
        <v>328857</v>
      </c>
      <c r="O488" s="48">
        <v>329037</v>
      </c>
      <c r="P488" s="48">
        <v>329279</v>
      </c>
      <c r="Q488" s="48" t="s">
        <v>320</v>
      </c>
      <c r="R488" s="48">
        <v>329563</v>
      </c>
      <c r="S488" s="48">
        <v>329744</v>
      </c>
      <c r="T488" s="48">
        <v>329907</v>
      </c>
      <c r="U488" s="48">
        <v>330074</v>
      </c>
      <c r="V488" s="48">
        <v>330300</v>
      </c>
      <c r="W488" s="48">
        <v>330478</v>
      </c>
      <c r="X488" s="48">
        <v>330650</v>
      </c>
      <c r="Y488" s="48">
        <v>330816</v>
      </c>
      <c r="Z488" s="48">
        <v>331040</v>
      </c>
      <c r="AA488" s="48">
        <v>331221</v>
      </c>
      <c r="AB488" s="48">
        <v>331385</v>
      </c>
      <c r="AC488" s="48">
        <v>331624</v>
      </c>
      <c r="AD488" s="48">
        <v>331800</v>
      </c>
      <c r="AE488" s="48">
        <v>331964</v>
      </c>
      <c r="AF488" s="48">
        <v>332198</v>
      </c>
      <c r="AG488" s="48">
        <v>332349</v>
      </c>
      <c r="AH488" s="48">
        <v>332576</v>
      </c>
      <c r="AI488" s="48">
        <v>332757</v>
      </c>
      <c r="AJ488" s="48">
        <v>332922</v>
      </c>
      <c r="AK488" s="48">
        <v>333168</v>
      </c>
      <c r="AL488" s="48">
        <v>333424</v>
      </c>
    </row>
    <row r="489" spans="1:45" hidden="1" x14ac:dyDescent="0.25">
      <c r="A489">
        <v>488</v>
      </c>
      <c r="B489">
        <v>2025</v>
      </c>
      <c r="C489">
        <v>8</v>
      </c>
      <c r="D489" t="s">
        <v>163</v>
      </c>
      <c r="E489">
        <v>31</v>
      </c>
      <c r="F489">
        <v>7</v>
      </c>
      <c r="G489" t="s">
        <v>433</v>
      </c>
      <c r="H489" s="48">
        <v>327918</v>
      </c>
      <c r="I489" s="48">
        <v>328085</v>
      </c>
      <c r="J489" s="48">
        <v>328280</v>
      </c>
      <c r="K489" s="48">
        <v>328464</v>
      </c>
      <c r="L489" s="48">
        <v>328688</v>
      </c>
      <c r="M489" s="48">
        <v>328857</v>
      </c>
      <c r="N489" s="48">
        <v>329037</v>
      </c>
      <c r="O489" s="48">
        <v>329279</v>
      </c>
      <c r="P489" s="48">
        <v>329503</v>
      </c>
      <c r="Q489" s="48" t="s">
        <v>320</v>
      </c>
      <c r="R489" s="48">
        <v>329744</v>
      </c>
      <c r="S489" s="48">
        <v>329907</v>
      </c>
      <c r="T489" s="48">
        <v>330074</v>
      </c>
      <c r="U489" s="48">
        <v>330300</v>
      </c>
      <c r="V489" s="48">
        <v>330478</v>
      </c>
      <c r="W489" s="48">
        <v>330650</v>
      </c>
      <c r="X489" s="48">
        <v>330816</v>
      </c>
      <c r="Y489" s="48">
        <v>331040</v>
      </c>
      <c r="Z489" s="48">
        <v>331221</v>
      </c>
      <c r="AA489" s="48">
        <v>331385</v>
      </c>
      <c r="AB489" s="48">
        <v>331624</v>
      </c>
      <c r="AC489" s="48">
        <v>331800</v>
      </c>
      <c r="AD489" s="48">
        <v>331964</v>
      </c>
      <c r="AE489" s="48">
        <v>332198</v>
      </c>
      <c r="AF489" s="48">
        <v>332349</v>
      </c>
      <c r="AG489" s="48">
        <v>332576</v>
      </c>
      <c r="AH489" s="48">
        <v>332757</v>
      </c>
      <c r="AI489" s="48">
        <v>332922</v>
      </c>
      <c r="AJ489" s="48">
        <v>333168</v>
      </c>
      <c r="AK489" s="48">
        <v>333424</v>
      </c>
      <c r="AL489" s="48">
        <v>333649</v>
      </c>
      <c r="AP489">
        <v>756.3</v>
      </c>
      <c r="AQ489">
        <v>15</v>
      </c>
      <c r="AR489" t="s">
        <v>435</v>
      </c>
      <c r="AS489">
        <v>5842</v>
      </c>
    </row>
    <row r="490" spans="1:45" hidden="1" x14ac:dyDescent="0.25">
      <c r="A490">
        <v>489</v>
      </c>
      <c r="B490">
        <v>2025</v>
      </c>
      <c r="C490">
        <v>9</v>
      </c>
      <c r="D490" t="s">
        <v>155</v>
      </c>
      <c r="E490">
        <v>31</v>
      </c>
      <c r="F490">
        <v>8</v>
      </c>
      <c r="G490" t="s">
        <v>430</v>
      </c>
      <c r="H490" s="48" t="s">
        <v>377</v>
      </c>
      <c r="I490" s="48" t="s">
        <v>377</v>
      </c>
      <c r="J490" s="48" t="s">
        <v>377</v>
      </c>
      <c r="K490" s="48" t="s">
        <v>377</v>
      </c>
      <c r="L490" s="48" t="s">
        <v>377</v>
      </c>
      <c r="M490" s="48" t="s">
        <v>377</v>
      </c>
      <c r="N490" s="48" t="s">
        <v>377</v>
      </c>
      <c r="O490" s="48" t="s">
        <v>377</v>
      </c>
      <c r="P490" s="48" t="s">
        <v>377</v>
      </c>
      <c r="Q490" s="48" t="s">
        <v>377</v>
      </c>
      <c r="R490" s="48" t="s">
        <v>377</v>
      </c>
      <c r="S490" s="48" t="s">
        <v>377</v>
      </c>
      <c r="T490" s="48" t="s">
        <v>377</v>
      </c>
      <c r="U490" s="48" t="s">
        <v>377</v>
      </c>
      <c r="V490" s="48" t="s">
        <v>377</v>
      </c>
      <c r="W490" s="48" t="s">
        <v>377</v>
      </c>
      <c r="X490" s="48" t="s">
        <v>377</v>
      </c>
      <c r="Y490" s="48" t="s">
        <v>377</v>
      </c>
      <c r="Z490" s="48" t="s">
        <v>377</v>
      </c>
      <c r="AA490" s="48" t="s">
        <v>377</v>
      </c>
      <c r="AB490" s="48" t="s">
        <v>377</v>
      </c>
      <c r="AC490" s="48" t="s">
        <v>377</v>
      </c>
      <c r="AD490" s="48" t="s">
        <v>377</v>
      </c>
      <c r="AE490" s="48" t="s">
        <v>377</v>
      </c>
      <c r="AF490" s="48" t="s">
        <v>377</v>
      </c>
      <c r="AG490" s="48" t="s">
        <v>377</v>
      </c>
      <c r="AH490" s="48" t="s">
        <v>377</v>
      </c>
      <c r="AI490" s="48" t="s">
        <v>377</v>
      </c>
      <c r="AJ490" s="48" t="s">
        <v>377</v>
      </c>
      <c r="AK490" s="48" t="s">
        <v>377</v>
      </c>
      <c r="AL490" s="48" t="s">
        <v>320</v>
      </c>
    </row>
    <row r="491" spans="1:45" hidden="1" x14ac:dyDescent="0.25">
      <c r="A491">
        <v>490</v>
      </c>
      <c r="B491">
        <v>2025</v>
      </c>
      <c r="C491">
        <v>9</v>
      </c>
      <c r="D491" t="s">
        <v>155</v>
      </c>
      <c r="E491">
        <v>31</v>
      </c>
      <c r="F491">
        <v>8</v>
      </c>
      <c r="G491" t="s">
        <v>431</v>
      </c>
      <c r="H491" s="48">
        <v>0.77083333333333326</v>
      </c>
      <c r="I491" s="48">
        <v>0.77083333333333326</v>
      </c>
      <c r="J491" s="48">
        <v>0.77083333333333326</v>
      </c>
      <c r="K491" s="48">
        <v>0.77083333333333326</v>
      </c>
      <c r="L491" s="48">
        <v>0.77083333333333326</v>
      </c>
      <c r="M491" s="48">
        <v>0.77083333333333326</v>
      </c>
      <c r="N491" s="48">
        <v>0.77083333333333326</v>
      </c>
      <c r="O491" s="48">
        <v>0.77083333333333326</v>
      </c>
      <c r="P491" s="48">
        <v>0.77083333333333326</v>
      </c>
      <c r="Q491" s="48">
        <v>0.77083333333333326</v>
      </c>
      <c r="R491" s="48">
        <v>0.85416666666666663</v>
      </c>
      <c r="S491" s="48">
        <v>0.77083333333333326</v>
      </c>
      <c r="T491" s="48">
        <v>0.77083333333333326</v>
      </c>
      <c r="U491" s="48">
        <v>0.77083333333333326</v>
      </c>
      <c r="V491" s="48">
        <v>0.77083333333333326</v>
      </c>
      <c r="W491" s="48">
        <v>0.77083333333333326</v>
      </c>
      <c r="X491" s="48">
        <v>0.77083333333333326</v>
      </c>
      <c r="Y491" s="48">
        <v>0.77083333333333326</v>
      </c>
      <c r="Z491" s="48">
        <v>0.77083333333333326</v>
      </c>
      <c r="AA491" s="48">
        <v>0.77083333333333326</v>
      </c>
      <c r="AB491" s="48">
        <v>0.77083333333333326</v>
      </c>
      <c r="AC491" s="48">
        <v>0.77083333333333326</v>
      </c>
      <c r="AD491" s="48">
        <v>0.89583333333333326</v>
      </c>
      <c r="AE491" s="48">
        <v>0.77083333333333326</v>
      </c>
      <c r="AF491" s="48">
        <v>0.85416666666666663</v>
      </c>
      <c r="AG491" s="48">
        <v>0.77083333333333326</v>
      </c>
      <c r="AH491" s="48">
        <v>0.77083333333333326</v>
      </c>
      <c r="AI491" s="48">
        <v>0.77083333333333326</v>
      </c>
      <c r="AJ491" s="48">
        <v>0.77083333333333326</v>
      </c>
      <c r="AK491" s="48">
        <v>0.77083333333333326</v>
      </c>
      <c r="AL491" s="48" t="s">
        <v>320</v>
      </c>
      <c r="AM491">
        <v>30</v>
      </c>
      <c r="AO491">
        <v>67</v>
      </c>
    </row>
    <row r="492" spans="1:45" hidden="1" x14ac:dyDescent="0.25">
      <c r="A492">
        <v>491</v>
      </c>
      <c r="B492">
        <v>2025</v>
      </c>
      <c r="C492">
        <v>9</v>
      </c>
      <c r="D492" t="s">
        <v>165</v>
      </c>
      <c r="E492">
        <v>31</v>
      </c>
      <c r="F492">
        <v>8</v>
      </c>
      <c r="G492" t="s">
        <v>430</v>
      </c>
      <c r="H492" s="48" t="s">
        <v>375</v>
      </c>
      <c r="I492" s="48" t="s">
        <v>375</v>
      </c>
      <c r="J492" s="48" t="s">
        <v>375</v>
      </c>
      <c r="K492" s="48" t="s">
        <v>375</v>
      </c>
      <c r="L492" s="48" t="s">
        <v>375</v>
      </c>
      <c r="M492" s="48" t="s">
        <v>375</v>
      </c>
      <c r="N492" s="48" t="s">
        <v>375</v>
      </c>
      <c r="O492" s="48" t="s">
        <v>375</v>
      </c>
      <c r="P492" s="48" t="s">
        <v>375</v>
      </c>
      <c r="Q492" s="48" t="s">
        <v>375</v>
      </c>
      <c r="R492" s="48" t="s">
        <v>375</v>
      </c>
      <c r="S492" s="48" t="s">
        <v>375</v>
      </c>
      <c r="T492" s="48" t="s">
        <v>375</v>
      </c>
      <c r="U492" s="48" t="s">
        <v>320</v>
      </c>
      <c r="V492" s="48" t="s">
        <v>375</v>
      </c>
      <c r="W492" s="48" t="s">
        <v>375</v>
      </c>
      <c r="X492" s="48" t="s">
        <v>375</v>
      </c>
      <c r="Y492" s="48" t="s">
        <v>375</v>
      </c>
      <c r="Z492" s="48" t="s">
        <v>375</v>
      </c>
      <c r="AA492" s="48" t="s">
        <v>375</v>
      </c>
      <c r="AB492" s="48" t="s">
        <v>375</v>
      </c>
      <c r="AC492" s="48" t="s">
        <v>375</v>
      </c>
      <c r="AD492" s="48" t="s">
        <v>375</v>
      </c>
      <c r="AE492" s="48" t="s">
        <v>375</v>
      </c>
      <c r="AF492" s="48" t="s">
        <v>375</v>
      </c>
      <c r="AG492" s="48" t="s">
        <v>375</v>
      </c>
      <c r="AH492" s="48" t="s">
        <v>375</v>
      </c>
      <c r="AI492" s="48" t="s">
        <v>375</v>
      </c>
      <c r="AJ492" s="48" t="s">
        <v>375</v>
      </c>
      <c r="AK492" s="48" t="s">
        <v>375</v>
      </c>
      <c r="AL492" s="48" t="s">
        <v>320</v>
      </c>
    </row>
    <row r="493" spans="1:45" hidden="1" x14ac:dyDescent="0.25">
      <c r="A493">
        <v>492</v>
      </c>
      <c r="B493">
        <v>2025</v>
      </c>
      <c r="C493">
        <v>9</v>
      </c>
      <c r="D493" t="s">
        <v>165</v>
      </c>
      <c r="E493">
        <v>31</v>
      </c>
      <c r="F493">
        <v>8</v>
      </c>
      <c r="G493" t="s">
        <v>431</v>
      </c>
      <c r="H493" s="48" t="s">
        <v>389</v>
      </c>
      <c r="I493" s="48" t="s">
        <v>389</v>
      </c>
      <c r="J493" s="48" t="s">
        <v>376</v>
      </c>
      <c r="K493" s="48" t="s">
        <v>376</v>
      </c>
      <c r="L493" s="48" t="s">
        <v>416</v>
      </c>
      <c r="M493" s="48" t="s">
        <v>376</v>
      </c>
      <c r="N493" s="48" t="s">
        <v>376</v>
      </c>
      <c r="O493" s="48" t="s">
        <v>389</v>
      </c>
      <c r="P493" s="48" t="s">
        <v>420</v>
      </c>
      <c r="Q493" s="48" t="s">
        <v>390</v>
      </c>
      <c r="R493" s="48" t="s">
        <v>389</v>
      </c>
      <c r="S493" s="48" t="s">
        <v>376</v>
      </c>
      <c r="T493" s="48" t="s">
        <v>376</v>
      </c>
      <c r="U493" s="48" t="s">
        <v>320</v>
      </c>
      <c r="V493" s="48" t="s">
        <v>376</v>
      </c>
      <c r="W493" s="48" t="s">
        <v>390</v>
      </c>
      <c r="X493" s="48" t="s">
        <v>420</v>
      </c>
      <c r="Y493" s="48" t="s">
        <v>390</v>
      </c>
      <c r="Z493" s="48" t="s">
        <v>389</v>
      </c>
      <c r="AA493" s="48" t="s">
        <v>420</v>
      </c>
      <c r="AB493" s="48" t="s">
        <v>390</v>
      </c>
      <c r="AC493" s="48" t="s">
        <v>390</v>
      </c>
      <c r="AD493" s="48" t="s">
        <v>389</v>
      </c>
      <c r="AE493" s="48" t="s">
        <v>390</v>
      </c>
      <c r="AF493" s="48" t="s">
        <v>420</v>
      </c>
      <c r="AG493" s="48" t="s">
        <v>389</v>
      </c>
      <c r="AH493" s="48" t="s">
        <v>376</v>
      </c>
      <c r="AI493" s="48" t="s">
        <v>376</v>
      </c>
      <c r="AJ493" s="48" t="s">
        <v>390</v>
      </c>
      <c r="AK493" s="48" t="s">
        <v>376</v>
      </c>
      <c r="AL493" s="48" t="s">
        <v>320</v>
      </c>
      <c r="AM493">
        <v>29</v>
      </c>
      <c r="AO493">
        <v>57.500000000000007</v>
      </c>
    </row>
    <row r="494" spans="1:45" hidden="1" x14ac:dyDescent="0.25">
      <c r="A494">
        <v>493</v>
      </c>
      <c r="B494">
        <v>2025</v>
      </c>
      <c r="C494">
        <v>9</v>
      </c>
      <c r="D494" t="s">
        <v>154</v>
      </c>
      <c r="E494">
        <v>31</v>
      </c>
      <c r="F494">
        <v>8</v>
      </c>
      <c r="G494" t="s">
        <v>430</v>
      </c>
      <c r="H494" s="48" t="s">
        <v>375</v>
      </c>
      <c r="I494" s="48" t="s">
        <v>375</v>
      </c>
      <c r="J494" s="48" t="s">
        <v>375</v>
      </c>
      <c r="K494" s="48" t="s">
        <v>375</v>
      </c>
      <c r="L494" s="48" t="s">
        <v>375</v>
      </c>
      <c r="M494" s="48" t="s">
        <v>375</v>
      </c>
      <c r="N494" s="48" t="s">
        <v>375</v>
      </c>
      <c r="O494" s="48" t="s">
        <v>375</v>
      </c>
      <c r="P494" s="48" t="s">
        <v>375</v>
      </c>
      <c r="Q494" s="48" t="s">
        <v>375</v>
      </c>
      <c r="R494" s="48" t="s">
        <v>375</v>
      </c>
      <c r="S494" s="48" t="s">
        <v>375</v>
      </c>
      <c r="T494" s="48" t="s">
        <v>375</v>
      </c>
      <c r="U494" s="48" t="s">
        <v>375</v>
      </c>
      <c r="V494" s="48" t="s">
        <v>375</v>
      </c>
      <c r="W494" s="48" t="s">
        <v>375</v>
      </c>
      <c r="X494" s="48" t="s">
        <v>375</v>
      </c>
      <c r="Y494" s="48" t="s">
        <v>375</v>
      </c>
      <c r="Z494" s="48" t="s">
        <v>375</v>
      </c>
      <c r="AA494" s="48" t="s">
        <v>375</v>
      </c>
      <c r="AB494" s="48" t="s">
        <v>375</v>
      </c>
      <c r="AC494" s="48" t="s">
        <v>375</v>
      </c>
      <c r="AD494" s="48" t="s">
        <v>375</v>
      </c>
      <c r="AE494" s="48" t="s">
        <v>375</v>
      </c>
      <c r="AF494" s="48" t="s">
        <v>375</v>
      </c>
      <c r="AG494" s="48" t="s">
        <v>375</v>
      </c>
      <c r="AH494" s="48" t="s">
        <v>375</v>
      </c>
      <c r="AI494" s="48" t="s">
        <v>375</v>
      </c>
      <c r="AJ494" s="48" t="s">
        <v>375</v>
      </c>
      <c r="AK494" s="48" t="s">
        <v>375</v>
      </c>
      <c r="AL494" s="48" t="s">
        <v>320</v>
      </c>
    </row>
    <row r="495" spans="1:45" hidden="1" x14ac:dyDescent="0.25">
      <c r="A495">
        <v>494</v>
      </c>
      <c r="B495">
        <v>2025</v>
      </c>
      <c r="C495">
        <v>9</v>
      </c>
      <c r="D495" t="s">
        <v>154</v>
      </c>
      <c r="E495">
        <v>31</v>
      </c>
      <c r="F495">
        <v>8</v>
      </c>
      <c r="G495" t="s">
        <v>431</v>
      </c>
      <c r="H495" s="48">
        <v>0.875</v>
      </c>
      <c r="I495" s="48">
        <v>0.875</v>
      </c>
      <c r="J495" s="48">
        <v>0.875</v>
      </c>
      <c r="K495" s="48">
        <v>0.75</v>
      </c>
      <c r="L495" s="48">
        <v>0.875</v>
      </c>
      <c r="M495" s="48">
        <v>0.91666666666666674</v>
      </c>
      <c r="N495" s="48">
        <v>0.91666666666666674</v>
      </c>
      <c r="O495" s="48">
        <v>0.75</v>
      </c>
      <c r="P495" s="48">
        <v>0.95833333333333326</v>
      </c>
      <c r="Q495" s="48">
        <v>0.75</v>
      </c>
      <c r="R495" s="48">
        <v>0.95833333333333326</v>
      </c>
      <c r="S495" s="48">
        <v>0.91666666666666674</v>
      </c>
      <c r="T495" s="48">
        <v>0.75</v>
      </c>
      <c r="U495" s="48">
        <v>0.75</v>
      </c>
      <c r="V495" s="48">
        <v>0.875</v>
      </c>
      <c r="W495" s="48">
        <v>0.91666666666666674</v>
      </c>
      <c r="X495" s="48">
        <v>0.75</v>
      </c>
      <c r="Y495" s="48">
        <v>0.95833333333333326</v>
      </c>
      <c r="Z495" s="48">
        <v>0.75</v>
      </c>
      <c r="AA495" s="48">
        <v>0.875</v>
      </c>
      <c r="AB495" s="48">
        <v>0.75</v>
      </c>
      <c r="AC495" s="48">
        <v>0.95833333333333326</v>
      </c>
      <c r="AD495" s="48">
        <v>0.75</v>
      </c>
      <c r="AE495" s="48">
        <v>0.875</v>
      </c>
      <c r="AF495" s="48">
        <v>0.875</v>
      </c>
      <c r="AG495" s="48">
        <v>0.75</v>
      </c>
      <c r="AH495" s="48">
        <v>0.95833333333333326</v>
      </c>
      <c r="AI495" s="48">
        <v>0.75</v>
      </c>
      <c r="AJ495" s="48">
        <v>0.95833333333333326</v>
      </c>
      <c r="AK495" s="48">
        <v>0.75</v>
      </c>
      <c r="AL495" s="48" t="s">
        <v>320</v>
      </c>
      <c r="AM495">
        <v>30</v>
      </c>
      <c r="AO495">
        <v>69.999999999999986</v>
      </c>
    </row>
    <row r="496" spans="1:45" hidden="1" x14ac:dyDescent="0.25">
      <c r="A496">
        <v>495</v>
      </c>
      <c r="B496">
        <v>2025</v>
      </c>
      <c r="C496">
        <v>9</v>
      </c>
      <c r="D496" t="s">
        <v>153</v>
      </c>
      <c r="E496">
        <v>31</v>
      </c>
      <c r="F496">
        <v>8</v>
      </c>
      <c r="G496" t="s">
        <v>430</v>
      </c>
      <c r="H496" s="48" t="s">
        <v>375</v>
      </c>
      <c r="I496" s="48" t="s">
        <v>375</v>
      </c>
      <c r="J496" s="48" t="s">
        <v>375</v>
      </c>
      <c r="K496" s="48" t="s">
        <v>375</v>
      </c>
      <c r="L496" s="48" t="s">
        <v>375</v>
      </c>
      <c r="M496" s="48" t="s">
        <v>375</v>
      </c>
      <c r="N496" s="48" t="s">
        <v>375</v>
      </c>
      <c r="O496" s="48" t="s">
        <v>375</v>
      </c>
      <c r="P496" s="48" t="s">
        <v>375</v>
      </c>
      <c r="Q496" s="48" t="s">
        <v>375</v>
      </c>
      <c r="R496" s="48" t="s">
        <v>375</v>
      </c>
      <c r="S496" s="48" t="s">
        <v>375</v>
      </c>
      <c r="T496" s="48" t="s">
        <v>375</v>
      </c>
      <c r="U496" s="48" t="s">
        <v>320</v>
      </c>
      <c r="V496" s="48" t="s">
        <v>375</v>
      </c>
      <c r="W496" s="48" t="s">
        <v>375</v>
      </c>
      <c r="X496" s="48" t="s">
        <v>375</v>
      </c>
      <c r="Y496" s="48" t="s">
        <v>375</v>
      </c>
      <c r="Z496" s="48" t="s">
        <v>375</v>
      </c>
      <c r="AA496" s="48" t="s">
        <v>375</v>
      </c>
      <c r="AB496" s="48" t="s">
        <v>375</v>
      </c>
      <c r="AC496" s="48" t="s">
        <v>375</v>
      </c>
      <c r="AD496" s="48" t="s">
        <v>375</v>
      </c>
      <c r="AE496" s="48" t="s">
        <v>375</v>
      </c>
      <c r="AF496" s="48" t="s">
        <v>375</v>
      </c>
      <c r="AG496" s="48" t="s">
        <v>375</v>
      </c>
      <c r="AH496" s="48" t="s">
        <v>375</v>
      </c>
      <c r="AI496" s="48" t="s">
        <v>375</v>
      </c>
      <c r="AJ496" s="48" t="s">
        <v>375</v>
      </c>
      <c r="AK496" s="48" t="s">
        <v>375</v>
      </c>
      <c r="AL496" s="48" t="s">
        <v>320</v>
      </c>
    </row>
    <row r="497" spans="1:41" hidden="1" x14ac:dyDescent="0.25">
      <c r="A497">
        <v>496</v>
      </c>
      <c r="B497">
        <v>2025</v>
      </c>
      <c r="C497">
        <v>9</v>
      </c>
      <c r="D497" t="s">
        <v>153</v>
      </c>
      <c r="E497">
        <v>31</v>
      </c>
      <c r="F497">
        <v>8</v>
      </c>
      <c r="G497" t="s">
        <v>431</v>
      </c>
      <c r="H497" s="48" t="s">
        <v>376</v>
      </c>
      <c r="I497" s="48" t="s">
        <v>376</v>
      </c>
      <c r="J497" s="48" t="s">
        <v>376</v>
      </c>
      <c r="K497" s="48" t="s">
        <v>376</v>
      </c>
      <c r="L497" s="48" t="s">
        <v>376</v>
      </c>
      <c r="M497" s="48" t="s">
        <v>376</v>
      </c>
      <c r="N497" s="48" t="s">
        <v>376</v>
      </c>
      <c r="O497" s="48" t="s">
        <v>376</v>
      </c>
      <c r="P497" s="48" t="s">
        <v>376</v>
      </c>
      <c r="Q497" s="48" t="s">
        <v>376</v>
      </c>
      <c r="R497" s="48" t="s">
        <v>376</v>
      </c>
      <c r="S497" s="48" t="s">
        <v>376</v>
      </c>
      <c r="T497" s="48" t="s">
        <v>376</v>
      </c>
      <c r="U497" s="48" t="s">
        <v>320</v>
      </c>
      <c r="V497" s="48" t="s">
        <v>376</v>
      </c>
      <c r="W497" s="48" t="s">
        <v>376</v>
      </c>
      <c r="X497" s="48" t="s">
        <v>376</v>
      </c>
      <c r="Y497" s="48" t="s">
        <v>376</v>
      </c>
      <c r="Z497" s="48" t="s">
        <v>376</v>
      </c>
      <c r="AA497" s="48" t="s">
        <v>376</v>
      </c>
      <c r="AB497" s="48" t="s">
        <v>376</v>
      </c>
      <c r="AC497" s="48" t="s">
        <v>376</v>
      </c>
      <c r="AD497" s="48" t="s">
        <v>376</v>
      </c>
      <c r="AE497" s="48" t="s">
        <v>376</v>
      </c>
      <c r="AF497" s="48" t="s">
        <v>376</v>
      </c>
      <c r="AG497" s="48" t="s">
        <v>376</v>
      </c>
      <c r="AH497" s="48" t="s">
        <v>376</v>
      </c>
      <c r="AI497" s="48" t="s">
        <v>376</v>
      </c>
      <c r="AJ497" s="48" t="s">
        <v>376</v>
      </c>
      <c r="AK497" s="48" t="s">
        <v>376</v>
      </c>
      <c r="AL497" s="48" t="s">
        <v>320</v>
      </c>
      <c r="AM497">
        <v>29</v>
      </c>
    </row>
    <row r="498" spans="1:41" hidden="1" x14ac:dyDescent="0.25">
      <c r="A498">
        <v>497</v>
      </c>
      <c r="B498">
        <v>2025</v>
      </c>
      <c r="C498">
        <v>9</v>
      </c>
      <c r="D498" t="s">
        <v>162</v>
      </c>
      <c r="E498">
        <v>31</v>
      </c>
      <c r="F498">
        <v>8</v>
      </c>
      <c r="G498" t="s">
        <v>430</v>
      </c>
      <c r="H498" s="48" t="s">
        <v>382</v>
      </c>
      <c r="I498" s="48" t="s">
        <v>382</v>
      </c>
      <c r="J498" s="48" t="s">
        <v>382</v>
      </c>
      <c r="K498" s="48" t="s">
        <v>382</v>
      </c>
      <c r="L498" s="48" t="s">
        <v>382</v>
      </c>
      <c r="M498" s="48" t="s">
        <v>382</v>
      </c>
      <c r="N498" s="48" t="s">
        <v>382</v>
      </c>
      <c r="O498" s="48" t="s">
        <v>382</v>
      </c>
      <c r="P498" s="48" t="s">
        <v>382</v>
      </c>
      <c r="Q498" s="48" t="s">
        <v>382</v>
      </c>
      <c r="R498" s="48" t="s">
        <v>382</v>
      </c>
      <c r="S498" s="48" t="s">
        <v>382</v>
      </c>
      <c r="T498" s="48" t="s">
        <v>382</v>
      </c>
      <c r="U498" s="48" t="s">
        <v>320</v>
      </c>
      <c r="V498" s="48" t="s">
        <v>382</v>
      </c>
      <c r="W498" s="48" t="s">
        <v>382</v>
      </c>
      <c r="X498" s="48" t="s">
        <v>382</v>
      </c>
      <c r="Y498" s="48" t="s">
        <v>382</v>
      </c>
      <c r="Z498" s="48" t="s">
        <v>382</v>
      </c>
      <c r="AA498" s="48" t="s">
        <v>382</v>
      </c>
      <c r="AB498" s="48" t="s">
        <v>382</v>
      </c>
      <c r="AC498" s="48" t="s">
        <v>382</v>
      </c>
      <c r="AD498" s="48" t="s">
        <v>382</v>
      </c>
      <c r="AE498" s="48" t="s">
        <v>382</v>
      </c>
      <c r="AF498" s="48" t="s">
        <v>382</v>
      </c>
      <c r="AG498" s="48" t="s">
        <v>382</v>
      </c>
      <c r="AH498" s="48" t="s">
        <v>382</v>
      </c>
      <c r="AI498" s="48" t="s">
        <v>382</v>
      </c>
      <c r="AJ498" s="48" t="s">
        <v>382</v>
      </c>
      <c r="AK498" s="48" t="s">
        <v>382</v>
      </c>
      <c r="AL498" s="48" t="s">
        <v>320</v>
      </c>
    </row>
    <row r="499" spans="1:41" hidden="1" x14ac:dyDescent="0.25">
      <c r="A499">
        <v>498</v>
      </c>
      <c r="B499">
        <v>2025</v>
      </c>
      <c r="C499">
        <v>9</v>
      </c>
      <c r="D499" t="s">
        <v>162</v>
      </c>
      <c r="E499">
        <v>31</v>
      </c>
      <c r="F499">
        <v>8</v>
      </c>
      <c r="G499" t="s">
        <v>431</v>
      </c>
      <c r="H499" s="48">
        <v>0.79166666666666674</v>
      </c>
      <c r="I499" s="48">
        <v>0.79166666666666674</v>
      </c>
      <c r="J499" s="48">
        <v>0.79166666666666674</v>
      </c>
      <c r="K499" s="48">
        <v>0.79166666666666674</v>
      </c>
      <c r="L499" s="48">
        <v>0.79166666666666674</v>
      </c>
      <c r="M499" s="48">
        <v>0.79166666666666674</v>
      </c>
      <c r="N499" s="48">
        <v>0.79166666666666674</v>
      </c>
      <c r="O499" s="48">
        <v>0.79166666666666674</v>
      </c>
      <c r="P499" s="48">
        <v>0.79166666666666674</v>
      </c>
      <c r="Q499" s="48">
        <v>0.79166666666666674</v>
      </c>
      <c r="R499" s="48">
        <v>0.79166666666666674</v>
      </c>
      <c r="S499" s="48">
        <v>0.79166666666666674</v>
      </c>
      <c r="T499" s="48">
        <v>0.79166666666666674</v>
      </c>
      <c r="U499" s="48" t="s">
        <v>320</v>
      </c>
      <c r="V499" s="48">
        <v>0.79166666666666674</v>
      </c>
      <c r="W499" s="48">
        <v>0.79166666666666674</v>
      </c>
      <c r="X499" s="48">
        <v>0.79166666666666674</v>
      </c>
      <c r="Y499" s="48">
        <v>0.79166666666666674</v>
      </c>
      <c r="Z499" s="48">
        <v>0.79166666666666674</v>
      </c>
      <c r="AA499" s="48">
        <v>0.79166666666666674</v>
      </c>
      <c r="AB499" s="48">
        <v>0.79166666666666674</v>
      </c>
      <c r="AC499" s="48">
        <v>0.79166666666666674</v>
      </c>
      <c r="AD499" s="48">
        <v>0.79166666666666674</v>
      </c>
      <c r="AE499" s="48">
        <v>0.79166666666666674</v>
      </c>
      <c r="AF499" s="48">
        <v>0.79166666666666674</v>
      </c>
      <c r="AG499" s="48">
        <v>0.79166666666666674</v>
      </c>
      <c r="AH499" s="48">
        <v>0.79166666666666674</v>
      </c>
      <c r="AI499" s="48">
        <v>0.79166666666666674</v>
      </c>
      <c r="AJ499" s="48">
        <v>0.79166666666666674</v>
      </c>
      <c r="AK499" s="48">
        <v>0.79166666666666674</v>
      </c>
      <c r="AL499" s="48" t="s">
        <v>320</v>
      </c>
      <c r="AM499">
        <v>29</v>
      </c>
      <c r="AO499">
        <v>87</v>
      </c>
    </row>
    <row r="500" spans="1:41" hidden="1" x14ac:dyDescent="0.25">
      <c r="A500">
        <v>499</v>
      </c>
      <c r="B500">
        <v>2025</v>
      </c>
      <c r="C500">
        <v>9</v>
      </c>
      <c r="D500" t="s">
        <v>171</v>
      </c>
      <c r="E500">
        <v>31</v>
      </c>
      <c r="F500">
        <v>8</v>
      </c>
      <c r="G500" t="s">
        <v>430</v>
      </c>
      <c r="H500" s="48" t="s">
        <v>375</v>
      </c>
      <c r="I500" s="48" t="s">
        <v>375</v>
      </c>
      <c r="J500" s="48" t="s">
        <v>375</v>
      </c>
      <c r="K500" s="48" t="s">
        <v>375</v>
      </c>
      <c r="L500" s="48" t="s">
        <v>375</v>
      </c>
      <c r="M500" s="48" t="s">
        <v>375</v>
      </c>
      <c r="N500" s="48" t="s">
        <v>375</v>
      </c>
      <c r="O500" s="48" t="s">
        <v>375</v>
      </c>
      <c r="P500" s="48" t="s">
        <v>375</v>
      </c>
      <c r="Q500" s="48" t="s">
        <v>375</v>
      </c>
      <c r="R500" s="48" t="s">
        <v>375</v>
      </c>
      <c r="S500" s="48" t="s">
        <v>375</v>
      </c>
      <c r="T500" s="48" t="s">
        <v>375</v>
      </c>
      <c r="U500" s="48" t="s">
        <v>375</v>
      </c>
      <c r="V500" s="48" t="s">
        <v>375</v>
      </c>
      <c r="W500" s="48" t="s">
        <v>375</v>
      </c>
      <c r="X500" s="48" t="s">
        <v>375</v>
      </c>
      <c r="Y500" s="48" t="s">
        <v>375</v>
      </c>
      <c r="Z500" s="48" t="s">
        <v>375</v>
      </c>
      <c r="AA500" s="48" t="s">
        <v>375</v>
      </c>
      <c r="AB500" s="48" t="s">
        <v>375</v>
      </c>
      <c r="AC500" s="48" t="s">
        <v>375</v>
      </c>
      <c r="AD500" s="48" t="s">
        <v>375</v>
      </c>
      <c r="AE500" s="48" t="s">
        <v>375</v>
      </c>
      <c r="AF500" s="48" t="s">
        <v>375</v>
      </c>
      <c r="AG500" s="48" t="s">
        <v>375</v>
      </c>
      <c r="AH500" s="48" t="s">
        <v>375</v>
      </c>
      <c r="AI500" s="48" t="s">
        <v>375</v>
      </c>
      <c r="AJ500" s="48" t="s">
        <v>375</v>
      </c>
      <c r="AK500" s="48" t="s">
        <v>375</v>
      </c>
      <c r="AL500" s="48" t="s">
        <v>320</v>
      </c>
    </row>
    <row r="501" spans="1:41" hidden="1" x14ac:dyDescent="0.25">
      <c r="A501">
        <v>500</v>
      </c>
      <c r="B501">
        <v>2025</v>
      </c>
      <c r="C501">
        <v>9</v>
      </c>
      <c r="D501" t="s">
        <v>171</v>
      </c>
      <c r="E501">
        <v>31</v>
      </c>
      <c r="F501">
        <v>8</v>
      </c>
      <c r="G501" t="s">
        <v>431</v>
      </c>
      <c r="H501" s="48" t="s">
        <v>376</v>
      </c>
      <c r="I501" s="48" t="s">
        <v>388</v>
      </c>
      <c r="J501" s="48" t="s">
        <v>388</v>
      </c>
      <c r="K501" s="48" t="s">
        <v>388</v>
      </c>
      <c r="L501" s="48" t="s">
        <v>388</v>
      </c>
      <c r="M501" s="48" t="s">
        <v>388</v>
      </c>
      <c r="N501" s="48" t="s">
        <v>388</v>
      </c>
      <c r="O501" s="48" t="s">
        <v>388</v>
      </c>
      <c r="P501" s="48" t="s">
        <v>388</v>
      </c>
      <c r="Q501" s="48" t="s">
        <v>388</v>
      </c>
      <c r="R501" s="48" t="s">
        <v>388</v>
      </c>
      <c r="S501" s="48" t="s">
        <v>388</v>
      </c>
      <c r="T501" s="48" t="s">
        <v>388</v>
      </c>
      <c r="U501" s="48" t="s">
        <v>388</v>
      </c>
      <c r="V501" s="48" t="s">
        <v>376</v>
      </c>
      <c r="W501" s="48" t="s">
        <v>376</v>
      </c>
      <c r="X501" s="48" t="s">
        <v>376</v>
      </c>
      <c r="Y501" s="48" t="s">
        <v>376</v>
      </c>
      <c r="Z501" s="48" t="s">
        <v>376</v>
      </c>
      <c r="AA501" s="48" t="s">
        <v>376</v>
      </c>
      <c r="AB501" s="48" t="s">
        <v>376</v>
      </c>
      <c r="AC501" s="48" t="s">
        <v>388</v>
      </c>
      <c r="AD501" s="48" t="s">
        <v>388</v>
      </c>
      <c r="AE501" s="48" t="s">
        <v>388</v>
      </c>
      <c r="AF501" s="48" t="s">
        <v>388</v>
      </c>
      <c r="AG501" s="48" t="s">
        <v>388</v>
      </c>
      <c r="AH501" s="48" t="s">
        <v>388</v>
      </c>
      <c r="AI501" s="48" t="s">
        <v>388</v>
      </c>
      <c r="AJ501" s="48" t="s">
        <v>388</v>
      </c>
      <c r="AK501" s="48" t="s">
        <v>388</v>
      </c>
      <c r="AL501" s="48" t="s">
        <v>320</v>
      </c>
      <c r="AM501">
        <v>30</v>
      </c>
      <c r="AO501">
        <v>21.999999999999972</v>
      </c>
    </row>
    <row r="502" spans="1:41" hidden="1" x14ac:dyDescent="0.25">
      <c r="A502">
        <v>501</v>
      </c>
      <c r="B502">
        <v>2025</v>
      </c>
      <c r="C502">
        <v>9</v>
      </c>
      <c r="D502" t="s">
        <v>161</v>
      </c>
      <c r="E502">
        <v>31</v>
      </c>
      <c r="F502">
        <v>8</v>
      </c>
      <c r="G502" t="s">
        <v>430</v>
      </c>
      <c r="H502" s="48" t="s">
        <v>375</v>
      </c>
      <c r="I502" s="48" t="s">
        <v>375</v>
      </c>
      <c r="J502" s="48" t="s">
        <v>375</v>
      </c>
      <c r="K502" s="48" t="s">
        <v>375</v>
      </c>
      <c r="L502" s="48" t="s">
        <v>375</v>
      </c>
      <c r="M502" s="48" t="s">
        <v>375</v>
      </c>
      <c r="N502" s="48" t="s">
        <v>320</v>
      </c>
      <c r="O502" s="48" t="s">
        <v>375</v>
      </c>
      <c r="P502" s="48" t="s">
        <v>375</v>
      </c>
      <c r="Q502" s="48" t="s">
        <v>375</v>
      </c>
      <c r="R502" s="48" t="s">
        <v>375</v>
      </c>
      <c r="S502" s="48" t="s">
        <v>375</v>
      </c>
      <c r="T502" s="48" t="s">
        <v>375</v>
      </c>
      <c r="U502" s="48" t="s">
        <v>320</v>
      </c>
      <c r="V502" s="48" t="s">
        <v>375</v>
      </c>
      <c r="W502" s="48" t="s">
        <v>375</v>
      </c>
      <c r="X502" s="48" t="s">
        <v>375</v>
      </c>
      <c r="Y502" s="48" t="s">
        <v>375</v>
      </c>
      <c r="Z502" s="48" t="s">
        <v>375</v>
      </c>
      <c r="AA502" s="48" t="s">
        <v>375</v>
      </c>
      <c r="AB502" s="48" t="s">
        <v>375</v>
      </c>
      <c r="AC502" s="48" t="s">
        <v>375</v>
      </c>
      <c r="AD502" s="48" t="s">
        <v>375</v>
      </c>
      <c r="AE502" s="48" t="s">
        <v>375</v>
      </c>
      <c r="AF502" s="48" t="s">
        <v>375</v>
      </c>
      <c r="AG502" s="48" t="s">
        <v>375</v>
      </c>
      <c r="AH502" s="48" t="s">
        <v>375</v>
      </c>
      <c r="AI502" s="48" t="s">
        <v>320</v>
      </c>
      <c r="AJ502" s="48" t="s">
        <v>375</v>
      </c>
      <c r="AK502" s="48" t="s">
        <v>375</v>
      </c>
      <c r="AL502" s="48" t="s">
        <v>320</v>
      </c>
    </row>
    <row r="503" spans="1:41" hidden="1" x14ac:dyDescent="0.25">
      <c r="A503">
        <v>502</v>
      </c>
      <c r="B503">
        <v>2025</v>
      </c>
      <c r="C503">
        <v>9</v>
      </c>
      <c r="D503" t="s">
        <v>161</v>
      </c>
      <c r="E503">
        <v>31</v>
      </c>
      <c r="F503">
        <v>8</v>
      </c>
      <c r="G503" t="s">
        <v>431</v>
      </c>
      <c r="H503" s="48">
        <v>1.0833333333333333</v>
      </c>
      <c r="I503" s="48">
        <v>0.91666666666666674</v>
      </c>
      <c r="J503" s="48">
        <v>1.125</v>
      </c>
      <c r="K503" s="48">
        <v>0.75</v>
      </c>
      <c r="L503" s="48">
        <v>1.0833333333333333</v>
      </c>
      <c r="M503" s="48">
        <v>0.75</v>
      </c>
      <c r="N503" s="48" t="s">
        <v>320</v>
      </c>
      <c r="O503" s="48">
        <v>1.0833333333333333</v>
      </c>
      <c r="P503" s="48">
        <v>1.1666666666666667</v>
      </c>
      <c r="Q503" s="48">
        <v>0.75</v>
      </c>
      <c r="R503" s="48">
        <v>1.0416666666666667</v>
      </c>
      <c r="S503" s="48">
        <v>1</v>
      </c>
      <c r="T503" s="48">
        <v>0.75</v>
      </c>
      <c r="U503" s="48" t="s">
        <v>320</v>
      </c>
      <c r="V503" s="48">
        <v>0.75</v>
      </c>
      <c r="W503" s="48">
        <v>1</v>
      </c>
      <c r="X503" s="48">
        <v>0.83333333333333326</v>
      </c>
      <c r="Y503" s="48">
        <v>0.95833333333333326</v>
      </c>
      <c r="Z503" s="48">
        <v>0.83333333333333326</v>
      </c>
      <c r="AA503" s="48">
        <v>0.75</v>
      </c>
      <c r="AB503" s="48">
        <v>0.75</v>
      </c>
      <c r="AC503" s="48">
        <v>1</v>
      </c>
      <c r="AD503" s="48">
        <v>0.875</v>
      </c>
      <c r="AE503" s="48">
        <v>0.95833333333333326</v>
      </c>
      <c r="AF503" s="48">
        <v>0.875</v>
      </c>
      <c r="AG503" s="48">
        <v>1.0416666666666667</v>
      </c>
      <c r="AH503" s="48">
        <v>0.95833333333333326</v>
      </c>
      <c r="AI503" s="48" t="s">
        <v>320</v>
      </c>
      <c r="AJ503" s="48">
        <v>1.0416666666666667</v>
      </c>
      <c r="AK503" s="48">
        <v>0.91666666666666674</v>
      </c>
      <c r="AL503" s="48" t="s">
        <v>320</v>
      </c>
      <c r="AM503">
        <v>27</v>
      </c>
      <c r="AO503">
        <v>114.99999999999999</v>
      </c>
    </row>
    <row r="504" spans="1:41" hidden="1" x14ac:dyDescent="0.25">
      <c r="A504">
        <v>503</v>
      </c>
      <c r="B504">
        <v>2025</v>
      </c>
      <c r="C504">
        <v>9</v>
      </c>
      <c r="D504" t="s">
        <v>157</v>
      </c>
      <c r="E504">
        <v>31</v>
      </c>
      <c r="F504">
        <v>8</v>
      </c>
      <c r="G504" t="s">
        <v>430</v>
      </c>
      <c r="H504" s="48">
        <v>0.29166666666666669</v>
      </c>
      <c r="I504" s="48">
        <v>0.29166666666666669</v>
      </c>
      <c r="J504" s="48">
        <v>0.29166666666666669</v>
      </c>
      <c r="K504" s="48">
        <v>0.29166666666666669</v>
      </c>
      <c r="L504" s="48">
        <v>0.29166666666666669</v>
      </c>
      <c r="M504" s="48">
        <v>0.29166666666666669</v>
      </c>
      <c r="N504" s="48">
        <v>0.29166666666666669</v>
      </c>
      <c r="O504" s="48">
        <v>0.29166666666666669</v>
      </c>
      <c r="P504" s="48">
        <v>0.29166666666666669</v>
      </c>
      <c r="Q504" s="48">
        <v>0.29166666666666669</v>
      </c>
      <c r="R504" s="48">
        <v>0.29166666666666669</v>
      </c>
      <c r="S504" s="48">
        <v>0.29166666666666669</v>
      </c>
      <c r="T504" s="48">
        <v>0.29166666666666669</v>
      </c>
      <c r="U504" s="48">
        <v>0.29166666666666669</v>
      </c>
      <c r="V504" s="48">
        <v>0.29166666666666669</v>
      </c>
      <c r="W504" s="48">
        <v>0.29166666666666669</v>
      </c>
      <c r="X504" s="48">
        <v>0.29166666666666669</v>
      </c>
      <c r="Y504" s="48">
        <v>0.29166666666666669</v>
      </c>
      <c r="Z504" s="48">
        <v>0.29166666666666669</v>
      </c>
      <c r="AA504" s="48">
        <v>0.29166666666666669</v>
      </c>
      <c r="AB504" s="48">
        <v>0.29166666666666669</v>
      </c>
      <c r="AC504" s="48">
        <v>0.29166666666666669</v>
      </c>
      <c r="AD504" s="48">
        <v>0.29166666666666669</v>
      </c>
      <c r="AE504" s="48">
        <v>0.29166666666666669</v>
      </c>
      <c r="AF504" s="48">
        <v>0.29166666666666669</v>
      </c>
      <c r="AG504" s="48">
        <v>0.29166666666666669</v>
      </c>
      <c r="AH504" s="48">
        <v>0.29166666666666669</v>
      </c>
      <c r="AI504" s="48">
        <v>0.29166666666666669</v>
      </c>
      <c r="AJ504" s="48">
        <v>0.29166666666666669</v>
      </c>
      <c r="AK504" s="48">
        <v>0.29166666666666669</v>
      </c>
      <c r="AL504" s="48" t="s">
        <v>320</v>
      </c>
    </row>
    <row r="505" spans="1:41" hidden="1" x14ac:dyDescent="0.25">
      <c r="A505">
        <v>504</v>
      </c>
      <c r="B505">
        <v>2025</v>
      </c>
      <c r="C505">
        <v>9</v>
      </c>
      <c r="D505" t="s">
        <v>157</v>
      </c>
      <c r="E505">
        <v>31</v>
      </c>
      <c r="F505">
        <v>8</v>
      </c>
      <c r="G505" t="s">
        <v>431</v>
      </c>
      <c r="H505" s="48">
        <v>0.75</v>
      </c>
      <c r="I505" s="48">
        <v>0.75</v>
      </c>
      <c r="J505" s="48">
        <v>0.75</v>
      </c>
      <c r="K505" s="48">
        <v>0.75</v>
      </c>
      <c r="L505" s="48">
        <v>0.75</v>
      </c>
      <c r="M505" s="48">
        <v>0.75</v>
      </c>
      <c r="N505" s="48">
        <v>0.75</v>
      </c>
      <c r="O505" s="48">
        <v>0.75</v>
      </c>
      <c r="P505" s="48">
        <v>0.75</v>
      </c>
      <c r="Q505" s="48">
        <v>0.75</v>
      </c>
      <c r="R505" s="48">
        <v>0.75</v>
      </c>
      <c r="S505" s="48">
        <v>0.75</v>
      </c>
      <c r="T505" s="48">
        <v>0.75</v>
      </c>
      <c r="U505" s="48">
        <v>0.75</v>
      </c>
      <c r="V505" s="48">
        <v>0.75</v>
      </c>
      <c r="W505" s="48">
        <v>0.75</v>
      </c>
      <c r="X505" s="48">
        <v>0.75</v>
      </c>
      <c r="Y505" s="48">
        <v>0.75</v>
      </c>
      <c r="Z505" s="48">
        <v>0.75</v>
      </c>
      <c r="AA505" s="48">
        <v>0.75</v>
      </c>
      <c r="AB505" s="48">
        <v>0.75</v>
      </c>
      <c r="AC505" s="48">
        <v>0.75</v>
      </c>
      <c r="AD505" s="48">
        <v>0.75</v>
      </c>
      <c r="AE505" s="48">
        <v>0.75</v>
      </c>
      <c r="AF505" s="48">
        <v>0.75</v>
      </c>
      <c r="AG505" s="48">
        <v>0.75</v>
      </c>
      <c r="AH505" s="48">
        <v>0.75</v>
      </c>
      <c r="AI505" s="48">
        <v>0.75</v>
      </c>
      <c r="AJ505" s="48">
        <v>0.75</v>
      </c>
      <c r="AK505" s="48">
        <v>0.75</v>
      </c>
      <c r="AL505" s="48" t="s">
        <v>320</v>
      </c>
      <c r="AM505">
        <v>30</v>
      </c>
    </row>
    <row r="506" spans="1:41" hidden="1" x14ac:dyDescent="0.25">
      <c r="A506">
        <v>505</v>
      </c>
      <c r="B506">
        <v>2025</v>
      </c>
      <c r="C506">
        <v>9</v>
      </c>
      <c r="D506" t="s">
        <v>151</v>
      </c>
      <c r="E506">
        <v>31</v>
      </c>
      <c r="F506">
        <v>8</v>
      </c>
      <c r="G506" t="s">
        <v>430</v>
      </c>
      <c r="H506" s="48" t="s">
        <v>375</v>
      </c>
      <c r="I506" s="48" t="s">
        <v>375</v>
      </c>
      <c r="J506" s="48" t="s">
        <v>375</v>
      </c>
      <c r="K506" s="48" t="s">
        <v>375</v>
      </c>
      <c r="L506" s="48" t="s">
        <v>375</v>
      </c>
      <c r="M506" s="48" t="s">
        <v>375</v>
      </c>
      <c r="N506" s="48" t="s">
        <v>375</v>
      </c>
      <c r="O506" s="48" t="s">
        <v>375</v>
      </c>
      <c r="P506" s="48" t="s">
        <v>375</v>
      </c>
      <c r="Q506" s="48" t="s">
        <v>375</v>
      </c>
      <c r="R506" s="48" t="s">
        <v>375</v>
      </c>
      <c r="S506" s="48" t="s">
        <v>375</v>
      </c>
      <c r="T506" s="48" t="s">
        <v>375</v>
      </c>
      <c r="U506" s="48" t="s">
        <v>375</v>
      </c>
      <c r="V506" s="48" t="s">
        <v>375</v>
      </c>
      <c r="W506" s="48" t="s">
        <v>375</v>
      </c>
      <c r="X506" s="48" t="s">
        <v>375</v>
      </c>
      <c r="Y506" s="48" t="s">
        <v>375</v>
      </c>
      <c r="Z506" s="48" t="s">
        <v>375</v>
      </c>
      <c r="AA506" s="48" t="s">
        <v>375</v>
      </c>
      <c r="AB506" s="48" t="s">
        <v>375</v>
      </c>
      <c r="AC506" s="48" t="s">
        <v>375</v>
      </c>
      <c r="AD506" s="48" t="s">
        <v>375</v>
      </c>
      <c r="AE506" s="48" t="s">
        <v>375</v>
      </c>
      <c r="AF506" s="48" t="s">
        <v>375</v>
      </c>
      <c r="AG506" s="48" t="s">
        <v>375</v>
      </c>
      <c r="AH506" s="48" t="s">
        <v>375</v>
      </c>
      <c r="AI506" s="48" t="s">
        <v>375</v>
      </c>
      <c r="AJ506" s="48" t="s">
        <v>375</v>
      </c>
      <c r="AK506" s="48" t="s">
        <v>375</v>
      </c>
      <c r="AL506" s="48" t="s">
        <v>320</v>
      </c>
    </row>
    <row r="507" spans="1:41" hidden="1" x14ac:dyDescent="0.25">
      <c r="A507">
        <v>506</v>
      </c>
      <c r="B507">
        <v>2025</v>
      </c>
      <c r="C507">
        <v>9</v>
      </c>
      <c r="D507" t="s">
        <v>151</v>
      </c>
      <c r="E507">
        <v>31</v>
      </c>
      <c r="F507">
        <v>8</v>
      </c>
      <c r="G507" t="s">
        <v>431</v>
      </c>
      <c r="H507" s="48">
        <v>0.25</v>
      </c>
      <c r="I507" s="48">
        <v>0.25</v>
      </c>
      <c r="J507" s="48">
        <v>0.25</v>
      </c>
      <c r="K507" s="48">
        <v>0.25</v>
      </c>
      <c r="L507" s="48">
        <v>0.25</v>
      </c>
      <c r="M507" s="48">
        <v>0.25</v>
      </c>
      <c r="N507" s="48">
        <v>0.25</v>
      </c>
      <c r="O507" s="48">
        <v>0.25</v>
      </c>
      <c r="P507" s="48">
        <v>0.25</v>
      </c>
      <c r="Q507" s="48">
        <v>0.25</v>
      </c>
      <c r="R507" s="48">
        <v>0.25</v>
      </c>
      <c r="S507" s="48">
        <v>0.25</v>
      </c>
      <c r="T507" s="48">
        <v>0.25</v>
      </c>
      <c r="U507" s="48">
        <v>0.25</v>
      </c>
      <c r="V507" s="48">
        <v>0.25</v>
      </c>
      <c r="W507" s="48">
        <v>0.25</v>
      </c>
      <c r="X507" s="48">
        <v>0.25</v>
      </c>
      <c r="Y507" s="48">
        <v>0.25</v>
      </c>
      <c r="Z507" s="48">
        <v>0.25</v>
      </c>
      <c r="AA507" s="48">
        <v>0.25</v>
      </c>
      <c r="AB507" s="48">
        <v>0.25</v>
      </c>
      <c r="AC507" s="48">
        <v>0.25</v>
      </c>
      <c r="AD507" s="48">
        <v>0.25</v>
      </c>
      <c r="AE507" s="48">
        <v>0.25</v>
      </c>
      <c r="AF507" s="48">
        <v>0.25</v>
      </c>
      <c r="AG507" s="48">
        <v>0.25</v>
      </c>
      <c r="AH507" s="48">
        <v>0.25</v>
      </c>
      <c r="AI507" s="48">
        <v>0.25</v>
      </c>
      <c r="AJ507" s="48">
        <v>0.25</v>
      </c>
      <c r="AK507" s="48">
        <v>0.25</v>
      </c>
      <c r="AL507" s="48" t="s">
        <v>320</v>
      </c>
      <c r="AM507">
        <v>0</v>
      </c>
      <c r="AN507">
        <v>30</v>
      </c>
    </row>
    <row r="508" spans="1:41" hidden="1" x14ac:dyDescent="0.25">
      <c r="A508">
        <v>507</v>
      </c>
      <c r="B508">
        <v>2025</v>
      </c>
      <c r="C508">
        <v>9</v>
      </c>
      <c r="D508" t="s">
        <v>149</v>
      </c>
      <c r="E508">
        <v>31</v>
      </c>
      <c r="F508">
        <v>8</v>
      </c>
      <c r="G508" t="s">
        <v>430</v>
      </c>
      <c r="H508" s="48" t="s">
        <v>421</v>
      </c>
      <c r="I508" s="48" t="s">
        <v>422</v>
      </c>
      <c r="J508" s="48" t="s">
        <v>422</v>
      </c>
      <c r="K508" s="48" t="s">
        <v>422</v>
      </c>
      <c r="L508" s="48" t="s">
        <v>422</v>
      </c>
      <c r="M508" s="48" t="s">
        <v>422</v>
      </c>
      <c r="N508" s="48" t="s">
        <v>422</v>
      </c>
      <c r="O508" s="48" t="s">
        <v>422</v>
      </c>
      <c r="P508" s="48" t="s">
        <v>320</v>
      </c>
      <c r="Q508" s="48" t="s">
        <v>320</v>
      </c>
      <c r="R508" s="48" t="s">
        <v>320</v>
      </c>
      <c r="S508" s="48" t="s">
        <v>320</v>
      </c>
      <c r="T508" s="48" t="s">
        <v>320</v>
      </c>
      <c r="U508" s="48" t="s">
        <v>320</v>
      </c>
      <c r="V508" s="48" t="s">
        <v>320</v>
      </c>
      <c r="W508" s="48" t="s">
        <v>320</v>
      </c>
      <c r="X508" s="48" t="s">
        <v>320</v>
      </c>
      <c r="Y508" s="48" t="s">
        <v>320</v>
      </c>
      <c r="Z508" s="48" t="s">
        <v>320</v>
      </c>
      <c r="AA508" s="48" t="s">
        <v>320</v>
      </c>
      <c r="AB508" s="48" t="s">
        <v>320</v>
      </c>
      <c r="AC508" s="48" t="s">
        <v>320</v>
      </c>
      <c r="AD508" s="48" t="s">
        <v>320</v>
      </c>
      <c r="AE508" s="48" t="s">
        <v>320</v>
      </c>
      <c r="AF508" s="48" t="s">
        <v>320</v>
      </c>
      <c r="AG508" s="48" t="s">
        <v>320</v>
      </c>
      <c r="AH508" s="48" t="s">
        <v>320</v>
      </c>
      <c r="AI508" s="48" t="s">
        <v>320</v>
      </c>
      <c r="AJ508" s="48" t="s">
        <v>320</v>
      </c>
      <c r="AK508" s="48" t="s">
        <v>320</v>
      </c>
      <c r="AL508" s="48" t="s">
        <v>320</v>
      </c>
    </row>
    <row r="509" spans="1:41" hidden="1" x14ac:dyDescent="0.25">
      <c r="A509">
        <v>508</v>
      </c>
      <c r="B509">
        <v>2025</v>
      </c>
      <c r="C509">
        <v>9</v>
      </c>
      <c r="D509" t="s">
        <v>149</v>
      </c>
      <c r="E509">
        <v>31</v>
      </c>
      <c r="F509">
        <v>8</v>
      </c>
      <c r="G509" t="s">
        <v>431</v>
      </c>
      <c r="H509" s="48">
        <v>0.72638888888888886</v>
      </c>
      <c r="I509" s="48">
        <v>0.72361111111111109</v>
      </c>
      <c r="J509" s="48">
        <v>0.72361111111111109</v>
      </c>
      <c r="K509" s="48">
        <v>0.72361111111111109</v>
      </c>
      <c r="L509" s="48">
        <v>0.72361111111111109</v>
      </c>
      <c r="M509" s="48">
        <v>0.72361111111111109</v>
      </c>
      <c r="N509" s="48">
        <v>0.72361111111111109</v>
      </c>
      <c r="O509" s="48">
        <v>0.72361111111111109</v>
      </c>
      <c r="P509" s="48" t="s">
        <v>320</v>
      </c>
      <c r="Q509" s="48" t="s">
        <v>320</v>
      </c>
      <c r="R509" s="48" t="s">
        <v>320</v>
      </c>
      <c r="S509" s="48" t="s">
        <v>320</v>
      </c>
      <c r="T509" s="48" t="s">
        <v>320</v>
      </c>
      <c r="U509" s="48" t="s">
        <v>320</v>
      </c>
      <c r="V509" s="48" t="s">
        <v>320</v>
      </c>
      <c r="W509" s="48" t="s">
        <v>320</v>
      </c>
      <c r="X509" s="48" t="s">
        <v>320</v>
      </c>
      <c r="Y509" s="48" t="s">
        <v>320</v>
      </c>
      <c r="Z509" s="48" t="s">
        <v>320</v>
      </c>
      <c r="AA509" s="48" t="s">
        <v>320</v>
      </c>
      <c r="AB509" s="48" t="s">
        <v>320</v>
      </c>
      <c r="AC509" s="48" t="s">
        <v>320</v>
      </c>
      <c r="AD509" s="48" t="s">
        <v>320</v>
      </c>
      <c r="AE509" s="48" t="s">
        <v>320</v>
      </c>
      <c r="AF509" s="48" t="s">
        <v>320</v>
      </c>
      <c r="AG509" s="48" t="s">
        <v>320</v>
      </c>
      <c r="AH509" s="48" t="s">
        <v>320</v>
      </c>
      <c r="AI509" s="48" t="s">
        <v>320</v>
      </c>
      <c r="AJ509" s="48" t="s">
        <v>320</v>
      </c>
      <c r="AK509" s="48" t="s">
        <v>320</v>
      </c>
      <c r="AL509" s="48" t="s">
        <v>320</v>
      </c>
      <c r="AM509">
        <v>8</v>
      </c>
    </row>
    <row r="510" spans="1:41" hidden="1" x14ac:dyDescent="0.25">
      <c r="A510">
        <v>509</v>
      </c>
      <c r="B510">
        <v>2025</v>
      </c>
      <c r="C510">
        <v>9</v>
      </c>
      <c r="D510" t="s">
        <v>173</v>
      </c>
      <c r="E510">
        <v>31</v>
      </c>
      <c r="F510">
        <v>8</v>
      </c>
      <c r="G510" t="s">
        <v>430</v>
      </c>
      <c r="H510" s="48">
        <v>0.29166666666666669</v>
      </c>
      <c r="I510" s="48">
        <v>0.29166666666666669</v>
      </c>
      <c r="J510" s="48">
        <v>0.29166666666666669</v>
      </c>
      <c r="K510" s="48">
        <v>0.29166666666666669</v>
      </c>
      <c r="L510" s="48">
        <v>0.29166666666666669</v>
      </c>
      <c r="M510" s="48">
        <v>0.29166666666666669</v>
      </c>
      <c r="N510" s="48">
        <v>0.29166666666666669</v>
      </c>
      <c r="O510" s="48">
        <v>0.29166666666666669</v>
      </c>
      <c r="P510" s="48">
        <v>0.29166666666666669</v>
      </c>
      <c r="Q510" s="48">
        <v>0.29166666666666669</v>
      </c>
      <c r="R510" s="48">
        <v>0.29166666666666669</v>
      </c>
      <c r="S510" s="48">
        <v>0.29166666666666669</v>
      </c>
      <c r="T510" s="48">
        <v>0.29166666666666669</v>
      </c>
      <c r="U510" s="48">
        <v>0.29166666666666669</v>
      </c>
      <c r="V510" s="48">
        <v>0.29166666666666669</v>
      </c>
      <c r="W510" s="48">
        <v>0.29166666666666669</v>
      </c>
      <c r="X510" s="48">
        <v>0.29166666666666669</v>
      </c>
      <c r="Y510" s="48">
        <v>0.29166666666666669</v>
      </c>
      <c r="Z510" s="48">
        <v>0.29166666666666669</v>
      </c>
      <c r="AA510" s="48">
        <v>0.29166666666666669</v>
      </c>
      <c r="AB510" s="48">
        <v>0.29166666666666669</v>
      </c>
      <c r="AC510" s="48">
        <v>0.29166666666666669</v>
      </c>
      <c r="AD510" s="48">
        <v>0.29166666666666669</v>
      </c>
      <c r="AE510" s="48">
        <v>0.29166666666666669</v>
      </c>
      <c r="AF510" s="48">
        <v>0.29166666666666669</v>
      </c>
      <c r="AG510" s="48">
        <v>0.29166666666666669</v>
      </c>
      <c r="AH510" s="48">
        <v>0.29166666666666669</v>
      </c>
      <c r="AI510" s="48">
        <v>0.29166666666666669</v>
      </c>
      <c r="AJ510" s="48">
        <v>0.29166666666666669</v>
      </c>
      <c r="AK510" s="48">
        <v>0.29166666666666669</v>
      </c>
      <c r="AL510" s="48" t="s">
        <v>320</v>
      </c>
    </row>
    <row r="511" spans="1:41" hidden="1" x14ac:dyDescent="0.25">
      <c r="A511">
        <v>510</v>
      </c>
      <c r="B511">
        <v>2025</v>
      </c>
      <c r="C511">
        <v>9</v>
      </c>
      <c r="D511" t="s">
        <v>173</v>
      </c>
      <c r="E511">
        <v>31</v>
      </c>
      <c r="F511">
        <v>8</v>
      </c>
      <c r="G511" t="s">
        <v>431</v>
      </c>
      <c r="H511" s="48">
        <v>0.75</v>
      </c>
      <c r="I511" s="48">
        <v>0.75</v>
      </c>
      <c r="J511" s="48">
        <v>0.75</v>
      </c>
      <c r="K511" s="48">
        <v>0.75</v>
      </c>
      <c r="L511" s="48">
        <v>0.75</v>
      </c>
      <c r="M511" s="48">
        <v>0.75</v>
      </c>
      <c r="N511" s="48">
        <v>0.75</v>
      </c>
      <c r="O511" s="48">
        <v>0.75</v>
      </c>
      <c r="P511" s="48">
        <v>0.75</v>
      </c>
      <c r="Q511" s="48">
        <v>0.75</v>
      </c>
      <c r="R511" s="48">
        <v>0.75</v>
      </c>
      <c r="S511" s="48">
        <v>0.75</v>
      </c>
      <c r="T511" s="48">
        <v>0.75</v>
      </c>
      <c r="U511" s="48">
        <v>0.75</v>
      </c>
      <c r="V511" s="48">
        <v>0.75</v>
      </c>
      <c r="W511" s="48">
        <v>0.75</v>
      </c>
      <c r="X511" s="48">
        <v>0.75</v>
      </c>
      <c r="Y511" s="48">
        <v>0.75</v>
      </c>
      <c r="Z511" s="48">
        <v>0.75</v>
      </c>
      <c r="AA511" s="48">
        <v>0.75</v>
      </c>
      <c r="AB511" s="48">
        <v>0.75</v>
      </c>
      <c r="AC511" s="48">
        <v>0.75</v>
      </c>
      <c r="AD511" s="48">
        <v>0.75</v>
      </c>
      <c r="AE511" s="48">
        <v>0.75</v>
      </c>
      <c r="AF511" s="48">
        <v>0.75</v>
      </c>
      <c r="AG511" s="48">
        <v>0.75</v>
      </c>
      <c r="AH511" s="48">
        <v>0.75</v>
      </c>
      <c r="AI511" s="48">
        <v>0.75</v>
      </c>
      <c r="AJ511" s="48">
        <v>0.75</v>
      </c>
      <c r="AK511" s="48">
        <v>0.75</v>
      </c>
      <c r="AL511" s="48" t="s">
        <v>320</v>
      </c>
      <c r="AM511">
        <v>30</v>
      </c>
    </row>
    <row r="512" spans="1:41" hidden="1" x14ac:dyDescent="0.25">
      <c r="A512">
        <v>511</v>
      </c>
      <c r="B512">
        <v>2025</v>
      </c>
      <c r="C512">
        <v>9</v>
      </c>
      <c r="D512" t="s">
        <v>172</v>
      </c>
      <c r="E512">
        <v>31</v>
      </c>
      <c r="F512">
        <v>8</v>
      </c>
      <c r="G512" t="s">
        <v>430</v>
      </c>
      <c r="H512" s="48" t="s">
        <v>375</v>
      </c>
      <c r="I512" s="48" t="s">
        <v>375</v>
      </c>
      <c r="J512" s="48" t="s">
        <v>375</v>
      </c>
      <c r="K512" s="48" t="s">
        <v>375</v>
      </c>
      <c r="L512" s="48" t="s">
        <v>375</v>
      </c>
      <c r="M512" s="48" t="s">
        <v>375</v>
      </c>
      <c r="N512" s="48" t="s">
        <v>375</v>
      </c>
      <c r="O512" s="48" t="s">
        <v>375</v>
      </c>
      <c r="P512" s="48" t="s">
        <v>375</v>
      </c>
      <c r="Q512" s="48" t="s">
        <v>375</v>
      </c>
      <c r="R512" s="48" t="s">
        <v>375</v>
      </c>
      <c r="S512" s="48" t="s">
        <v>375</v>
      </c>
      <c r="T512" s="48" t="s">
        <v>375</v>
      </c>
      <c r="U512" s="48" t="s">
        <v>320</v>
      </c>
      <c r="V512" s="48" t="s">
        <v>375</v>
      </c>
      <c r="W512" s="48" t="s">
        <v>375</v>
      </c>
      <c r="X512" s="48" t="s">
        <v>375</v>
      </c>
      <c r="Y512" s="48" t="s">
        <v>375</v>
      </c>
      <c r="Z512" s="48" t="s">
        <v>375</v>
      </c>
      <c r="AA512" s="48" t="s">
        <v>375</v>
      </c>
      <c r="AB512" s="48" t="s">
        <v>375</v>
      </c>
      <c r="AC512" s="48" t="s">
        <v>375</v>
      </c>
      <c r="AD512" s="48" t="s">
        <v>375</v>
      </c>
      <c r="AE512" s="48" t="s">
        <v>375</v>
      </c>
      <c r="AF512" s="48" t="s">
        <v>375</v>
      </c>
      <c r="AG512" s="48" t="s">
        <v>375</v>
      </c>
      <c r="AH512" s="48" t="s">
        <v>375</v>
      </c>
      <c r="AI512" s="48" t="s">
        <v>375</v>
      </c>
      <c r="AJ512" s="48" t="s">
        <v>375</v>
      </c>
      <c r="AK512" s="48" t="s">
        <v>375</v>
      </c>
      <c r="AL512" s="48" t="s">
        <v>320</v>
      </c>
    </row>
    <row r="513" spans="1:41" hidden="1" x14ac:dyDescent="0.25">
      <c r="A513">
        <v>512</v>
      </c>
      <c r="B513">
        <v>2025</v>
      </c>
      <c r="C513">
        <v>9</v>
      </c>
      <c r="D513" t="s">
        <v>172</v>
      </c>
      <c r="E513">
        <v>31</v>
      </c>
      <c r="F513">
        <v>8</v>
      </c>
      <c r="G513" t="s">
        <v>431</v>
      </c>
      <c r="H513" s="48" t="s">
        <v>376</v>
      </c>
      <c r="I513" s="48" t="s">
        <v>376</v>
      </c>
      <c r="J513" s="48" t="s">
        <v>376</v>
      </c>
      <c r="K513" s="48" t="s">
        <v>376</v>
      </c>
      <c r="L513" s="48" t="s">
        <v>376</v>
      </c>
      <c r="M513" s="48" t="s">
        <v>376</v>
      </c>
      <c r="N513" s="48" t="s">
        <v>376</v>
      </c>
      <c r="O513" s="48" t="s">
        <v>376</v>
      </c>
      <c r="P513" s="48" t="s">
        <v>376</v>
      </c>
      <c r="Q513" s="48" t="s">
        <v>376</v>
      </c>
      <c r="R513" s="48" t="s">
        <v>376</v>
      </c>
      <c r="S513" s="48" t="s">
        <v>376</v>
      </c>
      <c r="T513" s="48" t="s">
        <v>376</v>
      </c>
      <c r="U513" s="48" t="s">
        <v>320</v>
      </c>
      <c r="V513" s="48" t="s">
        <v>376</v>
      </c>
      <c r="W513" s="48" t="s">
        <v>376</v>
      </c>
      <c r="X513" s="48" t="s">
        <v>376</v>
      </c>
      <c r="Y513" s="48" t="s">
        <v>376</v>
      </c>
      <c r="Z513" s="48" t="s">
        <v>376</v>
      </c>
      <c r="AA513" s="48" t="s">
        <v>376</v>
      </c>
      <c r="AB513" s="48" t="s">
        <v>376</v>
      </c>
      <c r="AC513" s="48" t="s">
        <v>376</v>
      </c>
      <c r="AD513" s="48" t="s">
        <v>376</v>
      </c>
      <c r="AE513" s="48" t="s">
        <v>376</v>
      </c>
      <c r="AF513" s="48" t="s">
        <v>376</v>
      </c>
      <c r="AG513" s="48" t="s">
        <v>376</v>
      </c>
      <c r="AH513" s="48" t="s">
        <v>376</v>
      </c>
      <c r="AI513" s="48" t="s">
        <v>376</v>
      </c>
      <c r="AJ513" s="48" t="s">
        <v>376</v>
      </c>
      <c r="AK513" s="48" t="s">
        <v>376</v>
      </c>
      <c r="AL513" s="48" t="s">
        <v>320</v>
      </c>
      <c r="AM513">
        <v>29</v>
      </c>
    </row>
    <row r="514" spans="1:41" hidden="1" x14ac:dyDescent="0.25">
      <c r="A514">
        <v>513</v>
      </c>
      <c r="B514">
        <v>2025</v>
      </c>
      <c r="C514">
        <v>9</v>
      </c>
      <c r="D514" t="s">
        <v>167</v>
      </c>
      <c r="E514">
        <v>31</v>
      </c>
      <c r="F514">
        <v>8</v>
      </c>
      <c r="G514" t="s">
        <v>430</v>
      </c>
      <c r="H514" s="48" t="s">
        <v>375</v>
      </c>
      <c r="I514" s="48" t="s">
        <v>375</v>
      </c>
      <c r="J514" s="48" t="s">
        <v>375</v>
      </c>
      <c r="K514" s="48" t="s">
        <v>375</v>
      </c>
      <c r="L514" s="48" t="s">
        <v>375</v>
      </c>
      <c r="M514" s="48" t="s">
        <v>375</v>
      </c>
      <c r="N514" s="48" t="s">
        <v>320</v>
      </c>
      <c r="O514" s="48" t="s">
        <v>375</v>
      </c>
      <c r="P514" s="48" t="s">
        <v>375</v>
      </c>
      <c r="Q514" s="48" t="s">
        <v>375</v>
      </c>
      <c r="R514" s="48" t="s">
        <v>375</v>
      </c>
      <c r="S514" s="48" t="s">
        <v>375</v>
      </c>
      <c r="T514" s="48" t="s">
        <v>375</v>
      </c>
      <c r="U514" s="48" t="s">
        <v>320</v>
      </c>
      <c r="V514" s="48" t="s">
        <v>375</v>
      </c>
      <c r="W514" s="48" t="s">
        <v>375</v>
      </c>
      <c r="X514" s="48" t="s">
        <v>375</v>
      </c>
      <c r="Y514" s="48" t="s">
        <v>375</v>
      </c>
      <c r="Z514" s="48" t="s">
        <v>375</v>
      </c>
      <c r="AA514" s="48" t="s">
        <v>375</v>
      </c>
      <c r="AB514" s="48" t="s">
        <v>375</v>
      </c>
      <c r="AC514" s="48" t="s">
        <v>375</v>
      </c>
      <c r="AD514" s="48" t="s">
        <v>375</v>
      </c>
      <c r="AE514" s="48" t="s">
        <v>375</v>
      </c>
      <c r="AF514" s="48" t="s">
        <v>375</v>
      </c>
      <c r="AG514" s="48" t="s">
        <v>375</v>
      </c>
      <c r="AH514" s="48" t="s">
        <v>375</v>
      </c>
      <c r="AI514" s="48" t="s">
        <v>320</v>
      </c>
      <c r="AJ514" s="48" t="s">
        <v>375</v>
      </c>
      <c r="AK514" s="48" t="s">
        <v>375</v>
      </c>
      <c r="AL514" s="48" t="s">
        <v>320</v>
      </c>
    </row>
    <row r="515" spans="1:41" hidden="1" x14ac:dyDescent="0.25">
      <c r="A515">
        <v>514</v>
      </c>
      <c r="B515">
        <v>2025</v>
      </c>
      <c r="C515">
        <v>9</v>
      </c>
      <c r="D515" t="s">
        <v>167</v>
      </c>
      <c r="E515">
        <v>31</v>
      </c>
      <c r="F515">
        <v>8</v>
      </c>
      <c r="G515" t="s">
        <v>431</v>
      </c>
      <c r="H515" s="48" t="s">
        <v>390</v>
      </c>
      <c r="I515" s="48" t="s">
        <v>376</v>
      </c>
      <c r="J515" s="48" t="s">
        <v>390</v>
      </c>
      <c r="K515" s="48" t="s">
        <v>376</v>
      </c>
      <c r="L515" s="48" t="s">
        <v>390</v>
      </c>
      <c r="M515" s="48" t="s">
        <v>376</v>
      </c>
      <c r="N515" s="48" t="s">
        <v>320</v>
      </c>
      <c r="O515" s="48" t="s">
        <v>376</v>
      </c>
      <c r="P515" s="48" t="s">
        <v>390</v>
      </c>
      <c r="Q515" s="48" t="s">
        <v>376</v>
      </c>
      <c r="R515" s="48" t="s">
        <v>376</v>
      </c>
      <c r="S515" s="48" t="s">
        <v>390</v>
      </c>
      <c r="T515" s="48" t="s">
        <v>376</v>
      </c>
      <c r="U515" s="48" t="s">
        <v>320</v>
      </c>
      <c r="V515" s="48" t="s">
        <v>390</v>
      </c>
      <c r="W515" s="48" t="s">
        <v>376</v>
      </c>
      <c r="X515" s="48" t="s">
        <v>390</v>
      </c>
      <c r="Y515" s="48" t="s">
        <v>376</v>
      </c>
      <c r="Z515" s="48" t="s">
        <v>376</v>
      </c>
      <c r="AA515" s="48" t="s">
        <v>390</v>
      </c>
      <c r="AB515" s="48" t="s">
        <v>376</v>
      </c>
      <c r="AC515" s="48" t="s">
        <v>390</v>
      </c>
      <c r="AD515" s="48" t="s">
        <v>376</v>
      </c>
      <c r="AE515" s="48" t="s">
        <v>390</v>
      </c>
      <c r="AF515" s="48" t="s">
        <v>376</v>
      </c>
      <c r="AG515" s="48" t="s">
        <v>390</v>
      </c>
      <c r="AH515" s="48" t="s">
        <v>376</v>
      </c>
      <c r="AI515" s="48" t="s">
        <v>320</v>
      </c>
      <c r="AJ515" s="48" t="s">
        <v>376</v>
      </c>
      <c r="AK515" s="48" t="s">
        <v>376</v>
      </c>
      <c r="AL515" s="48" t="s">
        <v>320</v>
      </c>
      <c r="AM515">
        <v>27</v>
      </c>
      <c r="AO515">
        <v>32.999999999999986</v>
      </c>
    </row>
    <row r="516" spans="1:41" hidden="1" x14ac:dyDescent="0.25">
      <c r="A516">
        <v>515</v>
      </c>
      <c r="B516">
        <v>2025</v>
      </c>
      <c r="C516">
        <v>9</v>
      </c>
      <c r="D516" t="s">
        <v>160</v>
      </c>
      <c r="E516">
        <v>31</v>
      </c>
      <c r="F516">
        <v>8</v>
      </c>
      <c r="G516" t="s">
        <v>430</v>
      </c>
      <c r="H516" s="48" t="s">
        <v>375</v>
      </c>
      <c r="I516" s="48" t="s">
        <v>375</v>
      </c>
      <c r="J516" s="48" t="s">
        <v>375</v>
      </c>
      <c r="K516" s="48" t="s">
        <v>375</v>
      </c>
      <c r="L516" s="48" t="s">
        <v>375</v>
      </c>
      <c r="M516" s="48" t="s">
        <v>375</v>
      </c>
      <c r="N516" s="48" t="s">
        <v>375</v>
      </c>
      <c r="O516" s="48" t="s">
        <v>375</v>
      </c>
      <c r="P516" s="48" t="s">
        <v>375</v>
      </c>
      <c r="Q516" s="48" t="s">
        <v>375</v>
      </c>
      <c r="R516" s="48" t="s">
        <v>375</v>
      </c>
      <c r="S516" s="48" t="s">
        <v>375</v>
      </c>
      <c r="T516" s="48" t="s">
        <v>375</v>
      </c>
      <c r="U516" s="48" t="s">
        <v>375</v>
      </c>
      <c r="V516" s="48" t="s">
        <v>375</v>
      </c>
      <c r="W516" s="48" t="s">
        <v>320</v>
      </c>
      <c r="X516" s="48" t="s">
        <v>320</v>
      </c>
      <c r="Y516" s="48" t="s">
        <v>320</v>
      </c>
      <c r="Z516" s="48" t="s">
        <v>320</v>
      </c>
      <c r="AA516" s="48" t="s">
        <v>320</v>
      </c>
      <c r="AB516" s="48" t="s">
        <v>320</v>
      </c>
      <c r="AC516" s="48" t="s">
        <v>320</v>
      </c>
      <c r="AD516" s="48" t="s">
        <v>320</v>
      </c>
      <c r="AE516" s="48" t="s">
        <v>320</v>
      </c>
      <c r="AF516" s="48" t="s">
        <v>320</v>
      </c>
      <c r="AG516" s="48" t="s">
        <v>320</v>
      </c>
      <c r="AH516" s="48" t="s">
        <v>320</v>
      </c>
      <c r="AI516" s="48" t="s">
        <v>320</v>
      </c>
      <c r="AJ516" s="48" t="s">
        <v>320</v>
      </c>
      <c r="AK516" s="48" t="s">
        <v>320</v>
      </c>
      <c r="AL516" s="48" t="s">
        <v>320</v>
      </c>
    </row>
    <row r="517" spans="1:41" hidden="1" x14ac:dyDescent="0.25">
      <c r="A517">
        <v>516</v>
      </c>
      <c r="B517">
        <v>2025</v>
      </c>
      <c r="C517">
        <v>9</v>
      </c>
      <c r="D517" t="s">
        <v>160</v>
      </c>
      <c r="E517">
        <v>31</v>
      </c>
      <c r="F517">
        <v>8</v>
      </c>
      <c r="G517" t="s">
        <v>431</v>
      </c>
      <c r="H517" s="48" t="s">
        <v>376</v>
      </c>
      <c r="I517" s="48" t="s">
        <v>376</v>
      </c>
      <c r="J517" s="48" t="s">
        <v>376</v>
      </c>
      <c r="K517" s="48" t="s">
        <v>376</v>
      </c>
      <c r="L517" s="48" t="s">
        <v>376</v>
      </c>
      <c r="M517" s="48" t="s">
        <v>376</v>
      </c>
      <c r="N517" s="48" t="s">
        <v>376</v>
      </c>
      <c r="O517" s="48" t="s">
        <v>376</v>
      </c>
      <c r="P517" s="48" t="s">
        <v>376</v>
      </c>
      <c r="Q517" s="48" t="s">
        <v>376</v>
      </c>
      <c r="R517" s="48" t="s">
        <v>376</v>
      </c>
      <c r="S517" s="48" t="s">
        <v>376</v>
      </c>
      <c r="T517" s="48" t="s">
        <v>376</v>
      </c>
      <c r="U517" s="48" t="s">
        <v>376</v>
      </c>
      <c r="V517" s="48" t="s">
        <v>376</v>
      </c>
      <c r="W517" s="48" t="s">
        <v>320</v>
      </c>
      <c r="X517" s="48" t="s">
        <v>320</v>
      </c>
      <c r="Y517" s="48" t="s">
        <v>320</v>
      </c>
      <c r="Z517" s="48" t="s">
        <v>320</v>
      </c>
      <c r="AA517" s="48" t="s">
        <v>320</v>
      </c>
      <c r="AB517" s="48" t="s">
        <v>320</v>
      </c>
      <c r="AC517" s="48" t="s">
        <v>320</v>
      </c>
      <c r="AD517" s="48" t="s">
        <v>320</v>
      </c>
      <c r="AE517" s="48" t="s">
        <v>320</v>
      </c>
      <c r="AF517" s="48" t="s">
        <v>320</v>
      </c>
      <c r="AG517" s="48" t="s">
        <v>320</v>
      </c>
      <c r="AH517" s="48" t="s">
        <v>320</v>
      </c>
      <c r="AI517" s="48" t="s">
        <v>320</v>
      </c>
      <c r="AJ517" s="48" t="s">
        <v>320</v>
      </c>
      <c r="AK517" s="48" t="s">
        <v>320</v>
      </c>
      <c r="AL517" s="48" t="s">
        <v>320</v>
      </c>
      <c r="AM517">
        <v>15</v>
      </c>
    </row>
    <row r="518" spans="1:41" hidden="1" x14ac:dyDescent="0.25">
      <c r="A518">
        <v>517</v>
      </c>
      <c r="B518">
        <v>2025</v>
      </c>
      <c r="C518">
        <v>9</v>
      </c>
      <c r="D518" t="s">
        <v>169</v>
      </c>
      <c r="E518">
        <v>31</v>
      </c>
      <c r="F518">
        <v>8</v>
      </c>
      <c r="G518" t="s">
        <v>430</v>
      </c>
      <c r="H518" s="48" t="s">
        <v>375</v>
      </c>
      <c r="I518" s="48" t="s">
        <v>375</v>
      </c>
      <c r="J518" s="48" t="s">
        <v>375</v>
      </c>
      <c r="K518" s="48" t="s">
        <v>375</v>
      </c>
      <c r="L518" s="48" t="s">
        <v>375</v>
      </c>
      <c r="M518" s="48" t="s">
        <v>375</v>
      </c>
      <c r="N518" s="48" t="s">
        <v>320</v>
      </c>
      <c r="O518" s="48" t="s">
        <v>375</v>
      </c>
      <c r="P518" s="48" t="s">
        <v>375</v>
      </c>
      <c r="Q518" s="48" t="s">
        <v>375</v>
      </c>
      <c r="R518" s="48" t="s">
        <v>375</v>
      </c>
      <c r="S518" s="48" t="s">
        <v>375</v>
      </c>
      <c r="T518" s="48" t="s">
        <v>375</v>
      </c>
      <c r="U518" s="48" t="s">
        <v>320</v>
      </c>
      <c r="V518" s="48" t="s">
        <v>375</v>
      </c>
      <c r="W518" s="48" t="s">
        <v>375</v>
      </c>
      <c r="X518" s="48" t="s">
        <v>375</v>
      </c>
      <c r="Y518" s="48" t="s">
        <v>320</v>
      </c>
      <c r="Z518" s="48" t="s">
        <v>375</v>
      </c>
      <c r="AA518" s="48" t="s">
        <v>375</v>
      </c>
      <c r="AB518" s="48" t="s">
        <v>375</v>
      </c>
      <c r="AC518" s="48" t="s">
        <v>375</v>
      </c>
      <c r="AD518" s="48" t="s">
        <v>375</v>
      </c>
      <c r="AE518" s="48" t="s">
        <v>375</v>
      </c>
      <c r="AF518" s="48" t="s">
        <v>375</v>
      </c>
      <c r="AG518" s="48" t="s">
        <v>375</v>
      </c>
      <c r="AH518" s="48" t="s">
        <v>375</v>
      </c>
      <c r="AI518" s="48" t="s">
        <v>375</v>
      </c>
      <c r="AJ518" s="48" t="s">
        <v>375</v>
      </c>
      <c r="AK518" s="48" t="s">
        <v>375</v>
      </c>
      <c r="AL518" s="48" t="s">
        <v>320</v>
      </c>
    </row>
    <row r="519" spans="1:41" hidden="1" x14ac:dyDescent="0.25">
      <c r="A519">
        <v>518</v>
      </c>
      <c r="B519">
        <v>2025</v>
      </c>
      <c r="C519">
        <v>9</v>
      </c>
      <c r="D519" t="s">
        <v>169</v>
      </c>
      <c r="E519">
        <v>31</v>
      </c>
      <c r="F519">
        <v>8</v>
      </c>
      <c r="G519" t="s">
        <v>431</v>
      </c>
      <c r="H519" s="48">
        <v>0.75</v>
      </c>
      <c r="I519" s="48">
        <v>0.75</v>
      </c>
      <c r="J519" s="48">
        <v>0.79166666666666674</v>
      </c>
      <c r="K519" s="48">
        <v>0.75</v>
      </c>
      <c r="L519" s="48">
        <v>0.75</v>
      </c>
      <c r="M519" s="48">
        <v>0.75</v>
      </c>
      <c r="N519" s="48" t="s">
        <v>320</v>
      </c>
      <c r="O519" s="48">
        <v>0.75</v>
      </c>
      <c r="P519" s="48">
        <v>0.75</v>
      </c>
      <c r="Q519" s="48">
        <v>0.75</v>
      </c>
      <c r="R519" s="48">
        <v>0.875</v>
      </c>
      <c r="S519" s="48">
        <v>0.75</v>
      </c>
      <c r="T519" s="48">
        <v>0.75</v>
      </c>
      <c r="U519" s="48" t="s">
        <v>320</v>
      </c>
      <c r="V519" s="48">
        <v>0.75</v>
      </c>
      <c r="W519" s="48">
        <v>0.91666666666666674</v>
      </c>
      <c r="X519" s="48">
        <v>0.75</v>
      </c>
      <c r="Y519" s="48" t="s">
        <v>320</v>
      </c>
      <c r="Z519" s="48">
        <v>0.875</v>
      </c>
      <c r="AA519" s="48">
        <v>0.83333333333333326</v>
      </c>
      <c r="AB519" s="48">
        <v>0.75</v>
      </c>
      <c r="AC519" s="48">
        <v>0.75</v>
      </c>
      <c r="AD519" s="48">
        <v>0.75</v>
      </c>
      <c r="AE519" s="48">
        <v>0.875</v>
      </c>
      <c r="AF519" s="48">
        <v>1.1666666666666667</v>
      </c>
      <c r="AG519" s="48">
        <v>0.75</v>
      </c>
      <c r="AH519" s="48">
        <v>0.83333333333333326</v>
      </c>
      <c r="AI519" s="48">
        <v>0.75</v>
      </c>
      <c r="AJ519" s="48">
        <v>0.875</v>
      </c>
      <c r="AK519" s="48">
        <v>0.75</v>
      </c>
      <c r="AL519" s="48" t="s">
        <v>320</v>
      </c>
      <c r="AM519">
        <v>27</v>
      </c>
      <c r="AO519">
        <v>30.999999999999986</v>
      </c>
    </row>
    <row r="520" spans="1:41" hidden="1" x14ac:dyDescent="0.25">
      <c r="A520">
        <v>519</v>
      </c>
      <c r="B520">
        <v>2025</v>
      </c>
      <c r="C520">
        <v>9</v>
      </c>
      <c r="D520" t="s">
        <v>170</v>
      </c>
      <c r="E520">
        <v>31</v>
      </c>
      <c r="F520">
        <v>8</v>
      </c>
      <c r="G520" t="s">
        <v>430</v>
      </c>
      <c r="H520" s="48" t="s">
        <v>375</v>
      </c>
      <c r="I520" s="48" t="s">
        <v>375</v>
      </c>
      <c r="J520" s="48" t="s">
        <v>375</v>
      </c>
      <c r="K520" s="48" t="s">
        <v>375</v>
      </c>
      <c r="L520" s="48" t="s">
        <v>375</v>
      </c>
      <c r="M520" s="48" t="s">
        <v>375</v>
      </c>
      <c r="N520" s="48" t="s">
        <v>375</v>
      </c>
      <c r="O520" s="48" t="s">
        <v>375</v>
      </c>
      <c r="P520" s="48" t="s">
        <v>375</v>
      </c>
      <c r="Q520" s="48" t="s">
        <v>375</v>
      </c>
      <c r="R520" s="48" t="s">
        <v>375</v>
      </c>
      <c r="S520" s="48" t="s">
        <v>375</v>
      </c>
      <c r="T520" s="48" t="s">
        <v>375</v>
      </c>
      <c r="U520" s="48" t="s">
        <v>375</v>
      </c>
      <c r="V520" s="48" t="s">
        <v>375</v>
      </c>
      <c r="W520" s="48" t="s">
        <v>375</v>
      </c>
      <c r="X520" s="48" t="s">
        <v>375</v>
      </c>
      <c r="Y520" s="48" t="s">
        <v>375</v>
      </c>
      <c r="Z520" s="48" t="s">
        <v>375</v>
      </c>
      <c r="AA520" s="48" t="s">
        <v>375</v>
      </c>
      <c r="AB520" s="48" t="s">
        <v>375</v>
      </c>
      <c r="AC520" s="48" t="s">
        <v>375</v>
      </c>
      <c r="AD520" s="48" t="s">
        <v>375</v>
      </c>
      <c r="AE520" s="48" t="s">
        <v>375</v>
      </c>
      <c r="AF520" s="48" t="s">
        <v>375</v>
      </c>
      <c r="AG520" s="48" t="s">
        <v>375</v>
      </c>
      <c r="AH520" s="48" t="s">
        <v>375</v>
      </c>
      <c r="AI520" s="48" t="s">
        <v>375</v>
      </c>
      <c r="AJ520" s="48" t="s">
        <v>375</v>
      </c>
      <c r="AK520" s="48" t="s">
        <v>375</v>
      </c>
      <c r="AL520" s="48" t="s">
        <v>320</v>
      </c>
    </row>
    <row r="521" spans="1:41" hidden="1" x14ac:dyDescent="0.25">
      <c r="A521">
        <v>520</v>
      </c>
      <c r="B521">
        <v>2025</v>
      </c>
      <c r="C521">
        <v>9</v>
      </c>
      <c r="D521" t="s">
        <v>170</v>
      </c>
      <c r="E521">
        <v>31</v>
      </c>
      <c r="F521">
        <v>8</v>
      </c>
      <c r="G521" t="s">
        <v>431</v>
      </c>
      <c r="H521" s="48">
        <v>0.75</v>
      </c>
      <c r="I521" s="48">
        <v>0.75</v>
      </c>
      <c r="J521" s="48">
        <v>0.75</v>
      </c>
      <c r="K521" s="48">
        <v>0.75</v>
      </c>
      <c r="L521" s="48">
        <v>0.75</v>
      </c>
      <c r="M521" s="48">
        <v>0.75</v>
      </c>
      <c r="N521" s="48">
        <v>0.75</v>
      </c>
      <c r="O521" s="48">
        <v>0.75</v>
      </c>
      <c r="P521" s="48">
        <v>0.75</v>
      </c>
      <c r="Q521" s="48">
        <v>0.75</v>
      </c>
      <c r="R521" s="48">
        <v>0.75</v>
      </c>
      <c r="S521" s="48">
        <v>0.75</v>
      </c>
      <c r="T521" s="48">
        <v>0.75</v>
      </c>
      <c r="U521" s="48">
        <v>0.75</v>
      </c>
      <c r="V521" s="48">
        <v>0.75</v>
      </c>
      <c r="W521" s="48">
        <v>0.75</v>
      </c>
      <c r="X521" s="48">
        <v>0.75</v>
      </c>
      <c r="Y521" s="48">
        <v>0.75</v>
      </c>
      <c r="Z521" s="48">
        <v>0.75</v>
      </c>
      <c r="AA521" s="48">
        <v>0.75</v>
      </c>
      <c r="AB521" s="48">
        <v>0.75</v>
      </c>
      <c r="AC521" s="48">
        <v>0.75</v>
      </c>
      <c r="AD521" s="48">
        <v>0.75</v>
      </c>
      <c r="AE521" s="48">
        <v>0.75</v>
      </c>
      <c r="AF521" s="48">
        <v>0.75</v>
      </c>
      <c r="AG521" s="48">
        <v>0.75</v>
      </c>
      <c r="AH521" s="48">
        <v>0.75</v>
      </c>
      <c r="AI521" s="48">
        <v>0.75</v>
      </c>
      <c r="AJ521" s="48">
        <v>0.75</v>
      </c>
      <c r="AK521" s="48">
        <v>0.75</v>
      </c>
      <c r="AL521" s="48" t="s">
        <v>320</v>
      </c>
      <c r="AM521">
        <v>30</v>
      </c>
    </row>
    <row r="522" spans="1:41" hidden="1" x14ac:dyDescent="0.25">
      <c r="A522">
        <v>521</v>
      </c>
      <c r="B522">
        <v>2025</v>
      </c>
      <c r="C522">
        <v>9</v>
      </c>
      <c r="D522" t="s">
        <v>158</v>
      </c>
      <c r="E522">
        <v>31</v>
      </c>
      <c r="F522">
        <v>8</v>
      </c>
      <c r="G522" t="s">
        <v>430</v>
      </c>
      <c r="H522" s="48">
        <v>0.29166666666666669</v>
      </c>
      <c r="I522" s="48">
        <v>0.29166666666666669</v>
      </c>
      <c r="J522" s="48">
        <v>0.29166666666666669</v>
      </c>
      <c r="K522" s="48">
        <v>0.29166666666666669</v>
      </c>
      <c r="L522" s="48">
        <v>0.29166666666666669</v>
      </c>
      <c r="M522" s="48">
        <v>0.29166666666666669</v>
      </c>
      <c r="N522" s="48">
        <v>0.29166666666666669</v>
      </c>
      <c r="O522" s="48">
        <v>0.29166666666666669</v>
      </c>
      <c r="P522" s="48">
        <v>0.29166666666666669</v>
      </c>
      <c r="Q522" s="48">
        <v>0.29166666666666669</v>
      </c>
      <c r="R522" s="48">
        <v>0.29166666666666669</v>
      </c>
      <c r="S522" s="48">
        <v>0.29166666666666669</v>
      </c>
      <c r="T522" s="48">
        <v>0.29166666666666669</v>
      </c>
      <c r="U522" s="48">
        <v>0.29166666666666669</v>
      </c>
      <c r="V522" s="48">
        <v>0.29166666666666669</v>
      </c>
      <c r="W522" s="48">
        <v>0.29166666666666669</v>
      </c>
      <c r="X522" s="48">
        <v>0.29166666666666669</v>
      </c>
      <c r="Y522" s="48">
        <v>0.29166666666666669</v>
      </c>
      <c r="Z522" s="48">
        <v>0.29166666666666669</v>
      </c>
      <c r="AA522" s="48">
        <v>0.29166666666666669</v>
      </c>
      <c r="AB522" s="48">
        <v>0.29166666666666669</v>
      </c>
      <c r="AC522" s="48">
        <v>0.29166666666666669</v>
      </c>
      <c r="AD522" s="48">
        <v>0.29166666666666669</v>
      </c>
      <c r="AE522" s="48">
        <v>0.29166666666666669</v>
      </c>
      <c r="AF522" s="48">
        <v>0.29166666666666669</v>
      </c>
      <c r="AG522" s="48">
        <v>0.29166666666666669</v>
      </c>
      <c r="AH522" s="48">
        <v>0.29166666666666669</v>
      </c>
      <c r="AI522" s="48">
        <v>0.29166666666666669</v>
      </c>
      <c r="AJ522" s="48">
        <v>0.29166666666666669</v>
      </c>
      <c r="AK522" s="48">
        <v>0.29166666666666669</v>
      </c>
      <c r="AL522" s="48" t="s">
        <v>320</v>
      </c>
    </row>
    <row r="523" spans="1:41" hidden="1" x14ac:dyDescent="0.25">
      <c r="A523">
        <v>522</v>
      </c>
      <c r="B523">
        <v>2025</v>
      </c>
      <c r="C523">
        <v>9</v>
      </c>
      <c r="D523" t="s">
        <v>158</v>
      </c>
      <c r="E523">
        <v>31</v>
      </c>
      <c r="F523">
        <v>8</v>
      </c>
      <c r="G523" t="s">
        <v>431</v>
      </c>
      <c r="H523" s="48">
        <v>0.75</v>
      </c>
      <c r="I523" s="48">
        <v>0.75</v>
      </c>
      <c r="J523" s="48">
        <v>0.75</v>
      </c>
      <c r="K523" s="48">
        <v>0.75</v>
      </c>
      <c r="L523" s="48">
        <v>0.75</v>
      </c>
      <c r="M523" s="48">
        <v>0.75</v>
      </c>
      <c r="N523" s="48">
        <v>0.75</v>
      </c>
      <c r="O523" s="48">
        <v>0.75</v>
      </c>
      <c r="P523" s="48">
        <v>0.75</v>
      </c>
      <c r="Q523" s="48">
        <v>0.75</v>
      </c>
      <c r="R523" s="48">
        <v>0.75</v>
      </c>
      <c r="S523" s="48">
        <v>0.75</v>
      </c>
      <c r="T523" s="48">
        <v>0.75</v>
      </c>
      <c r="U523" s="48">
        <v>0.75</v>
      </c>
      <c r="V523" s="48">
        <v>0.75</v>
      </c>
      <c r="W523" s="48">
        <v>0.75</v>
      </c>
      <c r="X523" s="48">
        <v>0.75</v>
      </c>
      <c r="Y523" s="48">
        <v>0.75</v>
      </c>
      <c r="Z523" s="48">
        <v>0.75</v>
      </c>
      <c r="AA523" s="48">
        <v>0.75</v>
      </c>
      <c r="AB523" s="48">
        <v>0.75</v>
      </c>
      <c r="AC523" s="48">
        <v>0.75</v>
      </c>
      <c r="AD523" s="48">
        <v>0.75</v>
      </c>
      <c r="AE523" s="48">
        <v>0.75</v>
      </c>
      <c r="AF523" s="48">
        <v>0.75</v>
      </c>
      <c r="AG523" s="48">
        <v>0.75</v>
      </c>
      <c r="AH523" s="48">
        <v>0.75</v>
      </c>
      <c r="AI523" s="48">
        <v>0.75</v>
      </c>
      <c r="AJ523" s="48">
        <v>0.75</v>
      </c>
      <c r="AK523" s="48">
        <v>0.75</v>
      </c>
      <c r="AL523" s="48" t="s">
        <v>320</v>
      </c>
      <c r="AM523">
        <v>30</v>
      </c>
    </row>
    <row r="524" spans="1:41" hidden="1" x14ac:dyDescent="0.25">
      <c r="A524">
        <v>523</v>
      </c>
      <c r="B524">
        <v>2025</v>
      </c>
      <c r="C524">
        <v>9</v>
      </c>
      <c r="D524" t="s">
        <v>140</v>
      </c>
      <c r="E524">
        <v>31</v>
      </c>
      <c r="F524">
        <v>8</v>
      </c>
      <c r="G524" t="s">
        <v>430</v>
      </c>
      <c r="H524" s="48" t="s">
        <v>375</v>
      </c>
      <c r="I524" s="48" t="s">
        <v>375</v>
      </c>
      <c r="J524" s="48" t="s">
        <v>375</v>
      </c>
      <c r="K524" s="48" t="s">
        <v>375</v>
      </c>
      <c r="L524" s="48" t="s">
        <v>375</v>
      </c>
      <c r="M524" s="48" t="s">
        <v>375</v>
      </c>
      <c r="N524" s="48" t="s">
        <v>375</v>
      </c>
      <c r="O524" s="48" t="s">
        <v>375</v>
      </c>
      <c r="P524" s="48" t="s">
        <v>375</v>
      </c>
      <c r="Q524" s="48" t="s">
        <v>375</v>
      </c>
      <c r="R524" s="48" t="s">
        <v>375</v>
      </c>
      <c r="S524" s="48" t="s">
        <v>320</v>
      </c>
      <c r="T524" s="48" t="s">
        <v>320</v>
      </c>
      <c r="U524" s="48" t="s">
        <v>320</v>
      </c>
      <c r="V524" s="48" t="s">
        <v>320</v>
      </c>
      <c r="W524" s="48" t="s">
        <v>320</v>
      </c>
      <c r="X524" s="48" t="s">
        <v>320</v>
      </c>
      <c r="Y524" s="48" t="s">
        <v>320</v>
      </c>
      <c r="Z524" s="48" t="s">
        <v>320</v>
      </c>
      <c r="AA524" s="48" t="s">
        <v>320</v>
      </c>
      <c r="AB524" s="48" t="s">
        <v>320</v>
      </c>
      <c r="AC524" s="48" t="s">
        <v>320</v>
      </c>
      <c r="AD524" s="48" t="s">
        <v>320</v>
      </c>
      <c r="AE524" s="48" t="s">
        <v>320</v>
      </c>
      <c r="AF524" s="48" t="s">
        <v>320</v>
      </c>
      <c r="AG524" s="48" t="s">
        <v>320</v>
      </c>
      <c r="AH524" s="48" t="s">
        <v>320</v>
      </c>
      <c r="AI524" s="48" t="s">
        <v>320</v>
      </c>
      <c r="AJ524" s="48" t="s">
        <v>320</v>
      </c>
      <c r="AK524" s="48" t="s">
        <v>320</v>
      </c>
      <c r="AL524" s="48" t="s">
        <v>320</v>
      </c>
    </row>
    <row r="525" spans="1:41" hidden="1" x14ac:dyDescent="0.25">
      <c r="A525">
        <v>524</v>
      </c>
      <c r="B525">
        <v>2025</v>
      </c>
      <c r="C525">
        <v>9</v>
      </c>
      <c r="D525" t="s">
        <v>140</v>
      </c>
      <c r="E525">
        <v>31</v>
      </c>
      <c r="F525">
        <v>8</v>
      </c>
      <c r="G525" t="s">
        <v>431</v>
      </c>
      <c r="H525" s="48">
        <v>0.75</v>
      </c>
      <c r="I525" s="48">
        <v>0.75</v>
      </c>
      <c r="J525" s="48">
        <v>0.95833333333333326</v>
      </c>
      <c r="K525" s="48">
        <v>1</v>
      </c>
      <c r="L525" s="48">
        <v>0.75</v>
      </c>
      <c r="M525" s="48">
        <v>0.83333333333333326</v>
      </c>
      <c r="N525" s="48">
        <v>1</v>
      </c>
      <c r="O525" s="48">
        <v>1.0833333333333333</v>
      </c>
      <c r="P525" s="48">
        <v>1.0833333333333333</v>
      </c>
      <c r="Q525" s="48">
        <v>0.91666666666666674</v>
      </c>
      <c r="R525" s="48">
        <v>1.0833333333333333</v>
      </c>
      <c r="S525" s="48" t="s">
        <v>320</v>
      </c>
      <c r="T525" s="48" t="s">
        <v>320</v>
      </c>
      <c r="U525" s="48" t="s">
        <v>320</v>
      </c>
      <c r="V525" s="48" t="s">
        <v>320</v>
      </c>
      <c r="W525" s="48" t="s">
        <v>320</v>
      </c>
      <c r="X525" s="48" t="s">
        <v>320</v>
      </c>
      <c r="Y525" s="48" t="s">
        <v>320</v>
      </c>
      <c r="Z525" s="48" t="s">
        <v>320</v>
      </c>
      <c r="AA525" s="48" t="s">
        <v>320</v>
      </c>
      <c r="AB525" s="48" t="s">
        <v>320</v>
      </c>
      <c r="AC525" s="48" t="s">
        <v>320</v>
      </c>
      <c r="AD525" s="48" t="s">
        <v>320</v>
      </c>
      <c r="AE525" s="48" t="s">
        <v>320</v>
      </c>
      <c r="AF525" s="48" t="s">
        <v>320</v>
      </c>
      <c r="AG525" s="48" t="s">
        <v>320</v>
      </c>
      <c r="AH525" s="48" t="s">
        <v>320</v>
      </c>
      <c r="AI525" s="48" t="s">
        <v>320</v>
      </c>
      <c r="AJ525" s="48" t="s">
        <v>320</v>
      </c>
      <c r="AK525" s="48" t="s">
        <v>320</v>
      </c>
      <c r="AL525" s="48" t="s">
        <v>320</v>
      </c>
      <c r="AM525">
        <v>11</v>
      </c>
      <c r="AO525">
        <v>46.999999999999986</v>
      </c>
    </row>
    <row r="526" spans="1:41" hidden="1" x14ac:dyDescent="0.25">
      <c r="A526">
        <v>525</v>
      </c>
      <c r="B526">
        <v>2025</v>
      </c>
      <c r="C526">
        <v>9</v>
      </c>
      <c r="D526" t="s">
        <v>166</v>
      </c>
      <c r="E526">
        <v>31</v>
      </c>
      <c r="F526">
        <v>8</v>
      </c>
      <c r="G526" t="s">
        <v>430</v>
      </c>
      <c r="H526" s="48" t="s">
        <v>375</v>
      </c>
      <c r="I526" s="48" t="s">
        <v>375</v>
      </c>
      <c r="J526" s="48" t="s">
        <v>375</v>
      </c>
      <c r="K526" s="48" t="s">
        <v>375</v>
      </c>
      <c r="L526" s="48" t="s">
        <v>375</v>
      </c>
      <c r="M526" s="48" t="s">
        <v>375</v>
      </c>
      <c r="N526" s="48" t="s">
        <v>375</v>
      </c>
      <c r="O526" s="48" t="s">
        <v>375</v>
      </c>
      <c r="P526" s="48" t="s">
        <v>375</v>
      </c>
      <c r="Q526" s="48" t="s">
        <v>375</v>
      </c>
      <c r="R526" s="48" t="s">
        <v>375</v>
      </c>
      <c r="S526" s="48" t="s">
        <v>375</v>
      </c>
      <c r="T526" s="48" t="s">
        <v>375</v>
      </c>
      <c r="U526" s="48" t="s">
        <v>320</v>
      </c>
      <c r="V526" s="48" t="s">
        <v>375</v>
      </c>
      <c r="W526" s="48" t="s">
        <v>375</v>
      </c>
      <c r="X526" s="48" t="s">
        <v>375</v>
      </c>
      <c r="Y526" s="48" t="s">
        <v>375</v>
      </c>
      <c r="Z526" s="48" t="s">
        <v>375</v>
      </c>
      <c r="AA526" s="48" t="s">
        <v>375</v>
      </c>
      <c r="AB526" s="48" t="s">
        <v>375</v>
      </c>
      <c r="AC526" s="48" t="s">
        <v>375</v>
      </c>
      <c r="AD526" s="48" t="s">
        <v>375</v>
      </c>
      <c r="AE526" s="48" t="s">
        <v>375</v>
      </c>
      <c r="AF526" s="48" t="s">
        <v>375</v>
      </c>
      <c r="AG526" s="48" t="s">
        <v>375</v>
      </c>
      <c r="AH526" s="48" t="s">
        <v>375</v>
      </c>
      <c r="AI526" s="48" t="s">
        <v>375</v>
      </c>
      <c r="AJ526" s="48" t="s">
        <v>375</v>
      </c>
      <c r="AK526" s="48" t="s">
        <v>375</v>
      </c>
      <c r="AL526" s="48" t="s">
        <v>320</v>
      </c>
    </row>
    <row r="527" spans="1:41" hidden="1" x14ac:dyDescent="0.25">
      <c r="A527">
        <v>526</v>
      </c>
      <c r="B527">
        <v>2025</v>
      </c>
      <c r="C527">
        <v>9</v>
      </c>
      <c r="D527" t="s">
        <v>166</v>
      </c>
      <c r="E527">
        <v>31</v>
      </c>
      <c r="F527">
        <v>8</v>
      </c>
      <c r="G527" t="s">
        <v>431</v>
      </c>
      <c r="H527" s="48">
        <v>0.79166666666666674</v>
      </c>
      <c r="I527" s="48">
        <v>1.0833333333333333</v>
      </c>
      <c r="J527" s="48">
        <v>0.75</v>
      </c>
      <c r="K527" s="48">
        <v>1.0416666666666667</v>
      </c>
      <c r="L527" s="48">
        <v>0.79166666666666674</v>
      </c>
      <c r="M527" s="48">
        <v>1</v>
      </c>
      <c r="N527" s="48">
        <v>0.875</v>
      </c>
      <c r="O527" s="48">
        <v>0.79166666666666674</v>
      </c>
      <c r="P527" s="48">
        <v>0.79166666666666674</v>
      </c>
      <c r="Q527" s="48">
        <v>1</v>
      </c>
      <c r="R527" s="48">
        <v>0.75</v>
      </c>
      <c r="S527" s="48">
        <v>0.75</v>
      </c>
      <c r="T527" s="48">
        <v>0.95833333333333326</v>
      </c>
      <c r="U527" s="48" t="s">
        <v>320</v>
      </c>
      <c r="V527" s="48">
        <v>0.95833333333333326</v>
      </c>
      <c r="W527" s="48">
        <v>0.79166666666666674</v>
      </c>
      <c r="X527" s="48">
        <v>0.95833333333333326</v>
      </c>
      <c r="Y527" s="48">
        <v>0.95833333333333326</v>
      </c>
      <c r="Z527" s="48">
        <v>1</v>
      </c>
      <c r="AA527" s="48">
        <v>0.75</v>
      </c>
      <c r="AB527" s="48">
        <v>0.95833333333333326</v>
      </c>
      <c r="AC527" s="48">
        <v>0.75</v>
      </c>
      <c r="AD527" s="48">
        <v>1</v>
      </c>
      <c r="AE527" s="48">
        <v>0.79166666666666674</v>
      </c>
      <c r="AF527" s="48">
        <v>1</v>
      </c>
      <c r="AG527" s="48">
        <v>0.91666666666666674</v>
      </c>
      <c r="AH527" s="48">
        <v>0.91666666666666674</v>
      </c>
      <c r="AI527" s="48">
        <v>0.875</v>
      </c>
      <c r="AJ527" s="48">
        <v>1</v>
      </c>
      <c r="AK527" s="48">
        <v>0.83333333333333326</v>
      </c>
      <c r="AL527" s="48" t="s">
        <v>320</v>
      </c>
      <c r="AM527">
        <v>29</v>
      </c>
      <c r="AO527">
        <v>97.999999999999986</v>
      </c>
    </row>
    <row r="528" spans="1:41" hidden="1" x14ac:dyDescent="0.25">
      <c r="A528">
        <v>527</v>
      </c>
      <c r="B528">
        <v>2025</v>
      </c>
      <c r="C528">
        <v>9</v>
      </c>
      <c r="D528" t="s">
        <v>144</v>
      </c>
      <c r="E528">
        <v>31</v>
      </c>
      <c r="F528">
        <v>8</v>
      </c>
      <c r="G528" t="s">
        <v>430</v>
      </c>
      <c r="H528" s="48" t="s">
        <v>375</v>
      </c>
      <c r="I528" s="48" t="s">
        <v>375</v>
      </c>
      <c r="J528" s="48" t="s">
        <v>375</v>
      </c>
      <c r="K528" s="48" t="s">
        <v>375</v>
      </c>
      <c r="L528" s="48" t="s">
        <v>375</v>
      </c>
      <c r="M528" s="48" t="s">
        <v>375</v>
      </c>
      <c r="N528" s="48" t="s">
        <v>375</v>
      </c>
      <c r="O528" s="48" t="s">
        <v>375</v>
      </c>
      <c r="P528" s="48" t="s">
        <v>375</v>
      </c>
      <c r="Q528" s="48" t="s">
        <v>375</v>
      </c>
      <c r="R528" s="48" t="s">
        <v>375</v>
      </c>
      <c r="S528" s="48" t="s">
        <v>375</v>
      </c>
      <c r="T528" s="48" t="s">
        <v>375</v>
      </c>
      <c r="U528" s="48" t="s">
        <v>320</v>
      </c>
      <c r="V528" s="48" t="s">
        <v>375</v>
      </c>
      <c r="W528" s="48" t="s">
        <v>375</v>
      </c>
      <c r="X528" s="48" t="s">
        <v>375</v>
      </c>
      <c r="Y528" s="48" t="s">
        <v>375</v>
      </c>
      <c r="Z528" s="48" t="s">
        <v>375</v>
      </c>
      <c r="AA528" s="48" t="s">
        <v>375</v>
      </c>
      <c r="AB528" s="48" t="s">
        <v>375</v>
      </c>
      <c r="AC528" s="48" t="s">
        <v>375</v>
      </c>
      <c r="AD528" s="48" t="s">
        <v>375</v>
      </c>
      <c r="AE528" s="48" t="s">
        <v>375</v>
      </c>
      <c r="AF528" s="48" t="s">
        <v>375</v>
      </c>
      <c r="AG528" s="48" t="s">
        <v>375</v>
      </c>
      <c r="AH528" s="48" t="s">
        <v>375</v>
      </c>
      <c r="AI528" s="48" t="s">
        <v>375</v>
      </c>
      <c r="AJ528" s="48" t="s">
        <v>375</v>
      </c>
      <c r="AK528" s="48" t="s">
        <v>375</v>
      </c>
      <c r="AL528" s="48" t="s">
        <v>320</v>
      </c>
    </row>
    <row r="529" spans="1:41" hidden="1" x14ac:dyDescent="0.25">
      <c r="A529">
        <v>528</v>
      </c>
      <c r="B529">
        <v>2025</v>
      </c>
      <c r="C529">
        <v>9</v>
      </c>
      <c r="D529" t="s">
        <v>144</v>
      </c>
      <c r="E529">
        <v>31</v>
      </c>
      <c r="F529">
        <v>8</v>
      </c>
      <c r="G529" t="s">
        <v>431</v>
      </c>
      <c r="H529" s="48">
        <v>0.79166666666666674</v>
      </c>
      <c r="I529" s="48">
        <v>0.875</v>
      </c>
      <c r="J529" s="48">
        <v>0.75</v>
      </c>
      <c r="K529" s="48">
        <v>0.95833333333333326</v>
      </c>
      <c r="L529" s="48">
        <v>0.79166666666666674</v>
      </c>
      <c r="M529" s="48">
        <v>0.875</v>
      </c>
      <c r="N529" s="48">
        <v>0.75</v>
      </c>
      <c r="O529" s="48">
        <v>0.875</v>
      </c>
      <c r="P529" s="48">
        <v>0.79166666666666674</v>
      </c>
      <c r="Q529" s="48">
        <v>0.91666666666666674</v>
      </c>
      <c r="R529" s="48">
        <v>0.75</v>
      </c>
      <c r="S529" s="48">
        <v>0.95833333333333326</v>
      </c>
      <c r="T529" s="48">
        <v>0.91666666666666674</v>
      </c>
      <c r="U529" s="48" t="s">
        <v>320</v>
      </c>
      <c r="V529" s="48">
        <v>0.83333333333333326</v>
      </c>
      <c r="W529" s="48">
        <v>0.91666666666666674</v>
      </c>
      <c r="X529" s="48">
        <v>0.79166666666666674</v>
      </c>
      <c r="Y529" s="48">
        <v>0.75</v>
      </c>
      <c r="Z529" s="48">
        <v>0.875</v>
      </c>
      <c r="AA529" s="48">
        <v>0.75</v>
      </c>
      <c r="AB529" s="48">
        <v>0.75</v>
      </c>
      <c r="AC529" s="48">
        <v>0.83333333333333326</v>
      </c>
      <c r="AD529" s="48">
        <v>0.75</v>
      </c>
      <c r="AE529" s="48">
        <v>0.79166666666666674</v>
      </c>
      <c r="AF529" s="48">
        <v>0.75</v>
      </c>
      <c r="AG529" s="48">
        <v>0.91666666666666674</v>
      </c>
      <c r="AH529" s="48">
        <v>0.75</v>
      </c>
      <c r="AI529" s="48">
        <v>0.91666666666666674</v>
      </c>
      <c r="AJ529" s="48">
        <v>0.75</v>
      </c>
      <c r="AK529" s="48">
        <v>0.75</v>
      </c>
      <c r="AL529" s="48" t="s">
        <v>320</v>
      </c>
      <c r="AM529">
        <v>29</v>
      </c>
      <c r="AO529">
        <v>50.999999999999986</v>
      </c>
    </row>
    <row r="530" spans="1:41" hidden="1" x14ac:dyDescent="0.25">
      <c r="A530">
        <v>529</v>
      </c>
      <c r="B530">
        <v>2025</v>
      </c>
      <c r="C530">
        <v>9</v>
      </c>
      <c r="D530" t="s">
        <v>129</v>
      </c>
      <c r="E530">
        <v>31</v>
      </c>
      <c r="F530">
        <v>8</v>
      </c>
      <c r="G530" t="s">
        <v>430</v>
      </c>
      <c r="H530" s="48" t="s">
        <v>320</v>
      </c>
      <c r="I530" s="48" t="s">
        <v>320</v>
      </c>
      <c r="J530" s="48" t="s">
        <v>320</v>
      </c>
      <c r="K530" s="48" t="s">
        <v>320</v>
      </c>
      <c r="L530" s="48" t="s">
        <v>320</v>
      </c>
      <c r="M530" s="48" t="s">
        <v>320</v>
      </c>
      <c r="N530" s="48" t="s">
        <v>375</v>
      </c>
      <c r="O530" s="48" t="s">
        <v>375</v>
      </c>
      <c r="P530" s="48" t="s">
        <v>375</v>
      </c>
      <c r="Q530" s="48" t="s">
        <v>375</v>
      </c>
      <c r="R530" s="48" t="s">
        <v>375</v>
      </c>
      <c r="S530" s="48" t="s">
        <v>375</v>
      </c>
      <c r="T530" s="48" t="s">
        <v>375</v>
      </c>
      <c r="U530" s="48" t="s">
        <v>375</v>
      </c>
      <c r="V530" s="48" t="s">
        <v>375</v>
      </c>
      <c r="W530" s="48" t="s">
        <v>375</v>
      </c>
      <c r="X530" s="48" t="s">
        <v>375</v>
      </c>
      <c r="Y530" s="48" t="s">
        <v>375</v>
      </c>
      <c r="Z530" s="48" t="s">
        <v>375</v>
      </c>
      <c r="AA530" s="48" t="s">
        <v>375</v>
      </c>
      <c r="AB530" s="48" t="s">
        <v>375</v>
      </c>
      <c r="AC530" s="48" t="s">
        <v>375</v>
      </c>
      <c r="AD530" s="48" t="s">
        <v>375</v>
      </c>
      <c r="AE530" s="48" t="s">
        <v>375</v>
      </c>
      <c r="AF530" s="48" t="s">
        <v>375</v>
      </c>
      <c r="AG530" s="48" t="s">
        <v>375</v>
      </c>
      <c r="AH530" s="48" t="s">
        <v>375</v>
      </c>
      <c r="AI530" s="48" t="s">
        <v>375</v>
      </c>
      <c r="AJ530" s="48" t="s">
        <v>375</v>
      </c>
      <c r="AK530" s="48" t="s">
        <v>375</v>
      </c>
      <c r="AL530" s="48" t="s">
        <v>320</v>
      </c>
    </row>
    <row r="531" spans="1:41" hidden="1" x14ac:dyDescent="0.25">
      <c r="A531">
        <v>530</v>
      </c>
      <c r="B531">
        <v>2025</v>
      </c>
      <c r="C531">
        <v>9</v>
      </c>
      <c r="D531" t="s">
        <v>129</v>
      </c>
      <c r="E531">
        <v>31</v>
      </c>
      <c r="F531">
        <v>8</v>
      </c>
      <c r="G531" t="s">
        <v>431</v>
      </c>
      <c r="H531" s="48" t="s">
        <v>320</v>
      </c>
      <c r="I531" s="48" t="s">
        <v>320</v>
      </c>
      <c r="J531" s="48" t="s">
        <v>320</v>
      </c>
      <c r="K531" s="48" t="s">
        <v>320</v>
      </c>
      <c r="L531" s="48" t="s">
        <v>320</v>
      </c>
      <c r="M531" s="48" t="s">
        <v>320</v>
      </c>
      <c r="N531" s="48">
        <v>0.75</v>
      </c>
      <c r="O531" s="48">
        <v>0.75</v>
      </c>
      <c r="P531" s="48">
        <v>0.875</v>
      </c>
      <c r="Q531" s="48">
        <v>0.79166666666666674</v>
      </c>
      <c r="R531" s="48">
        <v>0.875</v>
      </c>
      <c r="S531" s="48">
        <v>0.75</v>
      </c>
      <c r="T531" s="48">
        <v>0.83333333333333326</v>
      </c>
      <c r="U531" s="48">
        <v>0.75</v>
      </c>
      <c r="V531" s="48">
        <v>0.875</v>
      </c>
      <c r="W531" s="48">
        <v>0.79166666666666674</v>
      </c>
      <c r="X531" s="48">
        <v>0.83333333333333326</v>
      </c>
      <c r="Y531" s="48">
        <v>0.79166666666666674</v>
      </c>
      <c r="Z531" s="48">
        <v>0.875</v>
      </c>
      <c r="AA531" s="48">
        <v>0.75</v>
      </c>
      <c r="AB531" s="48">
        <v>0.875</v>
      </c>
      <c r="AC531" s="48">
        <v>0.75</v>
      </c>
      <c r="AD531" s="48">
        <v>0.79166666666666674</v>
      </c>
      <c r="AE531" s="48">
        <v>0.79166666666666674</v>
      </c>
      <c r="AF531" s="48">
        <v>0.75</v>
      </c>
      <c r="AG531" s="48">
        <v>0.875</v>
      </c>
      <c r="AH531" s="48">
        <v>0.75</v>
      </c>
      <c r="AI531" s="48">
        <v>0.75</v>
      </c>
      <c r="AJ531" s="48">
        <v>0.875</v>
      </c>
      <c r="AK531" s="48">
        <v>0.75</v>
      </c>
      <c r="AL531" s="48" t="s">
        <v>320</v>
      </c>
      <c r="AM531">
        <v>24</v>
      </c>
      <c r="AO531">
        <v>29.999999999999986</v>
      </c>
    </row>
    <row r="532" spans="1:41" hidden="1" x14ac:dyDescent="0.25">
      <c r="A532">
        <v>531</v>
      </c>
      <c r="B532">
        <v>2025</v>
      </c>
      <c r="C532">
        <v>9</v>
      </c>
      <c r="D532" t="s">
        <v>159</v>
      </c>
      <c r="E532">
        <v>31</v>
      </c>
      <c r="F532">
        <v>8</v>
      </c>
      <c r="G532" t="s">
        <v>430</v>
      </c>
      <c r="H532" s="48">
        <v>0.29166666666666669</v>
      </c>
      <c r="I532" s="48">
        <v>0.29166666666666669</v>
      </c>
      <c r="J532" s="48">
        <v>0.29166666666666669</v>
      </c>
      <c r="K532" s="48">
        <v>0.29166666666666669</v>
      </c>
      <c r="L532" s="48">
        <v>0.29166666666666669</v>
      </c>
      <c r="M532" s="48">
        <v>0.29166666666666669</v>
      </c>
      <c r="N532" s="48">
        <v>0.29166666666666669</v>
      </c>
      <c r="O532" s="48">
        <v>0.29166666666666669</v>
      </c>
      <c r="P532" s="48">
        <v>0.29166666666666669</v>
      </c>
      <c r="Q532" s="48">
        <v>0.29166666666666669</v>
      </c>
      <c r="R532" s="48">
        <v>0.29166666666666669</v>
      </c>
      <c r="S532" s="48">
        <v>0.29166666666666669</v>
      </c>
      <c r="T532" s="48">
        <v>0.29166666666666669</v>
      </c>
      <c r="U532" s="48" t="s">
        <v>320</v>
      </c>
      <c r="V532" s="48">
        <v>0.29166666666666669</v>
      </c>
      <c r="W532" s="48">
        <v>0.29166666666666669</v>
      </c>
      <c r="X532" s="48">
        <v>0.29166666666666669</v>
      </c>
      <c r="Y532" s="48">
        <v>0.29166666666666669</v>
      </c>
      <c r="Z532" s="48">
        <v>0.29166666666666669</v>
      </c>
      <c r="AA532" s="48">
        <v>0.29166666666666669</v>
      </c>
      <c r="AB532" s="48">
        <v>0.29166666666666669</v>
      </c>
      <c r="AC532" s="48">
        <v>0.29166666666666669</v>
      </c>
      <c r="AD532" s="48">
        <v>0.29166666666666669</v>
      </c>
      <c r="AE532" s="48">
        <v>0.29166666666666669</v>
      </c>
      <c r="AF532" s="48">
        <v>0.29166666666666669</v>
      </c>
      <c r="AG532" s="48">
        <v>0.29166666666666669</v>
      </c>
      <c r="AH532" s="48">
        <v>0.29166666666666669</v>
      </c>
      <c r="AI532" s="48" t="s">
        <v>320</v>
      </c>
      <c r="AJ532" s="48">
        <v>0.29166666666666669</v>
      </c>
      <c r="AK532" s="48">
        <v>0.29166666666666669</v>
      </c>
      <c r="AL532" s="48" t="s">
        <v>320</v>
      </c>
    </row>
    <row r="533" spans="1:41" hidden="1" x14ac:dyDescent="0.25">
      <c r="A533">
        <v>532</v>
      </c>
      <c r="B533">
        <v>2025</v>
      </c>
      <c r="C533">
        <v>9</v>
      </c>
      <c r="D533" t="s">
        <v>159</v>
      </c>
      <c r="E533">
        <v>31</v>
      </c>
      <c r="F533">
        <v>8</v>
      </c>
      <c r="G533" t="s">
        <v>431</v>
      </c>
      <c r="H533" s="48">
        <v>0.25</v>
      </c>
      <c r="I533" s="48">
        <v>0.25</v>
      </c>
      <c r="J533" s="48">
        <v>0.25</v>
      </c>
      <c r="K533" s="48">
        <v>0.25</v>
      </c>
      <c r="L533" s="48">
        <v>0.25</v>
      </c>
      <c r="M533" s="48">
        <v>0.25</v>
      </c>
      <c r="N533" s="48">
        <v>0.25</v>
      </c>
      <c r="O533" s="48">
        <v>0.25</v>
      </c>
      <c r="P533" s="48">
        <v>0.25</v>
      </c>
      <c r="Q533" s="48">
        <v>0.25</v>
      </c>
      <c r="R533" s="48">
        <v>0.25</v>
      </c>
      <c r="S533" s="48">
        <v>0.25</v>
      </c>
      <c r="T533" s="48">
        <v>0.25</v>
      </c>
      <c r="U533" s="48" t="s">
        <v>320</v>
      </c>
      <c r="V533" s="48">
        <v>0.25</v>
      </c>
      <c r="W533" s="48">
        <v>0.25</v>
      </c>
      <c r="X533" s="48">
        <v>0.25</v>
      </c>
      <c r="Y533" s="48">
        <v>0.25</v>
      </c>
      <c r="Z533" s="48">
        <v>0.25</v>
      </c>
      <c r="AA533" s="48">
        <v>0.25</v>
      </c>
      <c r="AB533" s="48">
        <v>0.25</v>
      </c>
      <c r="AC533" s="48">
        <v>0.25</v>
      </c>
      <c r="AD533" s="48">
        <v>0.25</v>
      </c>
      <c r="AE533" s="48">
        <v>0.25</v>
      </c>
      <c r="AF533" s="48">
        <v>0.25</v>
      </c>
      <c r="AG533" s="48">
        <v>0.25</v>
      </c>
      <c r="AH533" s="48">
        <v>0.25</v>
      </c>
      <c r="AI533" s="48" t="s">
        <v>320</v>
      </c>
      <c r="AJ533" s="48">
        <v>0.25</v>
      </c>
      <c r="AK533" s="48">
        <v>0.25</v>
      </c>
      <c r="AL533" s="48" t="s">
        <v>320</v>
      </c>
      <c r="AM533">
        <v>0</v>
      </c>
      <c r="AN533">
        <v>28</v>
      </c>
    </row>
    <row r="534" spans="1:41" hidden="1" x14ac:dyDescent="0.25">
      <c r="A534">
        <v>533</v>
      </c>
      <c r="B534">
        <v>2025</v>
      </c>
      <c r="C534">
        <v>9</v>
      </c>
      <c r="D534" t="s">
        <v>175</v>
      </c>
      <c r="E534">
        <v>31</v>
      </c>
      <c r="F534">
        <v>8</v>
      </c>
      <c r="G534" t="s">
        <v>430</v>
      </c>
      <c r="H534" s="48" t="s">
        <v>320</v>
      </c>
      <c r="I534" s="48" t="s">
        <v>320</v>
      </c>
      <c r="J534" s="48" t="s">
        <v>320</v>
      </c>
      <c r="K534" s="48" t="s">
        <v>320</v>
      </c>
      <c r="L534" s="48" t="s">
        <v>320</v>
      </c>
      <c r="M534" s="48" t="s">
        <v>320</v>
      </c>
      <c r="N534" s="48" t="s">
        <v>320</v>
      </c>
      <c r="O534" s="48" t="s">
        <v>320</v>
      </c>
      <c r="P534" s="48" t="s">
        <v>375</v>
      </c>
      <c r="Q534" s="48" t="s">
        <v>375</v>
      </c>
      <c r="R534" s="48" t="s">
        <v>375</v>
      </c>
      <c r="S534" s="48" t="s">
        <v>375</v>
      </c>
      <c r="T534" s="48" t="s">
        <v>375</v>
      </c>
      <c r="U534" s="48" t="s">
        <v>375</v>
      </c>
      <c r="V534" s="48" t="s">
        <v>375</v>
      </c>
      <c r="W534" s="48" t="s">
        <v>375</v>
      </c>
      <c r="X534" s="48" t="s">
        <v>375</v>
      </c>
      <c r="Y534" s="48" t="s">
        <v>375</v>
      </c>
      <c r="Z534" s="48" t="s">
        <v>375</v>
      </c>
      <c r="AA534" s="48" t="s">
        <v>375</v>
      </c>
      <c r="AB534" s="48" t="s">
        <v>375</v>
      </c>
      <c r="AC534" s="48" t="s">
        <v>375</v>
      </c>
      <c r="AD534" s="48" t="s">
        <v>375</v>
      </c>
      <c r="AE534" s="48" t="s">
        <v>375</v>
      </c>
      <c r="AF534" s="48" t="s">
        <v>375</v>
      </c>
      <c r="AG534" s="48" t="s">
        <v>375</v>
      </c>
      <c r="AH534" s="48" t="s">
        <v>375</v>
      </c>
      <c r="AI534" s="48" t="s">
        <v>375</v>
      </c>
      <c r="AJ534" s="48" t="s">
        <v>375</v>
      </c>
      <c r="AK534" s="48" t="s">
        <v>375</v>
      </c>
      <c r="AL534" s="48" t="s">
        <v>320</v>
      </c>
    </row>
    <row r="535" spans="1:41" hidden="1" x14ac:dyDescent="0.25">
      <c r="A535">
        <v>534</v>
      </c>
      <c r="B535">
        <v>2025</v>
      </c>
      <c r="C535">
        <v>9</v>
      </c>
      <c r="D535" t="s">
        <v>175</v>
      </c>
      <c r="E535">
        <v>31</v>
      </c>
      <c r="F535">
        <v>8</v>
      </c>
      <c r="G535" t="s">
        <v>431</v>
      </c>
      <c r="H535" s="48" t="s">
        <v>320</v>
      </c>
      <c r="I535" s="48" t="s">
        <v>320</v>
      </c>
      <c r="J535" s="48" t="s">
        <v>320</v>
      </c>
      <c r="K535" s="48" t="s">
        <v>320</v>
      </c>
      <c r="L535" s="48" t="s">
        <v>320</v>
      </c>
      <c r="M535" s="48" t="s">
        <v>320</v>
      </c>
      <c r="N535" s="48" t="s">
        <v>320</v>
      </c>
      <c r="O535" s="48" t="s">
        <v>320</v>
      </c>
      <c r="P535" s="48" t="s">
        <v>389</v>
      </c>
      <c r="Q535" s="48" t="s">
        <v>389</v>
      </c>
      <c r="R535" s="48" t="s">
        <v>389</v>
      </c>
      <c r="S535" s="48" t="s">
        <v>389</v>
      </c>
      <c r="T535" s="48" t="s">
        <v>389</v>
      </c>
      <c r="U535" s="48" t="s">
        <v>389</v>
      </c>
      <c r="V535" s="48" t="s">
        <v>389</v>
      </c>
      <c r="W535" s="48" t="s">
        <v>389</v>
      </c>
      <c r="X535" s="48" t="s">
        <v>389</v>
      </c>
      <c r="Y535" s="48" t="s">
        <v>389</v>
      </c>
      <c r="Z535" s="48" t="s">
        <v>389</v>
      </c>
      <c r="AA535" s="48" t="s">
        <v>389</v>
      </c>
      <c r="AB535" s="48" t="s">
        <v>389</v>
      </c>
      <c r="AC535" s="48" t="s">
        <v>389</v>
      </c>
      <c r="AD535" s="48" t="s">
        <v>389</v>
      </c>
      <c r="AE535" s="48" t="s">
        <v>389</v>
      </c>
      <c r="AF535" s="48" t="s">
        <v>389</v>
      </c>
      <c r="AG535" s="48" t="s">
        <v>389</v>
      </c>
      <c r="AH535" s="48" t="s">
        <v>389</v>
      </c>
      <c r="AI535" s="48" t="s">
        <v>389</v>
      </c>
      <c r="AJ535" s="48" t="s">
        <v>389</v>
      </c>
      <c r="AK535" s="48" t="s">
        <v>389</v>
      </c>
      <c r="AL535" s="48" t="s">
        <v>320</v>
      </c>
      <c r="AM535">
        <v>22</v>
      </c>
      <c r="AO535">
        <v>44.000000000000014</v>
      </c>
    </row>
    <row r="536" spans="1:41" hidden="1" x14ac:dyDescent="0.25">
      <c r="A536">
        <v>535</v>
      </c>
      <c r="B536">
        <v>2025</v>
      </c>
      <c r="C536">
        <v>9</v>
      </c>
      <c r="D536" t="s">
        <v>156</v>
      </c>
      <c r="E536">
        <v>31</v>
      </c>
      <c r="F536">
        <v>8</v>
      </c>
      <c r="G536" t="s">
        <v>430</v>
      </c>
      <c r="H536" s="48" t="s">
        <v>382</v>
      </c>
      <c r="I536" s="48" t="s">
        <v>382</v>
      </c>
      <c r="J536" s="48" t="s">
        <v>382</v>
      </c>
      <c r="K536" s="48" t="s">
        <v>382</v>
      </c>
      <c r="L536" s="48" t="s">
        <v>382</v>
      </c>
      <c r="M536" s="48" t="s">
        <v>382</v>
      </c>
      <c r="N536" s="48" t="s">
        <v>382</v>
      </c>
      <c r="O536" s="48" t="s">
        <v>382</v>
      </c>
      <c r="P536" s="48" t="s">
        <v>382</v>
      </c>
      <c r="Q536" s="48" t="s">
        <v>382</v>
      </c>
      <c r="R536" s="48" t="s">
        <v>382</v>
      </c>
      <c r="S536" s="48" t="s">
        <v>382</v>
      </c>
      <c r="T536" s="48" t="s">
        <v>382</v>
      </c>
      <c r="U536" s="48" t="s">
        <v>382</v>
      </c>
      <c r="V536" s="48" t="s">
        <v>382</v>
      </c>
      <c r="W536" s="48" t="s">
        <v>382</v>
      </c>
      <c r="X536" s="48" t="s">
        <v>382</v>
      </c>
      <c r="Y536" s="48" t="s">
        <v>382</v>
      </c>
      <c r="Z536" s="48" t="s">
        <v>382</v>
      </c>
      <c r="AA536" s="48" t="s">
        <v>382</v>
      </c>
      <c r="AB536" s="48" t="s">
        <v>382</v>
      </c>
      <c r="AC536" s="48" t="s">
        <v>382</v>
      </c>
      <c r="AD536" s="48" t="s">
        <v>382</v>
      </c>
      <c r="AE536" s="48" t="s">
        <v>382</v>
      </c>
      <c r="AF536" s="48" t="s">
        <v>382</v>
      </c>
      <c r="AG536" s="48" t="s">
        <v>382</v>
      </c>
      <c r="AH536" s="48" t="s">
        <v>382</v>
      </c>
      <c r="AI536" s="48" t="s">
        <v>382</v>
      </c>
      <c r="AJ536" s="48" t="s">
        <v>382</v>
      </c>
      <c r="AK536" s="48" t="s">
        <v>382</v>
      </c>
      <c r="AL536" s="48" t="s">
        <v>320</v>
      </c>
    </row>
    <row r="537" spans="1:41" hidden="1" x14ac:dyDescent="0.25">
      <c r="A537">
        <v>536</v>
      </c>
      <c r="B537">
        <v>2025</v>
      </c>
      <c r="C537">
        <v>9</v>
      </c>
      <c r="D537" t="s">
        <v>156</v>
      </c>
      <c r="E537">
        <v>31</v>
      </c>
      <c r="F537">
        <v>8</v>
      </c>
      <c r="G537" t="s">
        <v>431</v>
      </c>
      <c r="H537" s="48" t="s">
        <v>410</v>
      </c>
      <c r="I537" s="48" t="s">
        <v>410</v>
      </c>
      <c r="J537" s="48" t="s">
        <v>410</v>
      </c>
      <c r="K537" s="48" t="s">
        <v>410</v>
      </c>
      <c r="L537" s="48" t="s">
        <v>410</v>
      </c>
      <c r="M537" s="48" t="s">
        <v>410</v>
      </c>
      <c r="N537" s="48" t="s">
        <v>410</v>
      </c>
      <c r="O537" s="48" t="s">
        <v>410</v>
      </c>
      <c r="P537" s="48" t="s">
        <v>389</v>
      </c>
      <c r="Q537" s="48" t="s">
        <v>389</v>
      </c>
      <c r="R537" s="48" t="s">
        <v>389</v>
      </c>
      <c r="S537" s="48" t="s">
        <v>389</v>
      </c>
      <c r="T537" s="48" t="s">
        <v>389</v>
      </c>
      <c r="U537" s="48" t="s">
        <v>389</v>
      </c>
      <c r="V537" s="48" t="s">
        <v>389</v>
      </c>
      <c r="W537" s="48" t="s">
        <v>389</v>
      </c>
      <c r="X537" s="48" t="s">
        <v>389</v>
      </c>
      <c r="Y537" s="48" t="s">
        <v>389</v>
      </c>
      <c r="Z537" s="48" t="s">
        <v>389</v>
      </c>
      <c r="AA537" s="48" t="s">
        <v>389</v>
      </c>
      <c r="AB537" s="48" t="s">
        <v>389</v>
      </c>
      <c r="AC537" s="48" t="s">
        <v>389</v>
      </c>
      <c r="AD537" s="48" t="s">
        <v>389</v>
      </c>
      <c r="AE537" s="48" t="s">
        <v>389</v>
      </c>
      <c r="AF537" s="48" t="s">
        <v>389</v>
      </c>
      <c r="AG537" s="48" t="s">
        <v>389</v>
      </c>
      <c r="AH537" s="48" t="s">
        <v>389</v>
      </c>
      <c r="AI537" s="48" t="s">
        <v>389</v>
      </c>
      <c r="AJ537" s="48" t="s">
        <v>389</v>
      </c>
      <c r="AK537" s="48" t="s">
        <v>389</v>
      </c>
      <c r="AL537" s="48" t="s">
        <v>320</v>
      </c>
      <c r="AM537">
        <v>30</v>
      </c>
    </row>
    <row r="538" spans="1:41" hidden="1" x14ac:dyDescent="0.25">
      <c r="A538">
        <v>537</v>
      </c>
      <c r="B538">
        <v>2025</v>
      </c>
      <c r="C538">
        <v>9</v>
      </c>
      <c r="D538" t="s">
        <v>168</v>
      </c>
      <c r="E538">
        <v>31</v>
      </c>
      <c r="F538">
        <v>8</v>
      </c>
      <c r="G538" t="s">
        <v>430</v>
      </c>
      <c r="H538" s="48" t="s">
        <v>375</v>
      </c>
      <c r="I538" s="48" t="s">
        <v>375</v>
      </c>
      <c r="J538" s="48" t="s">
        <v>375</v>
      </c>
      <c r="K538" s="48" t="s">
        <v>375</v>
      </c>
      <c r="L538" s="48" t="s">
        <v>375</v>
      </c>
      <c r="M538" s="48" t="s">
        <v>375</v>
      </c>
      <c r="N538" s="48" t="s">
        <v>375</v>
      </c>
      <c r="O538" s="48" t="s">
        <v>375</v>
      </c>
      <c r="P538" s="48" t="s">
        <v>375</v>
      </c>
      <c r="Q538" s="48" t="s">
        <v>375</v>
      </c>
      <c r="R538" s="48" t="s">
        <v>375</v>
      </c>
      <c r="S538" s="48" t="s">
        <v>375</v>
      </c>
      <c r="T538" s="48" t="s">
        <v>375</v>
      </c>
      <c r="U538" s="48" t="s">
        <v>320</v>
      </c>
      <c r="V538" s="48" t="s">
        <v>375</v>
      </c>
      <c r="W538" s="48" t="s">
        <v>375</v>
      </c>
      <c r="X538" s="48" t="s">
        <v>375</v>
      </c>
      <c r="Y538" s="48" t="s">
        <v>375</v>
      </c>
      <c r="Z538" s="48" t="s">
        <v>375</v>
      </c>
      <c r="AA538" s="48" t="s">
        <v>375</v>
      </c>
      <c r="AB538" s="48" t="s">
        <v>375</v>
      </c>
      <c r="AC538" s="48" t="s">
        <v>375</v>
      </c>
      <c r="AD538" s="48" t="s">
        <v>375</v>
      </c>
      <c r="AE538" s="48" t="s">
        <v>375</v>
      </c>
      <c r="AF538" s="48" t="s">
        <v>375</v>
      </c>
      <c r="AG538" s="48" t="s">
        <v>375</v>
      </c>
      <c r="AH538" s="48" t="s">
        <v>375</v>
      </c>
      <c r="AI538" s="48" t="s">
        <v>375</v>
      </c>
      <c r="AJ538" s="48" t="s">
        <v>375</v>
      </c>
      <c r="AK538" s="48" t="s">
        <v>375</v>
      </c>
      <c r="AL538" s="48" t="s">
        <v>320</v>
      </c>
    </row>
    <row r="539" spans="1:41" hidden="1" x14ac:dyDescent="0.25">
      <c r="A539">
        <v>538</v>
      </c>
      <c r="B539">
        <v>2025</v>
      </c>
      <c r="C539">
        <v>9</v>
      </c>
      <c r="D539" t="s">
        <v>168</v>
      </c>
      <c r="E539">
        <v>31</v>
      </c>
      <c r="F539">
        <v>8</v>
      </c>
      <c r="G539" t="s">
        <v>431</v>
      </c>
      <c r="H539" s="48">
        <v>0.75</v>
      </c>
      <c r="I539" s="48">
        <v>0.91666666666666674</v>
      </c>
      <c r="J539" s="48">
        <v>0.95833333333333326</v>
      </c>
      <c r="K539" s="48">
        <v>0.75</v>
      </c>
      <c r="L539" s="48">
        <v>0.91666666666666674</v>
      </c>
      <c r="M539" s="48">
        <v>1</v>
      </c>
      <c r="N539" s="48">
        <v>0.95833333333333326</v>
      </c>
      <c r="O539" s="48">
        <v>0.75</v>
      </c>
      <c r="P539" s="48">
        <v>0.83333333333333326</v>
      </c>
      <c r="Q539" s="48">
        <v>0.75</v>
      </c>
      <c r="R539" s="48">
        <v>0.75</v>
      </c>
      <c r="S539" s="48">
        <v>0.75</v>
      </c>
      <c r="T539" s="48">
        <v>0.75</v>
      </c>
      <c r="U539" s="48" t="s">
        <v>320</v>
      </c>
      <c r="V539" s="48">
        <v>0.75</v>
      </c>
      <c r="W539" s="48">
        <v>0.75</v>
      </c>
      <c r="X539" s="48">
        <v>0.75</v>
      </c>
      <c r="Y539" s="48">
        <v>0.83333333333333326</v>
      </c>
      <c r="Z539" s="48">
        <v>0.75</v>
      </c>
      <c r="AA539" s="48">
        <v>0.75</v>
      </c>
      <c r="AB539" s="48">
        <v>0.75</v>
      </c>
      <c r="AC539" s="48">
        <v>0.75</v>
      </c>
      <c r="AD539" s="48">
        <v>0.75</v>
      </c>
      <c r="AE539" s="48">
        <v>0.95833333333333326</v>
      </c>
      <c r="AF539" s="48">
        <v>0.875</v>
      </c>
      <c r="AG539" s="48">
        <v>0.75</v>
      </c>
      <c r="AH539" s="48">
        <v>0.75</v>
      </c>
      <c r="AI539" s="48">
        <v>0.75</v>
      </c>
      <c r="AJ539" s="48">
        <v>0.83333333333333326</v>
      </c>
      <c r="AK539" s="48">
        <v>0.75</v>
      </c>
      <c r="AL539" s="48" t="s">
        <v>320</v>
      </c>
      <c r="AM539">
        <v>29</v>
      </c>
      <c r="AO539">
        <v>37.999999999999986</v>
      </c>
    </row>
    <row r="540" spans="1:41" hidden="1" x14ac:dyDescent="0.25">
      <c r="A540">
        <v>539</v>
      </c>
      <c r="B540">
        <v>2025</v>
      </c>
      <c r="C540">
        <v>9</v>
      </c>
      <c r="D540" t="s">
        <v>164</v>
      </c>
      <c r="E540">
        <v>31</v>
      </c>
      <c r="F540">
        <v>8</v>
      </c>
      <c r="G540" t="s">
        <v>430</v>
      </c>
      <c r="H540" s="48" t="s">
        <v>375</v>
      </c>
      <c r="I540" s="48" t="s">
        <v>375</v>
      </c>
      <c r="J540" s="48" t="s">
        <v>375</v>
      </c>
      <c r="K540" s="48" t="s">
        <v>375</v>
      </c>
      <c r="L540" s="48" t="s">
        <v>375</v>
      </c>
      <c r="M540" s="48" t="s">
        <v>375</v>
      </c>
      <c r="N540" s="48" t="s">
        <v>375</v>
      </c>
      <c r="O540" s="48" t="s">
        <v>375</v>
      </c>
      <c r="P540" s="48" t="s">
        <v>375</v>
      </c>
      <c r="Q540" s="48" t="s">
        <v>375</v>
      </c>
      <c r="R540" s="48" t="s">
        <v>375</v>
      </c>
      <c r="S540" s="48" t="s">
        <v>375</v>
      </c>
      <c r="T540" s="48" t="s">
        <v>375</v>
      </c>
      <c r="U540" s="48" t="s">
        <v>375</v>
      </c>
      <c r="V540" s="48" t="s">
        <v>375</v>
      </c>
      <c r="W540" s="48" t="s">
        <v>375</v>
      </c>
      <c r="X540" s="48" t="s">
        <v>375</v>
      </c>
      <c r="Y540" s="48" t="s">
        <v>375</v>
      </c>
      <c r="Z540" s="48" t="s">
        <v>375</v>
      </c>
      <c r="AA540" s="48" t="s">
        <v>375</v>
      </c>
      <c r="AB540" s="48" t="s">
        <v>375</v>
      </c>
      <c r="AC540" s="48" t="s">
        <v>375</v>
      </c>
      <c r="AD540" s="48" t="s">
        <v>375</v>
      </c>
      <c r="AE540" s="48" t="s">
        <v>375</v>
      </c>
      <c r="AF540" s="48" t="s">
        <v>375</v>
      </c>
      <c r="AG540" s="48" t="s">
        <v>375</v>
      </c>
      <c r="AH540" s="48" t="s">
        <v>375</v>
      </c>
      <c r="AI540" s="48" t="s">
        <v>375</v>
      </c>
      <c r="AJ540" s="48" t="s">
        <v>375</v>
      </c>
      <c r="AK540" s="48" t="s">
        <v>375</v>
      </c>
      <c r="AL540" s="48" t="s">
        <v>320</v>
      </c>
    </row>
    <row r="541" spans="1:41" hidden="1" x14ac:dyDescent="0.25">
      <c r="A541">
        <v>540</v>
      </c>
      <c r="B541">
        <v>2025</v>
      </c>
      <c r="C541">
        <v>9</v>
      </c>
      <c r="D541" t="s">
        <v>164</v>
      </c>
      <c r="E541">
        <v>31</v>
      </c>
      <c r="F541">
        <v>8</v>
      </c>
      <c r="G541" t="s">
        <v>431</v>
      </c>
      <c r="H541" s="48">
        <v>0.875</v>
      </c>
      <c r="I541" s="48">
        <v>0.75</v>
      </c>
      <c r="J541" s="48">
        <v>0.875</v>
      </c>
      <c r="K541" s="48">
        <v>0.75</v>
      </c>
      <c r="L541" s="48">
        <v>0.875</v>
      </c>
      <c r="M541" s="48">
        <v>0.75</v>
      </c>
      <c r="N541" s="48">
        <v>0.875</v>
      </c>
      <c r="O541" s="48">
        <v>0.75</v>
      </c>
      <c r="P541" s="48">
        <v>0.875</v>
      </c>
      <c r="Q541" s="48">
        <v>0.75</v>
      </c>
      <c r="R541" s="48">
        <v>0.875</v>
      </c>
      <c r="S541" s="48">
        <v>0.75</v>
      </c>
      <c r="T541" s="48">
        <v>0.875</v>
      </c>
      <c r="U541" s="48">
        <v>0.75</v>
      </c>
      <c r="V541" s="48">
        <v>0.875</v>
      </c>
      <c r="W541" s="48">
        <v>0.75</v>
      </c>
      <c r="X541" s="48">
        <v>0.875</v>
      </c>
      <c r="Y541" s="48">
        <v>0.75</v>
      </c>
      <c r="Z541" s="48">
        <v>0.875</v>
      </c>
      <c r="AA541" s="48">
        <v>0.75</v>
      </c>
      <c r="AB541" s="48">
        <v>0.875</v>
      </c>
      <c r="AC541" s="48">
        <v>0.83333333333333326</v>
      </c>
      <c r="AD541" s="48">
        <v>0.875</v>
      </c>
      <c r="AE541" s="48">
        <v>0.875</v>
      </c>
      <c r="AF541" s="48">
        <v>0.875</v>
      </c>
      <c r="AG541" s="48">
        <v>0.75</v>
      </c>
      <c r="AH541" s="48">
        <v>0.875</v>
      </c>
      <c r="AI541" s="48">
        <v>0.75</v>
      </c>
      <c r="AJ541" s="48">
        <v>0.875</v>
      </c>
      <c r="AK541" s="48">
        <v>0.75</v>
      </c>
      <c r="AL541" s="48" t="s">
        <v>320</v>
      </c>
      <c r="AM541">
        <v>30</v>
      </c>
      <c r="AO541">
        <v>49.999999999999986</v>
      </c>
    </row>
    <row r="542" spans="1:41" hidden="1" x14ac:dyDescent="0.25">
      <c r="A542">
        <v>541</v>
      </c>
      <c r="B542">
        <v>2025</v>
      </c>
      <c r="C542">
        <v>9</v>
      </c>
      <c r="D542" t="s">
        <v>163</v>
      </c>
      <c r="E542">
        <v>31</v>
      </c>
      <c r="F542">
        <v>8</v>
      </c>
      <c r="G542" t="s">
        <v>430</v>
      </c>
      <c r="H542" s="48" t="s">
        <v>377</v>
      </c>
      <c r="I542" s="48" t="s">
        <v>377</v>
      </c>
      <c r="J542" s="48" t="s">
        <v>377</v>
      </c>
      <c r="K542" s="48" t="s">
        <v>377</v>
      </c>
      <c r="L542" s="48" t="s">
        <v>377</v>
      </c>
      <c r="M542" s="48" t="s">
        <v>377</v>
      </c>
      <c r="N542" s="48" t="s">
        <v>377</v>
      </c>
      <c r="O542" s="48" t="s">
        <v>377</v>
      </c>
      <c r="P542" s="48" t="s">
        <v>377</v>
      </c>
      <c r="Q542" s="48" t="s">
        <v>377</v>
      </c>
      <c r="R542" s="48" t="s">
        <v>377</v>
      </c>
      <c r="S542" s="48" t="s">
        <v>377</v>
      </c>
      <c r="T542" s="48" t="s">
        <v>377</v>
      </c>
      <c r="U542" s="48" t="s">
        <v>377</v>
      </c>
      <c r="V542" s="48" t="s">
        <v>377</v>
      </c>
      <c r="W542" s="48" t="s">
        <v>377</v>
      </c>
      <c r="X542" s="48" t="s">
        <v>377</v>
      </c>
      <c r="Y542" s="48" t="s">
        <v>377</v>
      </c>
      <c r="Z542" s="48" t="s">
        <v>377</v>
      </c>
      <c r="AA542" s="48" t="s">
        <v>377</v>
      </c>
      <c r="AB542" s="48" t="s">
        <v>377</v>
      </c>
      <c r="AC542" s="48" t="s">
        <v>377</v>
      </c>
      <c r="AD542" s="48" t="s">
        <v>377</v>
      </c>
      <c r="AE542" s="48" t="s">
        <v>377</v>
      </c>
      <c r="AF542" s="48" t="s">
        <v>377</v>
      </c>
      <c r="AG542" s="48" t="s">
        <v>377</v>
      </c>
      <c r="AH542" s="48" t="s">
        <v>377</v>
      </c>
      <c r="AI542" s="48" t="s">
        <v>377</v>
      </c>
      <c r="AJ542" s="48" t="s">
        <v>377</v>
      </c>
      <c r="AK542" s="48" t="s">
        <v>377</v>
      </c>
      <c r="AL542" s="48" t="s">
        <v>320</v>
      </c>
    </row>
    <row r="543" spans="1:41" hidden="1" x14ac:dyDescent="0.25">
      <c r="A543">
        <v>542</v>
      </c>
      <c r="B543">
        <v>2025</v>
      </c>
      <c r="C543">
        <v>9</v>
      </c>
      <c r="D543" t="s">
        <v>163</v>
      </c>
      <c r="E543">
        <v>31</v>
      </c>
      <c r="F543">
        <v>8</v>
      </c>
      <c r="G543" t="s">
        <v>431</v>
      </c>
      <c r="H543" s="48" t="s">
        <v>410</v>
      </c>
      <c r="I543" s="48" t="s">
        <v>410</v>
      </c>
      <c r="J543" s="48" t="s">
        <v>410</v>
      </c>
      <c r="K543" s="48" t="s">
        <v>410</v>
      </c>
      <c r="L543" s="48" t="s">
        <v>410</v>
      </c>
      <c r="M543" s="48" t="s">
        <v>410</v>
      </c>
      <c r="N543" s="48" t="s">
        <v>410</v>
      </c>
      <c r="O543" s="48" t="s">
        <v>410</v>
      </c>
      <c r="P543" s="48" t="s">
        <v>410</v>
      </c>
      <c r="Q543" s="48" t="s">
        <v>410</v>
      </c>
      <c r="R543" s="48" t="s">
        <v>410</v>
      </c>
      <c r="S543" s="48" t="s">
        <v>410</v>
      </c>
      <c r="T543" s="48" t="s">
        <v>410</v>
      </c>
      <c r="U543" s="48" t="s">
        <v>410</v>
      </c>
      <c r="V543" s="48" t="s">
        <v>410</v>
      </c>
      <c r="W543" s="48" t="s">
        <v>410</v>
      </c>
      <c r="X543" s="48" t="s">
        <v>410</v>
      </c>
      <c r="Y543" s="48" t="s">
        <v>410</v>
      </c>
      <c r="Z543" s="48" t="s">
        <v>410</v>
      </c>
      <c r="AA543" s="48" t="s">
        <v>410</v>
      </c>
      <c r="AB543" s="48" t="s">
        <v>410</v>
      </c>
      <c r="AC543" s="48" t="s">
        <v>410</v>
      </c>
      <c r="AD543" s="48" t="s">
        <v>410</v>
      </c>
      <c r="AE543" s="48" t="s">
        <v>410</v>
      </c>
      <c r="AF543" s="48" t="s">
        <v>410</v>
      </c>
      <c r="AG543" s="48" t="s">
        <v>410</v>
      </c>
      <c r="AH543" s="48" t="s">
        <v>410</v>
      </c>
      <c r="AI543" s="48" t="s">
        <v>410</v>
      </c>
      <c r="AJ543" s="48" t="s">
        <v>410</v>
      </c>
      <c r="AK543" s="48" t="s">
        <v>410</v>
      </c>
      <c r="AL543" s="48" t="s">
        <v>320</v>
      </c>
      <c r="AM543">
        <v>30</v>
      </c>
      <c r="AO543">
        <v>90</v>
      </c>
    </row>
    <row r="544" spans="1:41" hidden="1" x14ac:dyDescent="0.25">
      <c r="A544">
        <v>543</v>
      </c>
      <c r="B544">
        <v>2025</v>
      </c>
      <c r="C544">
        <v>9</v>
      </c>
      <c r="D544" t="s">
        <v>131</v>
      </c>
      <c r="E544">
        <v>31</v>
      </c>
      <c r="F544">
        <v>8</v>
      </c>
      <c r="G544" t="s">
        <v>430</v>
      </c>
      <c r="H544" s="48" t="s">
        <v>320</v>
      </c>
      <c r="I544" s="48" t="s">
        <v>320</v>
      </c>
      <c r="J544" s="48" t="s">
        <v>320</v>
      </c>
      <c r="K544" s="48" t="s">
        <v>320</v>
      </c>
      <c r="L544" s="48" t="s">
        <v>320</v>
      </c>
      <c r="M544" s="48" t="s">
        <v>375</v>
      </c>
      <c r="N544" s="48" t="s">
        <v>375</v>
      </c>
      <c r="O544" s="48" t="s">
        <v>375</v>
      </c>
      <c r="P544" s="48" t="s">
        <v>375</v>
      </c>
      <c r="Q544" s="48" t="s">
        <v>375</v>
      </c>
      <c r="R544" s="48" t="s">
        <v>375</v>
      </c>
      <c r="S544" s="48" t="s">
        <v>375</v>
      </c>
      <c r="T544" s="48" t="s">
        <v>375</v>
      </c>
      <c r="U544" s="48" t="s">
        <v>375</v>
      </c>
      <c r="V544" s="48" t="s">
        <v>375</v>
      </c>
      <c r="W544" s="48" t="s">
        <v>375</v>
      </c>
      <c r="X544" s="48" t="s">
        <v>375</v>
      </c>
      <c r="Y544" s="48" t="s">
        <v>375</v>
      </c>
      <c r="Z544" s="48" t="s">
        <v>375</v>
      </c>
      <c r="AA544" s="48" t="s">
        <v>375</v>
      </c>
      <c r="AB544" s="48" t="s">
        <v>375</v>
      </c>
      <c r="AC544" s="48" t="s">
        <v>375</v>
      </c>
      <c r="AD544" s="48" t="s">
        <v>375</v>
      </c>
      <c r="AE544" s="48" t="s">
        <v>375</v>
      </c>
      <c r="AF544" s="48" t="s">
        <v>375</v>
      </c>
      <c r="AG544" s="48" t="s">
        <v>375</v>
      </c>
      <c r="AH544" s="48" t="s">
        <v>375</v>
      </c>
      <c r="AI544" s="48" t="s">
        <v>375</v>
      </c>
      <c r="AJ544" s="48" t="s">
        <v>375</v>
      </c>
      <c r="AK544" s="48" t="s">
        <v>375</v>
      </c>
      <c r="AL544" s="48" t="s">
        <v>320</v>
      </c>
    </row>
    <row r="545" spans="1:45" hidden="1" x14ac:dyDescent="0.25">
      <c r="A545">
        <v>544</v>
      </c>
      <c r="B545">
        <v>2025</v>
      </c>
      <c r="C545">
        <v>9</v>
      </c>
      <c r="D545" t="s">
        <v>131</v>
      </c>
      <c r="E545">
        <v>31</v>
      </c>
      <c r="F545">
        <v>8</v>
      </c>
      <c r="G545" t="s">
        <v>431</v>
      </c>
      <c r="H545" s="48" t="s">
        <v>320</v>
      </c>
      <c r="I545" s="48" t="s">
        <v>320</v>
      </c>
      <c r="J545" s="48" t="s">
        <v>320</v>
      </c>
      <c r="K545" s="48" t="s">
        <v>320</v>
      </c>
      <c r="L545" s="48" t="s">
        <v>320</v>
      </c>
      <c r="M545" s="48" t="s">
        <v>376</v>
      </c>
      <c r="N545" s="48" t="s">
        <v>376</v>
      </c>
      <c r="O545" s="48" t="s">
        <v>376</v>
      </c>
      <c r="P545" s="48" t="s">
        <v>376</v>
      </c>
      <c r="Q545" s="48" t="s">
        <v>376</v>
      </c>
      <c r="R545" s="48" t="s">
        <v>376</v>
      </c>
      <c r="S545" s="48" t="s">
        <v>376</v>
      </c>
      <c r="T545" s="48" t="s">
        <v>376</v>
      </c>
      <c r="U545" s="48" t="s">
        <v>376</v>
      </c>
      <c r="V545" s="48" t="s">
        <v>376</v>
      </c>
      <c r="W545" s="48" t="s">
        <v>376</v>
      </c>
      <c r="X545" s="48" t="s">
        <v>376</v>
      </c>
      <c r="Y545" s="48" t="s">
        <v>376</v>
      </c>
      <c r="Z545" s="48" t="s">
        <v>376</v>
      </c>
      <c r="AA545" s="48" t="s">
        <v>376</v>
      </c>
      <c r="AB545" s="48" t="s">
        <v>376</v>
      </c>
      <c r="AC545" s="48" t="s">
        <v>376</v>
      </c>
      <c r="AD545" s="48" t="s">
        <v>376</v>
      </c>
      <c r="AE545" s="48" t="s">
        <v>376</v>
      </c>
      <c r="AF545" s="48" t="s">
        <v>376</v>
      </c>
      <c r="AG545" s="48" t="s">
        <v>376</v>
      </c>
      <c r="AH545" s="48" t="s">
        <v>376</v>
      </c>
      <c r="AI545" s="48" t="s">
        <v>376</v>
      </c>
      <c r="AJ545" s="48" t="s">
        <v>376</v>
      </c>
      <c r="AK545" s="48" t="s">
        <v>376</v>
      </c>
      <c r="AL545" s="48" t="s">
        <v>320</v>
      </c>
      <c r="AM545">
        <v>25</v>
      </c>
    </row>
    <row r="546" spans="1:45" hidden="1" x14ac:dyDescent="0.25">
      <c r="A546">
        <v>545</v>
      </c>
      <c r="B546">
        <v>2025</v>
      </c>
      <c r="C546">
        <v>9</v>
      </c>
      <c r="D546" t="s">
        <v>174</v>
      </c>
      <c r="E546">
        <v>31</v>
      </c>
      <c r="F546">
        <v>8</v>
      </c>
      <c r="G546" t="s">
        <v>430</v>
      </c>
      <c r="H546" s="48" t="s">
        <v>320</v>
      </c>
      <c r="I546" s="48" t="s">
        <v>320</v>
      </c>
      <c r="J546" s="48" t="s">
        <v>320</v>
      </c>
      <c r="K546" s="48" t="s">
        <v>320</v>
      </c>
      <c r="L546" s="48" t="s">
        <v>320</v>
      </c>
      <c r="M546" s="48" t="s">
        <v>375</v>
      </c>
      <c r="N546" s="48" t="s">
        <v>379</v>
      </c>
      <c r="O546" s="48" t="s">
        <v>379</v>
      </c>
      <c r="P546" s="48" t="s">
        <v>379</v>
      </c>
      <c r="Q546" s="48" t="s">
        <v>382</v>
      </c>
      <c r="R546" s="48" t="s">
        <v>375</v>
      </c>
      <c r="S546" s="48" t="s">
        <v>379</v>
      </c>
      <c r="T546" s="48" t="s">
        <v>375</v>
      </c>
      <c r="U546" s="48" t="s">
        <v>375</v>
      </c>
      <c r="V546" s="48" t="s">
        <v>379</v>
      </c>
      <c r="W546" s="48" t="s">
        <v>375</v>
      </c>
      <c r="X546" s="48" t="s">
        <v>381</v>
      </c>
      <c r="Y546" s="48" t="s">
        <v>423</v>
      </c>
      <c r="Z546" s="48" t="s">
        <v>375</v>
      </c>
      <c r="AA546" s="48" t="s">
        <v>381</v>
      </c>
      <c r="AB546" s="48" t="s">
        <v>375</v>
      </c>
      <c r="AC546" s="48" t="s">
        <v>424</v>
      </c>
      <c r="AD546" s="48" t="s">
        <v>381</v>
      </c>
      <c r="AE546" s="48" t="s">
        <v>375</v>
      </c>
      <c r="AF546" s="48" t="s">
        <v>423</v>
      </c>
      <c r="AG546" s="48" t="s">
        <v>375</v>
      </c>
      <c r="AH546" s="48" t="s">
        <v>379</v>
      </c>
      <c r="AI546" s="48" t="s">
        <v>375</v>
      </c>
      <c r="AJ546" s="48" t="s">
        <v>425</v>
      </c>
      <c r="AK546" s="48" t="s">
        <v>375</v>
      </c>
      <c r="AL546" s="48" t="s">
        <v>320</v>
      </c>
    </row>
    <row r="547" spans="1:45" hidden="1" x14ac:dyDescent="0.25">
      <c r="A547">
        <v>546</v>
      </c>
      <c r="B547">
        <v>2025</v>
      </c>
      <c r="C547">
        <v>9</v>
      </c>
      <c r="D547" t="s">
        <v>174</v>
      </c>
      <c r="E547">
        <v>31</v>
      </c>
      <c r="F547">
        <v>8</v>
      </c>
      <c r="G547" t="s">
        <v>431</v>
      </c>
      <c r="H547" s="48" t="s">
        <v>320</v>
      </c>
      <c r="I547" s="48" t="s">
        <v>320</v>
      </c>
      <c r="J547" s="48" t="s">
        <v>320</v>
      </c>
      <c r="K547" s="48" t="s">
        <v>320</v>
      </c>
      <c r="L547" s="48" t="s">
        <v>320</v>
      </c>
      <c r="M547" s="48">
        <v>0.75</v>
      </c>
      <c r="N547" s="48">
        <v>0.70833333333333326</v>
      </c>
      <c r="O547" s="48">
        <v>0.70833333333333326</v>
      </c>
      <c r="P547" s="48">
        <v>0.70833333333333326</v>
      </c>
      <c r="Q547" s="48">
        <v>0.75</v>
      </c>
      <c r="R547" s="48">
        <v>0.79166666666666674</v>
      </c>
      <c r="S547" s="48">
        <v>0.70833333333333326</v>
      </c>
      <c r="T547" s="48">
        <v>0.91666666666666674</v>
      </c>
      <c r="U547" s="48">
        <v>0.75</v>
      </c>
      <c r="V547" s="48">
        <v>0.75</v>
      </c>
      <c r="W547" s="48">
        <v>0.91666666666666674</v>
      </c>
      <c r="X547" s="48">
        <v>0.77083333333333326</v>
      </c>
      <c r="Y547" s="48">
        <v>0.75</v>
      </c>
      <c r="Z547" s="48">
        <v>0.875</v>
      </c>
      <c r="AA547" s="48">
        <v>0.77083333333333326</v>
      </c>
      <c r="AB547" s="48">
        <v>0.75</v>
      </c>
      <c r="AC547" s="48">
        <v>0.75</v>
      </c>
      <c r="AD547" s="48">
        <v>0.77083333333333326</v>
      </c>
      <c r="AE547" s="48">
        <v>0.75</v>
      </c>
      <c r="AF547" s="48">
        <v>0.75</v>
      </c>
      <c r="AG547" s="48">
        <v>0.75</v>
      </c>
      <c r="AH547" s="48">
        <v>0.79166666666666663</v>
      </c>
      <c r="AI547" s="48">
        <v>0.75</v>
      </c>
      <c r="AJ547" s="48">
        <v>0.91666666666666663</v>
      </c>
      <c r="AK547" s="48">
        <v>0.75</v>
      </c>
      <c r="AL547" s="48" t="s">
        <v>320</v>
      </c>
      <c r="AM547">
        <v>25</v>
      </c>
      <c r="AO547">
        <v>90</v>
      </c>
    </row>
    <row r="548" spans="1:45" hidden="1" x14ac:dyDescent="0.25">
      <c r="A548">
        <v>547</v>
      </c>
      <c r="B548">
        <v>2025</v>
      </c>
      <c r="C548">
        <v>9</v>
      </c>
      <c r="D548" t="s">
        <v>155</v>
      </c>
      <c r="E548">
        <v>31</v>
      </c>
      <c r="F548">
        <v>8</v>
      </c>
      <c r="G548" t="s">
        <v>432</v>
      </c>
      <c r="H548" s="48">
        <v>379637</v>
      </c>
      <c r="I548" s="48">
        <v>379754</v>
      </c>
      <c r="J548" s="48">
        <v>379887</v>
      </c>
      <c r="K548" s="48">
        <v>380011</v>
      </c>
      <c r="L548" s="48">
        <v>380129</v>
      </c>
      <c r="M548" s="48">
        <v>380241</v>
      </c>
      <c r="N548" s="48">
        <v>380364</v>
      </c>
      <c r="O548" s="48">
        <v>380473</v>
      </c>
      <c r="P548" s="48">
        <v>380592</v>
      </c>
      <c r="Q548" s="48">
        <v>380728</v>
      </c>
      <c r="R548" s="48">
        <v>380850</v>
      </c>
      <c r="S548" s="48">
        <v>381008</v>
      </c>
      <c r="T548" s="48">
        <v>381135</v>
      </c>
      <c r="U548" s="48">
        <v>381252</v>
      </c>
      <c r="V548" s="48">
        <v>381336</v>
      </c>
      <c r="W548" s="48">
        <v>381459</v>
      </c>
      <c r="X548" s="48">
        <v>381588</v>
      </c>
      <c r="Y548" s="48">
        <v>381703</v>
      </c>
      <c r="Z548" s="48">
        <v>381837</v>
      </c>
      <c r="AA548" s="48">
        <v>381974</v>
      </c>
      <c r="AB548" s="48">
        <v>382096</v>
      </c>
      <c r="AC548" s="48">
        <v>382205</v>
      </c>
      <c r="AD548" s="48">
        <v>382318</v>
      </c>
      <c r="AE548" s="48">
        <v>382486</v>
      </c>
      <c r="AF548" s="48">
        <v>382603</v>
      </c>
      <c r="AG548" s="48">
        <v>382725</v>
      </c>
      <c r="AH548" s="48">
        <v>382842</v>
      </c>
      <c r="AI548" s="48">
        <v>382953</v>
      </c>
      <c r="AJ548" s="48">
        <v>383039</v>
      </c>
      <c r="AK548" s="48">
        <v>383145</v>
      </c>
      <c r="AL548" s="48" t="s">
        <v>320</v>
      </c>
    </row>
    <row r="549" spans="1:45" hidden="1" x14ac:dyDescent="0.25">
      <c r="A549">
        <v>548</v>
      </c>
      <c r="B549">
        <v>2025</v>
      </c>
      <c r="C549">
        <v>9</v>
      </c>
      <c r="D549" t="s">
        <v>155</v>
      </c>
      <c r="E549">
        <v>31</v>
      </c>
      <c r="F549">
        <v>8</v>
      </c>
      <c r="G549" t="s">
        <v>433</v>
      </c>
      <c r="H549" s="48">
        <v>379754</v>
      </c>
      <c r="I549" s="48">
        <v>379887</v>
      </c>
      <c r="J549" s="48">
        <v>380011</v>
      </c>
      <c r="K549" s="48">
        <v>380129</v>
      </c>
      <c r="L549" s="48">
        <v>380241</v>
      </c>
      <c r="M549" s="48">
        <v>380364</v>
      </c>
      <c r="N549" s="48">
        <v>380473</v>
      </c>
      <c r="O549" s="48">
        <v>380592</v>
      </c>
      <c r="P549" s="48">
        <v>380728</v>
      </c>
      <c r="Q549" s="48">
        <v>380850</v>
      </c>
      <c r="R549" s="48">
        <v>381008</v>
      </c>
      <c r="S549" s="48">
        <v>381135</v>
      </c>
      <c r="T549" s="48">
        <v>381252</v>
      </c>
      <c r="U549" s="48">
        <v>381336</v>
      </c>
      <c r="V549" s="48">
        <v>381459</v>
      </c>
      <c r="W549" s="48">
        <v>381588</v>
      </c>
      <c r="X549" s="48">
        <v>381703</v>
      </c>
      <c r="Y549" s="48">
        <v>381837</v>
      </c>
      <c r="Z549" s="48">
        <v>381974</v>
      </c>
      <c r="AA549" s="48">
        <v>382096</v>
      </c>
      <c r="AB549" s="48">
        <v>382205</v>
      </c>
      <c r="AC549" s="48">
        <v>382318</v>
      </c>
      <c r="AD549" s="48">
        <v>382486</v>
      </c>
      <c r="AE549" s="48">
        <v>382603</v>
      </c>
      <c r="AF549" s="48">
        <v>382725</v>
      </c>
      <c r="AG549" s="48">
        <v>382842</v>
      </c>
      <c r="AH549" s="48">
        <v>382953</v>
      </c>
      <c r="AI549" s="48">
        <v>383039</v>
      </c>
      <c r="AJ549" s="48">
        <v>383145</v>
      </c>
      <c r="AK549" s="48">
        <v>383307</v>
      </c>
      <c r="AL549" s="48" t="s">
        <v>320</v>
      </c>
      <c r="AP549">
        <v>550.5</v>
      </c>
      <c r="AQ549">
        <v>15</v>
      </c>
      <c r="AS549">
        <v>3670</v>
      </c>
    </row>
    <row r="550" spans="1:45" hidden="1" x14ac:dyDescent="0.25">
      <c r="A550">
        <v>549</v>
      </c>
      <c r="B550">
        <v>2025</v>
      </c>
      <c r="C550">
        <v>9</v>
      </c>
      <c r="D550" t="s">
        <v>165</v>
      </c>
      <c r="E550">
        <v>31</v>
      </c>
      <c r="F550">
        <v>8</v>
      </c>
      <c r="G550" t="s">
        <v>432</v>
      </c>
      <c r="H550" s="48">
        <v>29778</v>
      </c>
      <c r="I550" s="48">
        <v>29804</v>
      </c>
      <c r="J550" s="48">
        <v>29815</v>
      </c>
      <c r="K550" s="48">
        <v>29832</v>
      </c>
      <c r="L550" s="48">
        <v>29851</v>
      </c>
      <c r="M550" s="48">
        <v>29878</v>
      </c>
      <c r="N550" s="48">
        <v>29892</v>
      </c>
      <c r="O550" s="48">
        <v>29912</v>
      </c>
      <c r="P550" s="48">
        <v>29943</v>
      </c>
      <c r="Q550" s="48">
        <v>29963</v>
      </c>
      <c r="R550" s="48">
        <v>29981</v>
      </c>
      <c r="S550" s="48">
        <v>30008</v>
      </c>
      <c r="T550" s="48">
        <v>30014</v>
      </c>
      <c r="U550" s="48" t="s">
        <v>320</v>
      </c>
      <c r="V550" s="48">
        <v>30024</v>
      </c>
      <c r="W550" s="48">
        <v>30047</v>
      </c>
      <c r="X550" s="48">
        <v>30074</v>
      </c>
      <c r="Y550" s="48">
        <v>30094</v>
      </c>
      <c r="Z550" s="48">
        <v>30103</v>
      </c>
      <c r="AA550" s="48">
        <v>30117</v>
      </c>
      <c r="AB550" s="48">
        <v>30133</v>
      </c>
      <c r="AC550" s="48">
        <v>30153</v>
      </c>
      <c r="AD550" s="48">
        <v>30185</v>
      </c>
      <c r="AE550" s="48">
        <v>30199</v>
      </c>
      <c r="AF550" s="48">
        <v>30218</v>
      </c>
      <c r="AG550" s="48">
        <v>30242</v>
      </c>
      <c r="AH550" s="48">
        <v>30324</v>
      </c>
      <c r="AI550" s="48">
        <v>30336</v>
      </c>
      <c r="AJ550" s="48">
        <v>30354</v>
      </c>
      <c r="AK550" s="48">
        <v>30379</v>
      </c>
      <c r="AL550" s="48" t="s">
        <v>320</v>
      </c>
    </row>
    <row r="551" spans="1:45" hidden="1" x14ac:dyDescent="0.25">
      <c r="A551">
        <v>550</v>
      </c>
      <c r="B551">
        <v>2025</v>
      </c>
      <c r="C551">
        <v>9</v>
      </c>
      <c r="D551" t="s">
        <v>165</v>
      </c>
      <c r="E551">
        <v>31</v>
      </c>
      <c r="F551">
        <v>8</v>
      </c>
      <c r="G551" t="s">
        <v>433</v>
      </c>
      <c r="H551" s="48">
        <v>29804</v>
      </c>
      <c r="I551" s="48">
        <v>29815</v>
      </c>
      <c r="J551" s="48">
        <v>29832</v>
      </c>
      <c r="K551" s="48">
        <v>29851</v>
      </c>
      <c r="L551" s="48">
        <v>29878</v>
      </c>
      <c r="M551" s="48">
        <v>29892</v>
      </c>
      <c r="N551" s="48">
        <v>29912</v>
      </c>
      <c r="O551" s="48">
        <v>29943</v>
      </c>
      <c r="P551" s="48">
        <v>29963</v>
      </c>
      <c r="Q551" s="48">
        <v>29981</v>
      </c>
      <c r="R551" s="48">
        <v>30008</v>
      </c>
      <c r="S551" s="48">
        <v>30014</v>
      </c>
      <c r="T551" s="48">
        <v>30024</v>
      </c>
      <c r="U551" s="48" t="s">
        <v>320</v>
      </c>
      <c r="V551" s="48">
        <v>30047</v>
      </c>
      <c r="W551" s="48">
        <v>30074</v>
      </c>
      <c r="X551" s="48">
        <v>30094</v>
      </c>
      <c r="Y551" s="48">
        <v>30103</v>
      </c>
      <c r="Z551" s="48">
        <v>30117</v>
      </c>
      <c r="AA551" s="48">
        <v>30133</v>
      </c>
      <c r="AB551" s="48">
        <v>30153</v>
      </c>
      <c r="AC551" s="48">
        <v>30185</v>
      </c>
      <c r="AD551" s="48">
        <v>30199</v>
      </c>
      <c r="AE551" s="48">
        <v>30218</v>
      </c>
      <c r="AF551" s="48">
        <v>30242</v>
      </c>
      <c r="AG551" s="48">
        <v>30324</v>
      </c>
      <c r="AH551" s="48">
        <v>30336</v>
      </c>
      <c r="AI551" s="48">
        <v>30354</v>
      </c>
      <c r="AJ551" s="48">
        <v>30379</v>
      </c>
      <c r="AK551" s="48">
        <v>30410</v>
      </c>
      <c r="AL551" s="48" t="s">
        <v>320</v>
      </c>
      <c r="AP551">
        <v>94.8</v>
      </c>
      <c r="AQ551">
        <v>15</v>
      </c>
      <c r="AS551">
        <v>632</v>
      </c>
    </row>
    <row r="552" spans="1:45" hidden="1" x14ac:dyDescent="0.25">
      <c r="A552">
        <v>551</v>
      </c>
      <c r="B552">
        <v>2025</v>
      </c>
      <c r="C552">
        <v>9</v>
      </c>
      <c r="D552" t="s">
        <v>154</v>
      </c>
      <c r="E552">
        <v>31</v>
      </c>
      <c r="F552">
        <v>8</v>
      </c>
      <c r="G552" t="s">
        <v>432</v>
      </c>
      <c r="H552" s="48">
        <v>33423</v>
      </c>
      <c r="I552" s="48">
        <v>33547</v>
      </c>
      <c r="J552" s="48">
        <v>33679</v>
      </c>
      <c r="K552" s="48">
        <v>33785</v>
      </c>
      <c r="L552" s="48">
        <v>33921</v>
      </c>
      <c r="M552" s="48">
        <v>34088</v>
      </c>
      <c r="N552" s="48">
        <v>34244</v>
      </c>
      <c r="O552" s="48">
        <v>34362</v>
      </c>
      <c r="P552" s="48">
        <v>34485</v>
      </c>
      <c r="Q552" s="48">
        <v>34593</v>
      </c>
      <c r="R552" s="48">
        <v>34707</v>
      </c>
      <c r="S552" s="48">
        <v>34834</v>
      </c>
      <c r="T552" s="48">
        <v>34966</v>
      </c>
      <c r="U552" s="48">
        <v>35072</v>
      </c>
      <c r="V552" s="48">
        <v>35153</v>
      </c>
      <c r="W552" s="48">
        <v>35251</v>
      </c>
      <c r="X552" s="48">
        <v>35380</v>
      </c>
      <c r="Y552" s="48">
        <v>35499</v>
      </c>
      <c r="Z552" s="48">
        <v>35591</v>
      </c>
      <c r="AA552" s="48">
        <v>35732</v>
      </c>
      <c r="AB552" s="48">
        <v>35870</v>
      </c>
      <c r="AC552" s="48">
        <v>35976</v>
      </c>
      <c r="AD552" s="48">
        <v>36143</v>
      </c>
      <c r="AE552" s="48">
        <v>36301</v>
      </c>
      <c r="AF552" s="48">
        <v>36419</v>
      </c>
      <c r="AG552" s="48">
        <v>36545</v>
      </c>
      <c r="AH552" s="48">
        <v>36647</v>
      </c>
      <c r="AI552" s="48">
        <v>36775</v>
      </c>
      <c r="AJ552" s="48">
        <v>36863</v>
      </c>
      <c r="AK552" s="48">
        <v>36978</v>
      </c>
      <c r="AL552" s="48" t="s">
        <v>320</v>
      </c>
    </row>
    <row r="553" spans="1:45" hidden="1" x14ac:dyDescent="0.25">
      <c r="A553">
        <v>552</v>
      </c>
      <c r="B553">
        <v>2025</v>
      </c>
      <c r="C553">
        <v>9</v>
      </c>
      <c r="D553" t="s">
        <v>154</v>
      </c>
      <c r="E553">
        <v>31</v>
      </c>
      <c r="F553">
        <v>8</v>
      </c>
      <c r="G553" t="s">
        <v>433</v>
      </c>
      <c r="H553" s="48">
        <v>33547</v>
      </c>
      <c r="I553" s="48">
        <v>33679</v>
      </c>
      <c r="J553" s="48">
        <v>33785</v>
      </c>
      <c r="K553" s="48">
        <v>33921</v>
      </c>
      <c r="L553" s="48">
        <v>34088</v>
      </c>
      <c r="M553" s="48">
        <v>34244</v>
      </c>
      <c r="N553" s="48">
        <v>34362</v>
      </c>
      <c r="O553" s="48">
        <v>34485</v>
      </c>
      <c r="P553" s="48">
        <v>34593</v>
      </c>
      <c r="Q553" s="48">
        <v>34707</v>
      </c>
      <c r="R553" s="48">
        <v>34834</v>
      </c>
      <c r="S553" s="48">
        <v>34966</v>
      </c>
      <c r="T553" s="48">
        <v>35072</v>
      </c>
      <c r="U553" s="48">
        <v>35153</v>
      </c>
      <c r="V553" s="48">
        <v>35251</v>
      </c>
      <c r="W553" s="48">
        <v>35380</v>
      </c>
      <c r="X553" s="48">
        <v>35499</v>
      </c>
      <c r="Y553" s="48">
        <v>35591</v>
      </c>
      <c r="Z553" s="48">
        <v>35732</v>
      </c>
      <c r="AA553" s="48">
        <v>35870</v>
      </c>
      <c r="AB553" s="48">
        <v>35976</v>
      </c>
      <c r="AC553" s="48">
        <v>36143</v>
      </c>
      <c r="AD553" s="48">
        <v>36301</v>
      </c>
      <c r="AE553" s="48">
        <v>36419</v>
      </c>
      <c r="AF553" s="48">
        <v>36545</v>
      </c>
      <c r="AG553" s="48">
        <v>36647</v>
      </c>
      <c r="AH553" s="48">
        <v>36775</v>
      </c>
      <c r="AI553" s="48">
        <v>36863</v>
      </c>
      <c r="AJ553" s="48">
        <v>36978</v>
      </c>
      <c r="AK553" s="48">
        <v>37112</v>
      </c>
      <c r="AL553" s="48" t="s">
        <v>320</v>
      </c>
      <c r="AP553">
        <v>474.99999999999989</v>
      </c>
      <c r="AQ553">
        <v>18</v>
      </c>
      <c r="AR553" t="s">
        <v>436</v>
      </c>
      <c r="AS553">
        <v>3689</v>
      </c>
    </row>
    <row r="554" spans="1:45" hidden="1" x14ac:dyDescent="0.25">
      <c r="A554">
        <v>553</v>
      </c>
      <c r="B554">
        <v>2025</v>
      </c>
      <c r="C554">
        <v>9</v>
      </c>
      <c r="D554" t="s">
        <v>153</v>
      </c>
      <c r="E554">
        <v>31</v>
      </c>
      <c r="F554">
        <v>8</v>
      </c>
      <c r="G554" t="s">
        <v>432</v>
      </c>
      <c r="H554" s="48">
        <v>956157</v>
      </c>
      <c r="I554" s="48">
        <v>956196</v>
      </c>
      <c r="J554" s="48">
        <v>956229</v>
      </c>
      <c r="K554" s="48">
        <v>956284</v>
      </c>
      <c r="L554" s="48">
        <v>956428</v>
      </c>
      <c r="M554" s="48">
        <v>956474</v>
      </c>
      <c r="N554" s="48">
        <v>956517</v>
      </c>
      <c r="O554" s="48">
        <v>956553</v>
      </c>
      <c r="P554" s="48">
        <v>956690</v>
      </c>
      <c r="Q554" s="48">
        <v>956866</v>
      </c>
      <c r="R554" s="48">
        <v>956909</v>
      </c>
      <c r="S554" s="48">
        <v>956929</v>
      </c>
      <c r="T554" s="48">
        <v>956950</v>
      </c>
      <c r="U554" s="48" t="s">
        <v>320</v>
      </c>
      <c r="V554" s="48">
        <v>957147</v>
      </c>
      <c r="W554" s="48">
        <v>957178</v>
      </c>
      <c r="X554" s="48">
        <v>957208</v>
      </c>
      <c r="Y554" s="48">
        <v>957229</v>
      </c>
      <c r="Z554" s="48">
        <v>957268</v>
      </c>
      <c r="AA554" s="48">
        <v>957313</v>
      </c>
      <c r="AB554" s="48">
        <v>957372</v>
      </c>
      <c r="AC554" s="48">
        <v>957492</v>
      </c>
      <c r="AD554" s="48">
        <v>957540</v>
      </c>
      <c r="AE554" s="48">
        <v>957573</v>
      </c>
      <c r="AF554" s="48">
        <v>957673</v>
      </c>
      <c r="AG554" s="48">
        <v>957727</v>
      </c>
      <c r="AH554" s="48">
        <v>957839</v>
      </c>
      <c r="AI554" s="48">
        <v>957967</v>
      </c>
      <c r="AJ554" s="48">
        <v>958034</v>
      </c>
      <c r="AK554" s="48">
        <v>958101</v>
      </c>
      <c r="AL554" s="48" t="s">
        <v>320</v>
      </c>
    </row>
    <row r="555" spans="1:45" hidden="1" x14ac:dyDescent="0.25">
      <c r="A555">
        <v>554</v>
      </c>
      <c r="B555">
        <v>2025</v>
      </c>
      <c r="C555">
        <v>9</v>
      </c>
      <c r="D555" t="s">
        <v>153</v>
      </c>
      <c r="E555">
        <v>31</v>
      </c>
      <c r="F555">
        <v>8</v>
      </c>
      <c r="G555" t="s">
        <v>433</v>
      </c>
      <c r="H555" s="48">
        <v>956196</v>
      </c>
      <c r="I555" s="48">
        <v>956229</v>
      </c>
      <c r="J555" s="48">
        <v>956284</v>
      </c>
      <c r="K555" s="48">
        <v>956307</v>
      </c>
      <c r="L555" s="48">
        <v>956474</v>
      </c>
      <c r="M555" s="48">
        <v>956517</v>
      </c>
      <c r="N555" s="48">
        <v>956553</v>
      </c>
      <c r="O555" s="48">
        <v>956690</v>
      </c>
      <c r="P555" s="48">
        <v>956741</v>
      </c>
      <c r="Q555" s="48">
        <v>956909</v>
      </c>
      <c r="R555" s="48">
        <v>956929</v>
      </c>
      <c r="S555" s="48">
        <v>956950</v>
      </c>
      <c r="T555" s="48">
        <v>957003</v>
      </c>
      <c r="U555" s="48" t="s">
        <v>320</v>
      </c>
      <c r="V555" s="48">
        <v>957178</v>
      </c>
      <c r="W555" s="48">
        <v>957208</v>
      </c>
      <c r="X555" s="48">
        <v>957229</v>
      </c>
      <c r="Y555" s="48">
        <v>957268</v>
      </c>
      <c r="Z555" s="48">
        <v>957313</v>
      </c>
      <c r="AA555" s="48">
        <v>957372</v>
      </c>
      <c r="AB555" s="48">
        <v>957492</v>
      </c>
      <c r="AC555" s="48">
        <v>957540</v>
      </c>
      <c r="AD555" s="48">
        <v>957573</v>
      </c>
      <c r="AE555" s="48">
        <v>957673</v>
      </c>
      <c r="AF555" s="48">
        <v>957727</v>
      </c>
      <c r="AG555" s="48">
        <v>957839</v>
      </c>
      <c r="AH555" s="48">
        <v>957967</v>
      </c>
      <c r="AI555" s="48">
        <v>958034</v>
      </c>
      <c r="AJ555" s="48">
        <v>958101</v>
      </c>
      <c r="AK555" s="48">
        <v>958189</v>
      </c>
      <c r="AL555" s="48" t="s">
        <v>320</v>
      </c>
      <c r="AP555">
        <v>246.3</v>
      </c>
      <c r="AQ555">
        <v>15</v>
      </c>
      <c r="AS555">
        <v>1642</v>
      </c>
    </row>
    <row r="556" spans="1:45" hidden="1" x14ac:dyDescent="0.25">
      <c r="A556">
        <v>555</v>
      </c>
      <c r="B556">
        <v>2025</v>
      </c>
      <c r="C556">
        <v>9</v>
      </c>
      <c r="D556" t="s">
        <v>162</v>
      </c>
      <c r="E556">
        <v>31</v>
      </c>
      <c r="F556">
        <v>8</v>
      </c>
      <c r="G556" t="s">
        <v>432</v>
      </c>
      <c r="H556" s="48">
        <v>95281</v>
      </c>
      <c r="I556" s="48">
        <v>95495</v>
      </c>
      <c r="J556" s="48">
        <v>95674</v>
      </c>
      <c r="K556" s="48">
        <v>95842</v>
      </c>
      <c r="L556" s="48">
        <v>96025</v>
      </c>
      <c r="M556" s="48">
        <v>96231</v>
      </c>
      <c r="N556" s="48">
        <v>96426</v>
      </c>
      <c r="O556" s="48">
        <v>96608</v>
      </c>
      <c r="P556" s="48">
        <v>96843</v>
      </c>
      <c r="Q556" s="48">
        <v>97019</v>
      </c>
      <c r="R556" s="48">
        <v>97211</v>
      </c>
      <c r="S556" s="48">
        <v>97379</v>
      </c>
      <c r="T556" s="48">
        <v>97562</v>
      </c>
      <c r="U556" s="48" t="s">
        <v>320</v>
      </c>
      <c r="V556" s="48">
        <v>97801</v>
      </c>
      <c r="W556" s="48">
        <v>98032</v>
      </c>
      <c r="X556" s="48">
        <v>98259</v>
      </c>
      <c r="Y556" s="48">
        <v>98478</v>
      </c>
      <c r="Z556" s="48">
        <v>98670</v>
      </c>
      <c r="AA556" s="48">
        <v>98849</v>
      </c>
      <c r="AB556" s="48">
        <v>99084</v>
      </c>
      <c r="AC556" s="48">
        <v>99322</v>
      </c>
      <c r="AD556" s="48">
        <v>99495</v>
      </c>
      <c r="AE556" s="48">
        <v>99663</v>
      </c>
      <c r="AF556" s="48">
        <v>99836</v>
      </c>
      <c r="AG556" s="48">
        <v>10003</v>
      </c>
      <c r="AH556" s="48">
        <v>10177</v>
      </c>
      <c r="AI556" s="48">
        <v>10345</v>
      </c>
      <c r="AJ556" s="48">
        <v>10523</v>
      </c>
      <c r="AK556" s="48">
        <v>10719</v>
      </c>
      <c r="AL556" s="48" t="s">
        <v>320</v>
      </c>
    </row>
    <row r="557" spans="1:45" hidden="1" x14ac:dyDescent="0.25">
      <c r="A557">
        <v>556</v>
      </c>
      <c r="B557">
        <v>2025</v>
      </c>
      <c r="C557">
        <v>9</v>
      </c>
      <c r="D557" t="s">
        <v>162</v>
      </c>
      <c r="E557">
        <v>31</v>
      </c>
      <c r="F557">
        <v>8</v>
      </c>
      <c r="G557" t="s">
        <v>433</v>
      </c>
      <c r="H557" s="48">
        <v>95495</v>
      </c>
      <c r="I557" s="48">
        <v>95674</v>
      </c>
      <c r="J557" s="48">
        <v>95842</v>
      </c>
      <c r="K557" s="48">
        <v>96025</v>
      </c>
      <c r="L557" s="48">
        <v>96231</v>
      </c>
      <c r="M557" s="48">
        <v>96426</v>
      </c>
      <c r="N557" s="48">
        <v>96608</v>
      </c>
      <c r="O557" s="48">
        <v>96843</v>
      </c>
      <c r="P557" s="48">
        <v>97019</v>
      </c>
      <c r="Q557" s="48">
        <v>97211</v>
      </c>
      <c r="R557" s="48">
        <v>97379</v>
      </c>
      <c r="S557" s="48">
        <v>97562</v>
      </c>
      <c r="T557" s="48">
        <v>97801</v>
      </c>
      <c r="U557" s="48" t="s">
        <v>320</v>
      </c>
      <c r="V557" s="48">
        <v>98032</v>
      </c>
      <c r="W557" s="48">
        <v>98259</v>
      </c>
      <c r="X557" s="48">
        <v>98478</v>
      </c>
      <c r="Y557" s="48">
        <v>98670</v>
      </c>
      <c r="Z557" s="48">
        <v>98849</v>
      </c>
      <c r="AA557" s="48">
        <v>99084</v>
      </c>
      <c r="AB557" s="48">
        <v>99322</v>
      </c>
      <c r="AC557" s="48">
        <v>99495</v>
      </c>
      <c r="AD557" s="48">
        <v>99663</v>
      </c>
      <c r="AE557" s="48">
        <v>99836</v>
      </c>
      <c r="AF557" s="48">
        <v>100003</v>
      </c>
      <c r="AG557" s="48">
        <v>10177</v>
      </c>
      <c r="AH557" s="48">
        <v>10345</v>
      </c>
      <c r="AI557" s="48">
        <v>10523</v>
      </c>
      <c r="AJ557" s="48">
        <v>10719</v>
      </c>
      <c r="AK557" s="48">
        <v>10904</v>
      </c>
      <c r="AL557" s="48" t="s">
        <v>320</v>
      </c>
      <c r="AP557">
        <v>843.44999999999982</v>
      </c>
      <c r="AQ557">
        <v>14.999999999999998</v>
      </c>
      <c r="AS557">
        <v>5623</v>
      </c>
    </row>
    <row r="558" spans="1:45" hidden="1" x14ac:dyDescent="0.25">
      <c r="A558">
        <v>557</v>
      </c>
      <c r="B558">
        <v>2025</v>
      </c>
      <c r="C558">
        <v>9</v>
      </c>
      <c r="D558" t="s">
        <v>171</v>
      </c>
      <c r="E558">
        <v>31</v>
      </c>
      <c r="F558">
        <v>8</v>
      </c>
      <c r="G558" t="s">
        <v>432</v>
      </c>
      <c r="H558" s="48">
        <v>199498</v>
      </c>
      <c r="I558" s="48">
        <v>199524</v>
      </c>
      <c r="J558" s="48">
        <v>199555</v>
      </c>
      <c r="K558" s="48">
        <v>199579</v>
      </c>
      <c r="L558" s="48">
        <v>199607</v>
      </c>
      <c r="M558" s="48">
        <v>199641</v>
      </c>
      <c r="N558" s="48">
        <v>199715</v>
      </c>
      <c r="O558" s="48">
        <v>199792</v>
      </c>
      <c r="P558" s="48">
        <v>199832</v>
      </c>
      <c r="Q558" s="48">
        <v>199863</v>
      </c>
      <c r="R558" s="48">
        <v>199961</v>
      </c>
      <c r="S558" s="48">
        <v>199973</v>
      </c>
      <c r="T558" s="48">
        <v>200068</v>
      </c>
      <c r="U558" s="48">
        <v>200068</v>
      </c>
      <c r="V558" s="48">
        <v>200165</v>
      </c>
      <c r="W558" s="48">
        <v>200232</v>
      </c>
      <c r="X558" s="48">
        <v>200261</v>
      </c>
      <c r="Y558" s="48">
        <v>200308</v>
      </c>
      <c r="Z558" s="48">
        <v>200326</v>
      </c>
      <c r="AA558" s="48">
        <v>200356</v>
      </c>
      <c r="AB558" s="48">
        <v>200388</v>
      </c>
      <c r="AC558" s="48">
        <v>200415</v>
      </c>
      <c r="AD558" s="48">
        <v>200429</v>
      </c>
      <c r="AE558" s="48">
        <v>200463</v>
      </c>
      <c r="AF558" s="48">
        <v>200499</v>
      </c>
      <c r="AG558" s="48">
        <v>200527</v>
      </c>
      <c r="AH558" s="48">
        <v>200538</v>
      </c>
      <c r="AI558" s="48">
        <v>200594</v>
      </c>
      <c r="AJ558" s="48">
        <v>200654</v>
      </c>
      <c r="AK558" s="48">
        <v>200760</v>
      </c>
      <c r="AL558" s="48" t="s">
        <v>320</v>
      </c>
    </row>
    <row r="559" spans="1:45" hidden="1" x14ac:dyDescent="0.25">
      <c r="A559">
        <v>558</v>
      </c>
      <c r="B559">
        <v>2025</v>
      </c>
      <c r="C559">
        <v>9</v>
      </c>
      <c r="D559" t="s">
        <v>171</v>
      </c>
      <c r="E559">
        <v>31</v>
      </c>
      <c r="F559">
        <v>8</v>
      </c>
      <c r="G559" t="s">
        <v>433</v>
      </c>
      <c r="H559" s="48">
        <v>199524</v>
      </c>
      <c r="I559" s="48">
        <v>199555</v>
      </c>
      <c r="J559" s="48">
        <v>199579</v>
      </c>
      <c r="K559" s="48">
        <v>199607</v>
      </c>
      <c r="L559" s="48">
        <v>199641</v>
      </c>
      <c r="M559" s="48">
        <v>199715</v>
      </c>
      <c r="N559" s="48">
        <v>199792</v>
      </c>
      <c r="O559" s="48">
        <v>199832</v>
      </c>
      <c r="P559" s="48">
        <v>199863</v>
      </c>
      <c r="Q559" s="48">
        <v>199876</v>
      </c>
      <c r="R559" s="48">
        <v>199973</v>
      </c>
      <c r="S559" s="48">
        <v>200019</v>
      </c>
      <c r="T559" s="48">
        <v>200068</v>
      </c>
      <c r="U559" s="48">
        <v>200165</v>
      </c>
      <c r="V559" s="48">
        <v>200232</v>
      </c>
      <c r="W559" s="48">
        <v>200261</v>
      </c>
      <c r="X559" s="48">
        <v>200308</v>
      </c>
      <c r="Y559" s="48">
        <v>200326</v>
      </c>
      <c r="Z559" s="48">
        <v>200356</v>
      </c>
      <c r="AA559" s="48">
        <v>200388</v>
      </c>
      <c r="AB559" s="48">
        <v>200415</v>
      </c>
      <c r="AC559" s="48">
        <v>200429</v>
      </c>
      <c r="AD559" s="48">
        <v>200463</v>
      </c>
      <c r="AE559" s="48">
        <v>200499</v>
      </c>
      <c r="AF559" s="48">
        <v>200527</v>
      </c>
      <c r="AG559" s="48">
        <v>200538</v>
      </c>
      <c r="AH559" s="48">
        <v>200594</v>
      </c>
      <c r="AI559" s="48">
        <v>200654</v>
      </c>
      <c r="AJ559" s="48">
        <v>200760</v>
      </c>
      <c r="AK559" s="48">
        <v>200798</v>
      </c>
      <c r="AL559" s="48" t="s">
        <v>320</v>
      </c>
      <c r="AP559">
        <v>174.9</v>
      </c>
      <c r="AQ559">
        <v>15</v>
      </c>
      <c r="AS559">
        <v>1166</v>
      </c>
    </row>
    <row r="560" spans="1:45" hidden="1" x14ac:dyDescent="0.25">
      <c r="A560">
        <v>559</v>
      </c>
      <c r="B560">
        <v>2025</v>
      </c>
      <c r="C560">
        <v>9</v>
      </c>
      <c r="D560" t="s">
        <v>161</v>
      </c>
      <c r="E560">
        <v>31</v>
      </c>
      <c r="F560">
        <v>8</v>
      </c>
      <c r="G560" t="s">
        <v>432</v>
      </c>
      <c r="H560" s="48">
        <v>818096</v>
      </c>
      <c r="I560" s="48">
        <v>818168</v>
      </c>
      <c r="J560" s="48">
        <v>818243</v>
      </c>
      <c r="K560" s="48">
        <v>818313</v>
      </c>
      <c r="L560" s="48">
        <v>818377</v>
      </c>
      <c r="M560" s="48">
        <v>818447</v>
      </c>
      <c r="N560" s="48" t="s">
        <v>320</v>
      </c>
      <c r="O560" s="48">
        <v>818492</v>
      </c>
      <c r="P560" s="48">
        <v>818595</v>
      </c>
      <c r="Q560" s="48">
        <v>818688</v>
      </c>
      <c r="R560" s="48">
        <v>818763</v>
      </c>
      <c r="S560" s="48">
        <v>818866</v>
      </c>
      <c r="T560" s="48">
        <v>818953</v>
      </c>
      <c r="U560" s="48" t="s">
        <v>320</v>
      </c>
      <c r="V560" s="48">
        <v>819027</v>
      </c>
      <c r="W560" s="48">
        <v>819118</v>
      </c>
      <c r="X560" s="48">
        <v>819195</v>
      </c>
      <c r="Y560" s="48">
        <v>819296</v>
      </c>
      <c r="Z560" s="48">
        <v>819378</v>
      </c>
      <c r="AA560" s="48">
        <v>819463</v>
      </c>
      <c r="AB560" s="48">
        <v>819545</v>
      </c>
      <c r="AC560" s="48">
        <v>819626</v>
      </c>
      <c r="AD560" s="48">
        <v>819707</v>
      </c>
      <c r="AE560" s="48">
        <v>819799</v>
      </c>
      <c r="AF560" s="48">
        <v>819891</v>
      </c>
      <c r="AG560" s="48">
        <v>819975</v>
      </c>
      <c r="AH560" s="48">
        <v>820079</v>
      </c>
      <c r="AI560" s="48" t="s">
        <v>320</v>
      </c>
      <c r="AJ560" s="48">
        <v>820180</v>
      </c>
      <c r="AK560" s="48">
        <v>820326</v>
      </c>
      <c r="AL560" s="48" t="s">
        <v>320</v>
      </c>
    </row>
    <row r="561" spans="1:45" hidden="1" x14ac:dyDescent="0.25">
      <c r="A561">
        <v>560</v>
      </c>
      <c r="B561">
        <v>2025</v>
      </c>
      <c r="C561">
        <v>9</v>
      </c>
      <c r="D561" t="s">
        <v>161</v>
      </c>
      <c r="E561">
        <v>31</v>
      </c>
      <c r="F561">
        <v>8</v>
      </c>
      <c r="G561" t="s">
        <v>433</v>
      </c>
      <c r="H561" s="48">
        <v>818168</v>
      </c>
      <c r="I561" s="48">
        <v>818243</v>
      </c>
      <c r="J561" s="48">
        <v>818313</v>
      </c>
      <c r="K561" s="48">
        <v>818377</v>
      </c>
      <c r="L561" s="48">
        <v>818447</v>
      </c>
      <c r="M561" s="48">
        <v>818492</v>
      </c>
      <c r="N561" s="48" t="s">
        <v>320</v>
      </c>
      <c r="O561" s="48">
        <v>818595</v>
      </c>
      <c r="P561" s="48">
        <v>818688</v>
      </c>
      <c r="Q561" s="48">
        <v>818763</v>
      </c>
      <c r="R561" s="48">
        <v>818866</v>
      </c>
      <c r="S561" s="48">
        <v>818953</v>
      </c>
      <c r="T561" s="48">
        <v>819027</v>
      </c>
      <c r="U561" s="48" t="s">
        <v>320</v>
      </c>
      <c r="V561" s="48">
        <v>819118</v>
      </c>
      <c r="W561" s="48">
        <v>819195</v>
      </c>
      <c r="X561" s="48">
        <v>819296</v>
      </c>
      <c r="Y561" s="48">
        <v>819378</v>
      </c>
      <c r="Z561" s="48">
        <v>819463</v>
      </c>
      <c r="AA561" s="48">
        <v>819545</v>
      </c>
      <c r="AB561" s="48">
        <v>819626</v>
      </c>
      <c r="AC561" s="48">
        <v>819707</v>
      </c>
      <c r="AD561" s="48">
        <v>819799</v>
      </c>
      <c r="AE561" s="48">
        <v>819891</v>
      </c>
      <c r="AF561" s="48">
        <v>819975</v>
      </c>
      <c r="AG561" s="48">
        <v>820079</v>
      </c>
      <c r="AH561" s="48">
        <v>820180</v>
      </c>
      <c r="AI561" s="48" t="s">
        <v>320</v>
      </c>
      <c r="AJ561" s="48">
        <v>820326</v>
      </c>
      <c r="AK561" s="48">
        <v>820439</v>
      </c>
      <c r="AL561" s="48" t="s">
        <v>320</v>
      </c>
      <c r="AP561">
        <v>351.45</v>
      </c>
      <c r="AQ561">
        <v>15</v>
      </c>
      <c r="AS561">
        <v>2343</v>
      </c>
    </row>
    <row r="562" spans="1:45" hidden="1" x14ac:dyDescent="0.25">
      <c r="A562">
        <v>561</v>
      </c>
      <c r="B562">
        <v>2025</v>
      </c>
      <c r="C562">
        <v>9</v>
      </c>
      <c r="D562" t="s">
        <v>151</v>
      </c>
      <c r="E562">
        <v>31</v>
      </c>
      <c r="F562">
        <v>8</v>
      </c>
      <c r="G562" t="s">
        <v>432</v>
      </c>
      <c r="H562" s="48">
        <v>272261</v>
      </c>
      <c r="I562" s="48">
        <v>272440</v>
      </c>
      <c r="J562" s="48">
        <v>272486</v>
      </c>
      <c r="K562" s="48">
        <v>272597</v>
      </c>
      <c r="L562" s="48">
        <v>272757</v>
      </c>
      <c r="M562" s="48">
        <v>272898</v>
      </c>
      <c r="N562" s="48">
        <v>273013</v>
      </c>
      <c r="O562" s="48">
        <v>273160</v>
      </c>
      <c r="P562" s="48">
        <v>273200</v>
      </c>
      <c r="Q562" s="48">
        <v>273320</v>
      </c>
      <c r="R562" s="48">
        <v>273520</v>
      </c>
      <c r="S562" s="48">
        <v>273570</v>
      </c>
      <c r="T562" s="48">
        <v>273690</v>
      </c>
      <c r="U562" s="48">
        <v>273780</v>
      </c>
      <c r="V562" s="48">
        <v>273855</v>
      </c>
      <c r="W562" s="48">
        <v>273961</v>
      </c>
      <c r="X562" s="48">
        <v>274095</v>
      </c>
      <c r="Y562" s="48">
        <v>274287</v>
      </c>
      <c r="Z562" s="48">
        <v>274420</v>
      </c>
      <c r="AA562" s="48">
        <v>274510</v>
      </c>
      <c r="AB562" s="48">
        <v>274650</v>
      </c>
      <c r="AC562" s="48">
        <v>274760</v>
      </c>
      <c r="AD562" s="48">
        <v>274857</v>
      </c>
      <c r="AE562" s="48">
        <v>274998</v>
      </c>
      <c r="AF562" s="48">
        <v>275170</v>
      </c>
      <c r="AG562" s="48">
        <v>275330</v>
      </c>
      <c r="AH562" s="48">
        <v>275500</v>
      </c>
      <c r="AI562" s="48">
        <v>275630</v>
      </c>
      <c r="AJ562" s="48">
        <v>275730</v>
      </c>
      <c r="AK562" s="48">
        <v>275810</v>
      </c>
      <c r="AL562" s="48" t="s">
        <v>320</v>
      </c>
    </row>
    <row r="563" spans="1:45" hidden="1" x14ac:dyDescent="0.25">
      <c r="A563">
        <v>562</v>
      </c>
      <c r="B563">
        <v>2025</v>
      </c>
      <c r="C563">
        <v>9</v>
      </c>
      <c r="D563" t="s">
        <v>151</v>
      </c>
      <c r="E563">
        <v>31</v>
      </c>
      <c r="F563">
        <v>8</v>
      </c>
      <c r="G563" t="s">
        <v>433</v>
      </c>
      <c r="H563" s="48">
        <v>272440</v>
      </c>
      <c r="I563" s="48">
        <v>272486</v>
      </c>
      <c r="J563" s="48">
        <v>272597</v>
      </c>
      <c r="K563" s="48">
        <v>272757</v>
      </c>
      <c r="L563" s="48">
        <v>272898</v>
      </c>
      <c r="M563" s="48">
        <v>273013</v>
      </c>
      <c r="N563" s="48">
        <v>273160</v>
      </c>
      <c r="O563" s="48">
        <v>273200</v>
      </c>
      <c r="P563" s="48">
        <v>273320</v>
      </c>
      <c r="Q563" s="48">
        <v>273520</v>
      </c>
      <c r="R563" s="48">
        <v>273570</v>
      </c>
      <c r="S563" s="48">
        <v>273690</v>
      </c>
      <c r="T563" s="48">
        <v>273780</v>
      </c>
      <c r="U563" s="48">
        <v>273855</v>
      </c>
      <c r="V563" s="48">
        <v>273961</v>
      </c>
      <c r="W563" s="48">
        <v>274095</v>
      </c>
      <c r="X563" s="48">
        <v>274287</v>
      </c>
      <c r="Y563" s="48">
        <v>274420</v>
      </c>
      <c r="Z563" s="48">
        <v>274510</v>
      </c>
      <c r="AA563" s="48">
        <v>274650</v>
      </c>
      <c r="AB563" s="48">
        <v>274760</v>
      </c>
      <c r="AC563" s="48">
        <v>274857</v>
      </c>
      <c r="AD563" s="48">
        <v>274998</v>
      </c>
      <c r="AE563" s="48">
        <v>275170</v>
      </c>
      <c r="AF563" s="48">
        <v>275330</v>
      </c>
      <c r="AG563" s="48">
        <v>275500</v>
      </c>
      <c r="AH563" s="48">
        <v>275630</v>
      </c>
      <c r="AI563" s="48">
        <v>275730</v>
      </c>
      <c r="AJ563" s="48">
        <v>275810</v>
      </c>
      <c r="AK563" s="48">
        <v>275920</v>
      </c>
      <c r="AL563" s="48" t="s">
        <v>320</v>
      </c>
      <c r="AP563">
        <v>482.00000000000011</v>
      </c>
      <c r="AQ563">
        <v>15</v>
      </c>
      <c r="AR563" t="s">
        <v>437</v>
      </c>
      <c r="AS563">
        <v>3659</v>
      </c>
    </row>
    <row r="564" spans="1:45" hidden="1" x14ac:dyDescent="0.25">
      <c r="A564">
        <v>563</v>
      </c>
      <c r="B564">
        <v>2025</v>
      </c>
      <c r="C564">
        <v>9</v>
      </c>
      <c r="D564" t="s">
        <v>149</v>
      </c>
      <c r="E564">
        <v>31</v>
      </c>
      <c r="F564">
        <v>8</v>
      </c>
      <c r="G564" t="s">
        <v>432</v>
      </c>
      <c r="H564" s="48">
        <v>851585</v>
      </c>
      <c r="I564" s="48">
        <v>851792</v>
      </c>
      <c r="J564" s="48">
        <v>851998</v>
      </c>
      <c r="K564" s="48">
        <v>852208</v>
      </c>
      <c r="L564" s="48">
        <v>852348</v>
      </c>
      <c r="M564" s="48">
        <v>852508</v>
      </c>
      <c r="N564" s="48">
        <v>852678</v>
      </c>
      <c r="O564" s="48">
        <v>852838</v>
      </c>
      <c r="P564" s="48" t="s">
        <v>320</v>
      </c>
      <c r="Q564" s="48" t="s">
        <v>320</v>
      </c>
      <c r="R564" s="48" t="s">
        <v>320</v>
      </c>
      <c r="S564" s="48" t="s">
        <v>320</v>
      </c>
      <c r="T564" s="48" t="s">
        <v>320</v>
      </c>
      <c r="U564" s="48" t="s">
        <v>320</v>
      </c>
      <c r="V564" s="48" t="s">
        <v>320</v>
      </c>
      <c r="W564" s="48" t="s">
        <v>320</v>
      </c>
      <c r="X564" s="48" t="s">
        <v>320</v>
      </c>
      <c r="Y564" s="48" t="s">
        <v>320</v>
      </c>
      <c r="Z564" s="48" t="s">
        <v>320</v>
      </c>
      <c r="AA564" s="48" t="s">
        <v>320</v>
      </c>
      <c r="AB564" s="48" t="s">
        <v>320</v>
      </c>
      <c r="AC564" s="48" t="s">
        <v>320</v>
      </c>
      <c r="AD564" s="48" t="s">
        <v>320</v>
      </c>
      <c r="AE564" s="48" t="s">
        <v>320</v>
      </c>
      <c r="AF564" s="48" t="s">
        <v>320</v>
      </c>
      <c r="AG564" s="48" t="s">
        <v>320</v>
      </c>
      <c r="AH564" s="48" t="s">
        <v>320</v>
      </c>
      <c r="AI564" s="48" t="s">
        <v>320</v>
      </c>
      <c r="AJ564" s="48" t="s">
        <v>320</v>
      </c>
      <c r="AK564" s="48" t="s">
        <v>320</v>
      </c>
      <c r="AL564" s="48" t="s">
        <v>320</v>
      </c>
    </row>
    <row r="565" spans="1:45" hidden="1" x14ac:dyDescent="0.25">
      <c r="A565">
        <v>564</v>
      </c>
      <c r="B565">
        <v>2025</v>
      </c>
      <c r="C565">
        <v>9</v>
      </c>
      <c r="D565" t="s">
        <v>149</v>
      </c>
      <c r="E565">
        <v>31</v>
      </c>
      <c r="F565">
        <v>8</v>
      </c>
      <c r="G565" t="s">
        <v>433</v>
      </c>
      <c r="H565" s="48">
        <v>851792</v>
      </c>
      <c r="I565" s="48">
        <v>851998</v>
      </c>
      <c r="J565" s="48">
        <v>852208</v>
      </c>
      <c r="K565" s="48">
        <v>852348</v>
      </c>
      <c r="L565" s="48">
        <v>852508</v>
      </c>
      <c r="M565" s="48">
        <v>852678</v>
      </c>
      <c r="N565" s="48">
        <v>852838</v>
      </c>
      <c r="O565" s="48">
        <v>852958</v>
      </c>
      <c r="P565" s="48" t="s">
        <v>320</v>
      </c>
      <c r="Q565" s="48" t="s">
        <v>320</v>
      </c>
      <c r="R565" s="48" t="s">
        <v>320</v>
      </c>
      <c r="S565" s="48" t="s">
        <v>320</v>
      </c>
      <c r="T565" s="48" t="s">
        <v>320</v>
      </c>
      <c r="U565" s="48" t="s">
        <v>320</v>
      </c>
      <c r="V565" s="48" t="s">
        <v>320</v>
      </c>
      <c r="W565" s="48" t="s">
        <v>320</v>
      </c>
      <c r="X565" s="48" t="s">
        <v>320</v>
      </c>
      <c r="Y565" s="48" t="s">
        <v>320</v>
      </c>
      <c r="Z565" s="48" t="s">
        <v>320</v>
      </c>
      <c r="AA565" s="48" t="s">
        <v>320</v>
      </c>
      <c r="AB565" s="48" t="s">
        <v>320</v>
      </c>
      <c r="AC565" s="48" t="s">
        <v>320</v>
      </c>
      <c r="AD565" s="48" t="s">
        <v>320</v>
      </c>
      <c r="AE565" s="48" t="s">
        <v>320</v>
      </c>
      <c r="AF565" s="48" t="s">
        <v>320</v>
      </c>
      <c r="AG565" s="48" t="s">
        <v>320</v>
      </c>
      <c r="AH565" s="48" t="s">
        <v>320</v>
      </c>
      <c r="AI565" s="48" t="s">
        <v>320</v>
      </c>
      <c r="AJ565" s="48" t="s">
        <v>320</v>
      </c>
      <c r="AK565" s="48" t="s">
        <v>320</v>
      </c>
      <c r="AL565" s="48" t="s">
        <v>320</v>
      </c>
      <c r="AP565">
        <v>247.14</v>
      </c>
      <c r="AQ565">
        <v>18</v>
      </c>
      <c r="AS565">
        <v>1373</v>
      </c>
    </row>
    <row r="566" spans="1:45" hidden="1" x14ac:dyDescent="0.25">
      <c r="A566">
        <v>565</v>
      </c>
      <c r="B566">
        <v>2025</v>
      </c>
      <c r="C566">
        <v>9</v>
      </c>
      <c r="D566" t="s">
        <v>173</v>
      </c>
      <c r="E566">
        <v>31</v>
      </c>
      <c r="F566">
        <v>8</v>
      </c>
      <c r="G566" t="s">
        <v>432</v>
      </c>
      <c r="H566" s="48">
        <v>344525</v>
      </c>
      <c r="I566" s="48">
        <v>344525</v>
      </c>
      <c r="J566" s="48">
        <v>344525</v>
      </c>
      <c r="K566" s="48">
        <v>344633</v>
      </c>
      <c r="L566" s="48">
        <v>344858</v>
      </c>
      <c r="M566" s="48">
        <v>345082</v>
      </c>
      <c r="N566" s="48">
        <v>345323</v>
      </c>
      <c r="O566" s="48">
        <v>345520</v>
      </c>
      <c r="P566" s="48">
        <v>345719</v>
      </c>
      <c r="Q566" s="48">
        <v>345957</v>
      </c>
      <c r="R566" s="48">
        <v>346163</v>
      </c>
      <c r="S566" s="48">
        <v>346397</v>
      </c>
      <c r="T566" s="48">
        <v>346733</v>
      </c>
      <c r="U566" s="48">
        <v>346733</v>
      </c>
      <c r="V566" s="48">
        <v>346845</v>
      </c>
      <c r="W566" s="48">
        <v>347073</v>
      </c>
      <c r="X566" s="48">
        <v>347292</v>
      </c>
      <c r="Y566" s="48">
        <v>347526</v>
      </c>
      <c r="Z566" s="48">
        <v>347759</v>
      </c>
      <c r="AA566" s="48">
        <v>347994</v>
      </c>
      <c r="AB566" s="48">
        <v>347994</v>
      </c>
      <c r="AC566" s="48">
        <v>348211</v>
      </c>
      <c r="AD566" s="48">
        <v>348449</v>
      </c>
      <c r="AE566" s="48">
        <v>348669</v>
      </c>
      <c r="AF566" s="48">
        <v>348898</v>
      </c>
      <c r="AG566" s="48">
        <v>349108</v>
      </c>
      <c r="AH566" s="48">
        <v>349355</v>
      </c>
      <c r="AI566" s="48">
        <v>349552</v>
      </c>
      <c r="AJ566" s="48">
        <v>349757</v>
      </c>
      <c r="AK566" s="48">
        <v>349977</v>
      </c>
      <c r="AL566" s="48" t="s">
        <v>320</v>
      </c>
    </row>
    <row r="567" spans="1:45" hidden="1" x14ac:dyDescent="0.25">
      <c r="A567">
        <v>566</v>
      </c>
      <c r="B567">
        <v>2025</v>
      </c>
      <c r="C567">
        <v>9</v>
      </c>
      <c r="D567" t="s">
        <v>173</v>
      </c>
      <c r="E567">
        <v>31</v>
      </c>
      <c r="F567">
        <v>8</v>
      </c>
      <c r="G567" t="s">
        <v>433</v>
      </c>
      <c r="H567" s="48">
        <v>344633</v>
      </c>
      <c r="I567" s="48">
        <v>344633</v>
      </c>
      <c r="J567" s="48">
        <v>344633</v>
      </c>
      <c r="K567" s="48">
        <v>344858</v>
      </c>
      <c r="L567" s="48">
        <v>345082</v>
      </c>
      <c r="M567" s="48">
        <v>345323</v>
      </c>
      <c r="N567" s="48">
        <v>345520</v>
      </c>
      <c r="O567" s="48">
        <v>345719</v>
      </c>
      <c r="P567" s="48">
        <v>345957</v>
      </c>
      <c r="Q567" s="48">
        <v>346163</v>
      </c>
      <c r="R567" s="48">
        <v>346397</v>
      </c>
      <c r="S567" s="48">
        <v>346618</v>
      </c>
      <c r="T567" s="48">
        <v>346835</v>
      </c>
      <c r="U567" s="48">
        <v>346835</v>
      </c>
      <c r="V567" s="48">
        <v>347068</v>
      </c>
      <c r="W567" s="48">
        <v>347290</v>
      </c>
      <c r="X567" s="48">
        <v>347507</v>
      </c>
      <c r="Y567" s="48">
        <v>347738</v>
      </c>
      <c r="Z567" s="48">
        <v>347968</v>
      </c>
      <c r="AA567" s="48">
        <v>348208</v>
      </c>
      <c r="AB567" s="48">
        <v>348208</v>
      </c>
      <c r="AC567" s="48">
        <v>348422</v>
      </c>
      <c r="AD567" s="48">
        <v>348660</v>
      </c>
      <c r="AE567" s="48">
        <v>348889</v>
      </c>
      <c r="AF567" s="48">
        <v>349108</v>
      </c>
      <c r="AG567" s="48">
        <v>349338</v>
      </c>
      <c r="AH567" s="48">
        <v>349552</v>
      </c>
      <c r="AI567" s="48">
        <v>349757</v>
      </c>
      <c r="AJ567" s="48">
        <v>349970</v>
      </c>
      <c r="AK567" s="48">
        <v>350189</v>
      </c>
      <c r="AL567" s="48" t="s">
        <v>320</v>
      </c>
      <c r="AP567">
        <v>1066.6799999999998</v>
      </c>
      <c r="AQ567">
        <v>17.999999999999996</v>
      </c>
      <c r="AS567">
        <v>5926</v>
      </c>
    </row>
    <row r="568" spans="1:45" hidden="1" x14ac:dyDescent="0.25">
      <c r="A568">
        <v>567</v>
      </c>
      <c r="B568">
        <v>2025</v>
      </c>
      <c r="C568">
        <v>9</v>
      </c>
      <c r="D568" t="s">
        <v>172</v>
      </c>
      <c r="E568">
        <v>31</v>
      </c>
      <c r="F568">
        <v>8</v>
      </c>
      <c r="G568" t="s">
        <v>432</v>
      </c>
      <c r="H568" s="48">
        <v>553186</v>
      </c>
      <c r="I568" s="48">
        <v>553240</v>
      </c>
      <c r="J568" s="48">
        <v>553279</v>
      </c>
      <c r="K568" s="48">
        <v>553301</v>
      </c>
      <c r="L568" s="48">
        <v>553318</v>
      </c>
      <c r="M568" s="48">
        <v>553344</v>
      </c>
      <c r="N568" s="48">
        <v>553393</v>
      </c>
      <c r="O568" s="48">
        <v>553423</v>
      </c>
      <c r="P568" s="48">
        <v>553465</v>
      </c>
      <c r="Q568" s="48">
        <v>553516</v>
      </c>
      <c r="R568" s="48">
        <v>553556</v>
      </c>
      <c r="S568" s="48">
        <v>553596</v>
      </c>
      <c r="T568" s="48">
        <v>553627</v>
      </c>
      <c r="U568" s="48" t="s">
        <v>320</v>
      </c>
      <c r="V568" s="48">
        <v>553654</v>
      </c>
      <c r="W568" s="48">
        <v>553668</v>
      </c>
      <c r="X568" s="48">
        <v>553717</v>
      </c>
      <c r="Y568" s="48">
        <v>553762</v>
      </c>
      <c r="Z568" s="48">
        <v>553831</v>
      </c>
      <c r="AA568" s="48">
        <v>554005</v>
      </c>
      <c r="AB568" s="48">
        <v>554185</v>
      </c>
      <c r="AC568" s="48">
        <v>554237</v>
      </c>
      <c r="AD568" s="48">
        <v>554303</v>
      </c>
      <c r="AE568" s="48">
        <v>554356</v>
      </c>
      <c r="AF568" s="48">
        <v>554436</v>
      </c>
      <c r="AG568" s="48">
        <v>554460</v>
      </c>
      <c r="AH568" s="48">
        <v>554494</v>
      </c>
      <c r="AI568" s="48">
        <v>554689</v>
      </c>
      <c r="AJ568" s="48">
        <v>554844</v>
      </c>
      <c r="AK568" s="48">
        <v>554885</v>
      </c>
      <c r="AL568" s="48" t="s">
        <v>320</v>
      </c>
    </row>
    <row r="569" spans="1:45" hidden="1" x14ac:dyDescent="0.25">
      <c r="A569">
        <v>568</v>
      </c>
      <c r="B569">
        <v>2025</v>
      </c>
      <c r="C569">
        <v>9</v>
      </c>
      <c r="D569" t="s">
        <v>172</v>
      </c>
      <c r="E569">
        <v>31</v>
      </c>
      <c r="F569">
        <v>8</v>
      </c>
      <c r="G569" t="s">
        <v>433</v>
      </c>
      <c r="H569" s="48">
        <v>553240</v>
      </c>
      <c r="I569" s="48">
        <v>553279</v>
      </c>
      <c r="J569" s="48">
        <v>553301</v>
      </c>
      <c r="K569" s="48">
        <v>553318</v>
      </c>
      <c r="L569" s="48">
        <v>553344</v>
      </c>
      <c r="M569" s="48">
        <v>553393</v>
      </c>
      <c r="N569" s="48">
        <v>553423</v>
      </c>
      <c r="O569" s="48">
        <v>553465</v>
      </c>
      <c r="P569" s="48">
        <v>553516</v>
      </c>
      <c r="Q569" s="48">
        <v>553556</v>
      </c>
      <c r="R569" s="48">
        <v>553596</v>
      </c>
      <c r="S569" s="48">
        <v>553627</v>
      </c>
      <c r="T569" s="48">
        <v>553654</v>
      </c>
      <c r="U569" s="48" t="s">
        <v>320</v>
      </c>
      <c r="V569" s="48">
        <v>553668</v>
      </c>
      <c r="W569" s="48">
        <v>553717</v>
      </c>
      <c r="X569" s="48">
        <v>553762</v>
      </c>
      <c r="Y569" s="48">
        <v>553831</v>
      </c>
      <c r="Z569" s="48">
        <v>553890</v>
      </c>
      <c r="AA569" s="48">
        <v>554185</v>
      </c>
      <c r="AB569" s="48">
        <v>554237</v>
      </c>
      <c r="AC569" s="48">
        <v>554303</v>
      </c>
      <c r="AD569" s="48">
        <v>554356</v>
      </c>
      <c r="AE569" s="48">
        <v>554436</v>
      </c>
      <c r="AF569" s="48">
        <v>554460</v>
      </c>
      <c r="AG569" s="48">
        <v>554494</v>
      </c>
      <c r="AH569" s="48">
        <v>554672</v>
      </c>
      <c r="AI569" s="48">
        <v>554844</v>
      </c>
      <c r="AJ569" s="48">
        <v>554885</v>
      </c>
      <c r="AK569" s="48">
        <v>554946</v>
      </c>
      <c r="AL569" s="48" t="s">
        <v>320</v>
      </c>
      <c r="AP569">
        <v>244.2</v>
      </c>
      <c r="AQ569">
        <v>15</v>
      </c>
      <c r="AS569">
        <v>1628</v>
      </c>
    </row>
    <row r="570" spans="1:45" hidden="1" x14ac:dyDescent="0.25">
      <c r="A570">
        <v>569</v>
      </c>
      <c r="B570">
        <v>2025</v>
      </c>
      <c r="C570">
        <v>9</v>
      </c>
      <c r="D570" t="s">
        <v>167</v>
      </c>
      <c r="E570">
        <v>31</v>
      </c>
      <c r="F570">
        <v>8</v>
      </c>
      <c r="G570" t="s">
        <v>432</v>
      </c>
      <c r="H570" s="48">
        <v>207290</v>
      </c>
      <c r="I570" s="48">
        <v>207389</v>
      </c>
      <c r="J570" s="48">
        <v>207454</v>
      </c>
      <c r="K570" s="48">
        <v>207528</v>
      </c>
      <c r="L570" s="48">
        <v>207582</v>
      </c>
      <c r="M570" s="48">
        <v>207651</v>
      </c>
      <c r="N570" s="48" t="s">
        <v>320</v>
      </c>
      <c r="O570" s="48">
        <v>207790</v>
      </c>
      <c r="P570" s="48">
        <v>207844</v>
      </c>
      <c r="Q570" s="48">
        <v>207906</v>
      </c>
      <c r="R570" s="48">
        <v>207978</v>
      </c>
      <c r="S570" s="48">
        <v>208045</v>
      </c>
      <c r="T570" s="48">
        <v>208148</v>
      </c>
      <c r="U570" s="48" t="s">
        <v>320</v>
      </c>
      <c r="V570" s="48">
        <v>208265</v>
      </c>
      <c r="W570" s="48">
        <v>208346</v>
      </c>
      <c r="X570" s="48">
        <v>208422</v>
      </c>
      <c r="Y570" s="48">
        <v>208519</v>
      </c>
      <c r="Z570" s="48">
        <v>208589</v>
      </c>
      <c r="AA570" s="48">
        <v>208744</v>
      </c>
      <c r="AB570" s="48">
        <v>208805</v>
      </c>
      <c r="AC570" s="48">
        <v>208873</v>
      </c>
      <c r="AD570" s="48">
        <v>208962</v>
      </c>
      <c r="AE570" s="48">
        <v>209109</v>
      </c>
      <c r="AF570" s="48">
        <v>209185</v>
      </c>
      <c r="AG570" s="48">
        <v>209285</v>
      </c>
      <c r="AH570" s="48">
        <v>209385</v>
      </c>
      <c r="AI570" s="48" t="s">
        <v>320</v>
      </c>
      <c r="AJ570" s="48">
        <v>209643</v>
      </c>
      <c r="AK570" s="48">
        <v>209711</v>
      </c>
      <c r="AL570" s="48" t="s">
        <v>320</v>
      </c>
    </row>
    <row r="571" spans="1:45" hidden="1" x14ac:dyDescent="0.25">
      <c r="A571">
        <v>570</v>
      </c>
      <c r="B571">
        <v>2025</v>
      </c>
      <c r="C571">
        <v>9</v>
      </c>
      <c r="D571" t="s">
        <v>167</v>
      </c>
      <c r="E571">
        <v>31</v>
      </c>
      <c r="F571">
        <v>8</v>
      </c>
      <c r="G571" t="s">
        <v>433</v>
      </c>
      <c r="H571" s="48">
        <v>207389</v>
      </c>
      <c r="I571" s="48">
        <v>207454</v>
      </c>
      <c r="J571" s="48">
        <v>207528</v>
      </c>
      <c r="K571" s="48">
        <v>207582</v>
      </c>
      <c r="L571" s="48">
        <v>207651</v>
      </c>
      <c r="M571" s="48">
        <v>207742</v>
      </c>
      <c r="N571" s="48" t="s">
        <v>320</v>
      </c>
      <c r="O571" s="48">
        <v>207844</v>
      </c>
      <c r="P571" s="48">
        <v>207906</v>
      </c>
      <c r="Q571" s="48">
        <v>207978</v>
      </c>
      <c r="R571" s="48">
        <v>208045</v>
      </c>
      <c r="S571" s="48">
        <v>208148</v>
      </c>
      <c r="T571" s="48">
        <v>208218</v>
      </c>
      <c r="U571" s="48" t="s">
        <v>320</v>
      </c>
      <c r="V571" s="48">
        <v>208346</v>
      </c>
      <c r="W571" s="48">
        <v>208422</v>
      </c>
      <c r="X571" s="48">
        <v>208519</v>
      </c>
      <c r="Y571" s="48">
        <v>208589</v>
      </c>
      <c r="Z571" s="48">
        <v>208744</v>
      </c>
      <c r="AA571" s="48">
        <v>208805</v>
      </c>
      <c r="AB571" s="48">
        <v>208873</v>
      </c>
      <c r="AC571" s="48">
        <v>208962</v>
      </c>
      <c r="AD571" s="48">
        <v>209109</v>
      </c>
      <c r="AE571" s="48">
        <v>209185</v>
      </c>
      <c r="AF571" s="48">
        <v>209285</v>
      </c>
      <c r="AG571" s="48">
        <v>209385</v>
      </c>
      <c r="AH571" s="48">
        <v>209491</v>
      </c>
      <c r="AI571" s="48" t="s">
        <v>320</v>
      </c>
      <c r="AJ571" s="48">
        <v>209711</v>
      </c>
      <c r="AK571" s="48">
        <v>209810</v>
      </c>
      <c r="AL571" s="48" t="s">
        <v>320</v>
      </c>
      <c r="AP571">
        <v>340.95</v>
      </c>
      <c r="AQ571">
        <v>15</v>
      </c>
      <c r="AS571">
        <v>2273</v>
      </c>
    </row>
    <row r="572" spans="1:45" hidden="1" x14ac:dyDescent="0.25">
      <c r="A572">
        <v>571</v>
      </c>
      <c r="B572">
        <v>2025</v>
      </c>
      <c r="C572">
        <v>9</v>
      </c>
      <c r="D572" t="s">
        <v>169</v>
      </c>
      <c r="E572">
        <v>31</v>
      </c>
      <c r="F572">
        <v>8</v>
      </c>
      <c r="G572" t="s">
        <v>432</v>
      </c>
      <c r="H572" s="48">
        <v>240365</v>
      </c>
      <c r="I572" s="48">
        <v>240415</v>
      </c>
      <c r="J572" s="48">
        <v>240449</v>
      </c>
      <c r="K572" s="48">
        <v>240606</v>
      </c>
      <c r="L572" s="48">
        <v>240721</v>
      </c>
      <c r="M572" s="48">
        <v>240757</v>
      </c>
      <c r="N572" s="48" t="s">
        <v>320</v>
      </c>
      <c r="O572" s="48">
        <v>240938</v>
      </c>
      <c r="P572" s="48">
        <v>241039</v>
      </c>
      <c r="Q572" s="48">
        <v>241097</v>
      </c>
      <c r="R572" s="48">
        <v>241245</v>
      </c>
      <c r="S572" s="48">
        <v>241390</v>
      </c>
      <c r="T572" s="48">
        <v>241519</v>
      </c>
      <c r="U572" s="48" t="s">
        <v>320</v>
      </c>
      <c r="V572" s="48">
        <v>241779</v>
      </c>
      <c r="W572" s="48">
        <v>241920</v>
      </c>
      <c r="X572" s="48">
        <v>241957</v>
      </c>
      <c r="Y572" s="48" t="s">
        <v>320</v>
      </c>
      <c r="Z572" s="48">
        <v>242083</v>
      </c>
      <c r="AA572" s="48">
        <v>242230</v>
      </c>
      <c r="AB572" s="48">
        <v>242250</v>
      </c>
      <c r="AC572" s="48">
        <v>242400</v>
      </c>
      <c r="AD572" s="48">
        <v>242549</v>
      </c>
      <c r="AE572" s="48">
        <v>242577</v>
      </c>
      <c r="AF572" s="48">
        <v>242725</v>
      </c>
      <c r="AG572" s="48">
        <v>242895</v>
      </c>
      <c r="AH572" s="48">
        <v>243013</v>
      </c>
      <c r="AI572" s="48">
        <v>243173</v>
      </c>
      <c r="AJ572" s="48">
        <v>243320</v>
      </c>
      <c r="AK572" s="48">
        <v>243490</v>
      </c>
      <c r="AL572" s="48" t="s">
        <v>320</v>
      </c>
    </row>
    <row r="573" spans="1:45" hidden="1" x14ac:dyDescent="0.25">
      <c r="A573">
        <v>572</v>
      </c>
      <c r="B573">
        <v>2025</v>
      </c>
      <c r="C573">
        <v>9</v>
      </c>
      <c r="D573" t="s">
        <v>169</v>
      </c>
      <c r="E573">
        <v>31</v>
      </c>
      <c r="F573">
        <v>8</v>
      </c>
      <c r="G573" t="s">
        <v>433</v>
      </c>
      <c r="H573" s="48">
        <v>240415</v>
      </c>
      <c r="I573" s="48">
        <v>240449</v>
      </c>
      <c r="J573" s="48">
        <v>240579</v>
      </c>
      <c r="K573" s="48">
        <v>240721</v>
      </c>
      <c r="L573" s="48">
        <v>240756</v>
      </c>
      <c r="M573" s="48">
        <v>240891</v>
      </c>
      <c r="N573" s="48" t="s">
        <v>320</v>
      </c>
      <c r="O573" s="48">
        <v>241039</v>
      </c>
      <c r="P573" s="48">
        <v>241097</v>
      </c>
      <c r="Q573" s="48">
        <v>241245</v>
      </c>
      <c r="R573" s="48">
        <v>241390</v>
      </c>
      <c r="S573" s="48">
        <v>241519</v>
      </c>
      <c r="T573" s="48">
        <v>241772</v>
      </c>
      <c r="U573" s="48" t="s">
        <v>320</v>
      </c>
      <c r="V573" s="48">
        <v>241920</v>
      </c>
      <c r="W573" s="48">
        <v>241957</v>
      </c>
      <c r="X573" s="48">
        <v>242076</v>
      </c>
      <c r="Y573" s="48" t="s">
        <v>320</v>
      </c>
      <c r="Z573" s="48">
        <v>242222</v>
      </c>
      <c r="AA573" s="48">
        <v>242250</v>
      </c>
      <c r="AB573" s="48">
        <v>242400</v>
      </c>
      <c r="AC573" s="48">
        <v>242549</v>
      </c>
      <c r="AD573" s="48">
        <v>242577</v>
      </c>
      <c r="AE573" s="48">
        <v>242725</v>
      </c>
      <c r="AF573" s="48">
        <v>242880</v>
      </c>
      <c r="AG573" s="48">
        <v>243013</v>
      </c>
      <c r="AH573" s="48">
        <v>243172</v>
      </c>
      <c r="AI573" s="48">
        <v>243296</v>
      </c>
      <c r="AJ573" s="48">
        <v>243478</v>
      </c>
      <c r="AK573" s="48">
        <v>243526</v>
      </c>
      <c r="AL573" s="48" t="s">
        <v>320</v>
      </c>
      <c r="AP573">
        <v>451.79999999999995</v>
      </c>
      <c r="AQ573">
        <v>14.999999999999998</v>
      </c>
      <c r="AS573">
        <v>3012</v>
      </c>
    </row>
    <row r="574" spans="1:45" hidden="1" x14ac:dyDescent="0.25">
      <c r="A574">
        <v>573</v>
      </c>
      <c r="B574">
        <v>2025</v>
      </c>
      <c r="C574">
        <v>9</v>
      </c>
      <c r="D574" t="s">
        <v>170</v>
      </c>
      <c r="E574">
        <v>31</v>
      </c>
      <c r="F574">
        <v>8</v>
      </c>
      <c r="G574" t="s">
        <v>432</v>
      </c>
      <c r="H574" s="48">
        <v>366525</v>
      </c>
      <c r="I574" s="48">
        <v>366727</v>
      </c>
      <c r="J574" s="48">
        <v>366933</v>
      </c>
      <c r="K574" s="48">
        <v>367170</v>
      </c>
      <c r="L574" s="48">
        <v>367364</v>
      </c>
      <c r="M574" s="48">
        <v>367569</v>
      </c>
      <c r="N574" s="48">
        <v>367773</v>
      </c>
      <c r="O574" s="48">
        <v>367984</v>
      </c>
      <c r="P574" s="48">
        <v>368187</v>
      </c>
      <c r="Q574" s="48">
        <v>368389</v>
      </c>
      <c r="R574" s="48">
        <v>368590</v>
      </c>
      <c r="S574" s="48">
        <v>368876</v>
      </c>
      <c r="T574" s="48">
        <v>369083</v>
      </c>
      <c r="U574" s="48">
        <v>369083</v>
      </c>
      <c r="V574" s="48">
        <v>369285</v>
      </c>
      <c r="W574" s="48">
        <v>369455</v>
      </c>
      <c r="X574" s="48">
        <v>369594</v>
      </c>
      <c r="Y574" s="48">
        <v>369732</v>
      </c>
      <c r="Z574" s="48">
        <v>369869</v>
      </c>
      <c r="AA574" s="48">
        <v>370007</v>
      </c>
      <c r="AB574" s="48">
        <v>370144</v>
      </c>
      <c r="AC574" s="48">
        <v>370280</v>
      </c>
      <c r="AD574" s="48">
        <v>370419</v>
      </c>
      <c r="AE574" s="48">
        <v>370558</v>
      </c>
      <c r="AF574" s="48">
        <v>370696</v>
      </c>
      <c r="AG574" s="48">
        <v>370836</v>
      </c>
      <c r="AH574" s="48">
        <v>371010</v>
      </c>
      <c r="AI574" s="48">
        <v>371010</v>
      </c>
      <c r="AJ574" s="48">
        <v>371216</v>
      </c>
      <c r="AK574" s="48">
        <v>371603</v>
      </c>
      <c r="AL574" s="48" t="s">
        <v>320</v>
      </c>
    </row>
    <row r="575" spans="1:45" hidden="1" x14ac:dyDescent="0.25">
      <c r="A575">
        <v>574</v>
      </c>
      <c r="B575">
        <v>2025</v>
      </c>
      <c r="C575">
        <v>9</v>
      </c>
      <c r="D575" t="s">
        <v>170</v>
      </c>
      <c r="E575">
        <v>31</v>
      </c>
      <c r="F575">
        <v>8</v>
      </c>
      <c r="G575" t="s">
        <v>433</v>
      </c>
      <c r="H575" s="48">
        <v>366727</v>
      </c>
      <c r="I575" s="48">
        <v>366933</v>
      </c>
      <c r="J575" s="48">
        <v>367156</v>
      </c>
      <c r="K575" s="48">
        <v>367364</v>
      </c>
      <c r="L575" s="48">
        <v>367569</v>
      </c>
      <c r="M575" s="48">
        <v>367773</v>
      </c>
      <c r="N575" s="48">
        <v>367984</v>
      </c>
      <c r="O575" s="48">
        <v>368187</v>
      </c>
      <c r="P575" s="48">
        <v>368389</v>
      </c>
      <c r="Q575" s="48">
        <v>368590</v>
      </c>
      <c r="R575" s="48">
        <v>368876</v>
      </c>
      <c r="S575" s="48">
        <v>369083</v>
      </c>
      <c r="T575" s="48">
        <v>369285</v>
      </c>
      <c r="U575" s="48">
        <v>369285</v>
      </c>
      <c r="V575" s="48">
        <v>369455</v>
      </c>
      <c r="W575" s="48">
        <v>369594</v>
      </c>
      <c r="X575" s="48">
        <v>369732</v>
      </c>
      <c r="Y575" s="48">
        <v>369869</v>
      </c>
      <c r="Z575" s="48">
        <v>370007</v>
      </c>
      <c r="AA575" s="48">
        <v>370144</v>
      </c>
      <c r="AB575" s="48">
        <v>370280</v>
      </c>
      <c r="AC575" s="48">
        <v>370419</v>
      </c>
      <c r="AD575" s="48">
        <v>370558</v>
      </c>
      <c r="AE575" s="48">
        <v>370696</v>
      </c>
      <c r="AF575" s="48">
        <v>370836</v>
      </c>
      <c r="AG575" s="48">
        <v>371010</v>
      </c>
      <c r="AH575" s="48">
        <v>371213</v>
      </c>
      <c r="AI575" s="48">
        <v>371213</v>
      </c>
      <c r="AJ575" s="48">
        <v>371603</v>
      </c>
      <c r="AK575" s="48">
        <v>371741</v>
      </c>
      <c r="AL575" s="48" t="s">
        <v>320</v>
      </c>
      <c r="AP575">
        <v>1008.7199999999998</v>
      </c>
      <c r="AQ575">
        <v>17.999999999999996</v>
      </c>
      <c r="AS575">
        <v>5604</v>
      </c>
    </row>
    <row r="576" spans="1:45" hidden="1" x14ac:dyDescent="0.25">
      <c r="A576">
        <v>575</v>
      </c>
      <c r="B576">
        <v>2025</v>
      </c>
      <c r="C576">
        <v>9</v>
      </c>
      <c r="D576" t="s">
        <v>140</v>
      </c>
      <c r="E576">
        <v>31</v>
      </c>
      <c r="F576">
        <v>8</v>
      </c>
      <c r="G576" t="s">
        <v>432</v>
      </c>
      <c r="H576" s="48">
        <v>401608</v>
      </c>
      <c r="I576" s="48">
        <v>401939</v>
      </c>
      <c r="J576" s="48">
        <v>402575</v>
      </c>
      <c r="K576" s="48">
        <v>402835</v>
      </c>
      <c r="L576" s="48">
        <v>403321</v>
      </c>
      <c r="M576" s="48">
        <v>403610</v>
      </c>
      <c r="N576" s="48">
        <v>403895</v>
      </c>
      <c r="O576" s="48">
        <v>404181</v>
      </c>
      <c r="P576" s="48">
        <v>405000</v>
      </c>
      <c r="Q576" s="48">
        <v>405415</v>
      </c>
      <c r="R576" s="48">
        <v>405780</v>
      </c>
      <c r="S576" s="48" t="s">
        <v>320</v>
      </c>
      <c r="T576" s="48" t="s">
        <v>320</v>
      </c>
      <c r="U576" s="48" t="s">
        <v>320</v>
      </c>
      <c r="V576" s="48" t="s">
        <v>320</v>
      </c>
      <c r="W576" s="48" t="s">
        <v>320</v>
      </c>
      <c r="X576" s="48" t="s">
        <v>320</v>
      </c>
      <c r="Y576" s="48" t="s">
        <v>320</v>
      </c>
      <c r="Z576" s="48" t="s">
        <v>320</v>
      </c>
      <c r="AA576" s="48" t="s">
        <v>320</v>
      </c>
      <c r="AB576" s="48" t="s">
        <v>320</v>
      </c>
      <c r="AC576" s="48" t="s">
        <v>320</v>
      </c>
      <c r="AD576" s="48" t="s">
        <v>320</v>
      </c>
      <c r="AE576" s="48" t="s">
        <v>320</v>
      </c>
      <c r="AF576" s="48" t="s">
        <v>320</v>
      </c>
      <c r="AG576" s="48" t="s">
        <v>320</v>
      </c>
      <c r="AH576" s="48" t="s">
        <v>320</v>
      </c>
      <c r="AI576" s="48" t="s">
        <v>320</v>
      </c>
      <c r="AJ576" s="48" t="s">
        <v>320</v>
      </c>
      <c r="AK576" s="48" t="s">
        <v>320</v>
      </c>
      <c r="AL576" s="48" t="s">
        <v>320</v>
      </c>
    </row>
    <row r="577" spans="1:45" hidden="1" x14ac:dyDescent="0.25">
      <c r="A577">
        <v>576</v>
      </c>
      <c r="B577">
        <v>2025</v>
      </c>
      <c r="C577">
        <v>9</v>
      </c>
      <c r="D577" t="s">
        <v>140</v>
      </c>
      <c r="E577">
        <v>31</v>
      </c>
      <c r="F577">
        <v>8</v>
      </c>
      <c r="G577" t="s">
        <v>433</v>
      </c>
      <c r="H577" s="48">
        <v>401920</v>
      </c>
      <c r="I577" s="48">
        <v>402575</v>
      </c>
      <c r="J577" s="48">
        <v>402835</v>
      </c>
      <c r="K577" s="48">
        <v>403321</v>
      </c>
      <c r="L577" s="48">
        <v>403610</v>
      </c>
      <c r="M577" s="48">
        <v>403895</v>
      </c>
      <c r="N577" s="48">
        <v>404150</v>
      </c>
      <c r="O577" s="48">
        <v>404530</v>
      </c>
      <c r="P577" s="48">
        <v>405400</v>
      </c>
      <c r="Q577" s="48">
        <v>405765</v>
      </c>
      <c r="R577" s="48">
        <v>406230</v>
      </c>
      <c r="S577" s="48" t="s">
        <v>320</v>
      </c>
      <c r="T577" s="48" t="s">
        <v>320</v>
      </c>
      <c r="U577" s="48" t="s">
        <v>320</v>
      </c>
      <c r="V577" s="48" t="s">
        <v>320</v>
      </c>
      <c r="W577" s="48" t="s">
        <v>320</v>
      </c>
      <c r="X577" s="48" t="s">
        <v>320</v>
      </c>
      <c r="Y577" s="48" t="s">
        <v>320</v>
      </c>
      <c r="Z577" s="48" t="s">
        <v>320</v>
      </c>
      <c r="AA577" s="48" t="s">
        <v>320</v>
      </c>
      <c r="AB577" s="48" t="s">
        <v>320</v>
      </c>
      <c r="AC577" s="48" t="s">
        <v>320</v>
      </c>
      <c r="AD577" s="48" t="s">
        <v>320</v>
      </c>
      <c r="AE577" s="48" t="s">
        <v>320</v>
      </c>
      <c r="AF577" s="48" t="s">
        <v>320</v>
      </c>
      <c r="AG577" s="48" t="s">
        <v>320</v>
      </c>
      <c r="AH577" s="48" t="s">
        <v>320</v>
      </c>
      <c r="AI577" s="48" t="s">
        <v>320</v>
      </c>
      <c r="AJ577" s="48" t="s">
        <v>320</v>
      </c>
      <c r="AK577" s="48" t="s">
        <v>320</v>
      </c>
      <c r="AL577" s="48" t="s">
        <v>320</v>
      </c>
      <c r="AP577">
        <v>488.64</v>
      </c>
      <c r="AQ577">
        <v>12</v>
      </c>
      <c r="AS577">
        <v>4072</v>
      </c>
    </row>
    <row r="578" spans="1:45" hidden="1" x14ac:dyDescent="0.25">
      <c r="A578">
        <v>577</v>
      </c>
      <c r="B578">
        <v>2025</v>
      </c>
      <c r="C578">
        <v>9</v>
      </c>
      <c r="D578" t="s">
        <v>166</v>
      </c>
      <c r="E578">
        <v>31</v>
      </c>
      <c r="F578">
        <v>8</v>
      </c>
      <c r="G578" t="s">
        <v>432</v>
      </c>
      <c r="H578" s="48">
        <v>271123</v>
      </c>
      <c r="I578" s="48">
        <v>271201</v>
      </c>
      <c r="J578" s="48">
        <v>271288</v>
      </c>
      <c r="K578" s="48">
        <v>271323</v>
      </c>
      <c r="L578" s="48">
        <v>271414</v>
      </c>
      <c r="M578" s="48">
        <v>271507</v>
      </c>
      <c r="N578" s="48">
        <v>271585</v>
      </c>
      <c r="O578" s="48">
        <v>271673</v>
      </c>
      <c r="P578" s="48">
        <v>271758</v>
      </c>
      <c r="Q578" s="48">
        <v>271841</v>
      </c>
      <c r="R578" s="48">
        <v>271927</v>
      </c>
      <c r="S578" s="48">
        <v>272002</v>
      </c>
      <c r="T578" s="48">
        <v>272042</v>
      </c>
      <c r="U578" s="48" t="s">
        <v>320</v>
      </c>
      <c r="V578" s="48">
        <v>272128</v>
      </c>
      <c r="W578" s="48">
        <v>272221</v>
      </c>
      <c r="X578" s="48">
        <v>272319</v>
      </c>
      <c r="Y578" s="48">
        <v>272407</v>
      </c>
      <c r="Z578" s="48">
        <v>272506</v>
      </c>
      <c r="AA578" s="48">
        <v>272590</v>
      </c>
      <c r="AB578" s="48">
        <v>272664</v>
      </c>
      <c r="AC578" s="48">
        <v>272748</v>
      </c>
      <c r="AD578" s="48">
        <v>272839</v>
      </c>
      <c r="AE578" s="48">
        <v>272935</v>
      </c>
      <c r="AF578" s="48">
        <v>273024</v>
      </c>
      <c r="AG578" s="48">
        <v>273142</v>
      </c>
      <c r="AH578" s="48">
        <v>273245</v>
      </c>
      <c r="AI578" s="48">
        <v>273342</v>
      </c>
      <c r="AJ578" s="48">
        <v>273433</v>
      </c>
      <c r="AK578" s="48">
        <v>273539</v>
      </c>
      <c r="AL578" s="48" t="s">
        <v>320</v>
      </c>
    </row>
    <row r="579" spans="1:45" hidden="1" x14ac:dyDescent="0.25">
      <c r="A579">
        <v>578</v>
      </c>
      <c r="B579">
        <v>2025</v>
      </c>
      <c r="C579">
        <v>9</v>
      </c>
      <c r="D579" t="s">
        <v>166</v>
      </c>
      <c r="E579">
        <v>31</v>
      </c>
      <c r="F579">
        <v>8</v>
      </c>
      <c r="G579" t="s">
        <v>433</v>
      </c>
      <c r="H579" s="48">
        <v>271201</v>
      </c>
      <c r="I579" s="48">
        <v>271288</v>
      </c>
      <c r="J579" s="48">
        <v>271323</v>
      </c>
      <c r="K579" s="48">
        <v>271414</v>
      </c>
      <c r="L579" s="48">
        <v>271507</v>
      </c>
      <c r="M579" s="48">
        <v>271585</v>
      </c>
      <c r="N579" s="48">
        <v>271673</v>
      </c>
      <c r="O579" s="48">
        <v>271758</v>
      </c>
      <c r="P579" s="48">
        <v>271841</v>
      </c>
      <c r="Q579" s="48">
        <v>271927</v>
      </c>
      <c r="R579" s="48">
        <v>272002</v>
      </c>
      <c r="S579" s="48">
        <v>272042</v>
      </c>
      <c r="T579" s="48">
        <v>272128</v>
      </c>
      <c r="U579" s="48" t="s">
        <v>320</v>
      </c>
      <c r="V579" s="48">
        <v>272221</v>
      </c>
      <c r="W579" s="48">
        <v>272319</v>
      </c>
      <c r="X579" s="48">
        <v>272407</v>
      </c>
      <c r="Y579" s="48">
        <v>272506</v>
      </c>
      <c r="Z579" s="48">
        <v>272590</v>
      </c>
      <c r="AA579" s="48">
        <v>272664</v>
      </c>
      <c r="AB579" s="48">
        <v>272748</v>
      </c>
      <c r="AC579" s="48">
        <v>272839</v>
      </c>
      <c r="AD579" s="48">
        <v>272935</v>
      </c>
      <c r="AE579" s="48">
        <v>273024</v>
      </c>
      <c r="AF579" s="48">
        <v>273142</v>
      </c>
      <c r="AG579" s="48">
        <v>273245</v>
      </c>
      <c r="AH579" s="48">
        <v>273342</v>
      </c>
      <c r="AI579" s="48">
        <v>273433</v>
      </c>
      <c r="AJ579" s="48">
        <v>273539</v>
      </c>
      <c r="AK579" s="48">
        <v>273630</v>
      </c>
      <c r="AL579" s="48" t="s">
        <v>320</v>
      </c>
      <c r="AP579">
        <v>376.05</v>
      </c>
      <c r="AQ579">
        <v>15</v>
      </c>
      <c r="AS579">
        <v>2507</v>
      </c>
    </row>
    <row r="580" spans="1:45" hidden="1" x14ac:dyDescent="0.25">
      <c r="A580">
        <v>579</v>
      </c>
      <c r="B580">
        <v>2025</v>
      </c>
      <c r="C580">
        <v>9</v>
      </c>
      <c r="D580" t="s">
        <v>144</v>
      </c>
      <c r="E580">
        <v>31</v>
      </c>
      <c r="F580">
        <v>8</v>
      </c>
      <c r="G580" t="s">
        <v>432</v>
      </c>
      <c r="H580" s="48">
        <v>368536</v>
      </c>
      <c r="I580" s="48">
        <v>368700</v>
      </c>
      <c r="J580" s="48">
        <v>368953</v>
      </c>
      <c r="K580" s="48">
        <v>369168</v>
      </c>
      <c r="L580" s="48">
        <v>369397</v>
      </c>
      <c r="M580" s="48">
        <v>369528</v>
      </c>
      <c r="N580" s="48">
        <v>369846</v>
      </c>
      <c r="O580" s="48">
        <v>370108</v>
      </c>
      <c r="P580" s="48">
        <v>370261</v>
      </c>
      <c r="Q580" s="48">
        <v>370412</v>
      </c>
      <c r="R580" s="48">
        <v>370605</v>
      </c>
      <c r="S580" s="48">
        <v>370678</v>
      </c>
      <c r="T580" s="48">
        <v>370807</v>
      </c>
      <c r="U580" s="48" t="s">
        <v>320</v>
      </c>
      <c r="V580" s="48">
        <v>371227</v>
      </c>
      <c r="W580" s="48">
        <v>371475</v>
      </c>
      <c r="X580" s="48">
        <v>371541</v>
      </c>
      <c r="Y580" s="48">
        <v>371691</v>
      </c>
      <c r="Z580" s="48">
        <v>371779</v>
      </c>
      <c r="AA580" s="48">
        <v>371928</v>
      </c>
      <c r="AB580" s="48">
        <v>372053</v>
      </c>
      <c r="AC580" s="48">
        <v>372308</v>
      </c>
      <c r="AD580" s="48">
        <v>372350</v>
      </c>
      <c r="AE580" s="48">
        <v>372613</v>
      </c>
      <c r="AF580" s="48">
        <v>372760</v>
      </c>
      <c r="AG580" s="48">
        <v>372799</v>
      </c>
      <c r="AH580" s="48">
        <v>372916</v>
      </c>
      <c r="AI580" s="48">
        <v>373030</v>
      </c>
      <c r="AJ580" s="48">
        <v>373285</v>
      </c>
      <c r="AK580" s="48">
        <v>373453</v>
      </c>
      <c r="AL580" s="48" t="s">
        <v>320</v>
      </c>
    </row>
    <row r="581" spans="1:45" hidden="1" x14ac:dyDescent="0.25">
      <c r="A581">
        <v>580</v>
      </c>
      <c r="B581">
        <v>2025</v>
      </c>
      <c r="C581">
        <v>9</v>
      </c>
      <c r="D581" t="s">
        <v>144</v>
      </c>
      <c r="E581">
        <v>31</v>
      </c>
      <c r="F581">
        <v>8</v>
      </c>
      <c r="G581" t="s">
        <v>433</v>
      </c>
      <c r="H581" s="48">
        <v>368675</v>
      </c>
      <c r="I581" s="48">
        <v>368864</v>
      </c>
      <c r="J581" s="48">
        <v>369109</v>
      </c>
      <c r="K581" s="48">
        <v>369397</v>
      </c>
      <c r="L581" s="48">
        <v>369527</v>
      </c>
      <c r="M581" s="48">
        <v>369722</v>
      </c>
      <c r="N581" s="48">
        <v>370092</v>
      </c>
      <c r="O581" s="48">
        <v>370261</v>
      </c>
      <c r="P581" s="48">
        <v>370403</v>
      </c>
      <c r="Q581" s="48">
        <v>370603</v>
      </c>
      <c r="R581" s="48">
        <v>370678</v>
      </c>
      <c r="S581" s="48">
        <v>370807</v>
      </c>
      <c r="T581" s="48">
        <v>371031</v>
      </c>
      <c r="U581" s="48" t="s">
        <v>320</v>
      </c>
      <c r="V581" s="48">
        <v>371475</v>
      </c>
      <c r="W581" s="48">
        <v>371541</v>
      </c>
      <c r="X581" s="48">
        <v>371657</v>
      </c>
      <c r="Y581" s="48">
        <v>371779</v>
      </c>
      <c r="Z581" s="48">
        <v>371832</v>
      </c>
      <c r="AA581" s="48">
        <v>372052</v>
      </c>
      <c r="AB581" s="48">
        <v>372203</v>
      </c>
      <c r="AC581" s="48">
        <v>372350</v>
      </c>
      <c r="AD581" s="48">
        <v>372508</v>
      </c>
      <c r="AE581" s="48">
        <v>372760</v>
      </c>
      <c r="AF581" s="48">
        <v>372798</v>
      </c>
      <c r="AG581" s="48">
        <v>372916</v>
      </c>
      <c r="AH581" s="48">
        <v>372979</v>
      </c>
      <c r="AI581" s="48">
        <v>373285</v>
      </c>
      <c r="AJ581" s="48">
        <v>373429</v>
      </c>
      <c r="AK581" s="48">
        <v>373523</v>
      </c>
      <c r="AL581" s="48" t="s">
        <v>320</v>
      </c>
      <c r="AP581">
        <v>607.35</v>
      </c>
      <c r="AQ581">
        <v>15</v>
      </c>
      <c r="AS581">
        <v>4049</v>
      </c>
    </row>
    <row r="582" spans="1:45" hidden="1" x14ac:dyDescent="0.25">
      <c r="A582">
        <v>581</v>
      </c>
      <c r="B582">
        <v>2025</v>
      </c>
      <c r="C582">
        <v>9</v>
      </c>
      <c r="D582" t="s">
        <v>129</v>
      </c>
      <c r="E582">
        <v>31</v>
      </c>
      <c r="F582">
        <v>8</v>
      </c>
      <c r="G582" t="s">
        <v>432</v>
      </c>
      <c r="H582" s="48" t="s">
        <v>320</v>
      </c>
      <c r="I582" s="48" t="s">
        <v>320</v>
      </c>
      <c r="J582" s="48" t="s">
        <v>320</v>
      </c>
      <c r="K582" s="48" t="s">
        <v>320</v>
      </c>
      <c r="L582" s="48" t="s">
        <v>320</v>
      </c>
      <c r="M582" s="48" t="s">
        <v>320</v>
      </c>
      <c r="N582" s="48">
        <v>489566</v>
      </c>
      <c r="O582" s="48">
        <v>489566</v>
      </c>
      <c r="P582" s="48">
        <v>489566</v>
      </c>
      <c r="Q582" s="48">
        <v>489566</v>
      </c>
      <c r="R582" s="48">
        <v>489566</v>
      </c>
      <c r="S582" s="48">
        <v>489566</v>
      </c>
      <c r="T582" s="48">
        <v>489602</v>
      </c>
      <c r="U582" s="48">
        <v>489602</v>
      </c>
      <c r="V582" s="48">
        <v>489699</v>
      </c>
      <c r="W582" s="48">
        <v>489807</v>
      </c>
      <c r="X582" s="48">
        <v>489821</v>
      </c>
      <c r="Y582" s="48">
        <v>489840</v>
      </c>
      <c r="Z582" s="48">
        <v>489883</v>
      </c>
      <c r="AA582" s="48">
        <v>489982</v>
      </c>
      <c r="AB582" s="48">
        <v>490001</v>
      </c>
      <c r="AC582" s="48">
        <v>490023</v>
      </c>
      <c r="AD582" s="48">
        <v>490049</v>
      </c>
      <c r="AE582" s="48">
        <v>490081</v>
      </c>
      <c r="AF582" s="48">
        <v>490117</v>
      </c>
      <c r="AG582" s="48">
        <v>490244</v>
      </c>
      <c r="AH582" s="48">
        <v>490363</v>
      </c>
      <c r="AI582" s="48" t="s">
        <v>320</v>
      </c>
      <c r="AJ582" s="48">
        <v>490428</v>
      </c>
      <c r="AK582" s="48">
        <v>490490</v>
      </c>
      <c r="AL582" s="48" t="s">
        <v>320</v>
      </c>
    </row>
    <row r="583" spans="1:45" hidden="1" x14ac:dyDescent="0.25">
      <c r="A583">
        <v>582</v>
      </c>
      <c r="B583">
        <v>2025</v>
      </c>
      <c r="C583">
        <v>9</v>
      </c>
      <c r="D583" t="s">
        <v>129</v>
      </c>
      <c r="E583">
        <v>31</v>
      </c>
      <c r="F583">
        <v>8</v>
      </c>
      <c r="G583" t="s">
        <v>433</v>
      </c>
      <c r="H583" s="48" t="s">
        <v>320</v>
      </c>
      <c r="I583" s="48" t="s">
        <v>320</v>
      </c>
      <c r="J583" s="48" t="s">
        <v>320</v>
      </c>
      <c r="K583" s="48" t="s">
        <v>320</v>
      </c>
      <c r="L583" s="48" t="s">
        <v>320</v>
      </c>
      <c r="M583" s="48" t="s">
        <v>320</v>
      </c>
      <c r="N583" s="48">
        <v>489602</v>
      </c>
      <c r="O583" s="48">
        <v>489602</v>
      </c>
      <c r="P583" s="48">
        <v>489602</v>
      </c>
      <c r="Q583" s="48">
        <v>489602</v>
      </c>
      <c r="R583" s="48">
        <v>489602</v>
      </c>
      <c r="S583" s="48">
        <v>489602</v>
      </c>
      <c r="T583" s="48">
        <v>489699</v>
      </c>
      <c r="U583" s="48">
        <v>489699</v>
      </c>
      <c r="V583" s="48">
        <v>489807</v>
      </c>
      <c r="W583" s="48">
        <v>489821</v>
      </c>
      <c r="X583" s="48">
        <v>489840</v>
      </c>
      <c r="Y583" s="48">
        <v>489883</v>
      </c>
      <c r="Z583" s="48">
        <v>489982</v>
      </c>
      <c r="AA583" s="48">
        <v>490001</v>
      </c>
      <c r="AB583" s="48">
        <v>490023</v>
      </c>
      <c r="AC583" s="48">
        <v>490049</v>
      </c>
      <c r="AD583" s="48">
        <v>490081</v>
      </c>
      <c r="AE583" s="48">
        <v>490117</v>
      </c>
      <c r="AF583" s="48">
        <v>490244</v>
      </c>
      <c r="AG583" s="48">
        <v>490363</v>
      </c>
      <c r="AH583" s="48">
        <v>490401</v>
      </c>
      <c r="AI583" s="48" t="s">
        <v>320</v>
      </c>
      <c r="AJ583" s="48">
        <v>490488</v>
      </c>
      <c r="AK583" s="48">
        <v>490539</v>
      </c>
      <c r="AL583" s="48" t="s">
        <v>320</v>
      </c>
      <c r="AP583">
        <v>183.14999999999998</v>
      </c>
      <c r="AQ583">
        <v>15</v>
      </c>
      <c r="AR583" t="s">
        <v>350</v>
      </c>
      <c r="AS583">
        <v>1221</v>
      </c>
    </row>
    <row r="584" spans="1:45" hidden="1" x14ac:dyDescent="0.25">
      <c r="A584">
        <v>583</v>
      </c>
      <c r="B584">
        <v>2025</v>
      </c>
      <c r="C584">
        <v>9</v>
      </c>
      <c r="D584" t="s">
        <v>159</v>
      </c>
      <c r="E584">
        <v>31</v>
      </c>
      <c r="F584">
        <v>8</v>
      </c>
      <c r="G584" t="s">
        <v>432</v>
      </c>
      <c r="H584" s="48">
        <v>328616</v>
      </c>
      <c r="I584" s="48">
        <v>328681</v>
      </c>
      <c r="J584" s="48">
        <v>328843</v>
      </c>
      <c r="K584" s="48">
        <v>328920</v>
      </c>
      <c r="L584" s="48">
        <v>328952</v>
      </c>
      <c r="M584" s="48">
        <v>329070</v>
      </c>
      <c r="N584" s="48">
        <v>329142</v>
      </c>
      <c r="O584" s="48">
        <v>329180</v>
      </c>
      <c r="P584" s="48">
        <v>329272</v>
      </c>
      <c r="Q584" s="48">
        <v>329347</v>
      </c>
      <c r="R584" s="48">
        <v>329406</v>
      </c>
      <c r="S584" s="48">
        <v>329491</v>
      </c>
      <c r="T584" s="48">
        <v>329549</v>
      </c>
      <c r="U584" s="48" t="s">
        <v>320</v>
      </c>
      <c r="V584" s="48">
        <v>329764</v>
      </c>
      <c r="W584" s="48">
        <v>329835</v>
      </c>
      <c r="X584" s="48">
        <v>329895</v>
      </c>
      <c r="Y584" s="48">
        <v>329964</v>
      </c>
      <c r="Z584" s="48">
        <v>330011</v>
      </c>
      <c r="AA584" s="48">
        <v>330168</v>
      </c>
      <c r="AB584" s="48">
        <v>330249</v>
      </c>
      <c r="AC584" s="48">
        <v>330300</v>
      </c>
      <c r="AD584" s="48">
        <v>330360</v>
      </c>
      <c r="AE584" s="48">
        <v>330410</v>
      </c>
      <c r="AF584" s="48">
        <v>330515</v>
      </c>
      <c r="AG584" s="48">
        <v>330606</v>
      </c>
      <c r="AH584" s="48">
        <v>330686</v>
      </c>
      <c r="AI584" s="48" t="s">
        <v>320</v>
      </c>
      <c r="AJ584" s="48">
        <v>330963</v>
      </c>
      <c r="AK584" s="48">
        <v>331038</v>
      </c>
      <c r="AL584" s="48" t="s">
        <v>320</v>
      </c>
    </row>
    <row r="585" spans="1:45" hidden="1" x14ac:dyDescent="0.25">
      <c r="A585">
        <v>584</v>
      </c>
      <c r="B585">
        <v>2025</v>
      </c>
      <c r="C585">
        <v>9</v>
      </c>
      <c r="D585" t="s">
        <v>159</v>
      </c>
      <c r="E585">
        <v>31</v>
      </c>
      <c r="F585">
        <v>8</v>
      </c>
      <c r="G585" t="s">
        <v>433</v>
      </c>
      <c r="H585" s="48">
        <v>328665</v>
      </c>
      <c r="I585" s="48">
        <v>328818</v>
      </c>
      <c r="J585" s="48">
        <v>328880</v>
      </c>
      <c r="K585" s="48">
        <v>328952</v>
      </c>
      <c r="L585" s="48">
        <v>329025</v>
      </c>
      <c r="M585" s="48">
        <v>329107</v>
      </c>
      <c r="N585" s="48">
        <v>329180</v>
      </c>
      <c r="O585" s="48">
        <v>329209</v>
      </c>
      <c r="P585" s="48">
        <v>329306</v>
      </c>
      <c r="Q585" s="48">
        <v>329381</v>
      </c>
      <c r="R585" s="48">
        <v>329451</v>
      </c>
      <c r="S585" s="48">
        <v>329519</v>
      </c>
      <c r="T585" s="48">
        <v>329585</v>
      </c>
      <c r="U585" s="48" t="s">
        <v>320</v>
      </c>
      <c r="V585" s="48">
        <v>329799</v>
      </c>
      <c r="W585" s="48">
        <v>329865</v>
      </c>
      <c r="X585" s="48">
        <v>329928</v>
      </c>
      <c r="Y585" s="48">
        <v>329994</v>
      </c>
      <c r="Z585" s="48">
        <v>330122</v>
      </c>
      <c r="AA585" s="48">
        <v>330196</v>
      </c>
      <c r="AB585" s="48">
        <v>330280</v>
      </c>
      <c r="AC585" s="48">
        <v>330328</v>
      </c>
      <c r="AD585" s="48">
        <v>330387</v>
      </c>
      <c r="AE585" s="48">
        <v>330454</v>
      </c>
      <c r="AF585" s="48">
        <v>330562</v>
      </c>
      <c r="AG585" s="48">
        <v>330639</v>
      </c>
      <c r="AH585" s="48">
        <v>330759</v>
      </c>
      <c r="AI585" s="48" t="s">
        <v>320</v>
      </c>
      <c r="AJ585" s="48">
        <v>331006</v>
      </c>
      <c r="AK585" s="48">
        <v>331088</v>
      </c>
      <c r="AL585" s="48" t="s">
        <v>320</v>
      </c>
      <c r="AP585">
        <v>187.8</v>
      </c>
      <c r="AQ585">
        <v>15</v>
      </c>
      <c r="AS585">
        <v>1252</v>
      </c>
    </row>
    <row r="586" spans="1:45" hidden="1" x14ac:dyDescent="0.25">
      <c r="A586">
        <v>585</v>
      </c>
      <c r="B586">
        <v>2025</v>
      </c>
      <c r="C586">
        <v>9</v>
      </c>
      <c r="D586" t="s">
        <v>175</v>
      </c>
      <c r="E586">
        <v>31</v>
      </c>
      <c r="F586">
        <v>8</v>
      </c>
      <c r="G586" t="s">
        <v>432</v>
      </c>
      <c r="H586" s="48" t="s">
        <v>320</v>
      </c>
      <c r="I586" s="48" t="s">
        <v>320</v>
      </c>
      <c r="J586" s="48" t="s">
        <v>320</v>
      </c>
      <c r="K586" s="48" t="s">
        <v>320</v>
      </c>
      <c r="L586" s="48" t="s">
        <v>320</v>
      </c>
      <c r="M586" s="48" t="s">
        <v>320</v>
      </c>
      <c r="N586" s="48" t="s">
        <v>320</v>
      </c>
      <c r="O586" s="48" t="s">
        <v>320</v>
      </c>
      <c r="P586" s="48">
        <v>871596</v>
      </c>
      <c r="Q586" s="48">
        <v>871596</v>
      </c>
      <c r="R586" s="48">
        <v>871596</v>
      </c>
      <c r="S586" s="48">
        <v>871596</v>
      </c>
      <c r="T586" s="48">
        <v>871596</v>
      </c>
      <c r="U586" s="48">
        <v>871596</v>
      </c>
      <c r="V586" s="48">
        <v>871596</v>
      </c>
      <c r="W586" s="48">
        <v>871718</v>
      </c>
      <c r="X586" s="48">
        <v>871746</v>
      </c>
      <c r="Y586" s="48">
        <v>871783</v>
      </c>
      <c r="Z586" s="48">
        <v>871804</v>
      </c>
      <c r="AA586" s="48">
        <v>871840</v>
      </c>
      <c r="AB586" s="48">
        <v>871907</v>
      </c>
      <c r="AC586" s="48">
        <v>871008</v>
      </c>
      <c r="AD586" s="48">
        <v>872098</v>
      </c>
      <c r="AE586" s="48">
        <v>872180</v>
      </c>
      <c r="AF586" s="48">
        <v>872213</v>
      </c>
      <c r="AG586" s="48">
        <v>872257</v>
      </c>
      <c r="AH586" s="48">
        <v>872368</v>
      </c>
      <c r="AI586" s="48" t="s">
        <v>320</v>
      </c>
      <c r="AJ586" s="48">
        <v>872477</v>
      </c>
      <c r="AK586" s="48">
        <v>872545</v>
      </c>
      <c r="AL586" s="48" t="s">
        <v>320</v>
      </c>
    </row>
    <row r="587" spans="1:45" hidden="1" x14ac:dyDescent="0.25">
      <c r="A587">
        <v>586</v>
      </c>
      <c r="B587">
        <v>2025</v>
      </c>
      <c r="C587">
        <v>9</v>
      </c>
      <c r="D587" t="s">
        <v>175</v>
      </c>
      <c r="E587">
        <v>31</v>
      </c>
      <c r="F587">
        <v>8</v>
      </c>
      <c r="G587" t="s">
        <v>433</v>
      </c>
      <c r="H587" s="48" t="s">
        <v>320</v>
      </c>
      <c r="I587" s="48" t="s">
        <v>320</v>
      </c>
      <c r="J587" s="48" t="s">
        <v>320</v>
      </c>
      <c r="K587" s="48" t="s">
        <v>320</v>
      </c>
      <c r="L587" s="48" t="s">
        <v>320</v>
      </c>
      <c r="M587" s="48" t="s">
        <v>320</v>
      </c>
      <c r="N587" s="48" t="s">
        <v>320</v>
      </c>
      <c r="O587" s="48" t="s">
        <v>320</v>
      </c>
      <c r="P587" s="48">
        <v>871623</v>
      </c>
      <c r="Q587" s="48">
        <v>871623</v>
      </c>
      <c r="R587" s="48">
        <v>871623</v>
      </c>
      <c r="S587" s="48">
        <v>871623</v>
      </c>
      <c r="T587" s="48">
        <v>871623</v>
      </c>
      <c r="U587" s="48">
        <v>871623</v>
      </c>
      <c r="V587" s="48">
        <v>871623</v>
      </c>
      <c r="W587" s="48">
        <v>871746</v>
      </c>
      <c r="X587" s="48">
        <v>871783</v>
      </c>
      <c r="Y587" s="48">
        <v>871804</v>
      </c>
      <c r="Z587" s="48">
        <v>871829</v>
      </c>
      <c r="AA587" s="48">
        <v>871907</v>
      </c>
      <c r="AB587" s="48">
        <v>872008</v>
      </c>
      <c r="AC587" s="48">
        <v>871097</v>
      </c>
      <c r="AD587" s="48">
        <v>872180</v>
      </c>
      <c r="AE587" s="48">
        <v>872212</v>
      </c>
      <c r="AF587" s="48">
        <v>872257</v>
      </c>
      <c r="AG587" s="48">
        <v>872368</v>
      </c>
      <c r="AH587" s="48">
        <v>872437</v>
      </c>
      <c r="AI587" s="48" t="s">
        <v>320</v>
      </c>
      <c r="AJ587" s="48">
        <v>872545</v>
      </c>
      <c r="AK587" s="48">
        <v>872588</v>
      </c>
      <c r="AL587" s="48" t="s">
        <v>320</v>
      </c>
      <c r="AP587">
        <v>150.9</v>
      </c>
      <c r="AQ587">
        <v>15</v>
      </c>
      <c r="AR587" t="s">
        <v>350</v>
      </c>
      <c r="AS587">
        <v>1006</v>
      </c>
    </row>
    <row r="588" spans="1:45" hidden="1" x14ac:dyDescent="0.25">
      <c r="A588">
        <v>587</v>
      </c>
      <c r="B588">
        <v>2025</v>
      </c>
      <c r="C588">
        <v>9</v>
      </c>
      <c r="D588" t="s">
        <v>156</v>
      </c>
      <c r="E588">
        <v>31</v>
      </c>
      <c r="F588">
        <v>8</v>
      </c>
      <c r="G588" t="s">
        <v>432</v>
      </c>
      <c r="H588" s="48">
        <v>805139</v>
      </c>
      <c r="I588" s="48">
        <v>805273</v>
      </c>
      <c r="J588" s="48">
        <v>805451</v>
      </c>
      <c r="K588" s="48">
        <v>805615</v>
      </c>
      <c r="L588" s="48">
        <v>805761</v>
      </c>
      <c r="M588" s="48">
        <v>805926</v>
      </c>
      <c r="N588" s="48">
        <v>805926</v>
      </c>
      <c r="O588" s="48">
        <v>806176</v>
      </c>
      <c r="P588" s="48">
        <v>806327</v>
      </c>
      <c r="Q588" s="48">
        <v>806478</v>
      </c>
      <c r="R588" s="48">
        <v>806637</v>
      </c>
      <c r="S588" s="48">
        <v>806799</v>
      </c>
      <c r="T588" s="48">
        <v>806962</v>
      </c>
      <c r="U588" s="48">
        <v>807113</v>
      </c>
      <c r="V588" s="48">
        <v>807175</v>
      </c>
      <c r="W588" s="48">
        <v>807334</v>
      </c>
      <c r="X588" s="48">
        <v>807448</v>
      </c>
      <c r="Y588" s="48">
        <v>807645</v>
      </c>
      <c r="Z588" s="48">
        <v>807921</v>
      </c>
      <c r="AA588" s="48">
        <v>808210</v>
      </c>
      <c r="AB588" s="48">
        <v>808350</v>
      </c>
      <c r="AC588" s="48">
        <v>808500</v>
      </c>
      <c r="AD588" s="48">
        <v>808703</v>
      </c>
      <c r="AE588" s="48">
        <v>809009</v>
      </c>
      <c r="AF588" s="48">
        <v>809157</v>
      </c>
      <c r="AG588" s="48">
        <v>809329</v>
      </c>
      <c r="AH588" s="48">
        <v>809504</v>
      </c>
      <c r="AI588" s="48">
        <v>809550</v>
      </c>
      <c r="AJ588" s="48">
        <v>809653</v>
      </c>
      <c r="AK588" s="48">
        <v>809855</v>
      </c>
      <c r="AL588" s="48" t="s">
        <v>320</v>
      </c>
    </row>
    <row r="589" spans="1:45" hidden="1" x14ac:dyDescent="0.25">
      <c r="A589">
        <v>588</v>
      </c>
      <c r="B589">
        <v>2025</v>
      </c>
      <c r="C589">
        <v>9</v>
      </c>
      <c r="D589" t="s">
        <v>156</v>
      </c>
      <c r="E589">
        <v>31</v>
      </c>
      <c r="F589">
        <v>8</v>
      </c>
      <c r="G589" t="s">
        <v>433</v>
      </c>
      <c r="H589" s="48">
        <v>805273</v>
      </c>
      <c r="I589" s="48">
        <v>805451</v>
      </c>
      <c r="J589" s="48">
        <v>805615</v>
      </c>
      <c r="K589" s="48">
        <v>805761</v>
      </c>
      <c r="L589" s="48">
        <v>805926</v>
      </c>
      <c r="M589" s="48">
        <v>806105</v>
      </c>
      <c r="N589" s="48">
        <v>806105</v>
      </c>
      <c r="O589" s="48">
        <v>806327</v>
      </c>
      <c r="P589" s="48">
        <v>806478</v>
      </c>
      <c r="Q589" s="48">
        <v>806637</v>
      </c>
      <c r="R589" s="48">
        <v>806799</v>
      </c>
      <c r="S589" s="48">
        <v>806962</v>
      </c>
      <c r="T589" s="48">
        <v>807113</v>
      </c>
      <c r="U589" s="48">
        <v>807175</v>
      </c>
      <c r="V589" s="48">
        <v>807334</v>
      </c>
      <c r="W589" s="48">
        <v>807448</v>
      </c>
      <c r="X589" s="48">
        <v>807645</v>
      </c>
      <c r="Y589" s="48">
        <v>807921</v>
      </c>
      <c r="Z589" s="48">
        <v>808210</v>
      </c>
      <c r="AA589" s="48">
        <v>808350</v>
      </c>
      <c r="AB589" s="48">
        <v>808500</v>
      </c>
      <c r="AC589" s="48">
        <v>808703</v>
      </c>
      <c r="AD589" s="48">
        <v>809009</v>
      </c>
      <c r="AE589" s="48">
        <v>809157</v>
      </c>
      <c r="AF589" s="48">
        <v>809329</v>
      </c>
      <c r="AG589" s="48">
        <v>809504</v>
      </c>
      <c r="AH589" s="48">
        <v>809550</v>
      </c>
      <c r="AI589" s="48">
        <v>809653</v>
      </c>
      <c r="AJ589" s="48">
        <v>809855</v>
      </c>
      <c r="AK589" s="48">
        <v>810034</v>
      </c>
      <c r="AL589" s="48" t="s">
        <v>320</v>
      </c>
      <c r="AP589">
        <v>900.54</v>
      </c>
      <c r="AQ589">
        <v>18</v>
      </c>
      <c r="AS589">
        <v>5003</v>
      </c>
    </row>
    <row r="590" spans="1:45" hidden="1" x14ac:dyDescent="0.25">
      <c r="A590">
        <v>589</v>
      </c>
      <c r="B590">
        <v>2025</v>
      </c>
      <c r="C590">
        <v>9</v>
      </c>
      <c r="D590" t="s">
        <v>168</v>
      </c>
      <c r="E590">
        <v>31</v>
      </c>
      <c r="F590">
        <v>8</v>
      </c>
      <c r="G590" t="s">
        <v>432</v>
      </c>
      <c r="H590" s="48">
        <v>280128</v>
      </c>
      <c r="I590" s="48">
        <v>280210</v>
      </c>
      <c r="J590" s="48">
        <v>280269</v>
      </c>
      <c r="K590" s="48">
        <v>280307</v>
      </c>
      <c r="L590" s="48">
        <v>280408</v>
      </c>
      <c r="M590" s="48">
        <v>280554</v>
      </c>
      <c r="N590" s="48">
        <v>280671</v>
      </c>
      <c r="O590" s="48">
        <v>280706</v>
      </c>
      <c r="P590" s="48">
        <v>280734</v>
      </c>
      <c r="Q590" s="48">
        <v>280784</v>
      </c>
      <c r="R590" s="48">
        <v>280963</v>
      </c>
      <c r="S590" s="48">
        <v>281054</v>
      </c>
      <c r="T590" s="48">
        <v>281211</v>
      </c>
      <c r="U590" s="48" t="s">
        <v>320</v>
      </c>
      <c r="V590" s="48">
        <v>281743</v>
      </c>
      <c r="W590" s="48">
        <v>281779</v>
      </c>
      <c r="X590" s="48">
        <v>281957</v>
      </c>
      <c r="Y590" s="48">
        <v>282118</v>
      </c>
      <c r="Z590" s="48">
        <v>282181</v>
      </c>
      <c r="AA590" s="48">
        <v>282223</v>
      </c>
      <c r="AB590" s="48">
        <v>282237</v>
      </c>
      <c r="AC590" s="48">
        <v>282454</v>
      </c>
      <c r="AD590" s="48">
        <v>282498</v>
      </c>
      <c r="AE590" s="48">
        <v>282518</v>
      </c>
      <c r="AF590" s="48">
        <v>282557</v>
      </c>
      <c r="AG590" s="48">
        <v>282647</v>
      </c>
      <c r="AH590" s="48">
        <v>282767</v>
      </c>
      <c r="AI590" s="48">
        <v>282831</v>
      </c>
      <c r="AJ590" s="48">
        <v>282848</v>
      </c>
      <c r="AK590" s="48">
        <v>282943</v>
      </c>
      <c r="AL590" s="48" t="s">
        <v>320</v>
      </c>
    </row>
    <row r="591" spans="1:45" hidden="1" x14ac:dyDescent="0.25">
      <c r="A591">
        <v>590</v>
      </c>
      <c r="B591">
        <v>2025</v>
      </c>
      <c r="C591">
        <v>9</v>
      </c>
      <c r="D591" t="s">
        <v>168</v>
      </c>
      <c r="E591">
        <v>31</v>
      </c>
      <c r="F591">
        <v>8</v>
      </c>
      <c r="G591" t="s">
        <v>433</v>
      </c>
      <c r="H591" s="48">
        <v>280210</v>
      </c>
      <c r="I591" s="48">
        <v>280269</v>
      </c>
      <c r="J591" s="48">
        <v>280307</v>
      </c>
      <c r="K591" s="48">
        <v>280408</v>
      </c>
      <c r="L591" s="48">
        <v>280554</v>
      </c>
      <c r="M591" s="48">
        <v>280671</v>
      </c>
      <c r="N591" s="48">
        <v>280706</v>
      </c>
      <c r="O591" s="48">
        <v>280734</v>
      </c>
      <c r="P591" s="48">
        <v>280784</v>
      </c>
      <c r="Q591" s="48">
        <v>280926</v>
      </c>
      <c r="R591" s="48">
        <v>281052</v>
      </c>
      <c r="S591" s="48">
        <v>281074</v>
      </c>
      <c r="T591" s="48">
        <v>281344</v>
      </c>
      <c r="U591" s="48" t="s">
        <v>320</v>
      </c>
      <c r="V591" s="48">
        <v>281779</v>
      </c>
      <c r="W591" s="48">
        <v>281837</v>
      </c>
      <c r="X591" s="48">
        <v>282103</v>
      </c>
      <c r="Y591" s="48">
        <v>282181</v>
      </c>
      <c r="Z591" s="48">
        <v>282221</v>
      </c>
      <c r="AA591" s="48">
        <v>282236</v>
      </c>
      <c r="AB591" s="48">
        <v>282267</v>
      </c>
      <c r="AC591" s="48">
        <v>282498</v>
      </c>
      <c r="AD591" s="48">
        <v>282518</v>
      </c>
      <c r="AE591" s="48">
        <v>282557</v>
      </c>
      <c r="AF591" s="48">
        <v>282647</v>
      </c>
      <c r="AG591" s="48">
        <v>282767</v>
      </c>
      <c r="AH591" s="48">
        <v>282831</v>
      </c>
      <c r="AI591" s="48">
        <v>282848</v>
      </c>
      <c r="AJ591" s="48">
        <v>282936</v>
      </c>
      <c r="AK591" s="48">
        <v>282998</v>
      </c>
      <c r="AL591" s="48" t="s">
        <v>320</v>
      </c>
      <c r="AP591">
        <v>294.45</v>
      </c>
      <c r="AQ591">
        <v>15</v>
      </c>
      <c r="AS591">
        <v>1963</v>
      </c>
    </row>
    <row r="592" spans="1:45" hidden="1" x14ac:dyDescent="0.25">
      <c r="A592">
        <v>591</v>
      </c>
      <c r="B592">
        <v>2025</v>
      </c>
      <c r="C592">
        <v>9</v>
      </c>
      <c r="D592" t="s">
        <v>164</v>
      </c>
      <c r="E592">
        <v>31</v>
      </c>
      <c r="F592">
        <v>8</v>
      </c>
      <c r="G592" t="s">
        <v>432</v>
      </c>
      <c r="H592" s="48">
        <v>27910</v>
      </c>
      <c r="I592" s="48">
        <v>27923</v>
      </c>
      <c r="J592" s="48">
        <v>27934</v>
      </c>
      <c r="K592" s="48">
        <v>27946</v>
      </c>
      <c r="L592" s="48">
        <v>27955</v>
      </c>
      <c r="M592" s="48">
        <v>27964</v>
      </c>
      <c r="N592" s="48">
        <v>27976</v>
      </c>
      <c r="O592" s="48">
        <v>27980</v>
      </c>
      <c r="P592" s="48">
        <v>27995</v>
      </c>
      <c r="Q592" s="48">
        <v>28010</v>
      </c>
      <c r="R592" s="48">
        <v>28020</v>
      </c>
      <c r="S592" s="48">
        <v>28040</v>
      </c>
      <c r="T592" s="48">
        <v>28066</v>
      </c>
      <c r="U592" s="48">
        <v>28150</v>
      </c>
      <c r="V592" s="48">
        <v>28220</v>
      </c>
      <c r="W592" s="48">
        <v>28310</v>
      </c>
      <c r="X592" s="48">
        <v>28330</v>
      </c>
      <c r="Y592" s="48">
        <v>28340</v>
      </c>
      <c r="Z592" s="48">
        <v>28355</v>
      </c>
      <c r="AA592" s="48">
        <v>28375</v>
      </c>
      <c r="AB592" s="48">
        <v>28481</v>
      </c>
      <c r="AC592" s="48">
        <v>28497</v>
      </c>
      <c r="AD592" s="48">
        <v>28508</v>
      </c>
      <c r="AE592" s="48">
        <v>28520</v>
      </c>
      <c r="AF592" s="48">
        <v>28540</v>
      </c>
      <c r="AG592" s="48">
        <v>28589</v>
      </c>
      <c r="AH592" s="48">
        <v>28604</v>
      </c>
      <c r="AI592" s="48">
        <v>28630</v>
      </c>
      <c r="AJ592" s="48">
        <v>28670</v>
      </c>
      <c r="AK592" s="48">
        <v>28725</v>
      </c>
      <c r="AL592" s="48" t="s">
        <v>320</v>
      </c>
    </row>
    <row r="593" spans="1:45" hidden="1" x14ac:dyDescent="0.25">
      <c r="A593">
        <v>592</v>
      </c>
      <c r="B593">
        <v>2025</v>
      </c>
      <c r="C593">
        <v>9</v>
      </c>
      <c r="D593" t="s">
        <v>164</v>
      </c>
      <c r="E593">
        <v>31</v>
      </c>
      <c r="F593">
        <v>8</v>
      </c>
      <c r="G593" t="s">
        <v>433</v>
      </c>
      <c r="H593" s="48">
        <v>27923</v>
      </c>
      <c r="I593" s="48">
        <v>27934</v>
      </c>
      <c r="J593" s="48">
        <v>27946</v>
      </c>
      <c r="K593" s="48">
        <v>27955</v>
      </c>
      <c r="L593" s="48">
        <v>27964</v>
      </c>
      <c r="M593" s="48">
        <v>27976</v>
      </c>
      <c r="N593" s="48">
        <v>27980</v>
      </c>
      <c r="O593" s="48">
        <v>27995</v>
      </c>
      <c r="P593" s="48">
        <v>28010</v>
      </c>
      <c r="Q593" s="48">
        <v>28020</v>
      </c>
      <c r="R593" s="48">
        <v>28040</v>
      </c>
      <c r="S593" s="48">
        <v>28066</v>
      </c>
      <c r="T593" s="48">
        <v>28150</v>
      </c>
      <c r="U593" s="48">
        <v>28220</v>
      </c>
      <c r="V593" s="48">
        <v>28310</v>
      </c>
      <c r="W593" s="48">
        <v>28330</v>
      </c>
      <c r="X593" s="48">
        <v>28340</v>
      </c>
      <c r="Y593" s="48">
        <v>28355</v>
      </c>
      <c r="Z593" s="48">
        <v>28375</v>
      </c>
      <c r="AA593" s="48">
        <v>28481</v>
      </c>
      <c r="AB593" s="48">
        <v>28497</v>
      </c>
      <c r="AC593" s="48">
        <v>28508</v>
      </c>
      <c r="AD593" s="48">
        <v>28520</v>
      </c>
      <c r="AE593" s="48">
        <v>28540</v>
      </c>
      <c r="AF593" s="48">
        <v>28589</v>
      </c>
      <c r="AG593" s="48">
        <v>28604</v>
      </c>
      <c r="AH593" s="48">
        <v>28630</v>
      </c>
      <c r="AI593" s="48">
        <v>28670</v>
      </c>
      <c r="AJ593" s="48">
        <v>28725</v>
      </c>
      <c r="AK593" s="48">
        <v>28793</v>
      </c>
      <c r="AL593" s="48" t="s">
        <v>320</v>
      </c>
      <c r="AP593">
        <v>132.44999999999999</v>
      </c>
      <c r="AQ593">
        <v>15</v>
      </c>
      <c r="AS593">
        <v>883</v>
      </c>
    </row>
    <row r="594" spans="1:45" hidden="1" x14ac:dyDescent="0.25">
      <c r="A594">
        <v>593</v>
      </c>
      <c r="B594">
        <v>2025</v>
      </c>
      <c r="C594">
        <v>9</v>
      </c>
      <c r="D594" t="s">
        <v>163</v>
      </c>
      <c r="E594">
        <v>31</v>
      </c>
      <c r="F594">
        <v>8</v>
      </c>
      <c r="G594" t="s">
        <v>432</v>
      </c>
      <c r="H594" s="48">
        <v>333649</v>
      </c>
      <c r="I594" s="48">
        <v>333815</v>
      </c>
      <c r="J594" s="48">
        <v>334046</v>
      </c>
      <c r="K594" s="48">
        <v>334274</v>
      </c>
      <c r="L594" s="48">
        <v>334440</v>
      </c>
      <c r="M594" s="48">
        <v>334615</v>
      </c>
      <c r="N594" s="48">
        <v>334779</v>
      </c>
      <c r="O594" s="48">
        <v>335002</v>
      </c>
      <c r="P594" s="48">
        <v>335191</v>
      </c>
      <c r="Q594" s="48">
        <v>335414</v>
      </c>
      <c r="R594" s="48">
        <v>335654</v>
      </c>
      <c r="S594" s="48">
        <v>335937</v>
      </c>
      <c r="T594" s="48">
        <v>336206</v>
      </c>
      <c r="U594" s="48">
        <v>336364</v>
      </c>
      <c r="V594" s="48">
        <v>336502</v>
      </c>
      <c r="W594" s="48">
        <v>336669</v>
      </c>
      <c r="X594" s="48">
        <v>336965</v>
      </c>
      <c r="Y594" s="48">
        <v>337225</v>
      </c>
      <c r="Z594" s="48">
        <v>337456</v>
      </c>
      <c r="AA594" s="48">
        <v>337630</v>
      </c>
      <c r="AB594" s="48">
        <v>337792</v>
      </c>
      <c r="AC594" s="48">
        <v>338135</v>
      </c>
      <c r="AD594" s="48">
        <v>338329</v>
      </c>
      <c r="AE594" s="48">
        <v>338569</v>
      </c>
      <c r="AF594" s="48">
        <v>338885</v>
      </c>
      <c r="AG594" s="48">
        <v>339054</v>
      </c>
      <c r="AH594" s="48">
        <v>339272</v>
      </c>
      <c r="AI594" s="48">
        <v>339502</v>
      </c>
      <c r="AJ594" s="48">
        <v>339748</v>
      </c>
      <c r="AK594" s="48">
        <v>339984</v>
      </c>
      <c r="AL594" s="48" t="s">
        <v>320</v>
      </c>
    </row>
    <row r="595" spans="1:45" hidden="1" x14ac:dyDescent="0.25">
      <c r="A595">
        <v>594</v>
      </c>
      <c r="B595">
        <v>2025</v>
      </c>
      <c r="C595">
        <v>9</v>
      </c>
      <c r="D595" t="s">
        <v>163</v>
      </c>
      <c r="E595">
        <v>31</v>
      </c>
      <c r="F595">
        <v>8</v>
      </c>
      <c r="G595" t="s">
        <v>433</v>
      </c>
      <c r="H595" s="48">
        <v>333815</v>
      </c>
      <c r="I595" s="48">
        <v>334046</v>
      </c>
      <c r="J595" s="48">
        <v>334274</v>
      </c>
      <c r="K595" s="48">
        <v>334440</v>
      </c>
      <c r="L595" s="48">
        <v>334615</v>
      </c>
      <c r="M595" s="48">
        <v>334779</v>
      </c>
      <c r="N595" s="48">
        <v>335002</v>
      </c>
      <c r="O595" s="48">
        <v>335191</v>
      </c>
      <c r="P595" s="48">
        <v>335414</v>
      </c>
      <c r="Q595" s="48">
        <v>335654</v>
      </c>
      <c r="R595" s="48">
        <v>335836</v>
      </c>
      <c r="S595" s="48">
        <v>336176</v>
      </c>
      <c r="T595" s="48">
        <v>336364</v>
      </c>
      <c r="U595" s="48">
        <v>336444</v>
      </c>
      <c r="V595" s="48">
        <v>336669</v>
      </c>
      <c r="W595" s="48">
        <v>336907</v>
      </c>
      <c r="X595" s="48">
        <v>337225</v>
      </c>
      <c r="Y595" s="48">
        <v>337456</v>
      </c>
      <c r="Z595" s="48">
        <v>337630</v>
      </c>
      <c r="AA595" s="48">
        <v>337792</v>
      </c>
      <c r="AB595" s="48">
        <v>338044</v>
      </c>
      <c r="AC595" s="48">
        <v>338329</v>
      </c>
      <c r="AD595" s="48">
        <v>338569</v>
      </c>
      <c r="AE595" s="48">
        <v>338846</v>
      </c>
      <c r="AF595" s="48">
        <v>339054</v>
      </c>
      <c r="AG595" s="48">
        <v>339272</v>
      </c>
      <c r="AH595" s="48">
        <v>339502</v>
      </c>
      <c r="AI595" s="48">
        <v>339708</v>
      </c>
      <c r="AJ595" s="48">
        <v>339984</v>
      </c>
      <c r="AK595" s="48">
        <v>340193</v>
      </c>
      <c r="AL595" s="48" t="s">
        <v>320</v>
      </c>
      <c r="AP595">
        <v>919.05</v>
      </c>
      <c r="AQ595">
        <v>15</v>
      </c>
      <c r="AS595">
        <v>6127</v>
      </c>
    </row>
    <row r="596" spans="1:45" hidden="1" x14ac:dyDescent="0.25">
      <c r="A596">
        <v>595</v>
      </c>
      <c r="B596">
        <v>2025</v>
      </c>
      <c r="C596">
        <v>9</v>
      </c>
      <c r="D596" t="s">
        <v>131</v>
      </c>
      <c r="E596">
        <v>31</v>
      </c>
      <c r="F596">
        <v>8</v>
      </c>
      <c r="G596" t="s">
        <v>432</v>
      </c>
      <c r="H596" s="48" t="s">
        <v>320</v>
      </c>
      <c r="I596" s="48" t="s">
        <v>320</v>
      </c>
      <c r="J596" s="48" t="s">
        <v>320</v>
      </c>
      <c r="K596" s="48" t="s">
        <v>320</v>
      </c>
      <c r="L596" s="48" t="s">
        <v>320</v>
      </c>
      <c r="M596" s="48">
        <v>689196</v>
      </c>
      <c r="N596" s="48">
        <v>689196</v>
      </c>
      <c r="O596" s="48">
        <v>689196</v>
      </c>
      <c r="P596" s="48">
        <v>689196</v>
      </c>
      <c r="Q596" s="48">
        <v>689196</v>
      </c>
      <c r="R596" s="48">
        <v>689196</v>
      </c>
      <c r="S596" s="48">
        <v>689212</v>
      </c>
      <c r="T596" s="48">
        <v>689216</v>
      </c>
      <c r="U596" s="48">
        <v>689216</v>
      </c>
      <c r="V596" s="48">
        <v>689321</v>
      </c>
      <c r="W596" s="48">
        <v>689416</v>
      </c>
      <c r="X596" s="48">
        <v>689453</v>
      </c>
      <c r="Y596" s="48">
        <v>689468</v>
      </c>
      <c r="Z596" s="48">
        <v>689503</v>
      </c>
      <c r="AA596" s="48">
        <v>689544</v>
      </c>
      <c r="AB596" s="48">
        <v>689565</v>
      </c>
      <c r="AC596" s="48">
        <v>689571</v>
      </c>
      <c r="AD596" s="48">
        <v>689592</v>
      </c>
      <c r="AE596" s="48">
        <v>689651</v>
      </c>
      <c r="AF596" s="48">
        <v>689702</v>
      </c>
      <c r="AG596" s="48">
        <v>689745</v>
      </c>
      <c r="AH596" s="48">
        <v>689814</v>
      </c>
      <c r="AI596" s="48" t="s">
        <v>320</v>
      </c>
      <c r="AJ596" s="48">
        <v>689883</v>
      </c>
      <c r="AK596" s="48">
        <v>689944</v>
      </c>
      <c r="AL596" s="48" t="s">
        <v>320</v>
      </c>
    </row>
    <row r="597" spans="1:45" hidden="1" x14ac:dyDescent="0.25">
      <c r="A597">
        <v>596</v>
      </c>
      <c r="B597">
        <v>2025</v>
      </c>
      <c r="C597">
        <v>9</v>
      </c>
      <c r="D597" t="s">
        <v>131</v>
      </c>
      <c r="E597">
        <v>31</v>
      </c>
      <c r="F597">
        <v>8</v>
      </c>
      <c r="G597" t="s">
        <v>433</v>
      </c>
      <c r="H597" s="48" t="s">
        <v>320</v>
      </c>
      <c r="I597" s="48" t="s">
        <v>320</v>
      </c>
      <c r="J597" s="48" t="s">
        <v>320</v>
      </c>
      <c r="K597" s="48" t="s">
        <v>320</v>
      </c>
      <c r="L597" s="48" t="s">
        <v>320</v>
      </c>
      <c r="M597" s="48">
        <v>689211</v>
      </c>
      <c r="N597" s="48">
        <v>689211</v>
      </c>
      <c r="O597" s="48">
        <v>689211</v>
      </c>
      <c r="P597" s="48">
        <v>689211</v>
      </c>
      <c r="Q597" s="48">
        <v>689211</v>
      </c>
      <c r="R597" s="48">
        <v>689211</v>
      </c>
      <c r="S597" s="48">
        <v>689216</v>
      </c>
      <c r="T597" s="48">
        <v>689233</v>
      </c>
      <c r="U597" s="48">
        <v>689233</v>
      </c>
      <c r="V597" s="48">
        <v>689416</v>
      </c>
      <c r="W597" s="48">
        <v>689452</v>
      </c>
      <c r="X597" s="48">
        <v>689468</v>
      </c>
      <c r="Y597" s="48">
        <v>689503</v>
      </c>
      <c r="Z597" s="48">
        <v>689544</v>
      </c>
      <c r="AA597" s="48">
        <v>689565</v>
      </c>
      <c r="AB597" s="48">
        <v>689571</v>
      </c>
      <c r="AC597" s="48">
        <v>689592</v>
      </c>
      <c r="AD597" s="48">
        <v>689650</v>
      </c>
      <c r="AE597" s="48">
        <v>689701</v>
      </c>
      <c r="AF597" s="48">
        <v>689745</v>
      </c>
      <c r="AG597" s="48">
        <v>689814</v>
      </c>
      <c r="AH597" s="48">
        <v>689859</v>
      </c>
      <c r="AI597" s="48" t="s">
        <v>320</v>
      </c>
      <c r="AJ597" s="48">
        <v>689931</v>
      </c>
      <c r="AK597" s="48">
        <v>689988</v>
      </c>
      <c r="AL597" s="48" t="s">
        <v>320</v>
      </c>
      <c r="AP597">
        <v>113.25</v>
      </c>
      <c r="AQ597">
        <v>15</v>
      </c>
      <c r="AS597">
        <v>755</v>
      </c>
    </row>
    <row r="598" spans="1:45" hidden="1" x14ac:dyDescent="0.25">
      <c r="A598">
        <v>597</v>
      </c>
      <c r="B598">
        <v>2025</v>
      </c>
      <c r="C598">
        <v>9</v>
      </c>
      <c r="D598" t="s">
        <v>174</v>
      </c>
      <c r="E598">
        <v>31</v>
      </c>
      <c r="F598">
        <v>8</v>
      </c>
      <c r="G598" t="s">
        <v>432</v>
      </c>
      <c r="H598" s="48" t="s">
        <v>320</v>
      </c>
      <c r="I598" s="48" t="s">
        <v>320</v>
      </c>
      <c r="J598" s="48" t="s">
        <v>320</v>
      </c>
      <c r="K598" s="48" t="s">
        <v>320</v>
      </c>
      <c r="L598" s="48" t="s">
        <v>320</v>
      </c>
      <c r="M598" s="48">
        <v>961995</v>
      </c>
      <c r="N598" s="48">
        <v>961995</v>
      </c>
      <c r="O598" s="48">
        <v>961995</v>
      </c>
      <c r="P598" s="48">
        <v>962250</v>
      </c>
      <c r="Q598" s="48">
        <v>962557</v>
      </c>
      <c r="R598" s="48">
        <v>962943</v>
      </c>
      <c r="S598" s="48">
        <v>963477</v>
      </c>
      <c r="T598" s="48">
        <v>963738</v>
      </c>
      <c r="U598" s="48">
        <v>964197</v>
      </c>
      <c r="V598" s="48">
        <v>964582</v>
      </c>
      <c r="W598" s="48">
        <v>964904</v>
      </c>
      <c r="X598" s="48">
        <v>965301</v>
      </c>
      <c r="Y598" s="48">
        <v>965583</v>
      </c>
      <c r="Z598" s="48">
        <v>966046</v>
      </c>
      <c r="AA598" s="48">
        <v>966411</v>
      </c>
      <c r="AB598" s="48">
        <v>966740</v>
      </c>
      <c r="AC598" s="48">
        <v>966961</v>
      </c>
      <c r="AD598" s="48">
        <v>967469</v>
      </c>
      <c r="AE598" s="48">
        <v>967681</v>
      </c>
      <c r="AF598" s="48">
        <v>967911</v>
      </c>
      <c r="AG598" s="48">
        <v>968258</v>
      </c>
      <c r="AH598" s="48">
        <v>968582</v>
      </c>
      <c r="AI598" s="48">
        <v>969071</v>
      </c>
      <c r="AJ598" s="48">
        <v>969203</v>
      </c>
      <c r="AK598" s="48">
        <v>969706</v>
      </c>
      <c r="AL598" s="48" t="s">
        <v>320</v>
      </c>
    </row>
    <row r="599" spans="1:45" hidden="1" x14ac:dyDescent="0.25">
      <c r="A599">
        <v>598</v>
      </c>
      <c r="B599">
        <v>2025</v>
      </c>
      <c r="C599">
        <v>9</v>
      </c>
      <c r="D599" t="s">
        <v>174</v>
      </c>
      <c r="E599">
        <v>31</v>
      </c>
      <c r="F599">
        <v>8</v>
      </c>
      <c r="G599" t="s">
        <v>433</v>
      </c>
      <c r="H599" s="48" t="s">
        <v>320</v>
      </c>
      <c r="I599" s="48" t="s">
        <v>320</v>
      </c>
      <c r="J599" s="48" t="s">
        <v>320</v>
      </c>
      <c r="K599" s="48" t="s">
        <v>320</v>
      </c>
      <c r="L599" s="48" t="s">
        <v>320</v>
      </c>
      <c r="M599" s="48">
        <v>962250</v>
      </c>
      <c r="N599" s="48">
        <v>962250</v>
      </c>
      <c r="O599" s="48">
        <v>962250</v>
      </c>
      <c r="P599" s="48">
        <v>962557</v>
      </c>
      <c r="Q599" s="48">
        <v>962943</v>
      </c>
      <c r="R599" s="48">
        <v>963211</v>
      </c>
      <c r="S599" s="48">
        <v>963738</v>
      </c>
      <c r="T599" s="48">
        <v>964038</v>
      </c>
      <c r="U599" s="48">
        <v>964580</v>
      </c>
      <c r="V599" s="48">
        <v>964900</v>
      </c>
      <c r="W599" s="48">
        <v>965301</v>
      </c>
      <c r="X599" s="48">
        <v>965579</v>
      </c>
      <c r="Y599" s="48">
        <v>966044</v>
      </c>
      <c r="Z599" s="48">
        <v>966410</v>
      </c>
      <c r="AA599" s="48">
        <v>966736</v>
      </c>
      <c r="AB599" s="48">
        <v>966956</v>
      </c>
      <c r="AC599" s="48">
        <v>967469</v>
      </c>
      <c r="AD599" s="48">
        <v>967681</v>
      </c>
      <c r="AE599" s="48">
        <v>967911</v>
      </c>
      <c r="AF599" s="48">
        <v>968248</v>
      </c>
      <c r="AG599" s="48">
        <v>968582</v>
      </c>
      <c r="AH599" s="48">
        <v>969071</v>
      </c>
      <c r="AI599" s="48">
        <v>969203</v>
      </c>
      <c r="AJ599" s="48">
        <v>969700</v>
      </c>
      <c r="AK599" s="48">
        <v>969919</v>
      </c>
      <c r="AL599" s="48" t="s">
        <v>320</v>
      </c>
      <c r="AP599">
        <v>956.52</v>
      </c>
      <c r="AQ599">
        <v>12</v>
      </c>
      <c r="AS599">
        <v>7971</v>
      </c>
    </row>
    <row r="600" spans="1:45" hidden="1" x14ac:dyDescent="0.25">
      <c r="A600">
        <v>599</v>
      </c>
      <c r="B600">
        <v>2025</v>
      </c>
      <c r="C600">
        <v>9</v>
      </c>
      <c r="D600" t="s">
        <v>351</v>
      </c>
      <c r="E600">
        <v>31</v>
      </c>
      <c r="F600">
        <v>8</v>
      </c>
      <c r="G600" t="s">
        <v>430</v>
      </c>
      <c r="H600" s="48" t="s">
        <v>320</v>
      </c>
      <c r="I600" s="48" t="s">
        <v>320</v>
      </c>
      <c r="J600" s="48" t="s">
        <v>320</v>
      </c>
      <c r="K600" s="48" t="s">
        <v>320</v>
      </c>
      <c r="L600" s="48" t="s">
        <v>320</v>
      </c>
      <c r="M600" s="48" t="s">
        <v>320</v>
      </c>
      <c r="N600" s="48" t="s">
        <v>320</v>
      </c>
      <c r="O600" s="48" t="s">
        <v>320</v>
      </c>
      <c r="P600" s="48" t="s">
        <v>320</v>
      </c>
      <c r="Q600" s="48" t="s">
        <v>320</v>
      </c>
      <c r="R600" s="48" t="s">
        <v>320</v>
      </c>
      <c r="S600" s="48" t="s">
        <v>320</v>
      </c>
      <c r="T600" s="48" t="s">
        <v>320</v>
      </c>
      <c r="U600" s="48" t="s">
        <v>320</v>
      </c>
      <c r="V600" s="48" t="s">
        <v>320</v>
      </c>
      <c r="W600" s="48" t="s">
        <v>320</v>
      </c>
      <c r="X600" s="48" t="s">
        <v>320</v>
      </c>
      <c r="Y600" s="48" t="s">
        <v>320</v>
      </c>
      <c r="Z600" s="48" t="s">
        <v>320</v>
      </c>
      <c r="AA600" s="48" t="s">
        <v>320</v>
      </c>
      <c r="AB600" s="48" t="s">
        <v>320</v>
      </c>
      <c r="AC600" s="48" t="s">
        <v>320</v>
      </c>
      <c r="AD600" s="48" t="s">
        <v>320</v>
      </c>
      <c r="AE600" s="48" t="s">
        <v>320</v>
      </c>
      <c r="AF600" s="48" t="s">
        <v>320</v>
      </c>
      <c r="AG600" s="48" t="s">
        <v>320</v>
      </c>
      <c r="AH600" s="48" t="s">
        <v>320</v>
      </c>
      <c r="AI600" s="48" t="s">
        <v>320</v>
      </c>
      <c r="AJ600" s="48" t="s">
        <v>375</v>
      </c>
      <c r="AK600" s="48" t="s">
        <v>375</v>
      </c>
      <c r="AL600" s="48" t="s">
        <v>320</v>
      </c>
    </row>
    <row r="601" spans="1:45" hidden="1" x14ac:dyDescent="0.25">
      <c r="A601">
        <v>600</v>
      </c>
      <c r="B601">
        <v>2025</v>
      </c>
      <c r="C601">
        <v>9</v>
      </c>
      <c r="D601" t="s">
        <v>351</v>
      </c>
      <c r="E601">
        <v>31</v>
      </c>
      <c r="F601">
        <v>8</v>
      </c>
      <c r="G601" t="s">
        <v>431</v>
      </c>
      <c r="H601" s="48" t="s">
        <v>320</v>
      </c>
      <c r="I601" s="48" t="s">
        <v>320</v>
      </c>
      <c r="J601" s="48" t="s">
        <v>320</v>
      </c>
      <c r="K601" s="48" t="s">
        <v>320</v>
      </c>
      <c r="L601" s="48" t="s">
        <v>320</v>
      </c>
      <c r="M601" s="48" t="s">
        <v>320</v>
      </c>
      <c r="N601" s="48" t="s">
        <v>320</v>
      </c>
      <c r="O601" s="48" t="s">
        <v>320</v>
      </c>
      <c r="P601" s="48" t="s">
        <v>320</v>
      </c>
      <c r="Q601" s="48" t="s">
        <v>320</v>
      </c>
      <c r="R601" s="48" t="s">
        <v>320</v>
      </c>
      <c r="S601" s="48" t="s">
        <v>320</v>
      </c>
      <c r="T601" s="48" t="s">
        <v>320</v>
      </c>
      <c r="U601" s="48" t="s">
        <v>320</v>
      </c>
      <c r="V601" s="48" t="s">
        <v>320</v>
      </c>
      <c r="W601" s="48" t="s">
        <v>320</v>
      </c>
      <c r="X601" s="48" t="s">
        <v>320</v>
      </c>
      <c r="Y601" s="48" t="s">
        <v>320</v>
      </c>
      <c r="Z601" s="48" t="s">
        <v>320</v>
      </c>
      <c r="AA601" s="48" t="s">
        <v>320</v>
      </c>
      <c r="AB601" s="48" t="s">
        <v>320</v>
      </c>
      <c r="AC601" s="48" t="s">
        <v>320</v>
      </c>
      <c r="AD601" s="48" t="s">
        <v>320</v>
      </c>
      <c r="AE601" s="48" t="s">
        <v>320</v>
      </c>
      <c r="AF601" s="48" t="s">
        <v>320</v>
      </c>
      <c r="AG601" s="48" t="s">
        <v>320</v>
      </c>
      <c r="AH601" s="48" t="s">
        <v>320</v>
      </c>
      <c r="AI601" s="48" t="s">
        <v>320</v>
      </c>
      <c r="AJ601" s="48" t="s">
        <v>376</v>
      </c>
      <c r="AK601" s="48" t="s">
        <v>376</v>
      </c>
      <c r="AL601" s="48" t="s">
        <v>320</v>
      </c>
      <c r="AM601">
        <v>2</v>
      </c>
    </row>
    <row r="602" spans="1:45" hidden="1" x14ac:dyDescent="0.25">
      <c r="A602">
        <v>601</v>
      </c>
      <c r="B602">
        <v>2025</v>
      </c>
      <c r="C602">
        <v>10</v>
      </c>
      <c r="D602" t="s">
        <v>155</v>
      </c>
      <c r="E602">
        <v>31</v>
      </c>
      <c r="F602">
        <v>9</v>
      </c>
      <c r="G602" t="s">
        <v>430</v>
      </c>
      <c r="H602" s="48" t="s">
        <v>377</v>
      </c>
      <c r="I602" s="48" t="s">
        <v>377</v>
      </c>
      <c r="J602" s="48" t="s">
        <v>377</v>
      </c>
      <c r="K602" s="48" t="s">
        <v>377</v>
      </c>
      <c r="L602" s="48" t="s">
        <v>377</v>
      </c>
      <c r="M602" s="48" t="s">
        <v>377</v>
      </c>
      <c r="N602" s="48" t="s">
        <v>377</v>
      </c>
      <c r="O602" s="48" t="s">
        <v>377</v>
      </c>
      <c r="P602" s="48" t="s">
        <v>377</v>
      </c>
      <c r="Q602" s="48" t="s">
        <v>377</v>
      </c>
      <c r="R602" s="48" t="s">
        <v>377</v>
      </c>
      <c r="S602" s="48" t="s">
        <v>377</v>
      </c>
      <c r="T602" s="48" t="s">
        <v>377</v>
      </c>
      <c r="U602" s="48" t="s">
        <v>377</v>
      </c>
      <c r="V602" s="48" t="s">
        <v>377</v>
      </c>
      <c r="W602" s="48" t="s">
        <v>377</v>
      </c>
      <c r="X602" s="48" t="s">
        <v>377</v>
      </c>
      <c r="Y602" s="48" t="s">
        <v>377</v>
      </c>
      <c r="Z602" s="48" t="s">
        <v>377</v>
      </c>
      <c r="AA602" s="48" t="s">
        <v>377</v>
      </c>
      <c r="AB602" s="48" t="s">
        <v>377</v>
      </c>
      <c r="AC602" s="48" t="s">
        <v>377</v>
      </c>
      <c r="AD602" s="48" t="s">
        <v>377</v>
      </c>
      <c r="AE602" s="48" t="s">
        <v>377</v>
      </c>
      <c r="AF602" s="48" t="s">
        <v>377</v>
      </c>
      <c r="AG602" s="48" t="s">
        <v>377</v>
      </c>
      <c r="AH602" s="48" t="s">
        <v>377</v>
      </c>
      <c r="AI602" s="48" t="s">
        <v>377</v>
      </c>
      <c r="AJ602" s="48" t="s">
        <v>377</v>
      </c>
      <c r="AK602" s="48" t="s">
        <v>377</v>
      </c>
      <c r="AL602" s="48" t="s">
        <v>377</v>
      </c>
    </row>
    <row r="603" spans="1:45" hidden="1" x14ac:dyDescent="0.25">
      <c r="A603">
        <v>602</v>
      </c>
      <c r="B603">
        <v>2025</v>
      </c>
      <c r="C603">
        <v>10</v>
      </c>
      <c r="D603" t="s">
        <v>155</v>
      </c>
      <c r="E603">
        <v>31</v>
      </c>
      <c r="F603">
        <v>9</v>
      </c>
      <c r="G603" t="s">
        <v>431</v>
      </c>
      <c r="H603" s="48">
        <v>0.77083333333333326</v>
      </c>
      <c r="I603" s="48">
        <v>0.85416666666666663</v>
      </c>
      <c r="J603" s="48">
        <v>0.8125</v>
      </c>
      <c r="K603" s="48">
        <v>0.77083333333333326</v>
      </c>
      <c r="L603" s="48">
        <v>0.77083333333333326</v>
      </c>
      <c r="M603" s="48">
        <v>0.8125</v>
      </c>
      <c r="N603" s="48">
        <v>0.77083333333333326</v>
      </c>
      <c r="O603" s="48">
        <v>0.77083333333333326</v>
      </c>
      <c r="P603" s="48">
        <v>0.8125</v>
      </c>
      <c r="Q603" s="48">
        <v>0.77083333333333326</v>
      </c>
      <c r="R603" s="48">
        <v>0.77083333333333326</v>
      </c>
      <c r="S603" s="48">
        <v>0.77083333333333326</v>
      </c>
      <c r="T603" s="48">
        <v>0.85416666666666663</v>
      </c>
      <c r="U603" s="48">
        <v>0.8125</v>
      </c>
      <c r="V603" s="48">
        <v>0.85416666666666663</v>
      </c>
      <c r="W603" s="48">
        <v>0.8125</v>
      </c>
      <c r="X603" s="48">
        <v>0.77083333333333326</v>
      </c>
      <c r="Y603" s="48">
        <v>0.85416666666666663</v>
      </c>
      <c r="Z603" s="48">
        <v>0.77083333333333326</v>
      </c>
      <c r="AA603" s="48">
        <v>0.85416666666666663</v>
      </c>
      <c r="AB603" s="48">
        <v>0.8125</v>
      </c>
      <c r="AC603" s="48">
        <v>0.85416666666666663</v>
      </c>
      <c r="AD603" s="48">
        <v>0.85416666666666663</v>
      </c>
      <c r="AE603" s="48">
        <v>0.8125</v>
      </c>
      <c r="AF603" s="48">
        <v>0.8125</v>
      </c>
      <c r="AG603" s="48">
        <v>0.77083333333333326</v>
      </c>
      <c r="AH603" s="48">
        <v>0.85416666666666663</v>
      </c>
      <c r="AI603" s="48">
        <v>0.77083333333333326</v>
      </c>
      <c r="AJ603" s="48">
        <v>0.77083333333333326</v>
      </c>
      <c r="AK603" s="48">
        <v>0.8125</v>
      </c>
      <c r="AL603" s="48">
        <v>0.77083333333333326</v>
      </c>
      <c r="AM603">
        <v>31</v>
      </c>
      <c r="AO603">
        <v>87</v>
      </c>
    </row>
    <row r="604" spans="1:45" hidden="1" x14ac:dyDescent="0.25">
      <c r="A604">
        <v>603</v>
      </c>
      <c r="B604">
        <v>2025</v>
      </c>
      <c r="C604">
        <v>10</v>
      </c>
      <c r="D604" t="s">
        <v>180</v>
      </c>
      <c r="E604">
        <v>31</v>
      </c>
      <c r="F604">
        <v>9</v>
      </c>
      <c r="G604" t="s">
        <v>430</v>
      </c>
      <c r="H604" s="48" t="s">
        <v>320</v>
      </c>
      <c r="I604" s="48" t="s">
        <v>320</v>
      </c>
      <c r="J604" s="48" t="s">
        <v>320</v>
      </c>
      <c r="K604" s="48" t="s">
        <v>320</v>
      </c>
      <c r="L604" s="48" t="s">
        <v>320</v>
      </c>
      <c r="M604" s="48" t="s">
        <v>320</v>
      </c>
      <c r="N604" s="48" t="s">
        <v>320</v>
      </c>
      <c r="O604" s="48" t="s">
        <v>320</v>
      </c>
      <c r="P604" s="48" t="s">
        <v>320</v>
      </c>
      <c r="Q604" s="48" t="s">
        <v>320</v>
      </c>
      <c r="R604" s="48" t="s">
        <v>320</v>
      </c>
      <c r="S604" s="48" t="s">
        <v>320</v>
      </c>
      <c r="T604" s="48" t="s">
        <v>320</v>
      </c>
      <c r="U604" s="48" t="s">
        <v>320</v>
      </c>
      <c r="V604" s="48" t="s">
        <v>320</v>
      </c>
      <c r="W604" s="48" t="s">
        <v>320</v>
      </c>
      <c r="X604" s="48" t="s">
        <v>320</v>
      </c>
      <c r="Y604" s="48" t="s">
        <v>320</v>
      </c>
      <c r="Z604" s="48" t="s">
        <v>320</v>
      </c>
      <c r="AA604" s="48" t="s">
        <v>320</v>
      </c>
      <c r="AB604" s="48" t="s">
        <v>320</v>
      </c>
      <c r="AC604" s="48" t="s">
        <v>320</v>
      </c>
      <c r="AD604" s="48" t="s">
        <v>320</v>
      </c>
      <c r="AE604" s="48" t="s">
        <v>320</v>
      </c>
      <c r="AF604" s="48" t="s">
        <v>320</v>
      </c>
      <c r="AG604" s="48" t="s">
        <v>320</v>
      </c>
      <c r="AH604" s="48" t="s">
        <v>320</v>
      </c>
      <c r="AI604" s="48" t="s">
        <v>320</v>
      </c>
      <c r="AJ604" s="48" t="s">
        <v>320</v>
      </c>
      <c r="AK604" s="48" t="s">
        <v>375</v>
      </c>
      <c r="AL604" s="48" t="s">
        <v>320</v>
      </c>
    </row>
    <row r="605" spans="1:45" hidden="1" x14ac:dyDescent="0.25">
      <c r="A605">
        <v>604</v>
      </c>
      <c r="B605">
        <v>2025</v>
      </c>
      <c r="C605">
        <v>10</v>
      </c>
      <c r="D605" t="s">
        <v>180</v>
      </c>
      <c r="E605">
        <v>31</v>
      </c>
      <c r="F605">
        <v>9</v>
      </c>
      <c r="G605" t="s">
        <v>431</v>
      </c>
      <c r="H605" s="48" t="s">
        <v>320</v>
      </c>
      <c r="I605" s="48" t="s">
        <v>320</v>
      </c>
      <c r="J605" s="48" t="s">
        <v>320</v>
      </c>
      <c r="K605" s="48" t="s">
        <v>320</v>
      </c>
      <c r="L605" s="48" t="s">
        <v>320</v>
      </c>
      <c r="M605" s="48" t="s">
        <v>320</v>
      </c>
      <c r="N605" s="48" t="s">
        <v>320</v>
      </c>
      <c r="O605" s="48" t="s">
        <v>320</v>
      </c>
      <c r="P605" s="48" t="s">
        <v>320</v>
      </c>
      <c r="Q605" s="48" t="s">
        <v>320</v>
      </c>
      <c r="R605" s="48" t="s">
        <v>320</v>
      </c>
      <c r="S605" s="48" t="s">
        <v>320</v>
      </c>
      <c r="T605" s="48" t="s">
        <v>320</v>
      </c>
      <c r="U605" s="48" t="s">
        <v>320</v>
      </c>
      <c r="V605" s="48" t="s">
        <v>320</v>
      </c>
      <c r="W605" s="48" t="s">
        <v>320</v>
      </c>
      <c r="X605" s="48" t="s">
        <v>320</v>
      </c>
      <c r="Y605" s="48" t="s">
        <v>320</v>
      </c>
      <c r="Z605" s="48" t="s">
        <v>320</v>
      </c>
      <c r="AA605" s="48" t="s">
        <v>320</v>
      </c>
      <c r="AB605" s="48" t="s">
        <v>320</v>
      </c>
      <c r="AC605" s="48" t="s">
        <v>320</v>
      </c>
      <c r="AD605" s="48" t="s">
        <v>320</v>
      </c>
      <c r="AE605" s="48" t="s">
        <v>320</v>
      </c>
      <c r="AF605" s="48" t="s">
        <v>320</v>
      </c>
      <c r="AG605" s="48" t="s">
        <v>320</v>
      </c>
      <c r="AH605" s="48" t="s">
        <v>320</v>
      </c>
      <c r="AI605" s="48" t="s">
        <v>320</v>
      </c>
      <c r="AJ605" s="48" t="s">
        <v>320</v>
      </c>
      <c r="AK605" s="48">
        <v>0.75</v>
      </c>
      <c r="AL605" s="48" t="s">
        <v>320</v>
      </c>
      <c r="AM605">
        <v>1</v>
      </c>
    </row>
    <row r="606" spans="1:45" hidden="1" x14ac:dyDescent="0.25">
      <c r="A606">
        <v>605</v>
      </c>
      <c r="B606">
        <v>2025</v>
      </c>
      <c r="C606">
        <v>10</v>
      </c>
      <c r="D606" t="s">
        <v>176</v>
      </c>
      <c r="E606">
        <v>31</v>
      </c>
      <c r="F606">
        <v>9</v>
      </c>
      <c r="G606" t="s">
        <v>430</v>
      </c>
      <c r="H606" s="48" t="s">
        <v>382</v>
      </c>
      <c r="I606" s="48" t="s">
        <v>382</v>
      </c>
      <c r="J606" s="48" t="s">
        <v>382</v>
      </c>
      <c r="K606" s="48" t="s">
        <v>382</v>
      </c>
      <c r="L606" s="48" t="s">
        <v>382</v>
      </c>
      <c r="M606" s="48" t="s">
        <v>382</v>
      </c>
      <c r="N606" s="48" t="s">
        <v>382</v>
      </c>
      <c r="O606" s="48" t="s">
        <v>382</v>
      </c>
      <c r="P606" s="48" t="s">
        <v>382</v>
      </c>
      <c r="Q606" s="48" t="s">
        <v>382</v>
      </c>
      <c r="R606" s="48" t="s">
        <v>382</v>
      </c>
      <c r="S606" s="48" t="s">
        <v>382</v>
      </c>
      <c r="T606" s="48" t="s">
        <v>382</v>
      </c>
      <c r="U606" s="48" t="s">
        <v>382</v>
      </c>
      <c r="V606" s="48" t="s">
        <v>382</v>
      </c>
      <c r="W606" s="48" t="s">
        <v>382</v>
      </c>
      <c r="X606" s="48" t="s">
        <v>382</v>
      </c>
      <c r="Y606" s="48" t="s">
        <v>382</v>
      </c>
      <c r="Z606" s="48" t="s">
        <v>382</v>
      </c>
      <c r="AA606" s="48" t="s">
        <v>382</v>
      </c>
      <c r="AB606" s="48" t="s">
        <v>382</v>
      </c>
      <c r="AC606" s="48" t="s">
        <v>382</v>
      </c>
      <c r="AD606" s="48" t="s">
        <v>382</v>
      </c>
      <c r="AE606" s="48" t="s">
        <v>382</v>
      </c>
      <c r="AF606" s="48" t="s">
        <v>382</v>
      </c>
      <c r="AG606" s="48" t="s">
        <v>382</v>
      </c>
      <c r="AH606" s="48" t="s">
        <v>382</v>
      </c>
      <c r="AI606" s="48" t="s">
        <v>382</v>
      </c>
      <c r="AJ606" s="48" t="s">
        <v>320</v>
      </c>
      <c r="AK606" s="48" t="s">
        <v>320</v>
      </c>
      <c r="AL606" s="48" t="s">
        <v>382</v>
      </c>
    </row>
    <row r="607" spans="1:45" hidden="1" x14ac:dyDescent="0.25">
      <c r="A607">
        <v>606</v>
      </c>
      <c r="B607">
        <v>2025</v>
      </c>
      <c r="C607">
        <v>10</v>
      </c>
      <c r="D607" t="s">
        <v>176</v>
      </c>
      <c r="E607">
        <v>31</v>
      </c>
      <c r="F607">
        <v>9</v>
      </c>
      <c r="G607" t="s">
        <v>431</v>
      </c>
      <c r="H607" s="48">
        <v>0.79166666666666674</v>
      </c>
      <c r="I607" s="48">
        <v>0.79166666666666674</v>
      </c>
      <c r="J607" s="48">
        <v>0.79166666666666674</v>
      </c>
      <c r="K607" s="48">
        <v>0.79166666666666674</v>
      </c>
      <c r="L607" s="48">
        <v>0.79166666666666674</v>
      </c>
      <c r="M607" s="48">
        <v>0.79166666666666674</v>
      </c>
      <c r="N607" s="48">
        <v>0.79166666666666674</v>
      </c>
      <c r="O607" s="48">
        <v>0.79166666666666674</v>
      </c>
      <c r="P607" s="48">
        <v>0.79166666666666674</v>
      </c>
      <c r="Q607" s="48">
        <v>0.79166666666666674</v>
      </c>
      <c r="R607" s="48">
        <v>0.79166666666666674</v>
      </c>
      <c r="S607" s="48">
        <v>0.79166666666666674</v>
      </c>
      <c r="T607" s="48">
        <v>0.79166666666666674</v>
      </c>
      <c r="U607" s="48">
        <v>0.79166666666666674</v>
      </c>
      <c r="V607" s="48">
        <v>0.79166666666666674</v>
      </c>
      <c r="W607" s="48">
        <v>0.79166666666666674</v>
      </c>
      <c r="X607" s="48">
        <v>0.79166666666666674</v>
      </c>
      <c r="Y607" s="48">
        <v>0.79166666666666674</v>
      </c>
      <c r="Z607" s="48">
        <v>0.79166666666666674</v>
      </c>
      <c r="AA607" s="48">
        <v>0.79166666666666674</v>
      </c>
      <c r="AB607" s="48">
        <v>0.79166666666666674</v>
      </c>
      <c r="AC607" s="48">
        <v>0.79166666666666674</v>
      </c>
      <c r="AD607" s="48">
        <v>0.79166666666666674</v>
      </c>
      <c r="AE607" s="48">
        <v>0.79166666666666674</v>
      </c>
      <c r="AF607" s="48">
        <v>0.79166666666666674</v>
      </c>
      <c r="AG607" s="48">
        <v>0.79166666666666674</v>
      </c>
      <c r="AH607" s="48">
        <v>0.79166666666666674</v>
      </c>
      <c r="AI607" s="48">
        <v>0.79166666666666674</v>
      </c>
      <c r="AJ607" s="48" t="s">
        <v>320</v>
      </c>
      <c r="AK607" s="48" t="s">
        <v>320</v>
      </c>
      <c r="AL607" s="48">
        <v>0.79166666666666674</v>
      </c>
      <c r="AM607">
        <v>29</v>
      </c>
      <c r="AO607">
        <v>87</v>
      </c>
    </row>
    <row r="608" spans="1:45" hidden="1" x14ac:dyDescent="0.25">
      <c r="A608">
        <v>607</v>
      </c>
      <c r="B608">
        <v>2025</v>
      </c>
      <c r="C608">
        <v>10</v>
      </c>
      <c r="D608" t="s">
        <v>165</v>
      </c>
      <c r="E608">
        <v>31</v>
      </c>
      <c r="F608">
        <v>9</v>
      </c>
      <c r="G608" t="s">
        <v>430</v>
      </c>
      <c r="H608" s="48" t="s">
        <v>375</v>
      </c>
      <c r="I608" s="48" t="s">
        <v>375</v>
      </c>
      <c r="J608" s="48" t="s">
        <v>375</v>
      </c>
      <c r="K608" s="48" t="s">
        <v>375</v>
      </c>
      <c r="L608" s="48" t="s">
        <v>375</v>
      </c>
      <c r="M608" s="48" t="s">
        <v>375</v>
      </c>
      <c r="N608" s="48" t="s">
        <v>375</v>
      </c>
      <c r="O608" s="48" t="s">
        <v>375</v>
      </c>
      <c r="P608" s="48" t="s">
        <v>375</v>
      </c>
      <c r="Q608" s="48" t="s">
        <v>375</v>
      </c>
      <c r="R608" s="48" t="s">
        <v>375</v>
      </c>
      <c r="S608" s="48" t="s">
        <v>375</v>
      </c>
      <c r="T608" s="48" t="s">
        <v>375</v>
      </c>
      <c r="U608" s="48" t="s">
        <v>375</v>
      </c>
      <c r="V608" s="48" t="s">
        <v>375</v>
      </c>
      <c r="W608" s="48" t="s">
        <v>375</v>
      </c>
      <c r="X608" s="48" t="s">
        <v>375</v>
      </c>
      <c r="Y608" s="48" t="s">
        <v>375</v>
      </c>
      <c r="Z608" s="48" t="s">
        <v>375</v>
      </c>
      <c r="AA608" s="48" t="s">
        <v>375</v>
      </c>
      <c r="AB608" s="48" t="s">
        <v>375</v>
      </c>
      <c r="AC608" s="48" t="s">
        <v>375</v>
      </c>
      <c r="AD608" s="48" t="s">
        <v>375</v>
      </c>
      <c r="AE608" s="48" t="s">
        <v>375</v>
      </c>
      <c r="AF608" s="48" t="s">
        <v>375</v>
      </c>
      <c r="AG608" s="48" t="s">
        <v>375</v>
      </c>
      <c r="AH608" s="48" t="s">
        <v>375</v>
      </c>
      <c r="AI608" s="48" t="s">
        <v>375</v>
      </c>
      <c r="AJ608" s="48" t="s">
        <v>375</v>
      </c>
      <c r="AK608" s="48" t="s">
        <v>375</v>
      </c>
      <c r="AL608" s="48" t="s">
        <v>375</v>
      </c>
    </row>
    <row r="609" spans="1:41" hidden="1" x14ac:dyDescent="0.25">
      <c r="A609">
        <v>608</v>
      </c>
      <c r="B609">
        <v>2025</v>
      </c>
      <c r="C609">
        <v>10</v>
      </c>
      <c r="D609" t="s">
        <v>165</v>
      </c>
      <c r="E609">
        <v>31</v>
      </c>
      <c r="F609">
        <v>9</v>
      </c>
      <c r="G609" t="s">
        <v>431</v>
      </c>
      <c r="H609" s="48">
        <v>0.75</v>
      </c>
      <c r="I609" s="48">
        <v>0.875</v>
      </c>
      <c r="J609" s="48">
        <v>0.83333333333333326</v>
      </c>
      <c r="K609" s="48">
        <v>0.875</v>
      </c>
      <c r="L609" s="48">
        <v>0.75</v>
      </c>
      <c r="M609" s="48">
        <v>0.75</v>
      </c>
      <c r="N609" s="48">
        <v>0.75</v>
      </c>
      <c r="O609" s="48">
        <v>0.75</v>
      </c>
      <c r="P609" s="48">
        <v>0.75</v>
      </c>
      <c r="Q609" s="48">
        <v>0.75</v>
      </c>
      <c r="R609" s="48">
        <v>0.95833333333333326</v>
      </c>
      <c r="S609" s="48">
        <v>0.75</v>
      </c>
      <c r="T609" s="48">
        <v>0.75</v>
      </c>
      <c r="U609" s="48">
        <v>0.75</v>
      </c>
      <c r="V609" s="48">
        <v>0.75</v>
      </c>
      <c r="W609" s="48">
        <v>0.75</v>
      </c>
      <c r="X609" s="48">
        <v>0.83333333333333326</v>
      </c>
      <c r="Y609" s="48">
        <v>0.75</v>
      </c>
      <c r="Z609" s="48">
        <v>0.75</v>
      </c>
      <c r="AA609" s="48">
        <v>0.83333333333333326</v>
      </c>
      <c r="AB609" s="48">
        <v>0.75</v>
      </c>
      <c r="AC609" s="48">
        <v>0.91666666666666674</v>
      </c>
      <c r="AD609" s="48">
        <v>0.91666666666666674</v>
      </c>
      <c r="AE609" s="48">
        <v>0.83333333333333326</v>
      </c>
      <c r="AF609" s="48">
        <v>0.75</v>
      </c>
      <c r="AG609" s="48">
        <v>0.75</v>
      </c>
      <c r="AH609" s="48">
        <v>0.83333333333333326</v>
      </c>
      <c r="AI609" s="48">
        <v>0.75</v>
      </c>
      <c r="AJ609" s="48">
        <v>0.75</v>
      </c>
      <c r="AK609" s="48">
        <v>0.75</v>
      </c>
      <c r="AL609" s="48">
        <v>0.75</v>
      </c>
      <c r="AM609">
        <v>31</v>
      </c>
      <c r="AO609">
        <v>28.999999999999975</v>
      </c>
    </row>
    <row r="610" spans="1:41" hidden="1" x14ac:dyDescent="0.25">
      <c r="A610">
        <v>609</v>
      </c>
      <c r="B610">
        <v>2025</v>
      </c>
      <c r="C610">
        <v>10</v>
      </c>
      <c r="D610" t="s">
        <v>154</v>
      </c>
      <c r="E610">
        <v>31</v>
      </c>
      <c r="F610">
        <v>9</v>
      </c>
      <c r="G610" t="s">
        <v>430</v>
      </c>
      <c r="H610" s="48" t="s">
        <v>375</v>
      </c>
      <c r="I610" s="48" t="s">
        <v>375</v>
      </c>
      <c r="J610" s="48" t="s">
        <v>375</v>
      </c>
      <c r="K610" s="48" t="s">
        <v>375</v>
      </c>
      <c r="L610" s="48" t="s">
        <v>375</v>
      </c>
      <c r="M610" s="48" t="s">
        <v>375</v>
      </c>
      <c r="N610" s="48" t="s">
        <v>375</v>
      </c>
      <c r="O610" s="48" t="s">
        <v>375</v>
      </c>
      <c r="P610" s="48" t="s">
        <v>375</v>
      </c>
      <c r="Q610" s="48" t="s">
        <v>375</v>
      </c>
      <c r="R610" s="48" t="s">
        <v>375</v>
      </c>
      <c r="S610" s="48" t="s">
        <v>375</v>
      </c>
      <c r="T610" s="48" t="s">
        <v>375</v>
      </c>
      <c r="U610" s="48" t="s">
        <v>375</v>
      </c>
      <c r="V610" s="48" t="s">
        <v>375</v>
      </c>
      <c r="W610" s="48" t="s">
        <v>375</v>
      </c>
      <c r="X610" s="48" t="s">
        <v>375</v>
      </c>
      <c r="Y610" s="48" t="s">
        <v>320</v>
      </c>
      <c r="Z610" s="48" t="s">
        <v>320</v>
      </c>
      <c r="AA610" s="48" t="s">
        <v>320</v>
      </c>
      <c r="AB610" s="48" t="s">
        <v>320</v>
      </c>
      <c r="AC610" s="48" t="s">
        <v>320</v>
      </c>
      <c r="AD610" s="48" t="s">
        <v>320</v>
      </c>
      <c r="AE610" s="48" t="s">
        <v>320</v>
      </c>
      <c r="AF610" s="48" t="s">
        <v>320</v>
      </c>
      <c r="AG610" s="48" t="s">
        <v>320</v>
      </c>
      <c r="AH610" s="48" t="s">
        <v>320</v>
      </c>
      <c r="AI610" s="48" t="s">
        <v>320</v>
      </c>
      <c r="AJ610" s="48" t="s">
        <v>320</v>
      </c>
      <c r="AK610" s="48" t="s">
        <v>320</v>
      </c>
      <c r="AL610" s="48" t="s">
        <v>320</v>
      </c>
    </row>
    <row r="611" spans="1:41" hidden="1" x14ac:dyDescent="0.25">
      <c r="A611">
        <v>610</v>
      </c>
      <c r="B611">
        <v>2025</v>
      </c>
      <c r="C611">
        <v>10</v>
      </c>
      <c r="D611" t="s">
        <v>154</v>
      </c>
      <c r="E611">
        <v>31</v>
      </c>
      <c r="F611">
        <v>9</v>
      </c>
      <c r="G611" t="s">
        <v>431</v>
      </c>
      <c r="H611" s="48">
        <v>0.83333333333333326</v>
      </c>
      <c r="I611" s="48">
        <v>0.83333333333333326</v>
      </c>
      <c r="J611" s="48">
        <v>0.83333333333333326</v>
      </c>
      <c r="K611" s="48">
        <v>0.875</v>
      </c>
      <c r="L611" s="48">
        <v>0.83333333333333326</v>
      </c>
      <c r="M611" s="48">
        <v>0.875</v>
      </c>
      <c r="N611" s="48">
        <v>0.83333333333333326</v>
      </c>
      <c r="O611" s="48">
        <v>0.83333333333333326</v>
      </c>
      <c r="P611" s="48">
        <v>0.83333333333333326</v>
      </c>
      <c r="Q611" s="48">
        <v>0.83333333333333326</v>
      </c>
      <c r="R611" s="48">
        <v>0.83333333333333326</v>
      </c>
      <c r="S611" s="48">
        <v>0.83333333333333326</v>
      </c>
      <c r="T611" s="48">
        <v>0.83333333333333326</v>
      </c>
      <c r="U611" s="48">
        <v>0.83333333333333326</v>
      </c>
      <c r="V611" s="48">
        <v>0.83333333333333326</v>
      </c>
      <c r="W611" s="48">
        <v>0.83333333333333326</v>
      </c>
      <c r="X611" s="48">
        <v>0.83333333333333326</v>
      </c>
      <c r="Y611" s="48" t="s">
        <v>320</v>
      </c>
      <c r="Z611" s="48" t="s">
        <v>320</v>
      </c>
      <c r="AA611" s="48" t="s">
        <v>320</v>
      </c>
      <c r="AB611" s="48" t="s">
        <v>320</v>
      </c>
      <c r="AC611" s="48" t="s">
        <v>320</v>
      </c>
      <c r="AD611" s="48" t="s">
        <v>320</v>
      </c>
      <c r="AE611" s="48" t="s">
        <v>320</v>
      </c>
      <c r="AF611" s="48" t="s">
        <v>320</v>
      </c>
      <c r="AG611" s="48" t="s">
        <v>320</v>
      </c>
      <c r="AH611" s="48" t="s">
        <v>320</v>
      </c>
      <c r="AI611" s="48" t="s">
        <v>320</v>
      </c>
      <c r="AJ611" s="48" t="s">
        <v>320</v>
      </c>
      <c r="AK611" s="48" t="s">
        <v>320</v>
      </c>
      <c r="AL611" s="48" t="s">
        <v>320</v>
      </c>
      <c r="AM611">
        <v>17</v>
      </c>
      <c r="AO611">
        <v>35.999999999999943</v>
      </c>
    </row>
    <row r="612" spans="1:41" hidden="1" x14ac:dyDescent="0.25">
      <c r="A612">
        <v>611</v>
      </c>
      <c r="B612">
        <v>2025</v>
      </c>
      <c r="C612">
        <v>10</v>
      </c>
      <c r="D612" t="s">
        <v>153</v>
      </c>
      <c r="E612">
        <v>31</v>
      </c>
      <c r="F612">
        <v>9</v>
      </c>
      <c r="G612" t="s">
        <v>430</v>
      </c>
      <c r="H612" s="48" t="s">
        <v>377</v>
      </c>
      <c r="I612" s="48" t="s">
        <v>377</v>
      </c>
      <c r="J612" s="48" t="s">
        <v>377</v>
      </c>
      <c r="K612" s="48" t="s">
        <v>377</v>
      </c>
      <c r="L612" s="48" t="s">
        <v>377</v>
      </c>
      <c r="M612" s="48" t="s">
        <v>377</v>
      </c>
      <c r="N612" s="48" t="s">
        <v>377</v>
      </c>
      <c r="O612" s="48" t="s">
        <v>377</v>
      </c>
      <c r="P612" s="48" t="s">
        <v>377</v>
      </c>
      <c r="Q612" s="48" t="s">
        <v>377</v>
      </c>
      <c r="R612" s="48" t="s">
        <v>377</v>
      </c>
      <c r="S612" s="48" t="s">
        <v>377</v>
      </c>
      <c r="T612" s="48" t="s">
        <v>377</v>
      </c>
      <c r="U612" s="48" t="s">
        <v>377</v>
      </c>
      <c r="V612" s="48" t="s">
        <v>377</v>
      </c>
      <c r="W612" s="48" t="s">
        <v>377</v>
      </c>
      <c r="X612" s="48" t="s">
        <v>377</v>
      </c>
      <c r="Y612" s="48" t="s">
        <v>377</v>
      </c>
      <c r="Z612" s="48" t="s">
        <v>377</v>
      </c>
      <c r="AA612" s="48" t="s">
        <v>377</v>
      </c>
      <c r="AB612" s="48" t="s">
        <v>377</v>
      </c>
      <c r="AC612" s="48" t="s">
        <v>377</v>
      </c>
      <c r="AD612" s="48" t="s">
        <v>377</v>
      </c>
      <c r="AE612" s="48" t="s">
        <v>377</v>
      </c>
      <c r="AF612" s="48" t="s">
        <v>320</v>
      </c>
      <c r="AG612" s="48" t="s">
        <v>320</v>
      </c>
      <c r="AH612" s="48" t="s">
        <v>320</v>
      </c>
      <c r="AI612" s="48" t="s">
        <v>320</v>
      </c>
      <c r="AJ612" s="48" t="s">
        <v>320</v>
      </c>
      <c r="AK612" s="48" t="s">
        <v>320</v>
      </c>
      <c r="AL612" s="48" t="s">
        <v>320</v>
      </c>
    </row>
    <row r="613" spans="1:41" hidden="1" x14ac:dyDescent="0.25">
      <c r="A613">
        <v>612</v>
      </c>
      <c r="B613">
        <v>2025</v>
      </c>
      <c r="C613">
        <v>10</v>
      </c>
      <c r="D613" t="s">
        <v>153</v>
      </c>
      <c r="E613">
        <v>31</v>
      </c>
      <c r="F613">
        <v>9</v>
      </c>
      <c r="G613" t="s">
        <v>431</v>
      </c>
      <c r="H613" s="48">
        <v>0.8125</v>
      </c>
      <c r="I613" s="48">
        <v>0.8125</v>
      </c>
      <c r="J613" s="48">
        <v>0.8125</v>
      </c>
      <c r="K613" s="48">
        <v>0.8125</v>
      </c>
      <c r="L613" s="48">
        <v>0.8125</v>
      </c>
      <c r="M613" s="48">
        <v>0.8125</v>
      </c>
      <c r="N613" s="48">
        <v>0.8125</v>
      </c>
      <c r="O613" s="48">
        <v>0.8125</v>
      </c>
      <c r="P613" s="48">
        <v>0.8125</v>
      </c>
      <c r="Q613" s="48">
        <v>0.8125</v>
      </c>
      <c r="R613" s="48">
        <v>0.8125</v>
      </c>
      <c r="S613" s="48">
        <v>0.8125</v>
      </c>
      <c r="T613" s="48">
        <v>0.8125</v>
      </c>
      <c r="U613" s="48">
        <v>0.8125</v>
      </c>
      <c r="V613" s="48">
        <v>0.8125</v>
      </c>
      <c r="W613" s="48">
        <v>0.8125</v>
      </c>
      <c r="X613" s="48">
        <v>0.8125</v>
      </c>
      <c r="Y613" s="48">
        <v>0.8125</v>
      </c>
      <c r="Z613" s="48">
        <v>0.8125</v>
      </c>
      <c r="AA613" s="48">
        <v>0.8125</v>
      </c>
      <c r="AB613" s="48">
        <v>0.8125</v>
      </c>
      <c r="AC613" s="48">
        <v>0.8125</v>
      </c>
      <c r="AD613" s="48">
        <v>0.8125</v>
      </c>
      <c r="AE613" s="48">
        <v>0.8125</v>
      </c>
      <c r="AF613" s="48" t="s">
        <v>320</v>
      </c>
      <c r="AG613" s="48" t="s">
        <v>320</v>
      </c>
      <c r="AH613" s="48" t="s">
        <v>320</v>
      </c>
      <c r="AI613" s="48" t="s">
        <v>320</v>
      </c>
      <c r="AJ613" s="48" t="s">
        <v>320</v>
      </c>
      <c r="AK613" s="48" t="s">
        <v>320</v>
      </c>
      <c r="AL613" s="48" t="s">
        <v>320</v>
      </c>
      <c r="AM613">
        <v>24</v>
      </c>
      <c r="AO613">
        <v>72</v>
      </c>
    </row>
    <row r="614" spans="1:41" hidden="1" x14ac:dyDescent="0.25">
      <c r="A614">
        <v>613</v>
      </c>
      <c r="B614">
        <v>2025</v>
      </c>
      <c r="C614">
        <v>10</v>
      </c>
      <c r="D614" t="s">
        <v>162</v>
      </c>
      <c r="E614">
        <v>31</v>
      </c>
      <c r="F614">
        <v>9</v>
      </c>
      <c r="G614" t="s">
        <v>430</v>
      </c>
      <c r="H614" s="48" t="s">
        <v>382</v>
      </c>
      <c r="I614" s="48" t="s">
        <v>382</v>
      </c>
      <c r="J614" s="48" t="s">
        <v>382</v>
      </c>
      <c r="K614" s="48" t="s">
        <v>382</v>
      </c>
      <c r="L614" s="48" t="s">
        <v>382</v>
      </c>
      <c r="M614" s="48" t="s">
        <v>382</v>
      </c>
      <c r="N614" s="48" t="s">
        <v>382</v>
      </c>
      <c r="O614" s="48" t="s">
        <v>382</v>
      </c>
      <c r="P614" s="48" t="s">
        <v>382</v>
      </c>
      <c r="Q614" s="48" t="s">
        <v>382</v>
      </c>
      <c r="R614" s="48" t="s">
        <v>382</v>
      </c>
      <c r="S614" s="48" t="s">
        <v>382</v>
      </c>
      <c r="T614" s="48" t="s">
        <v>382</v>
      </c>
      <c r="U614" s="48" t="s">
        <v>382</v>
      </c>
      <c r="V614" s="48" t="s">
        <v>382</v>
      </c>
      <c r="W614" s="48" t="s">
        <v>382</v>
      </c>
      <c r="X614" s="48" t="s">
        <v>382</v>
      </c>
      <c r="Y614" s="48" t="s">
        <v>382</v>
      </c>
      <c r="Z614" s="48" t="s">
        <v>320</v>
      </c>
      <c r="AA614" s="48" t="s">
        <v>382</v>
      </c>
      <c r="AB614" s="48" t="s">
        <v>382</v>
      </c>
      <c r="AC614" s="48" t="s">
        <v>382</v>
      </c>
      <c r="AD614" s="48" t="s">
        <v>382</v>
      </c>
      <c r="AE614" s="48" t="s">
        <v>382</v>
      </c>
      <c r="AF614" s="48" t="s">
        <v>382</v>
      </c>
      <c r="AG614" s="48" t="s">
        <v>382</v>
      </c>
      <c r="AH614" s="48" t="s">
        <v>382</v>
      </c>
      <c r="AI614" s="48" t="s">
        <v>382</v>
      </c>
      <c r="AJ614" s="48" t="s">
        <v>382</v>
      </c>
      <c r="AK614" s="48" t="s">
        <v>382</v>
      </c>
      <c r="AL614" s="48" t="s">
        <v>382</v>
      </c>
    </row>
    <row r="615" spans="1:41" hidden="1" x14ac:dyDescent="0.25">
      <c r="A615">
        <v>614</v>
      </c>
      <c r="B615">
        <v>2025</v>
      </c>
      <c r="C615">
        <v>10</v>
      </c>
      <c r="D615" t="s">
        <v>162</v>
      </c>
      <c r="E615">
        <v>31</v>
      </c>
      <c r="F615">
        <v>9</v>
      </c>
      <c r="G615" t="s">
        <v>431</v>
      </c>
      <c r="H615" s="48">
        <v>0.79166666666666674</v>
      </c>
      <c r="I615" s="48">
        <v>0.79166666666666674</v>
      </c>
      <c r="J615" s="48">
        <v>0.79166666666666674</v>
      </c>
      <c r="K615" s="48">
        <v>0.79166666666666674</v>
      </c>
      <c r="L615" s="48">
        <v>0.79166666666666674</v>
      </c>
      <c r="M615" s="48">
        <v>0.79166666666666674</v>
      </c>
      <c r="N615" s="48">
        <v>0.79166666666666674</v>
      </c>
      <c r="O615" s="48">
        <v>0.79166666666666674</v>
      </c>
      <c r="P615" s="48">
        <v>0.79166666666666674</v>
      </c>
      <c r="Q615" s="48">
        <v>0.79166666666666674</v>
      </c>
      <c r="R615" s="48">
        <v>0.79166666666666674</v>
      </c>
      <c r="S615" s="48">
        <v>0.79166666666666674</v>
      </c>
      <c r="T615" s="48">
        <v>0.79166666666666674</v>
      </c>
      <c r="U615" s="48">
        <v>0.79166666666666674</v>
      </c>
      <c r="V615" s="48">
        <v>0.79166666666666674</v>
      </c>
      <c r="W615" s="48">
        <v>0.79166666666666674</v>
      </c>
      <c r="X615" s="48">
        <v>0.79166666666666674</v>
      </c>
      <c r="Y615" s="48">
        <v>0.79166666666666674</v>
      </c>
      <c r="Z615" s="48" t="s">
        <v>320</v>
      </c>
      <c r="AA615" s="48">
        <v>0.79166666666666674</v>
      </c>
      <c r="AB615" s="48">
        <v>0.79166666666666674</v>
      </c>
      <c r="AC615" s="48">
        <v>0.79166666666666674</v>
      </c>
      <c r="AD615" s="48">
        <v>0.79166666666666674</v>
      </c>
      <c r="AE615" s="48">
        <v>0.79166666666666674</v>
      </c>
      <c r="AF615" s="48">
        <v>0.79166666666666674</v>
      </c>
      <c r="AG615" s="48">
        <v>0.79166666666666674</v>
      </c>
      <c r="AH615" s="48">
        <v>0.79166666666666674</v>
      </c>
      <c r="AI615" s="48">
        <v>0.79166666666666674</v>
      </c>
      <c r="AJ615" s="48">
        <v>0.79166666666666674</v>
      </c>
      <c r="AK615" s="48">
        <v>0.79166666666666674</v>
      </c>
      <c r="AL615" s="48">
        <v>0.79166666666666674</v>
      </c>
      <c r="AM615">
        <v>30</v>
      </c>
      <c r="AO615">
        <v>90</v>
      </c>
    </row>
    <row r="616" spans="1:41" hidden="1" x14ac:dyDescent="0.25">
      <c r="A616">
        <v>615</v>
      </c>
      <c r="B616">
        <v>2025</v>
      </c>
      <c r="C616">
        <v>10</v>
      </c>
      <c r="D616" t="s">
        <v>171</v>
      </c>
      <c r="E616">
        <v>31</v>
      </c>
      <c r="F616">
        <v>9</v>
      </c>
      <c r="G616" t="s">
        <v>430</v>
      </c>
      <c r="H616" s="48" t="s">
        <v>375</v>
      </c>
      <c r="I616" s="48" t="s">
        <v>375</v>
      </c>
      <c r="J616" s="48" t="s">
        <v>375</v>
      </c>
      <c r="K616" s="48" t="s">
        <v>375</v>
      </c>
      <c r="L616" s="48" t="s">
        <v>375</v>
      </c>
      <c r="M616" s="48" t="s">
        <v>375</v>
      </c>
      <c r="N616" s="48" t="s">
        <v>375</v>
      </c>
      <c r="O616" s="48" t="s">
        <v>375</v>
      </c>
      <c r="P616" s="48" t="s">
        <v>375</v>
      </c>
      <c r="Q616" s="48" t="s">
        <v>375</v>
      </c>
      <c r="R616" s="48" t="s">
        <v>375</v>
      </c>
      <c r="S616" s="48" t="s">
        <v>375</v>
      </c>
      <c r="T616" s="48" t="s">
        <v>375</v>
      </c>
      <c r="U616" s="48" t="s">
        <v>375</v>
      </c>
      <c r="V616" s="48" t="s">
        <v>375</v>
      </c>
      <c r="W616" s="48" t="s">
        <v>375</v>
      </c>
      <c r="X616" s="48" t="s">
        <v>375</v>
      </c>
      <c r="Y616" s="48" t="s">
        <v>375</v>
      </c>
      <c r="Z616" s="48" t="s">
        <v>375</v>
      </c>
      <c r="AA616" s="48" t="s">
        <v>375</v>
      </c>
      <c r="AB616" s="48" t="s">
        <v>375</v>
      </c>
      <c r="AC616" s="48" t="s">
        <v>375</v>
      </c>
      <c r="AD616" s="48" t="s">
        <v>375</v>
      </c>
      <c r="AE616" s="48" t="s">
        <v>375</v>
      </c>
      <c r="AF616" s="48" t="s">
        <v>375</v>
      </c>
      <c r="AG616" s="48" t="s">
        <v>375</v>
      </c>
      <c r="AH616" s="48" t="s">
        <v>375</v>
      </c>
      <c r="AI616" s="48" t="s">
        <v>375</v>
      </c>
      <c r="AJ616" s="48" t="s">
        <v>375</v>
      </c>
      <c r="AK616" s="48" t="s">
        <v>375</v>
      </c>
      <c r="AL616" s="48" t="s">
        <v>375</v>
      </c>
    </row>
    <row r="617" spans="1:41" hidden="1" x14ac:dyDescent="0.25">
      <c r="A617">
        <v>616</v>
      </c>
      <c r="B617">
        <v>2025</v>
      </c>
      <c r="C617">
        <v>10</v>
      </c>
      <c r="D617" t="s">
        <v>171</v>
      </c>
      <c r="E617">
        <v>31</v>
      </c>
      <c r="F617">
        <v>9</v>
      </c>
      <c r="G617" t="s">
        <v>431</v>
      </c>
      <c r="H617" s="48">
        <v>0.83333333333333326</v>
      </c>
      <c r="I617" s="48">
        <v>0.83333333333333326</v>
      </c>
      <c r="J617" s="48">
        <v>0.83333333333333326</v>
      </c>
      <c r="K617" s="48">
        <v>0.83333333333333326</v>
      </c>
      <c r="L617" s="48">
        <v>0.83333333333333326</v>
      </c>
      <c r="M617" s="48">
        <v>0.83333333333333326</v>
      </c>
      <c r="N617" s="48">
        <v>0.83333333333333326</v>
      </c>
      <c r="O617" s="48">
        <v>0.83333333333333326</v>
      </c>
      <c r="P617" s="48">
        <v>0.83333333333333326</v>
      </c>
      <c r="Q617" s="48">
        <v>0.83333333333333326</v>
      </c>
      <c r="R617" s="48">
        <v>0.83333333333333326</v>
      </c>
      <c r="S617" s="48">
        <v>0.83333333333333326</v>
      </c>
      <c r="T617" s="48">
        <v>0.83333333333333326</v>
      </c>
      <c r="U617" s="48">
        <v>0.83333333333333326</v>
      </c>
      <c r="V617" s="48">
        <v>0.83333333333333326</v>
      </c>
      <c r="W617" s="48">
        <v>0.83333333333333326</v>
      </c>
      <c r="X617" s="48">
        <v>0.83333333333333326</v>
      </c>
      <c r="Y617" s="48">
        <v>0.83333333333333326</v>
      </c>
      <c r="Z617" s="48">
        <v>0.83333333333333326</v>
      </c>
      <c r="AA617" s="48">
        <v>0.83333333333333326</v>
      </c>
      <c r="AB617" s="48">
        <v>0.83333333333333326</v>
      </c>
      <c r="AC617" s="48">
        <v>0.83333333333333326</v>
      </c>
      <c r="AD617" s="48">
        <v>0.83333333333333326</v>
      </c>
      <c r="AE617" s="48">
        <v>0.83333333333333326</v>
      </c>
      <c r="AF617" s="48">
        <v>0.83333333333333326</v>
      </c>
      <c r="AG617" s="48">
        <v>0.83333333333333326</v>
      </c>
      <c r="AH617" s="48">
        <v>0.83333333333333326</v>
      </c>
      <c r="AI617" s="48">
        <v>0.83333333333333326</v>
      </c>
      <c r="AJ617" s="48">
        <v>0.83333333333333326</v>
      </c>
      <c r="AK617" s="48">
        <v>0.83333333333333326</v>
      </c>
      <c r="AL617" s="48">
        <v>0.91666666666666674</v>
      </c>
      <c r="AM617">
        <v>31</v>
      </c>
      <c r="AO617">
        <v>63.999999999999943</v>
      </c>
    </row>
    <row r="618" spans="1:41" hidden="1" x14ac:dyDescent="0.25">
      <c r="A618">
        <v>617</v>
      </c>
      <c r="B618">
        <v>2025</v>
      </c>
      <c r="C618">
        <v>10</v>
      </c>
      <c r="D618" t="s">
        <v>178</v>
      </c>
      <c r="E618">
        <v>31</v>
      </c>
      <c r="F618">
        <v>9</v>
      </c>
      <c r="G618" t="s">
        <v>430</v>
      </c>
      <c r="H618" s="48" t="s">
        <v>320</v>
      </c>
      <c r="I618" s="48" t="s">
        <v>320</v>
      </c>
      <c r="J618" s="48" t="s">
        <v>320</v>
      </c>
      <c r="K618" s="48" t="s">
        <v>320</v>
      </c>
      <c r="L618" s="48" t="s">
        <v>320</v>
      </c>
      <c r="M618" s="48" t="s">
        <v>320</v>
      </c>
      <c r="N618" s="48" t="s">
        <v>320</v>
      </c>
      <c r="O618" s="48" t="s">
        <v>320</v>
      </c>
      <c r="P618" s="48" t="s">
        <v>320</v>
      </c>
      <c r="Q618" s="48" t="s">
        <v>320</v>
      </c>
      <c r="R618" s="48" t="s">
        <v>320</v>
      </c>
      <c r="S618" s="48" t="s">
        <v>320</v>
      </c>
      <c r="T618" s="48" t="s">
        <v>375</v>
      </c>
      <c r="U618" s="48" t="s">
        <v>375</v>
      </c>
      <c r="V618" s="48" t="s">
        <v>375</v>
      </c>
      <c r="W618" s="48" t="s">
        <v>375</v>
      </c>
      <c r="X618" s="48" t="s">
        <v>375</v>
      </c>
      <c r="Y618" s="48" t="s">
        <v>375</v>
      </c>
      <c r="Z618" s="48" t="s">
        <v>375</v>
      </c>
      <c r="AA618" s="48" t="s">
        <v>375</v>
      </c>
      <c r="AB618" s="48" t="s">
        <v>375</v>
      </c>
      <c r="AC618" s="48" t="s">
        <v>375</v>
      </c>
      <c r="AD618" s="48" t="s">
        <v>375</v>
      </c>
      <c r="AE618" s="48" t="s">
        <v>375</v>
      </c>
      <c r="AF618" s="48" t="s">
        <v>375</v>
      </c>
      <c r="AG618" s="48" t="s">
        <v>375</v>
      </c>
      <c r="AH618" s="48" t="s">
        <v>375</v>
      </c>
      <c r="AI618" s="48" t="s">
        <v>375</v>
      </c>
      <c r="AJ618" s="48" t="s">
        <v>375</v>
      </c>
      <c r="AK618" s="48" t="s">
        <v>375</v>
      </c>
      <c r="AL618" s="48" t="s">
        <v>375</v>
      </c>
    </row>
    <row r="619" spans="1:41" hidden="1" x14ac:dyDescent="0.25">
      <c r="A619">
        <v>618</v>
      </c>
      <c r="B619">
        <v>2025</v>
      </c>
      <c r="C619">
        <v>10</v>
      </c>
      <c r="D619" t="s">
        <v>178</v>
      </c>
      <c r="E619">
        <v>31</v>
      </c>
      <c r="F619">
        <v>9</v>
      </c>
      <c r="G619" t="s">
        <v>431</v>
      </c>
      <c r="H619" s="48" t="s">
        <v>320</v>
      </c>
      <c r="I619" s="48" t="s">
        <v>320</v>
      </c>
      <c r="J619" s="48" t="s">
        <v>320</v>
      </c>
      <c r="K619" s="48" t="s">
        <v>320</v>
      </c>
      <c r="L619" s="48" t="s">
        <v>320</v>
      </c>
      <c r="M619" s="48" t="s">
        <v>320</v>
      </c>
      <c r="N619" s="48" t="s">
        <v>320</v>
      </c>
      <c r="O619" s="48" t="s">
        <v>320</v>
      </c>
      <c r="P619" s="48" t="s">
        <v>320</v>
      </c>
      <c r="Q619" s="48" t="s">
        <v>320</v>
      </c>
      <c r="R619" s="48" t="s">
        <v>320</v>
      </c>
      <c r="S619" s="48" t="s">
        <v>320</v>
      </c>
      <c r="T619" s="48">
        <v>0.83333333333333326</v>
      </c>
      <c r="U619" s="48">
        <v>0.83333333333333326</v>
      </c>
      <c r="V619" s="48">
        <v>0.83333333333333326</v>
      </c>
      <c r="W619" s="48">
        <v>0.83333333333333326</v>
      </c>
      <c r="X619" s="48">
        <v>0.83333333333333326</v>
      </c>
      <c r="Y619" s="48">
        <v>0.83333333333333326</v>
      </c>
      <c r="Z619" s="48">
        <v>0.83333333333333326</v>
      </c>
      <c r="AA619" s="48">
        <v>0.83333333333333326</v>
      </c>
      <c r="AB619" s="48">
        <v>0.83333333333333326</v>
      </c>
      <c r="AC619" s="48">
        <v>0.91666666666666674</v>
      </c>
      <c r="AD619" s="48">
        <v>0.83333333333333326</v>
      </c>
      <c r="AE619" s="48">
        <v>0.91666666666666674</v>
      </c>
      <c r="AF619" s="48">
        <v>0.83333333333333326</v>
      </c>
      <c r="AG619" s="48">
        <v>0.83333333333333326</v>
      </c>
      <c r="AH619" s="48">
        <v>0.875</v>
      </c>
      <c r="AI619" s="48">
        <v>0.83333333333333326</v>
      </c>
      <c r="AJ619" s="48">
        <v>0.83333333333333326</v>
      </c>
      <c r="AK619" s="48">
        <v>0.83333333333333326</v>
      </c>
      <c r="AL619" s="48">
        <v>0.91666666666666674</v>
      </c>
      <c r="AM619">
        <v>19</v>
      </c>
      <c r="AO619">
        <v>44.999999999999957</v>
      </c>
    </row>
    <row r="620" spans="1:41" hidden="1" x14ac:dyDescent="0.25">
      <c r="A620">
        <v>619</v>
      </c>
      <c r="B620">
        <v>2025</v>
      </c>
      <c r="C620">
        <v>10</v>
      </c>
      <c r="D620" t="s">
        <v>181</v>
      </c>
      <c r="E620">
        <v>31</v>
      </c>
      <c r="F620">
        <v>9</v>
      </c>
      <c r="G620" t="s">
        <v>430</v>
      </c>
      <c r="H620" s="48" t="s">
        <v>320</v>
      </c>
      <c r="I620" s="48" t="s">
        <v>320</v>
      </c>
      <c r="J620" s="48" t="s">
        <v>320</v>
      </c>
      <c r="K620" s="48" t="s">
        <v>320</v>
      </c>
      <c r="L620" s="48" t="s">
        <v>320</v>
      </c>
      <c r="M620" s="48" t="s">
        <v>320</v>
      </c>
      <c r="N620" s="48" t="s">
        <v>320</v>
      </c>
      <c r="O620" s="48" t="s">
        <v>320</v>
      </c>
      <c r="P620" s="48" t="s">
        <v>320</v>
      </c>
      <c r="Q620" s="48" t="s">
        <v>320</v>
      </c>
      <c r="R620" s="48" t="s">
        <v>320</v>
      </c>
      <c r="S620" s="48" t="s">
        <v>320</v>
      </c>
      <c r="T620" s="48" t="s">
        <v>320</v>
      </c>
      <c r="U620" s="48" t="s">
        <v>320</v>
      </c>
      <c r="V620" s="48" t="s">
        <v>320</v>
      </c>
      <c r="W620" s="48" t="s">
        <v>320</v>
      </c>
      <c r="X620" s="48" t="s">
        <v>320</v>
      </c>
      <c r="Y620" s="48" t="s">
        <v>320</v>
      </c>
      <c r="Z620" s="48" t="s">
        <v>320</v>
      </c>
      <c r="AA620" s="48" t="s">
        <v>320</v>
      </c>
      <c r="AB620" s="48" t="s">
        <v>320</v>
      </c>
      <c r="AC620" s="48" t="s">
        <v>320</v>
      </c>
      <c r="AD620" s="48" t="s">
        <v>320</v>
      </c>
      <c r="AE620" s="48" t="s">
        <v>320</v>
      </c>
      <c r="AF620" s="48" t="s">
        <v>320</v>
      </c>
      <c r="AG620" s="48" t="s">
        <v>320</v>
      </c>
      <c r="AH620" s="48" t="s">
        <v>320</v>
      </c>
      <c r="AI620" s="48" t="s">
        <v>320</v>
      </c>
      <c r="AJ620" s="48" t="s">
        <v>320</v>
      </c>
      <c r="AK620" s="48" t="s">
        <v>375</v>
      </c>
      <c r="AL620" s="48" t="s">
        <v>375</v>
      </c>
    </row>
    <row r="621" spans="1:41" hidden="1" x14ac:dyDescent="0.25">
      <c r="A621">
        <v>620</v>
      </c>
      <c r="B621">
        <v>2025</v>
      </c>
      <c r="C621">
        <v>10</v>
      </c>
      <c r="D621" t="s">
        <v>181</v>
      </c>
      <c r="E621">
        <v>31</v>
      </c>
      <c r="F621">
        <v>9</v>
      </c>
      <c r="G621" t="s">
        <v>431</v>
      </c>
      <c r="H621" s="48" t="s">
        <v>320</v>
      </c>
      <c r="I621" s="48" t="s">
        <v>320</v>
      </c>
      <c r="J621" s="48" t="s">
        <v>320</v>
      </c>
      <c r="K621" s="48" t="s">
        <v>320</v>
      </c>
      <c r="L621" s="48" t="s">
        <v>320</v>
      </c>
      <c r="M621" s="48" t="s">
        <v>320</v>
      </c>
      <c r="N621" s="48" t="s">
        <v>320</v>
      </c>
      <c r="O621" s="48" t="s">
        <v>320</v>
      </c>
      <c r="P621" s="48" t="s">
        <v>320</v>
      </c>
      <c r="Q621" s="48" t="s">
        <v>320</v>
      </c>
      <c r="R621" s="48" t="s">
        <v>320</v>
      </c>
      <c r="S621" s="48" t="s">
        <v>320</v>
      </c>
      <c r="T621" s="48" t="s">
        <v>320</v>
      </c>
      <c r="U621" s="48" t="s">
        <v>320</v>
      </c>
      <c r="V621" s="48" t="s">
        <v>320</v>
      </c>
      <c r="W621" s="48" t="s">
        <v>320</v>
      </c>
      <c r="X621" s="48" t="s">
        <v>320</v>
      </c>
      <c r="Y621" s="48" t="s">
        <v>320</v>
      </c>
      <c r="Z621" s="48" t="s">
        <v>320</v>
      </c>
      <c r="AA621" s="48" t="s">
        <v>320</v>
      </c>
      <c r="AB621" s="48" t="s">
        <v>320</v>
      </c>
      <c r="AC621" s="48" t="s">
        <v>320</v>
      </c>
      <c r="AD621" s="48" t="s">
        <v>320</v>
      </c>
      <c r="AE621" s="48" t="s">
        <v>320</v>
      </c>
      <c r="AF621" s="48" t="s">
        <v>320</v>
      </c>
      <c r="AG621" s="48" t="s">
        <v>320</v>
      </c>
      <c r="AH621" s="48" t="s">
        <v>320</v>
      </c>
      <c r="AI621" s="48" t="s">
        <v>320</v>
      </c>
      <c r="AJ621" s="48" t="s">
        <v>320</v>
      </c>
      <c r="AK621" s="48">
        <v>0.75</v>
      </c>
      <c r="AL621" s="48">
        <v>0.75</v>
      </c>
      <c r="AM621">
        <v>2</v>
      </c>
    </row>
    <row r="622" spans="1:41" hidden="1" x14ac:dyDescent="0.25">
      <c r="A622">
        <v>621</v>
      </c>
      <c r="B622">
        <v>2025</v>
      </c>
      <c r="C622">
        <v>10</v>
      </c>
      <c r="D622" t="s">
        <v>161</v>
      </c>
      <c r="E622">
        <v>31</v>
      </c>
      <c r="F622">
        <v>9</v>
      </c>
      <c r="G622" t="s">
        <v>430</v>
      </c>
      <c r="H622" s="48" t="s">
        <v>375</v>
      </c>
      <c r="I622" s="48" t="s">
        <v>375</v>
      </c>
      <c r="J622" s="48" t="s">
        <v>375</v>
      </c>
      <c r="K622" s="48" t="s">
        <v>375</v>
      </c>
      <c r="L622" s="48" t="s">
        <v>375</v>
      </c>
      <c r="M622" s="48" t="s">
        <v>375</v>
      </c>
      <c r="N622" s="48" t="s">
        <v>375</v>
      </c>
      <c r="O622" s="48" t="s">
        <v>375</v>
      </c>
      <c r="P622" s="48" t="s">
        <v>375</v>
      </c>
      <c r="Q622" s="48" t="s">
        <v>375</v>
      </c>
      <c r="R622" s="48" t="s">
        <v>375</v>
      </c>
      <c r="S622" s="48" t="s">
        <v>375</v>
      </c>
      <c r="T622" s="48" t="s">
        <v>375</v>
      </c>
      <c r="U622" s="48" t="s">
        <v>375</v>
      </c>
      <c r="V622" s="48" t="s">
        <v>375</v>
      </c>
      <c r="W622" s="48" t="s">
        <v>375</v>
      </c>
      <c r="X622" s="48" t="s">
        <v>375</v>
      </c>
      <c r="Y622" s="48" t="s">
        <v>375</v>
      </c>
      <c r="Z622" s="48" t="s">
        <v>375</v>
      </c>
      <c r="AA622" s="48" t="s">
        <v>375</v>
      </c>
      <c r="AB622" s="48" t="s">
        <v>375</v>
      </c>
      <c r="AC622" s="48" t="s">
        <v>375</v>
      </c>
      <c r="AD622" s="48" t="s">
        <v>375</v>
      </c>
      <c r="AE622" s="48" t="s">
        <v>375</v>
      </c>
      <c r="AF622" s="48" t="s">
        <v>375</v>
      </c>
      <c r="AG622" s="48" t="s">
        <v>320</v>
      </c>
      <c r="AH622" s="48" t="s">
        <v>375</v>
      </c>
      <c r="AI622" s="48" t="s">
        <v>375</v>
      </c>
      <c r="AJ622" s="48" t="s">
        <v>375</v>
      </c>
      <c r="AK622" s="48" t="s">
        <v>375</v>
      </c>
      <c r="AL622" s="48" t="s">
        <v>375</v>
      </c>
    </row>
    <row r="623" spans="1:41" hidden="1" x14ac:dyDescent="0.25">
      <c r="A623">
        <v>622</v>
      </c>
      <c r="B623">
        <v>2025</v>
      </c>
      <c r="C623">
        <v>10</v>
      </c>
      <c r="D623" t="s">
        <v>161</v>
      </c>
      <c r="E623">
        <v>31</v>
      </c>
      <c r="F623">
        <v>9</v>
      </c>
      <c r="G623" t="s">
        <v>431</v>
      </c>
      <c r="H623" s="48">
        <v>1</v>
      </c>
      <c r="I623" s="48">
        <v>0.79166666666666674</v>
      </c>
      <c r="J623" s="48">
        <v>1</v>
      </c>
      <c r="K623" s="48">
        <v>0.83333333333333326</v>
      </c>
      <c r="L623" s="48">
        <v>0.75</v>
      </c>
      <c r="M623" s="48">
        <v>0.79166666666666674</v>
      </c>
      <c r="N623" s="48">
        <v>1</v>
      </c>
      <c r="O623" s="48">
        <v>1</v>
      </c>
      <c r="P623" s="48">
        <v>0.79166666666666674</v>
      </c>
      <c r="Q623" s="48">
        <v>1</v>
      </c>
      <c r="R623" s="48">
        <v>0.83333333333333326</v>
      </c>
      <c r="S623" s="48">
        <v>0.75</v>
      </c>
      <c r="T623" s="48">
        <v>0.79166666666666674</v>
      </c>
      <c r="U623" s="48">
        <v>0.91666666666666674</v>
      </c>
      <c r="V623" s="48">
        <v>0.79166666666666674</v>
      </c>
      <c r="W623" s="48">
        <v>0.95833333333333326</v>
      </c>
      <c r="X623" s="48">
        <v>0.75</v>
      </c>
      <c r="Y623" s="48">
        <v>0.91666666666666674</v>
      </c>
      <c r="Z623" s="48">
        <v>0.75</v>
      </c>
      <c r="AA623" s="48">
        <v>0.83333333333333326</v>
      </c>
      <c r="AB623" s="48">
        <v>1</v>
      </c>
      <c r="AC623" s="48">
        <v>1</v>
      </c>
      <c r="AD623" s="48">
        <v>0.875</v>
      </c>
      <c r="AE623" s="48">
        <v>0.75</v>
      </c>
      <c r="AF623" s="48">
        <v>1</v>
      </c>
      <c r="AG623" s="48" t="s">
        <v>320</v>
      </c>
      <c r="AH623" s="48">
        <v>0.83333333333333326</v>
      </c>
      <c r="AI623" s="48">
        <v>1</v>
      </c>
      <c r="AJ623" s="48">
        <v>0.75</v>
      </c>
      <c r="AK623" s="48">
        <v>1</v>
      </c>
      <c r="AL623" s="48">
        <v>0.75</v>
      </c>
      <c r="AM623">
        <v>30</v>
      </c>
      <c r="AO623">
        <v>89</v>
      </c>
    </row>
    <row r="624" spans="1:41" hidden="1" x14ac:dyDescent="0.25">
      <c r="A624">
        <v>623</v>
      </c>
      <c r="B624">
        <v>2025</v>
      </c>
      <c r="C624">
        <v>10</v>
      </c>
      <c r="D624" t="s">
        <v>157</v>
      </c>
      <c r="E624">
        <v>31</v>
      </c>
      <c r="F624">
        <v>9</v>
      </c>
      <c r="G624" t="s">
        <v>430</v>
      </c>
      <c r="H624" s="48">
        <v>0.29166666666666669</v>
      </c>
      <c r="I624" s="48">
        <v>0.29166666666666669</v>
      </c>
      <c r="J624" s="48">
        <v>0.29166666666666669</v>
      </c>
      <c r="K624" s="48">
        <v>0.29166666666666669</v>
      </c>
      <c r="L624" s="48">
        <v>0.29166666666666669</v>
      </c>
      <c r="M624" s="48">
        <v>0.29166666666666669</v>
      </c>
      <c r="N624" s="48">
        <v>0.29166666666666669</v>
      </c>
      <c r="O624" s="48">
        <v>0.29166666666666669</v>
      </c>
      <c r="P624" s="48">
        <v>0.29166666666666669</v>
      </c>
      <c r="Q624" s="48">
        <v>0.29166666666666669</v>
      </c>
      <c r="R624" s="48">
        <v>0.29166666666666669</v>
      </c>
      <c r="S624" s="48">
        <v>0.29166666666666669</v>
      </c>
      <c r="T624" s="48">
        <v>0.29166666666666669</v>
      </c>
      <c r="U624" s="48">
        <v>0.29166666666666669</v>
      </c>
      <c r="V624" s="48">
        <v>0.29166666666666669</v>
      </c>
      <c r="W624" s="48">
        <v>0.29166666666666669</v>
      </c>
      <c r="X624" s="48">
        <v>0.29166666666666669</v>
      </c>
      <c r="Y624" s="48">
        <v>0.29166666666666669</v>
      </c>
      <c r="Z624" s="48">
        <v>0.29166666666666669</v>
      </c>
      <c r="AA624" s="48">
        <v>0.29166666666666669</v>
      </c>
      <c r="AB624" s="48">
        <v>0.29166666666666669</v>
      </c>
      <c r="AC624" s="48">
        <v>0.29166666666666669</v>
      </c>
      <c r="AD624" s="48">
        <v>0.29166666666666669</v>
      </c>
      <c r="AE624" s="48">
        <v>0.29166666666666669</v>
      </c>
      <c r="AF624" s="48">
        <v>0.29166666666666669</v>
      </c>
      <c r="AG624" s="48">
        <v>0.29166666666666669</v>
      </c>
      <c r="AH624" s="48">
        <v>0.29166666666666669</v>
      </c>
      <c r="AI624" s="48">
        <v>0.29166666666666669</v>
      </c>
      <c r="AJ624" s="48">
        <v>0.29166666666666669</v>
      </c>
      <c r="AK624" s="48">
        <v>0.29166666666666669</v>
      </c>
      <c r="AL624" s="48" t="s">
        <v>320</v>
      </c>
    </row>
    <row r="625" spans="1:41" hidden="1" x14ac:dyDescent="0.25">
      <c r="A625">
        <v>624</v>
      </c>
      <c r="B625">
        <v>2025</v>
      </c>
      <c r="C625">
        <v>10</v>
      </c>
      <c r="D625" t="s">
        <v>157</v>
      </c>
      <c r="E625">
        <v>31</v>
      </c>
      <c r="F625">
        <v>9</v>
      </c>
      <c r="G625" t="s">
        <v>431</v>
      </c>
      <c r="H625" s="48">
        <v>0.75</v>
      </c>
      <c r="I625" s="48">
        <v>0.75</v>
      </c>
      <c r="J625" s="48">
        <v>0.75</v>
      </c>
      <c r="K625" s="48">
        <v>0.75</v>
      </c>
      <c r="L625" s="48">
        <v>0.75</v>
      </c>
      <c r="M625" s="48">
        <v>0.75</v>
      </c>
      <c r="N625" s="48">
        <v>0.75</v>
      </c>
      <c r="O625" s="48">
        <v>0.75</v>
      </c>
      <c r="P625" s="48">
        <v>0.75</v>
      </c>
      <c r="Q625" s="48">
        <v>0.75</v>
      </c>
      <c r="R625" s="48">
        <v>0.75</v>
      </c>
      <c r="S625" s="48">
        <v>0.75</v>
      </c>
      <c r="T625" s="48">
        <v>0.75</v>
      </c>
      <c r="U625" s="48">
        <v>0.75</v>
      </c>
      <c r="V625" s="48">
        <v>0.75</v>
      </c>
      <c r="W625" s="48">
        <v>0.75</v>
      </c>
      <c r="X625" s="48">
        <v>0.75</v>
      </c>
      <c r="Y625" s="48">
        <v>0.75</v>
      </c>
      <c r="Z625" s="48">
        <v>0.75</v>
      </c>
      <c r="AA625" s="48">
        <v>0.75</v>
      </c>
      <c r="AB625" s="48">
        <v>0.75</v>
      </c>
      <c r="AC625" s="48">
        <v>0.75</v>
      </c>
      <c r="AD625" s="48">
        <v>0.75</v>
      </c>
      <c r="AE625" s="48">
        <v>0.75</v>
      </c>
      <c r="AF625" s="48">
        <v>0.75</v>
      </c>
      <c r="AG625" s="48">
        <v>0.75</v>
      </c>
      <c r="AH625" s="48">
        <v>0.75</v>
      </c>
      <c r="AI625" s="48">
        <v>0.75</v>
      </c>
      <c r="AJ625" s="48">
        <v>0.75</v>
      </c>
      <c r="AK625" s="48">
        <v>0.75</v>
      </c>
      <c r="AL625" s="48" t="s">
        <v>320</v>
      </c>
      <c r="AM625">
        <v>30</v>
      </c>
    </row>
    <row r="626" spans="1:41" hidden="1" x14ac:dyDescent="0.25">
      <c r="A626">
        <v>625</v>
      </c>
      <c r="B626">
        <v>2025</v>
      </c>
      <c r="C626">
        <v>10</v>
      </c>
      <c r="D626" t="s">
        <v>182</v>
      </c>
      <c r="E626">
        <v>31</v>
      </c>
      <c r="F626">
        <v>9</v>
      </c>
      <c r="G626" t="s">
        <v>430</v>
      </c>
      <c r="H626" s="48" t="s">
        <v>320</v>
      </c>
      <c r="I626" s="48" t="s">
        <v>320</v>
      </c>
      <c r="J626" s="48" t="s">
        <v>320</v>
      </c>
      <c r="K626" s="48" t="s">
        <v>320</v>
      </c>
      <c r="L626" s="48" t="s">
        <v>320</v>
      </c>
      <c r="M626" s="48" t="s">
        <v>320</v>
      </c>
      <c r="N626" s="48" t="s">
        <v>320</v>
      </c>
      <c r="O626" s="48" t="s">
        <v>320</v>
      </c>
      <c r="P626" s="48" t="s">
        <v>320</v>
      </c>
      <c r="Q626" s="48" t="s">
        <v>320</v>
      </c>
      <c r="R626" s="48" t="s">
        <v>320</v>
      </c>
      <c r="S626" s="48" t="s">
        <v>320</v>
      </c>
      <c r="T626" s="48" t="s">
        <v>320</v>
      </c>
      <c r="U626" s="48" t="s">
        <v>320</v>
      </c>
      <c r="V626" s="48" t="s">
        <v>320</v>
      </c>
      <c r="W626" s="48" t="s">
        <v>320</v>
      </c>
      <c r="X626" s="48" t="s">
        <v>320</v>
      </c>
      <c r="Y626" s="48" t="s">
        <v>320</v>
      </c>
      <c r="Z626" s="48" t="s">
        <v>320</v>
      </c>
      <c r="AA626" s="48" t="s">
        <v>320</v>
      </c>
      <c r="AB626" s="48" t="s">
        <v>320</v>
      </c>
      <c r="AC626" s="48" t="s">
        <v>320</v>
      </c>
      <c r="AD626" s="48" t="s">
        <v>320</v>
      </c>
      <c r="AE626" s="48" t="s">
        <v>320</v>
      </c>
      <c r="AF626" s="48" t="s">
        <v>375</v>
      </c>
      <c r="AG626" s="48" t="s">
        <v>375</v>
      </c>
      <c r="AH626" s="48" t="s">
        <v>375</v>
      </c>
      <c r="AI626" s="48" t="s">
        <v>375</v>
      </c>
      <c r="AJ626" s="48" t="s">
        <v>375</v>
      </c>
      <c r="AK626" s="48" t="s">
        <v>375</v>
      </c>
      <c r="AL626" s="48" t="s">
        <v>375</v>
      </c>
    </row>
    <row r="627" spans="1:41" hidden="1" x14ac:dyDescent="0.25">
      <c r="A627">
        <v>626</v>
      </c>
      <c r="B627">
        <v>2025</v>
      </c>
      <c r="C627">
        <v>10</v>
      </c>
      <c r="D627" t="s">
        <v>182</v>
      </c>
      <c r="E627">
        <v>31</v>
      </c>
      <c r="F627">
        <v>9</v>
      </c>
      <c r="G627" t="s">
        <v>431</v>
      </c>
      <c r="H627" s="48" t="s">
        <v>320</v>
      </c>
      <c r="I627" s="48" t="s">
        <v>320</v>
      </c>
      <c r="J627" s="48" t="s">
        <v>320</v>
      </c>
      <c r="K627" s="48" t="s">
        <v>320</v>
      </c>
      <c r="L627" s="48" t="s">
        <v>320</v>
      </c>
      <c r="M627" s="48" t="s">
        <v>320</v>
      </c>
      <c r="N627" s="48" t="s">
        <v>320</v>
      </c>
      <c r="O627" s="48" t="s">
        <v>320</v>
      </c>
      <c r="P627" s="48" t="s">
        <v>320</v>
      </c>
      <c r="Q627" s="48" t="s">
        <v>320</v>
      </c>
      <c r="R627" s="48" t="s">
        <v>320</v>
      </c>
      <c r="S627" s="48" t="s">
        <v>320</v>
      </c>
      <c r="T627" s="48" t="s">
        <v>320</v>
      </c>
      <c r="U627" s="48" t="s">
        <v>320</v>
      </c>
      <c r="V627" s="48" t="s">
        <v>320</v>
      </c>
      <c r="W627" s="48" t="s">
        <v>320</v>
      </c>
      <c r="X627" s="48" t="s">
        <v>320</v>
      </c>
      <c r="Y627" s="48" t="s">
        <v>320</v>
      </c>
      <c r="Z627" s="48" t="s">
        <v>320</v>
      </c>
      <c r="AA627" s="48" t="s">
        <v>320</v>
      </c>
      <c r="AB627" s="48" t="s">
        <v>320</v>
      </c>
      <c r="AC627" s="48" t="s">
        <v>320</v>
      </c>
      <c r="AD627" s="48" t="s">
        <v>320</v>
      </c>
      <c r="AE627" s="48" t="s">
        <v>320</v>
      </c>
      <c r="AF627" s="48">
        <v>0.75</v>
      </c>
      <c r="AG627" s="48">
        <v>0.75</v>
      </c>
      <c r="AH627" s="48">
        <v>0.75</v>
      </c>
      <c r="AI627" s="48">
        <v>0.75</v>
      </c>
      <c r="AJ627" s="48">
        <v>0.75</v>
      </c>
      <c r="AK627" s="48">
        <v>0.75</v>
      </c>
      <c r="AL627" s="48">
        <v>0.75</v>
      </c>
      <c r="AM627">
        <v>7</v>
      </c>
    </row>
    <row r="628" spans="1:41" hidden="1" x14ac:dyDescent="0.25">
      <c r="A628">
        <v>627</v>
      </c>
      <c r="B628">
        <v>2025</v>
      </c>
      <c r="C628">
        <v>10</v>
      </c>
      <c r="D628" t="s">
        <v>151</v>
      </c>
      <c r="E628">
        <v>31</v>
      </c>
      <c r="F628">
        <v>9</v>
      </c>
      <c r="G628" t="s">
        <v>430</v>
      </c>
      <c r="H628" s="48" t="s">
        <v>375</v>
      </c>
      <c r="I628" s="48" t="s">
        <v>375</v>
      </c>
      <c r="J628" s="48" t="s">
        <v>375</v>
      </c>
      <c r="K628" s="48" t="s">
        <v>375</v>
      </c>
      <c r="L628" s="48" t="s">
        <v>375</v>
      </c>
      <c r="M628" s="48" t="s">
        <v>375</v>
      </c>
      <c r="N628" s="48" t="s">
        <v>375</v>
      </c>
      <c r="O628" s="48" t="s">
        <v>375</v>
      </c>
      <c r="P628" s="48" t="s">
        <v>375</v>
      </c>
      <c r="Q628" s="48" t="s">
        <v>375</v>
      </c>
      <c r="R628" s="48" t="s">
        <v>375</v>
      </c>
      <c r="S628" s="48" t="s">
        <v>375</v>
      </c>
      <c r="T628" s="48" t="s">
        <v>375</v>
      </c>
      <c r="U628" s="48" t="s">
        <v>375</v>
      </c>
      <c r="V628" s="48" t="s">
        <v>375</v>
      </c>
      <c r="W628" s="48" t="s">
        <v>375</v>
      </c>
      <c r="X628" s="48" t="s">
        <v>375</v>
      </c>
      <c r="Y628" s="48" t="s">
        <v>375</v>
      </c>
      <c r="Z628" s="48" t="s">
        <v>375</v>
      </c>
      <c r="AA628" s="48" t="s">
        <v>375</v>
      </c>
      <c r="AB628" s="48" t="s">
        <v>375</v>
      </c>
      <c r="AC628" s="48" t="s">
        <v>375</v>
      </c>
      <c r="AD628" s="48" t="s">
        <v>375</v>
      </c>
      <c r="AE628" s="48" t="s">
        <v>375</v>
      </c>
      <c r="AF628" s="48" t="s">
        <v>375</v>
      </c>
      <c r="AG628" s="48" t="s">
        <v>375</v>
      </c>
      <c r="AH628" s="48" t="s">
        <v>375</v>
      </c>
      <c r="AI628" s="48" t="s">
        <v>375</v>
      </c>
      <c r="AJ628" s="48" t="s">
        <v>375</v>
      </c>
      <c r="AK628" s="48" t="s">
        <v>375</v>
      </c>
      <c r="AL628" s="48" t="s">
        <v>375</v>
      </c>
    </row>
    <row r="629" spans="1:41" hidden="1" x14ac:dyDescent="0.25">
      <c r="A629">
        <v>628</v>
      </c>
      <c r="B629">
        <v>2025</v>
      </c>
      <c r="C629">
        <v>10</v>
      </c>
      <c r="D629" t="s">
        <v>151</v>
      </c>
      <c r="E629">
        <v>31</v>
      </c>
      <c r="F629">
        <v>9</v>
      </c>
      <c r="G629" t="s">
        <v>431</v>
      </c>
      <c r="H629" s="48">
        <v>0.25</v>
      </c>
      <c r="I629" s="48">
        <v>0.25</v>
      </c>
      <c r="J629" s="48">
        <v>0.25</v>
      </c>
      <c r="K629" s="48">
        <v>0.25</v>
      </c>
      <c r="L629" s="48">
        <v>0.25</v>
      </c>
      <c r="M629" s="48">
        <v>0.25</v>
      </c>
      <c r="N629" s="48">
        <v>0.25</v>
      </c>
      <c r="O629" s="48">
        <v>0.25</v>
      </c>
      <c r="P629" s="48">
        <v>0.25</v>
      </c>
      <c r="Q629" s="48">
        <v>0.25</v>
      </c>
      <c r="R629" s="48">
        <v>0.25</v>
      </c>
      <c r="S629" s="48">
        <v>0.25</v>
      </c>
      <c r="T629" s="48">
        <v>0.25</v>
      </c>
      <c r="U629" s="48">
        <v>0.25</v>
      </c>
      <c r="V629" s="48">
        <v>0.25</v>
      </c>
      <c r="W629" s="48">
        <v>0.25</v>
      </c>
      <c r="X629" s="48">
        <v>0.25</v>
      </c>
      <c r="Y629" s="48">
        <v>0.25</v>
      </c>
      <c r="Z629" s="48">
        <v>0.25</v>
      </c>
      <c r="AA629" s="48">
        <v>0.25</v>
      </c>
      <c r="AB629" s="48">
        <v>0.25</v>
      </c>
      <c r="AC629" s="48">
        <v>0.25</v>
      </c>
      <c r="AD629" s="48">
        <v>0.25</v>
      </c>
      <c r="AE629" s="48">
        <v>0.25</v>
      </c>
      <c r="AF629" s="48">
        <v>0.25</v>
      </c>
      <c r="AG629" s="48">
        <v>0.25</v>
      </c>
      <c r="AH629" s="48">
        <v>0.25</v>
      </c>
      <c r="AI629" s="48">
        <v>0.25</v>
      </c>
      <c r="AJ629" s="48">
        <v>0.25</v>
      </c>
      <c r="AK629" s="48">
        <v>0.25</v>
      </c>
      <c r="AL629" s="48">
        <v>0.25</v>
      </c>
      <c r="AM629">
        <v>0</v>
      </c>
      <c r="AN629">
        <v>31</v>
      </c>
    </row>
    <row r="630" spans="1:41" hidden="1" x14ac:dyDescent="0.25">
      <c r="A630">
        <v>629</v>
      </c>
      <c r="B630">
        <v>2025</v>
      </c>
      <c r="C630">
        <v>10</v>
      </c>
      <c r="D630" t="s">
        <v>173</v>
      </c>
      <c r="E630">
        <v>31</v>
      </c>
      <c r="F630">
        <v>9</v>
      </c>
      <c r="G630" t="s">
        <v>430</v>
      </c>
      <c r="H630" s="48" t="s">
        <v>406</v>
      </c>
      <c r="I630" s="48" t="s">
        <v>406</v>
      </c>
      <c r="J630" s="48" t="s">
        <v>406</v>
      </c>
      <c r="K630" s="48" t="s">
        <v>406</v>
      </c>
      <c r="L630" s="48" t="s">
        <v>320</v>
      </c>
      <c r="M630" s="48" t="s">
        <v>406</v>
      </c>
      <c r="N630" s="48" t="s">
        <v>406</v>
      </c>
      <c r="O630" s="48" t="s">
        <v>406</v>
      </c>
      <c r="P630" s="48" t="s">
        <v>406</v>
      </c>
      <c r="Q630" s="48" t="s">
        <v>406</v>
      </c>
      <c r="R630" s="48" t="s">
        <v>406</v>
      </c>
      <c r="S630" s="48" t="s">
        <v>406</v>
      </c>
      <c r="T630" s="48" t="s">
        <v>406</v>
      </c>
      <c r="U630" s="48" t="s">
        <v>406</v>
      </c>
      <c r="V630" s="48" t="s">
        <v>406</v>
      </c>
      <c r="W630" s="48" t="s">
        <v>406</v>
      </c>
      <c r="X630" s="48" t="s">
        <v>406</v>
      </c>
      <c r="Y630" s="48" t="s">
        <v>406</v>
      </c>
      <c r="Z630" s="48" t="s">
        <v>406</v>
      </c>
      <c r="AA630" s="48" t="s">
        <v>406</v>
      </c>
      <c r="AB630" s="48" t="s">
        <v>406</v>
      </c>
      <c r="AC630" s="48" t="s">
        <v>406</v>
      </c>
      <c r="AD630" s="48" t="s">
        <v>406</v>
      </c>
      <c r="AE630" s="48" t="s">
        <v>406</v>
      </c>
      <c r="AF630" s="48" t="s">
        <v>406</v>
      </c>
      <c r="AG630" s="48" t="s">
        <v>406</v>
      </c>
      <c r="AH630" s="48" t="s">
        <v>406</v>
      </c>
      <c r="AI630" s="48" t="s">
        <v>406</v>
      </c>
      <c r="AJ630" s="48" t="s">
        <v>406</v>
      </c>
      <c r="AK630" s="48" t="s">
        <v>406</v>
      </c>
      <c r="AL630" s="48" t="s">
        <v>406</v>
      </c>
    </row>
    <row r="631" spans="1:41" hidden="1" x14ac:dyDescent="0.25">
      <c r="A631">
        <v>630</v>
      </c>
      <c r="B631">
        <v>2025</v>
      </c>
      <c r="C631">
        <v>10</v>
      </c>
      <c r="D631" t="s">
        <v>173</v>
      </c>
      <c r="E631">
        <v>31</v>
      </c>
      <c r="F631">
        <v>9</v>
      </c>
      <c r="G631" t="s">
        <v>431</v>
      </c>
      <c r="H631" s="48">
        <v>0.70833333333333326</v>
      </c>
      <c r="I631" s="48">
        <v>0.70833333333333326</v>
      </c>
      <c r="J631" s="48">
        <v>0.70833333333333326</v>
      </c>
      <c r="K631" s="48">
        <v>0.70833333333333326</v>
      </c>
      <c r="L631" s="48" t="s">
        <v>320</v>
      </c>
      <c r="M631" s="48">
        <v>0.70833333333333326</v>
      </c>
      <c r="N631" s="48">
        <v>0.70833333333333326</v>
      </c>
      <c r="O631" s="48">
        <v>0.70833333333333326</v>
      </c>
      <c r="P631" s="48">
        <v>0.70833333333333326</v>
      </c>
      <c r="Q631" s="48">
        <v>0.70833333333333326</v>
      </c>
      <c r="R631" s="48">
        <v>0.70833333333333326</v>
      </c>
      <c r="S631" s="48">
        <v>0.70833333333333326</v>
      </c>
      <c r="T631" s="48">
        <v>0.70833333333333326</v>
      </c>
      <c r="U631" s="48">
        <v>0.70833333333333326</v>
      </c>
      <c r="V631" s="48">
        <v>0.70833333333333326</v>
      </c>
      <c r="W631" s="48">
        <v>0.70833333333333326</v>
      </c>
      <c r="X631" s="48">
        <v>0.70833333333333326</v>
      </c>
      <c r="Y631" s="48">
        <v>0.70833333333333326</v>
      </c>
      <c r="Z631" s="48">
        <v>0.70833333333333326</v>
      </c>
      <c r="AA631" s="48">
        <v>0.70833333333333326</v>
      </c>
      <c r="AB631" s="48">
        <v>0.70833333333333326</v>
      </c>
      <c r="AC631" s="48">
        <v>0.70833333333333326</v>
      </c>
      <c r="AD631" s="48">
        <v>0.70833333333333326</v>
      </c>
      <c r="AE631" s="48">
        <v>0.70833333333333326</v>
      </c>
      <c r="AF631" s="48">
        <v>0.70833333333333326</v>
      </c>
      <c r="AG631" s="48">
        <v>0.70833333333333326</v>
      </c>
      <c r="AH631" s="48">
        <v>0.70833333333333326</v>
      </c>
      <c r="AI631" s="48">
        <v>0.70833333333333326</v>
      </c>
      <c r="AJ631" s="48">
        <v>0.70833333333333326</v>
      </c>
      <c r="AK631" s="48">
        <v>0.70833333333333326</v>
      </c>
      <c r="AL631" s="48">
        <v>0.70833333333333326</v>
      </c>
      <c r="AM631">
        <v>30</v>
      </c>
    </row>
    <row r="632" spans="1:41" hidden="1" x14ac:dyDescent="0.25">
      <c r="A632">
        <v>631</v>
      </c>
      <c r="B632">
        <v>2025</v>
      </c>
      <c r="C632">
        <v>10</v>
      </c>
      <c r="D632" t="s">
        <v>172</v>
      </c>
      <c r="E632">
        <v>31</v>
      </c>
      <c r="F632">
        <v>9</v>
      </c>
      <c r="G632" t="s">
        <v>430</v>
      </c>
      <c r="H632" s="48" t="s">
        <v>375</v>
      </c>
      <c r="I632" s="48" t="s">
        <v>375</v>
      </c>
      <c r="J632" s="48" t="s">
        <v>375</v>
      </c>
      <c r="K632" s="48" t="s">
        <v>375</v>
      </c>
      <c r="L632" s="48" t="s">
        <v>320</v>
      </c>
      <c r="M632" s="48" t="s">
        <v>375</v>
      </c>
      <c r="N632" s="48" t="s">
        <v>375</v>
      </c>
      <c r="O632" s="48" t="s">
        <v>375</v>
      </c>
      <c r="P632" s="48" t="s">
        <v>375</v>
      </c>
      <c r="Q632" s="48" t="s">
        <v>375</v>
      </c>
      <c r="R632" s="48" t="s">
        <v>375</v>
      </c>
      <c r="S632" s="48" t="s">
        <v>320</v>
      </c>
      <c r="T632" s="48" t="s">
        <v>375</v>
      </c>
      <c r="U632" s="48" t="s">
        <v>375</v>
      </c>
      <c r="V632" s="48" t="s">
        <v>375</v>
      </c>
      <c r="W632" s="48" t="s">
        <v>375</v>
      </c>
      <c r="X632" s="48" t="s">
        <v>375</v>
      </c>
      <c r="Y632" s="48" t="s">
        <v>375</v>
      </c>
      <c r="Z632" s="48" t="s">
        <v>375</v>
      </c>
      <c r="AA632" s="48" t="s">
        <v>375</v>
      </c>
      <c r="AB632" s="48" t="s">
        <v>375</v>
      </c>
      <c r="AC632" s="48" t="s">
        <v>375</v>
      </c>
      <c r="AD632" s="48" t="s">
        <v>375</v>
      </c>
      <c r="AE632" s="48" t="s">
        <v>375</v>
      </c>
      <c r="AF632" s="48" t="s">
        <v>375</v>
      </c>
      <c r="AG632" s="48" t="s">
        <v>375</v>
      </c>
      <c r="AH632" s="48" t="s">
        <v>320</v>
      </c>
      <c r="AI632" s="48" t="s">
        <v>375</v>
      </c>
      <c r="AJ632" s="48" t="s">
        <v>375</v>
      </c>
      <c r="AK632" s="48" t="s">
        <v>375</v>
      </c>
      <c r="AL632" s="48" t="s">
        <v>375</v>
      </c>
    </row>
    <row r="633" spans="1:41" hidden="1" x14ac:dyDescent="0.25">
      <c r="A633">
        <v>632</v>
      </c>
      <c r="B633">
        <v>2025</v>
      </c>
      <c r="C633">
        <v>10</v>
      </c>
      <c r="D633" t="s">
        <v>172</v>
      </c>
      <c r="E633">
        <v>31</v>
      </c>
      <c r="F633">
        <v>9</v>
      </c>
      <c r="G633" t="s">
        <v>431</v>
      </c>
      <c r="H633" s="48">
        <v>0.75</v>
      </c>
      <c r="I633" s="48">
        <v>0.75</v>
      </c>
      <c r="J633" s="48">
        <v>0.75</v>
      </c>
      <c r="K633" s="48">
        <v>0.75</v>
      </c>
      <c r="L633" s="48" t="s">
        <v>320</v>
      </c>
      <c r="M633" s="48">
        <v>0.83333333333333326</v>
      </c>
      <c r="N633" s="48">
        <v>0.83333333333333326</v>
      </c>
      <c r="O633" s="48">
        <v>0.75</v>
      </c>
      <c r="P633" s="48">
        <v>0.75</v>
      </c>
      <c r="Q633" s="48">
        <v>0.75</v>
      </c>
      <c r="R633" s="48">
        <v>0.75</v>
      </c>
      <c r="S633" s="48" t="s">
        <v>320</v>
      </c>
      <c r="T633" s="48">
        <v>0.75</v>
      </c>
      <c r="U633" s="48">
        <v>0.75</v>
      </c>
      <c r="V633" s="48">
        <v>0.75</v>
      </c>
      <c r="W633" s="48">
        <v>0.75</v>
      </c>
      <c r="X633" s="48">
        <v>0.75</v>
      </c>
      <c r="Y633" s="48">
        <v>0.83333333333333326</v>
      </c>
      <c r="Z633" s="48">
        <v>0.75</v>
      </c>
      <c r="AA633" s="48">
        <v>0.75</v>
      </c>
      <c r="AB633" s="48">
        <v>0.75</v>
      </c>
      <c r="AC633" s="48">
        <v>0.83333333333333326</v>
      </c>
      <c r="AD633" s="48">
        <v>0.75</v>
      </c>
      <c r="AE633" s="48">
        <v>0.75</v>
      </c>
      <c r="AF633" s="48">
        <v>0.75</v>
      </c>
      <c r="AG633" s="48">
        <v>0.75</v>
      </c>
      <c r="AH633" s="48" t="s">
        <v>320</v>
      </c>
      <c r="AI633" s="48">
        <v>0.75</v>
      </c>
      <c r="AJ633" s="48">
        <v>0.75</v>
      </c>
      <c r="AK633" s="48">
        <v>0.75</v>
      </c>
      <c r="AL633" s="48">
        <v>0.75</v>
      </c>
      <c r="AM633">
        <v>28</v>
      </c>
      <c r="AO633">
        <v>7.9999999999999858</v>
      </c>
    </row>
    <row r="634" spans="1:41" hidden="1" x14ac:dyDescent="0.25">
      <c r="A634">
        <v>633</v>
      </c>
      <c r="B634">
        <v>2025</v>
      </c>
      <c r="C634">
        <v>10</v>
      </c>
      <c r="D634" t="s">
        <v>167</v>
      </c>
      <c r="E634">
        <v>31</v>
      </c>
      <c r="F634">
        <v>9</v>
      </c>
      <c r="G634" t="s">
        <v>430</v>
      </c>
      <c r="H634" s="48" t="s">
        <v>375</v>
      </c>
      <c r="I634" s="48" t="s">
        <v>375</v>
      </c>
      <c r="J634" s="48" t="s">
        <v>375</v>
      </c>
      <c r="K634" s="48" t="s">
        <v>375</v>
      </c>
      <c r="L634" s="48" t="s">
        <v>375</v>
      </c>
      <c r="M634" s="48" t="s">
        <v>375</v>
      </c>
      <c r="N634" s="48" t="s">
        <v>375</v>
      </c>
      <c r="O634" s="48" t="s">
        <v>375</v>
      </c>
      <c r="P634" s="48" t="s">
        <v>375</v>
      </c>
      <c r="Q634" s="48" t="s">
        <v>375</v>
      </c>
      <c r="R634" s="48" t="s">
        <v>375</v>
      </c>
      <c r="S634" s="48" t="s">
        <v>320</v>
      </c>
      <c r="T634" s="48" t="s">
        <v>375</v>
      </c>
      <c r="U634" s="48" t="s">
        <v>375</v>
      </c>
      <c r="V634" s="48" t="s">
        <v>375</v>
      </c>
      <c r="W634" s="48" t="s">
        <v>375</v>
      </c>
      <c r="X634" s="48" t="s">
        <v>375</v>
      </c>
      <c r="Y634" s="48" t="s">
        <v>375</v>
      </c>
      <c r="Z634" s="48" t="s">
        <v>375</v>
      </c>
      <c r="AA634" s="48" t="s">
        <v>375</v>
      </c>
      <c r="AB634" s="48" t="s">
        <v>375</v>
      </c>
      <c r="AC634" s="48" t="s">
        <v>375</v>
      </c>
      <c r="AD634" s="48" t="s">
        <v>375</v>
      </c>
      <c r="AE634" s="48" t="s">
        <v>375</v>
      </c>
      <c r="AF634" s="48" t="s">
        <v>375</v>
      </c>
      <c r="AG634" s="48" t="s">
        <v>320</v>
      </c>
      <c r="AH634" s="48" t="s">
        <v>375</v>
      </c>
      <c r="AI634" s="48" t="s">
        <v>375</v>
      </c>
      <c r="AJ634" s="48" t="s">
        <v>375</v>
      </c>
      <c r="AK634" s="48" t="s">
        <v>375</v>
      </c>
      <c r="AL634" s="48" t="s">
        <v>375</v>
      </c>
    </row>
    <row r="635" spans="1:41" hidden="1" x14ac:dyDescent="0.25">
      <c r="A635">
        <v>634</v>
      </c>
      <c r="B635">
        <v>2025</v>
      </c>
      <c r="C635">
        <v>10</v>
      </c>
      <c r="D635" t="s">
        <v>167</v>
      </c>
      <c r="E635">
        <v>31</v>
      </c>
      <c r="F635">
        <v>9</v>
      </c>
      <c r="G635" t="s">
        <v>431</v>
      </c>
      <c r="H635" s="48">
        <v>0.75</v>
      </c>
      <c r="I635" s="48">
        <v>0.75</v>
      </c>
      <c r="J635" s="48">
        <v>0.75</v>
      </c>
      <c r="K635" s="48">
        <v>0.75</v>
      </c>
      <c r="L635" s="48">
        <v>0.75</v>
      </c>
      <c r="M635" s="48">
        <v>0.75</v>
      </c>
      <c r="N635" s="48">
        <v>0.75</v>
      </c>
      <c r="O635" s="48">
        <v>0.75</v>
      </c>
      <c r="P635" s="48">
        <v>0.75</v>
      </c>
      <c r="Q635" s="48">
        <v>0.75</v>
      </c>
      <c r="R635" s="48">
        <v>0.75</v>
      </c>
      <c r="S635" s="48" t="s">
        <v>320</v>
      </c>
      <c r="T635" s="48">
        <v>0.75</v>
      </c>
      <c r="U635" s="48">
        <v>0.75</v>
      </c>
      <c r="V635" s="48">
        <v>0.75</v>
      </c>
      <c r="W635" s="48">
        <v>0.75</v>
      </c>
      <c r="X635" s="48">
        <v>0.75</v>
      </c>
      <c r="Y635" s="48">
        <v>0.75</v>
      </c>
      <c r="Z635" s="48">
        <v>0.75</v>
      </c>
      <c r="AA635" s="48">
        <v>0.75</v>
      </c>
      <c r="AB635" s="48">
        <v>0.75</v>
      </c>
      <c r="AC635" s="48">
        <v>0.75</v>
      </c>
      <c r="AD635" s="48">
        <v>0.75</v>
      </c>
      <c r="AE635" s="48">
        <v>0.75</v>
      </c>
      <c r="AF635" s="48">
        <v>0.75</v>
      </c>
      <c r="AG635" s="48" t="s">
        <v>320</v>
      </c>
      <c r="AH635" s="48">
        <v>0.75</v>
      </c>
      <c r="AI635" s="48">
        <v>0.75</v>
      </c>
      <c r="AJ635" s="48">
        <v>0.75</v>
      </c>
      <c r="AK635" s="48">
        <v>0.75</v>
      </c>
      <c r="AL635" s="48">
        <v>0.75</v>
      </c>
      <c r="AM635">
        <v>29</v>
      </c>
    </row>
    <row r="636" spans="1:41" hidden="1" x14ac:dyDescent="0.25">
      <c r="A636">
        <v>635</v>
      </c>
      <c r="B636">
        <v>2025</v>
      </c>
      <c r="C636">
        <v>10</v>
      </c>
      <c r="D636" t="s">
        <v>160</v>
      </c>
      <c r="E636">
        <v>31</v>
      </c>
      <c r="F636">
        <v>9</v>
      </c>
      <c r="G636" t="s">
        <v>430</v>
      </c>
      <c r="H636" s="48" t="s">
        <v>375</v>
      </c>
      <c r="I636" s="48" t="s">
        <v>375</v>
      </c>
      <c r="J636" s="48" t="s">
        <v>375</v>
      </c>
      <c r="K636" s="48" t="s">
        <v>375</v>
      </c>
      <c r="L636" s="48" t="s">
        <v>375</v>
      </c>
      <c r="M636" s="48" t="s">
        <v>375</v>
      </c>
      <c r="N636" s="48" t="s">
        <v>375</v>
      </c>
      <c r="O636" s="48" t="s">
        <v>375</v>
      </c>
      <c r="P636" s="48" t="s">
        <v>375</v>
      </c>
      <c r="Q636" s="48" t="s">
        <v>375</v>
      </c>
      <c r="R636" s="48" t="s">
        <v>375</v>
      </c>
      <c r="S636" s="48" t="s">
        <v>375</v>
      </c>
      <c r="T636" s="48" t="s">
        <v>375</v>
      </c>
      <c r="U636" s="48" t="s">
        <v>375</v>
      </c>
      <c r="V636" s="48" t="s">
        <v>375</v>
      </c>
      <c r="W636" s="48" t="s">
        <v>375</v>
      </c>
      <c r="X636" s="48" t="s">
        <v>375</v>
      </c>
      <c r="Y636" s="48" t="s">
        <v>375</v>
      </c>
      <c r="Z636" s="48" t="s">
        <v>375</v>
      </c>
      <c r="AA636" s="48" t="s">
        <v>375</v>
      </c>
      <c r="AB636" s="48" t="s">
        <v>375</v>
      </c>
      <c r="AC636" s="48" t="s">
        <v>375</v>
      </c>
      <c r="AD636" s="48" t="s">
        <v>375</v>
      </c>
      <c r="AE636" s="48" t="s">
        <v>375</v>
      </c>
      <c r="AF636" s="48" t="s">
        <v>375</v>
      </c>
      <c r="AG636" s="48" t="s">
        <v>375</v>
      </c>
      <c r="AH636" s="48" t="s">
        <v>375</v>
      </c>
      <c r="AI636" s="48" t="s">
        <v>375</v>
      </c>
      <c r="AJ636" s="48" t="s">
        <v>375</v>
      </c>
      <c r="AK636" s="48" t="s">
        <v>375</v>
      </c>
      <c r="AL636" s="48" t="s">
        <v>375</v>
      </c>
    </row>
    <row r="637" spans="1:41" hidden="1" x14ac:dyDescent="0.25">
      <c r="A637">
        <v>636</v>
      </c>
      <c r="B637">
        <v>2025</v>
      </c>
      <c r="C637">
        <v>10</v>
      </c>
      <c r="D637" t="s">
        <v>160</v>
      </c>
      <c r="E637">
        <v>31</v>
      </c>
      <c r="F637">
        <v>9</v>
      </c>
      <c r="G637" t="s">
        <v>431</v>
      </c>
      <c r="H637" s="48" t="s">
        <v>376</v>
      </c>
      <c r="I637" s="48" t="s">
        <v>376</v>
      </c>
      <c r="J637" s="48" t="s">
        <v>376</v>
      </c>
      <c r="K637" s="48" t="s">
        <v>376</v>
      </c>
      <c r="L637" s="48" t="s">
        <v>376</v>
      </c>
      <c r="M637" s="48" t="s">
        <v>376</v>
      </c>
      <c r="N637" s="48" t="s">
        <v>376</v>
      </c>
      <c r="O637" s="48" t="s">
        <v>376</v>
      </c>
      <c r="P637" s="48" t="s">
        <v>376</v>
      </c>
      <c r="Q637" s="48" t="s">
        <v>376</v>
      </c>
      <c r="R637" s="48" t="s">
        <v>376</v>
      </c>
      <c r="S637" s="48" t="s">
        <v>376</v>
      </c>
      <c r="T637" s="48" t="s">
        <v>376</v>
      </c>
      <c r="U637" s="48" t="s">
        <v>376</v>
      </c>
      <c r="V637" s="48" t="s">
        <v>376</v>
      </c>
      <c r="W637" s="48" t="s">
        <v>376</v>
      </c>
      <c r="X637" s="48" t="s">
        <v>376</v>
      </c>
      <c r="Y637" s="48" t="s">
        <v>376</v>
      </c>
      <c r="Z637" s="48" t="s">
        <v>376</v>
      </c>
      <c r="AA637" s="48" t="s">
        <v>376</v>
      </c>
      <c r="AB637" s="48" t="s">
        <v>376</v>
      </c>
      <c r="AC637" s="48" t="s">
        <v>376</v>
      </c>
      <c r="AD637" s="48" t="s">
        <v>376</v>
      </c>
      <c r="AE637" s="48" t="s">
        <v>376</v>
      </c>
      <c r="AF637" s="48" t="s">
        <v>376</v>
      </c>
      <c r="AG637" s="48" t="s">
        <v>376</v>
      </c>
      <c r="AH637" s="48" t="s">
        <v>376</v>
      </c>
      <c r="AI637" s="48" t="s">
        <v>376</v>
      </c>
      <c r="AJ637" s="48" t="s">
        <v>376</v>
      </c>
      <c r="AK637" s="48" t="s">
        <v>376</v>
      </c>
      <c r="AL637" s="48" t="s">
        <v>376</v>
      </c>
      <c r="AM637">
        <v>31</v>
      </c>
    </row>
    <row r="638" spans="1:41" hidden="1" x14ac:dyDescent="0.25">
      <c r="A638">
        <v>637</v>
      </c>
      <c r="B638">
        <v>2025</v>
      </c>
      <c r="C638">
        <v>10</v>
      </c>
      <c r="D638" t="s">
        <v>177</v>
      </c>
      <c r="E638">
        <v>31</v>
      </c>
      <c r="F638">
        <v>9</v>
      </c>
      <c r="G638" t="s">
        <v>430</v>
      </c>
      <c r="H638" s="48" t="s">
        <v>320</v>
      </c>
      <c r="I638" s="48" t="s">
        <v>426</v>
      </c>
      <c r="J638" s="48" t="s">
        <v>376</v>
      </c>
      <c r="K638" s="48" t="s">
        <v>376</v>
      </c>
      <c r="L638" s="48" t="s">
        <v>376</v>
      </c>
      <c r="M638" s="48" t="s">
        <v>376</v>
      </c>
      <c r="N638" s="48" t="s">
        <v>376</v>
      </c>
      <c r="O638" s="48" t="s">
        <v>376</v>
      </c>
      <c r="P638" s="48" t="s">
        <v>376</v>
      </c>
      <c r="Q638" s="48" t="s">
        <v>375</v>
      </c>
      <c r="R638" s="48" t="s">
        <v>376</v>
      </c>
      <c r="S638" s="48" t="s">
        <v>375</v>
      </c>
      <c r="T638" s="48" t="s">
        <v>376</v>
      </c>
      <c r="U638" s="48" t="s">
        <v>376</v>
      </c>
      <c r="V638" s="48" t="s">
        <v>376</v>
      </c>
      <c r="W638" s="48" t="s">
        <v>376</v>
      </c>
      <c r="X638" s="48" t="s">
        <v>376</v>
      </c>
      <c r="Y638" s="48" t="s">
        <v>376</v>
      </c>
      <c r="Z638" s="48" t="s">
        <v>376</v>
      </c>
      <c r="AA638" s="48" t="s">
        <v>376</v>
      </c>
      <c r="AB638" s="48" t="s">
        <v>376</v>
      </c>
      <c r="AC638" s="48" t="s">
        <v>375</v>
      </c>
      <c r="AD638" s="48" t="s">
        <v>427</v>
      </c>
      <c r="AE638" s="48" t="s">
        <v>376</v>
      </c>
      <c r="AF638" s="48" t="s">
        <v>376</v>
      </c>
      <c r="AG638" s="48" t="s">
        <v>376</v>
      </c>
      <c r="AH638" s="48" t="s">
        <v>376</v>
      </c>
      <c r="AI638" s="48" t="s">
        <v>376</v>
      </c>
      <c r="AJ638" s="48" t="s">
        <v>376</v>
      </c>
      <c r="AK638" s="48" t="s">
        <v>376</v>
      </c>
      <c r="AL638" s="48" t="s">
        <v>376</v>
      </c>
    </row>
    <row r="639" spans="1:41" hidden="1" x14ac:dyDescent="0.25">
      <c r="A639">
        <v>638</v>
      </c>
      <c r="B639">
        <v>2025</v>
      </c>
      <c r="C639">
        <v>10</v>
      </c>
      <c r="D639" t="s">
        <v>177</v>
      </c>
      <c r="E639">
        <v>31</v>
      </c>
      <c r="F639">
        <v>9</v>
      </c>
      <c r="G639" t="s">
        <v>431</v>
      </c>
      <c r="H639" s="48" t="s">
        <v>320</v>
      </c>
      <c r="I639" s="48">
        <v>0.84722222222222221</v>
      </c>
      <c r="J639" s="48">
        <v>1.25</v>
      </c>
      <c r="K639" s="48">
        <v>1.25</v>
      </c>
      <c r="L639" s="48">
        <v>1.25</v>
      </c>
      <c r="M639" s="48">
        <v>1.2083333333333333</v>
      </c>
      <c r="N639" s="48">
        <v>1.25</v>
      </c>
      <c r="O639" s="48">
        <v>1.25</v>
      </c>
      <c r="P639" s="48">
        <v>1.25</v>
      </c>
      <c r="Q639" s="48">
        <v>0.79166666666666674</v>
      </c>
      <c r="R639" s="48">
        <v>1.25</v>
      </c>
      <c r="S639" s="48">
        <v>0.79166666666666674</v>
      </c>
      <c r="T639" s="48">
        <v>1.4166666666666667</v>
      </c>
      <c r="U639" s="48">
        <v>1.375</v>
      </c>
      <c r="V639" s="48">
        <v>1.25</v>
      </c>
      <c r="W639" s="48">
        <v>1.2083333333333333</v>
      </c>
      <c r="X639" s="48">
        <v>1.25</v>
      </c>
      <c r="Y639" s="48">
        <v>1.25</v>
      </c>
      <c r="Z639" s="48">
        <v>1.25</v>
      </c>
      <c r="AA639" s="48">
        <v>1.25</v>
      </c>
      <c r="AB639" s="48">
        <v>1.25</v>
      </c>
      <c r="AC639" s="48">
        <v>0.83333333333333326</v>
      </c>
      <c r="AD639" s="48">
        <v>1.25</v>
      </c>
      <c r="AE639" s="48">
        <v>1.25</v>
      </c>
      <c r="AF639" s="48">
        <v>1.25</v>
      </c>
      <c r="AG639" s="48">
        <v>1.25</v>
      </c>
      <c r="AH639" s="48">
        <v>1.25</v>
      </c>
      <c r="AI639" s="48">
        <v>1.3333333333333333</v>
      </c>
      <c r="AJ639" s="48">
        <v>1.25</v>
      </c>
      <c r="AK639" s="48">
        <v>1.25</v>
      </c>
      <c r="AL639" s="48">
        <v>1.25</v>
      </c>
      <c r="AM639">
        <v>30</v>
      </c>
      <c r="AO639">
        <v>41</v>
      </c>
    </row>
    <row r="640" spans="1:41" hidden="1" x14ac:dyDescent="0.25">
      <c r="A640">
        <v>639</v>
      </c>
      <c r="B640">
        <v>2025</v>
      </c>
      <c r="C640">
        <v>10</v>
      </c>
      <c r="D640" t="s">
        <v>169</v>
      </c>
      <c r="E640">
        <v>31</v>
      </c>
      <c r="F640">
        <v>9</v>
      </c>
      <c r="G640" t="s">
        <v>430</v>
      </c>
      <c r="H640" s="48" t="s">
        <v>375</v>
      </c>
      <c r="I640" s="48" t="s">
        <v>375</v>
      </c>
      <c r="J640" s="48" t="s">
        <v>375</v>
      </c>
      <c r="K640" s="48" t="s">
        <v>375</v>
      </c>
      <c r="L640" s="48" t="s">
        <v>375</v>
      </c>
      <c r="M640" s="48" t="s">
        <v>375</v>
      </c>
      <c r="N640" s="48" t="s">
        <v>375</v>
      </c>
      <c r="O640" s="48" t="s">
        <v>375</v>
      </c>
      <c r="P640" s="48" t="s">
        <v>375</v>
      </c>
      <c r="Q640" s="48" t="s">
        <v>375</v>
      </c>
      <c r="R640" s="48" t="s">
        <v>375</v>
      </c>
      <c r="S640" s="48" t="s">
        <v>375</v>
      </c>
      <c r="T640" s="48" t="s">
        <v>375</v>
      </c>
      <c r="U640" s="48" t="s">
        <v>375</v>
      </c>
      <c r="V640" s="48" t="s">
        <v>375</v>
      </c>
      <c r="W640" s="48" t="s">
        <v>375</v>
      </c>
      <c r="X640" s="48" t="s">
        <v>375</v>
      </c>
      <c r="Y640" s="48" t="s">
        <v>375</v>
      </c>
      <c r="Z640" s="48" t="s">
        <v>375</v>
      </c>
      <c r="AA640" s="48" t="s">
        <v>375</v>
      </c>
      <c r="AB640" s="48" t="s">
        <v>375</v>
      </c>
      <c r="AC640" s="48" t="s">
        <v>375</v>
      </c>
      <c r="AD640" s="48" t="s">
        <v>375</v>
      </c>
      <c r="AE640" s="48" t="s">
        <v>375</v>
      </c>
      <c r="AF640" s="48" t="s">
        <v>375</v>
      </c>
      <c r="AG640" s="48" t="s">
        <v>375</v>
      </c>
      <c r="AH640" s="48" t="s">
        <v>375</v>
      </c>
      <c r="AI640" s="48" t="s">
        <v>375</v>
      </c>
      <c r="AJ640" s="48" t="s">
        <v>375</v>
      </c>
      <c r="AK640" s="48" t="s">
        <v>375</v>
      </c>
      <c r="AL640" s="48" t="s">
        <v>375</v>
      </c>
    </row>
    <row r="641" spans="1:41" hidden="1" x14ac:dyDescent="0.25">
      <c r="A641">
        <v>640</v>
      </c>
      <c r="B641">
        <v>2025</v>
      </c>
      <c r="C641">
        <v>10</v>
      </c>
      <c r="D641" t="s">
        <v>169</v>
      </c>
      <c r="E641">
        <v>31</v>
      </c>
      <c r="F641">
        <v>9</v>
      </c>
      <c r="G641" t="s">
        <v>431</v>
      </c>
      <c r="H641" s="48">
        <v>0.75</v>
      </c>
      <c r="I641" s="48">
        <v>1.2083333333333333</v>
      </c>
      <c r="J641" s="48">
        <v>0.75</v>
      </c>
      <c r="K641" s="48">
        <v>0.75</v>
      </c>
      <c r="L641" s="48">
        <v>0.75</v>
      </c>
      <c r="M641" s="48">
        <v>0.75</v>
      </c>
      <c r="N641" s="48">
        <v>0.75</v>
      </c>
      <c r="O641" s="48">
        <v>0.75</v>
      </c>
      <c r="P641" s="48">
        <v>0.75</v>
      </c>
      <c r="Q641" s="48">
        <v>0.83333333333333326</v>
      </c>
      <c r="R641" s="48">
        <v>0.75</v>
      </c>
      <c r="S641" s="48">
        <v>0.75</v>
      </c>
      <c r="T641" s="48">
        <v>0.75</v>
      </c>
      <c r="U641" s="48">
        <v>0.75</v>
      </c>
      <c r="V641" s="48">
        <v>0.75</v>
      </c>
      <c r="W641" s="48">
        <v>0.75</v>
      </c>
      <c r="X641" s="48">
        <v>1.2083333333333333</v>
      </c>
      <c r="Y641" s="48">
        <v>0.75</v>
      </c>
      <c r="Z641" s="48">
        <v>0.75</v>
      </c>
      <c r="AA641" s="48">
        <v>0.75</v>
      </c>
      <c r="AB641" s="48">
        <v>0.83333333333333326</v>
      </c>
      <c r="AC641" s="48">
        <v>0.75</v>
      </c>
      <c r="AD641" s="48">
        <v>0.75</v>
      </c>
      <c r="AE641" s="48">
        <v>0.75</v>
      </c>
      <c r="AF641" s="48">
        <v>0.75</v>
      </c>
      <c r="AG641" s="48">
        <v>0.75</v>
      </c>
      <c r="AH641" s="48">
        <v>0.75</v>
      </c>
      <c r="AI641" s="48">
        <v>0.75</v>
      </c>
      <c r="AJ641" s="48">
        <v>0.75</v>
      </c>
      <c r="AK641" s="48">
        <v>0.75</v>
      </c>
      <c r="AL641" s="48">
        <v>0.75</v>
      </c>
      <c r="AM641">
        <v>31</v>
      </c>
      <c r="AO641">
        <v>25.999999999999986</v>
      </c>
    </row>
    <row r="642" spans="1:41" hidden="1" x14ac:dyDescent="0.25">
      <c r="A642">
        <v>641</v>
      </c>
      <c r="B642">
        <v>2025</v>
      </c>
      <c r="C642">
        <v>10</v>
      </c>
      <c r="D642" t="s">
        <v>170</v>
      </c>
      <c r="E642">
        <v>31</v>
      </c>
      <c r="F642">
        <v>9</v>
      </c>
      <c r="G642" t="s">
        <v>430</v>
      </c>
      <c r="H642" s="48" t="s">
        <v>375</v>
      </c>
      <c r="I642" s="48" t="s">
        <v>375</v>
      </c>
      <c r="J642" s="48" t="s">
        <v>375</v>
      </c>
      <c r="K642" s="48" t="s">
        <v>375</v>
      </c>
      <c r="L642" s="48" t="s">
        <v>320</v>
      </c>
      <c r="M642" s="48" t="s">
        <v>375</v>
      </c>
      <c r="N642" s="48" t="s">
        <v>375</v>
      </c>
      <c r="O642" s="48" t="s">
        <v>375</v>
      </c>
      <c r="P642" s="48" t="s">
        <v>375</v>
      </c>
      <c r="Q642" s="48" t="s">
        <v>375</v>
      </c>
      <c r="R642" s="48" t="s">
        <v>375</v>
      </c>
      <c r="S642" s="48" t="s">
        <v>375</v>
      </c>
      <c r="T642" s="48" t="s">
        <v>375</v>
      </c>
      <c r="U642" s="48" t="s">
        <v>375</v>
      </c>
      <c r="V642" s="48" t="s">
        <v>375</v>
      </c>
      <c r="W642" s="48" t="s">
        <v>375</v>
      </c>
      <c r="X642" s="48" t="s">
        <v>375</v>
      </c>
      <c r="Y642" s="48" t="s">
        <v>375</v>
      </c>
      <c r="Z642" s="48" t="s">
        <v>375</v>
      </c>
      <c r="AA642" s="48" t="s">
        <v>375</v>
      </c>
      <c r="AB642" s="48" t="s">
        <v>375</v>
      </c>
      <c r="AC642" s="48" t="s">
        <v>375</v>
      </c>
      <c r="AD642" s="48" t="s">
        <v>375</v>
      </c>
      <c r="AE642" s="48" t="s">
        <v>375</v>
      </c>
      <c r="AF642" s="48" t="s">
        <v>375</v>
      </c>
      <c r="AG642" s="48" t="s">
        <v>375</v>
      </c>
      <c r="AH642" s="48" t="s">
        <v>375</v>
      </c>
      <c r="AI642" s="48" t="s">
        <v>375</v>
      </c>
      <c r="AJ642" s="48" t="s">
        <v>375</v>
      </c>
      <c r="AK642" s="48" t="s">
        <v>375</v>
      </c>
      <c r="AL642" s="48" t="s">
        <v>375</v>
      </c>
    </row>
    <row r="643" spans="1:41" hidden="1" x14ac:dyDescent="0.25">
      <c r="A643">
        <v>642</v>
      </c>
      <c r="B643">
        <v>2025</v>
      </c>
      <c r="C643">
        <v>10</v>
      </c>
      <c r="D643" t="s">
        <v>170</v>
      </c>
      <c r="E643">
        <v>31</v>
      </c>
      <c r="F643">
        <v>9</v>
      </c>
      <c r="G643" t="s">
        <v>431</v>
      </c>
      <c r="H643" s="48">
        <v>0.75</v>
      </c>
      <c r="I643" s="48">
        <v>0.75</v>
      </c>
      <c r="J643" s="48">
        <v>0.75</v>
      </c>
      <c r="K643" s="48">
        <v>0.75</v>
      </c>
      <c r="L643" s="48" t="s">
        <v>320</v>
      </c>
      <c r="M643" s="48">
        <v>0.75</v>
      </c>
      <c r="N643" s="48">
        <v>0.75</v>
      </c>
      <c r="O643" s="48">
        <v>0.75</v>
      </c>
      <c r="P643" s="48">
        <v>0.75</v>
      </c>
      <c r="Q643" s="48">
        <v>0.75</v>
      </c>
      <c r="R643" s="48">
        <v>0.75</v>
      </c>
      <c r="S643" s="48">
        <v>0.75</v>
      </c>
      <c r="T643" s="48">
        <v>0.75</v>
      </c>
      <c r="U643" s="48">
        <v>0.75</v>
      </c>
      <c r="V643" s="48">
        <v>0.75</v>
      </c>
      <c r="W643" s="48">
        <v>0.75</v>
      </c>
      <c r="X643" s="48">
        <v>0.75</v>
      </c>
      <c r="Y643" s="48">
        <v>0.75</v>
      </c>
      <c r="Z643" s="48">
        <v>0.75</v>
      </c>
      <c r="AA643" s="48">
        <v>0.75</v>
      </c>
      <c r="AB643" s="48">
        <v>0.75</v>
      </c>
      <c r="AC643" s="48">
        <v>0.75</v>
      </c>
      <c r="AD643" s="48">
        <v>0.75</v>
      </c>
      <c r="AE643" s="48">
        <v>0.75</v>
      </c>
      <c r="AF643" s="48">
        <v>0.75</v>
      </c>
      <c r="AG643" s="48">
        <v>0.75</v>
      </c>
      <c r="AH643" s="48">
        <v>0.75</v>
      </c>
      <c r="AI643" s="48">
        <v>0.75</v>
      </c>
      <c r="AJ643" s="48">
        <v>0.75</v>
      </c>
      <c r="AK643" s="48">
        <v>0.75</v>
      </c>
      <c r="AL643" s="48">
        <v>0.75</v>
      </c>
      <c r="AM643">
        <v>30</v>
      </c>
    </row>
    <row r="644" spans="1:41" hidden="1" x14ac:dyDescent="0.25">
      <c r="A644">
        <v>643</v>
      </c>
      <c r="B644">
        <v>2025</v>
      </c>
      <c r="C644">
        <v>10</v>
      </c>
      <c r="D644" t="s">
        <v>158</v>
      </c>
      <c r="E644">
        <v>31</v>
      </c>
      <c r="F644">
        <v>9</v>
      </c>
      <c r="G644" t="s">
        <v>430</v>
      </c>
      <c r="H644" s="48">
        <v>0.29166666666666669</v>
      </c>
      <c r="I644" s="48">
        <v>0.29166666666666669</v>
      </c>
      <c r="J644" s="48">
        <v>0.29166666666666669</v>
      </c>
      <c r="K644" s="48">
        <v>0.29166666666666669</v>
      </c>
      <c r="L644" s="48">
        <v>0.29166666666666669</v>
      </c>
      <c r="M644" s="48">
        <v>0.29166666666666669</v>
      </c>
      <c r="N644" s="48">
        <v>0.29166666666666669</v>
      </c>
      <c r="O644" s="48">
        <v>0.29166666666666669</v>
      </c>
      <c r="P644" s="48">
        <v>0.29166666666666669</v>
      </c>
      <c r="Q644" s="48">
        <v>0.29166666666666669</v>
      </c>
      <c r="R644" s="48">
        <v>0.29166666666666669</v>
      </c>
      <c r="S644" s="48">
        <v>0.29166666666666669</v>
      </c>
      <c r="T644" s="48">
        <v>0.29166666666666669</v>
      </c>
      <c r="U644" s="48">
        <v>0.29166666666666669</v>
      </c>
      <c r="V644" s="48">
        <v>0.29166666666666669</v>
      </c>
      <c r="W644" s="48">
        <v>0.29166666666666669</v>
      </c>
      <c r="X644" s="48">
        <v>0.29166666666666669</v>
      </c>
      <c r="Y644" s="48">
        <v>0.29166666666666669</v>
      </c>
      <c r="Z644" s="48">
        <v>0.29166666666666669</v>
      </c>
      <c r="AA644" s="48">
        <v>0.29166666666666669</v>
      </c>
      <c r="AB644" s="48">
        <v>0.29166666666666669</v>
      </c>
      <c r="AC644" s="48">
        <v>0.29166666666666669</v>
      </c>
      <c r="AD644" s="48">
        <v>0.29166666666666669</v>
      </c>
      <c r="AE644" s="48">
        <v>0.29166666666666669</v>
      </c>
      <c r="AF644" s="48">
        <v>0.29166666666666669</v>
      </c>
      <c r="AG644" s="48">
        <v>0.29166666666666669</v>
      </c>
      <c r="AH644" s="48">
        <v>0.29166666666666669</v>
      </c>
      <c r="AI644" s="48">
        <v>0.29166666666666669</v>
      </c>
      <c r="AJ644" s="48">
        <v>0.29166666666666669</v>
      </c>
      <c r="AK644" s="48">
        <v>0.29166666666666669</v>
      </c>
      <c r="AL644" s="48" t="s">
        <v>320</v>
      </c>
    </row>
    <row r="645" spans="1:41" hidden="1" x14ac:dyDescent="0.25">
      <c r="A645">
        <v>644</v>
      </c>
      <c r="B645">
        <v>2025</v>
      </c>
      <c r="C645">
        <v>10</v>
      </c>
      <c r="D645" t="s">
        <v>158</v>
      </c>
      <c r="E645">
        <v>31</v>
      </c>
      <c r="F645">
        <v>9</v>
      </c>
      <c r="G645" t="s">
        <v>431</v>
      </c>
      <c r="H645" s="48">
        <v>0.75</v>
      </c>
      <c r="I645" s="48">
        <v>0.75</v>
      </c>
      <c r="J645" s="48">
        <v>0.75</v>
      </c>
      <c r="K645" s="48">
        <v>0.75</v>
      </c>
      <c r="L645" s="48">
        <v>0.75</v>
      </c>
      <c r="M645" s="48">
        <v>0.75</v>
      </c>
      <c r="N645" s="48">
        <v>0.75</v>
      </c>
      <c r="O645" s="48">
        <v>0.75</v>
      </c>
      <c r="P645" s="48">
        <v>0.75</v>
      </c>
      <c r="Q645" s="48">
        <v>0.75</v>
      </c>
      <c r="R645" s="48">
        <v>0.75</v>
      </c>
      <c r="S645" s="48">
        <v>0.75</v>
      </c>
      <c r="T645" s="48">
        <v>0.75</v>
      </c>
      <c r="U645" s="48">
        <v>0.75</v>
      </c>
      <c r="V645" s="48">
        <v>0.75</v>
      </c>
      <c r="W645" s="48">
        <v>0.75</v>
      </c>
      <c r="X645" s="48">
        <v>0.75</v>
      </c>
      <c r="Y645" s="48">
        <v>0.75</v>
      </c>
      <c r="Z645" s="48">
        <v>0.75</v>
      </c>
      <c r="AA645" s="48">
        <v>0.75</v>
      </c>
      <c r="AB645" s="48">
        <v>0.75</v>
      </c>
      <c r="AC645" s="48">
        <v>0.75</v>
      </c>
      <c r="AD645" s="48">
        <v>0.75</v>
      </c>
      <c r="AE645" s="48">
        <v>0.75</v>
      </c>
      <c r="AF645" s="48">
        <v>0.75</v>
      </c>
      <c r="AG645" s="48">
        <v>0.75</v>
      </c>
      <c r="AH645" s="48">
        <v>0.75</v>
      </c>
      <c r="AI645" s="48">
        <v>0.75</v>
      </c>
      <c r="AJ645" s="48">
        <v>0.75</v>
      </c>
      <c r="AK645" s="48">
        <v>0.75</v>
      </c>
      <c r="AL645" s="48" t="s">
        <v>320</v>
      </c>
      <c r="AM645">
        <v>30</v>
      </c>
    </row>
    <row r="646" spans="1:41" hidden="1" x14ac:dyDescent="0.25">
      <c r="A646">
        <v>645</v>
      </c>
      <c r="B646">
        <v>2025</v>
      </c>
      <c r="C646">
        <v>10</v>
      </c>
      <c r="D646" t="s">
        <v>166</v>
      </c>
      <c r="E646">
        <v>31</v>
      </c>
      <c r="F646">
        <v>9</v>
      </c>
      <c r="G646" t="s">
        <v>430</v>
      </c>
      <c r="H646" s="48" t="s">
        <v>375</v>
      </c>
      <c r="I646" s="48" t="s">
        <v>375</v>
      </c>
      <c r="J646" s="48" t="s">
        <v>375</v>
      </c>
      <c r="K646" s="48" t="s">
        <v>375</v>
      </c>
      <c r="L646" s="48" t="s">
        <v>375</v>
      </c>
      <c r="M646" s="48" t="s">
        <v>375</v>
      </c>
      <c r="N646" s="48" t="s">
        <v>375</v>
      </c>
      <c r="O646" s="48" t="s">
        <v>375</v>
      </c>
      <c r="P646" s="48" t="s">
        <v>375</v>
      </c>
      <c r="Q646" s="48" t="s">
        <v>376</v>
      </c>
      <c r="R646" s="48" t="s">
        <v>375</v>
      </c>
      <c r="S646" s="48" t="s">
        <v>375</v>
      </c>
      <c r="T646" s="48" t="s">
        <v>375</v>
      </c>
      <c r="U646" s="48" t="s">
        <v>375</v>
      </c>
      <c r="V646" s="48" t="s">
        <v>375</v>
      </c>
      <c r="W646" s="48" t="s">
        <v>375</v>
      </c>
      <c r="X646" s="48" t="s">
        <v>375</v>
      </c>
      <c r="Y646" s="48" t="s">
        <v>375</v>
      </c>
      <c r="Z646" s="48" t="s">
        <v>375</v>
      </c>
      <c r="AA646" s="48" t="s">
        <v>375</v>
      </c>
      <c r="AB646" s="48" t="s">
        <v>375</v>
      </c>
      <c r="AC646" s="48" t="s">
        <v>375</v>
      </c>
      <c r="AD646" s="48" t="s">
        <v>375</v>
      </c>
      <c r="AE646" s="48" t="s">
        <v>375</v>
      </c>
      <c r="AF646" s="48" t="s">
        <v>375</v>
      </c>
      <c r="AG646" s="48" t="s">
        <v>375</v>
      </c>
      <c r="AH646" s="48" t="s">
        <v>375</v>
      </c>
      <c r="AI646" s="48" t="s">
        <v>375</v>
      </c>
      <c r="AJ646" s="48" t="s">
        <v>375</v>
      </c>
      <c r="AK646" s="48" t="s">
        <v>375</v>
      </c>
      <c r="AL646" s="48" t="s">
        <v>375</v>
      </c>
    </row>
    <row r="647" spans="1:41" hidden="1" x14ac:dyDescent="0.25">
      <c r="A647">
        <v>646</v>
      </c>
      <c r="B647">
        <v>2025</v>
      </c>
      <c r="C647">
        <v>10</v>
      </c>
      <c r="D647" t="s">
        <v>166</v>
      </c>
      <c r="E647">
        <v>31</v>
      </c>
      <c r="F647">
        <v>9</v>
      </c>
      <c r="G647" t="s">
        <v>431</v>
      </c>
      <c r="H647" s="48">
        <v>1</v>
      </c>
      <c r="I647" s="48">
        <v>1</v>
      </c>
      <c r="J647" s="48">
        <v>0.83333333333333326</v>
      </c>
      <c r="K647" s="48">
        <v>0.95833333333333326</v>
      </c>
      <c r="L647" s="48">
        <v>0.75</v>
      </c>
      <c r="M647" s="48">
        <v>0.79166666666666674</v>
      </c>
      <c r="N647" s="48">
        <v>0.79166666666666674</v>
      </c>
      <c r="O647" s="48">
        <v>0.83333333333333326</v>
      </c>
      <c r="P647" s="48">
        <v>0.95833333333333326</v>
      </c>
      <c r="Q647" s="48">
        <v>1.2083333333333333</v>
      </c>
      <c r="R647" s="48">
        <v>0.91666666666666674</v>
      </c>
      <c r="S647" s="48">
        <v>0.75</v>
      </c>
      <c r="T647" s="48">
        <v>1</v>
      </c>
      <c r="U647" s="48">
        <v>0.75</v>
      </c>
      <c r="V647" s="48">
        <v>0.83333333333333326</v>
      </c>
      <c r="W647" s="48">
        <v>1</v>
      </c>
      <c r="X647" s="48">
        <v>0.875</v>
      </c>
      <c r="Y647" s="48">
        <v>1</v>
      </c>
      <c r="Z647" s="48">
        <v>0.75</v>
      </c>
      <c r="AA647" s="48">
        <v>1</v>
      </c>
      <c r="AB647" s="48">
        <v>0.79166666666666674</v>
      </c>
      <c r="AC647" s="48">
        <v>0.75</v>
      </c>
      <c r="AD647" s="48">
        <v>1</v>
      </c>
      <c r="AE647" s="48">
        <v>0.95833333333333326</v>
      </c>
      <c r="AF647" s="48">
        <v>0.75</v>
      </c>
      <c r="AG647" s="48">
        <v>0.75</v>
      </c>
      <c r="AH647" s="48">
        <v>0.91666666666666674</v>
      </c>
      <c r="AI647" s="48">
        <v>0.75</v>
      </c>
      <c r="AJ647" s="48">
        <v>0.75</v>
      </c>
      <c r="AK647" s="48">
        <v>0.75</v>
      </c>
      <c r="AL647" s="48">
        <v>0.75</v>
      </c>
      <c r="AM647">
        <v>31</v>
      </c>
      <c r="AO647">
        <v>76.999999999999986</v>
      </c>
    </row>
    <row r="648" spans="1:41" hidden="1" x14ac:dyDescent="0.25">
      <c r="A648">
        <v>647</v>
      </c>
      <c r="B648">
        <v>2025</v>
      </c>
      <c r="C648">
        <v>10</v>
      </c>
      <c r="D648" t="s">
        <v>351</v>
      </c>
      <c r="E648">
        <v>31</v>
      </c>
      <c r="F648">
        <v>9</v>
      </c>
      <c r="G648" t="s">
        <v>430</v>
      </c>
      <c r="H648" s="48" t="s">
        <v>375</v>
      </c>
      <c r="I648" s="48" t="s">
        <v>375</v>
      </c>
      <c r="J648" s="48" t="s">
        <v>375</v>
      </c>
      <c r="K648" s="48" t="s">
        <v>375</v>
      </c>
      <c r="L648" s="48" t="s">
        <v>375</v>
      </c>
      <c r="M648" s="48" t="s">
        <v>375</v>
      </c>
      <c r="N648" s="48" t="s">
        <v>375</v>
      </c>
      <c r="O648" s="48" t="s">
        <v>375</v>
      </c>
      <c r="P648" s="48" t="s">
        <v>375</v>
      </c>
      <c r="Q648" s="48" t="s">
        <v>375</v>
      </c>
      <c r="R648" s="48" t="s">
        <v>375</v>
      </c>
      <c r="S648" s="48" t="s">
        <v>375</v>
      </c>
      <c r="T648" s="48" t="s">
        <v>375</v>
      </c>
      <c r="U648" s="48" t="s">
        <v>375</v>
      </c>
      <c r="V648" s="48" t="s">
        <v>375</v>
      </c>
      <c r="W648" s="48" t="s">
        <v>375</v>
      </c>
      <c r="X648" s="48" t="s">
        <v>375</v>
      </c>
      <c r="Y648" s="48" t="s">
        <v>375</v>
      </c>
      <c r="Z648" s="48" t="s">
        <v>375</v>
      </c>
      <c r="AA648" s="48" t="s">
        <v>375</v>
      </c>
      <c r="AB648" s="48" t="s">
        <v>375</v>
      </c>
      <c r="AC648" s="48" t="s">
        <v>375</v>
      </c>
      <c r="AD648" s="48" t="s">
        <v>375</v>
      </c>
      <c r="AE648" s="48" t="s">
        <v>375</v>
      </c>
      <c r="AF648" s="48" t="s">
        <v>375</v>
      </c>
      <c r="AG648" s="48" t="s">
        <v>375</v>
      </c>
      <c r="AH648" s="48" t="s">
        <v>375</v>
      </c>
      <c r="AI648" s="48" t="s">
        <v>375</v>
      </c>
      <c r="AJ648" s="48" t="s">
        <v>375</v>
      </c>
      <c r="AK648" s="48" t="s">
        <v>375</v>
      </c>
      <c r="AL648" s="48" t="s">
        <v>320</v>
      </c>
    </row>
    <row r="649" spans="1:41" hidden="1" x14ac:dyDescent="0.25">
      <c r="A649">
        <v>648</v>
      </c>
      <c r="B649">
        <v>2025</v>
      </c>
      <c r="C649">
        <v>10</v>
      </c>
      <c r="D649" t="s">
        <v>351</v>
      </c>
      <c r="E649">
        <v>31</v>
      </c>
      <c r="F649">
        <v>9</v>
      </c>
      <c r="G649" t="s">
        <v>431</v>
      </c>
      <c r="H649" s="48">
        <v>0.75</v>
      </c>
      <c r="I649" s="48">
        <v>0.75</v>
      </c>
      <c r="J649" s="48">
        <v>0.75</v>
      </c>
      <c r="K649" s="48">
        <v>0.75</v>
      </c>
      <c r="L649" s="48">
        <v>0.75</v>
      </c>
      <c r="M649" s="48">
        <v>0.75</v>
      </c>
      <c r="N649" s="48">
        <v>0.75</v>
      </c>
      <c r="O649" s="48">
        <v>0.75</v>
      </c>
      <c r="P649" s="48">
        <v>0.75</v>
      </c>
      <c r="Q649" s="48">
        <v>0.75</v>
      </c>
      <c r="R649" s="48">
        <v>0.75</v>
      </c>
      <c r="S649" s="48">
        <v>0.75</v>
      </c>
      <c r="T649" s="48">
        <v>0.75</v>
      </c>
      <c r="U649" s="48">
        <v>0.75</v>
      </c>
      <c r="V649" s="48">
        <v>0.75</v>
      </c>
      <c r="W649" s="48">
        <v>0.75</v>
      </c>
      <c r="X649" s="48">
        <v>0.75</v>
      </c>
      <c r="Y649" s="48">
        <v>0.75</v>
      </c>
      <c r="Z649" s="48">
        <v>0.75</v>
      </c>
      <c r="AA649" s="48">
        <v>0.75</v>
      </c>
      <c r="AB649" s="48">
        <v>0.75</v>
      </c>
      <c r="AC649" s="48">
        <v>0.75</v>
      </c>
      <c r="AD649" s="48">
        <v>0.75</v>
      </c>
      <c r="AE649" s="48">
        <v>0.75</v>
      </c>
      <c r="AF649" s="48">
        <v>0.75</v>
      </c>
      <c r="AG649" s="48">
        <v>0.75</v>
      </c>
      <c r="AH649" s="48">
        <v>0.75</v>
      </c>
      <c r="AI649" s="48">
        <v>0.75</v>
      </c>
      <c r="AJ649" s="48">
        <v>0.75</v>
      </c>
      <c r="AK649" s="48">
        <v>0.75</v>
      </c>
      <c r="AL649" s="48" t="s">
        <v>320</v>
      </c>
      <c r="AM649">
        <v>30</v>
      </c>
    </row>
    <row r="650" spans="1:41" hidden="1" x14ac:dyDescent="0.25">
      <c r="A650">
        <v>649</v>
      </c>
      <c r="B650">
        <v>2025</v>
      </c>
      <c r="C650">
        <v>10</v>
      </c>
      <c r="D650" t="s">
        <v>144</v>
      </c>
      <c r="E650">
        <v>31</v>
      </c>
      <c r="F650">
        <v>9</v>
      </c>
      <c r="G650" t="s">
        <v>430</v>
      </c>
      <c r="H650" s="48" t="s">
        <v>375</v>
      </c>
      <c r="I650" s="48" t="s">
        <v>375</v>
      </c>
      <c r="J650" s="48" t="s">
        <v>375</v>
      </c>
      <c r="K650" s="48" t="s">
        <v>375</v>
      </c>
      <c r="L650" s="48" t="s">
        <v>375</v>
      </c>
      <c r="M650" s="48" t="s">
        <v>375</v>
      </c>
      <c r="N650" s="48" t="s">
        <v>375</v>
      </c>
      <c r="O650" s="48" t="s">
        <v>375</v>
      </c>
      <c r="P650" s="48" t="s">
        <v>375</v>
      </c>
      <c r="Q650" s="48" t="s">
        <v>375</v>
      </c>
      <c r="R650" s="48" t="s">
        <v>375</v>
      </c>
      <c r="S650" s="48" t="s">
        <v>375</v>
      </c>
      <c r="T650" s="48" t="s">
        <v>375</v>
      </c>
      <c r="U650" s="48" t="s">
        <v>375</v>
      </c>
      <c r="V650" s="48" t="s">
        <v>375</v>
      </c>
      <c r="W650" s="48" t="s">
        <v>375</v>
      </c>
      <c r="X650" s="48" t="s">
        <v>375</v>
      </c>
      <c r="Y650" s="48" t="s">
        <v>375</v>
      </c>
      <c r="Z650" s="48" t="s">
        <v>375</v>
      </c>
      <c r="AA650" s="48" t="s">
        <v>375</v>
      </c>
      <c r="AB650" s="48" t="s">
        <v>375</v>
      </c>
      <c r="AC650" s="48" t="s">
        <v>375</v>
      </c>
      <c r="AD650" s="48" t="s">
        <v>375</v>
      </c>
      <c r="AE650" s="48" t="s">
        <v>375</v>
      </c>
      <c r="AF650" s="48" t="s">
        <v>375</v>
      </c>
      <c r="AG650" s="48" t="s">
        <v>375</v>
      </c>
      <c r="AH650" s="48" t="s">
        <v>375</v>
      </c>
      <c r="AI650" s="48" t="s">
        <v>375</v>
      </c>
      <c r="AJ650" s="48" t="s">
        <v>375</v>
      </c>
      <c r="AK650" s="48" t="s">
        <v>375</v>
      </c>
      <c r="AL650" s="48" t="s">
        <v>375</v>
      </c>
    </row>
    <row r="651" spans="1:41" hidden="1" x14ac:dyDescent="0.25">
      <c r="A651">
        <v>650</v>
      </c>
      <c r="B651">
        <v>2025</v>
      </c>
      <c r="C651">
        <v>10</v>
      </c>
      <c r="D651" t="s">
        <v>144</v>
      </c>
      <c r="E651">
        <v>31</v>
      </c>
      <c r="F651">
        <v>9</v>
      </c>
      <c r="G651" t="s">
        <v>431</v>
      </c>
      <c r="H651" s="48">
        <v>0.95833333333333326</v>
      </c>
      <c r="I651" s="48">
        <v>0.875</v>
      </c>
      <c r="J651" s="48">
        <v>0.83333333333333326</v>
      </c>
      <c r="K651" s="48">
        <v>0.75</v>
      </c>
      <c r="L651" s="48">
        <v>0.75</v>
      </c>
      <c r="M651" s="48">
        <v>0.95833333333333326</v>
      </c>
      <c r="N651" s="48">
        <v>0.83333333333333326</v>
      </c>
      <c r="O651" s="48">
        <v>0.91666666666666674</v>
      </c>
      <c r="P651" s="48">
        <v>0.79166666666666674</v>
      </c>
      <c r="Q651" s="48">
        <v>0.95833333333333326</v>
      </c>
      <c r="R651" s="48">
        <v>0.91666666666666674</v>
      </c>
      <c r="S651" s="48">
        <v>0.75</v>
      </c>
      <c r="T651" s="48">
        <v>0.875</v>
      </c>
      <c r="U651" s="48">
        <v>0.75</v>
      </c>
      <c r="V651" s="48">
        <v>0.91666666666666674</v>
      </c>
      <c r="W651" s="48">
        <v>0.83333333333333326</v>
      </c>
      <c r="X651" s="48">
        <v>0.75</v>
      </c>
      <c r="Y651" s="48">
        <v>0.91666666666666674</v>
      </c>
      <c r="Z651" s="48">
        <v>0.75</v>
      </c>
      <c r="AA651" s="48">
        <v>0.75</v>
      </c>
      <c r="AB651" s="48">
        <v>0.875</v>
      </c>
      <c r="AC651" s="48">
        <v>0.75</v>
      </c>
      <c r="AD651" s="48">
        <v>0.75</v>
      </c>
      <c r="AE651" s="48">
        <v>0.83333333333333326</v>
      </c>
      <c r="AF651" s="48">
        <v>0.83333333333333326</v>
      </c>
      <c r="AG651" s="48">
        <v>0.75</v>
      </c>
      <c r="AH651" s="48">
        <v>0.75</v>
      </c>
      <c r="AI651" s="48">
        <v>0.75</v>
      </c>
      <c r="AJ651" s="48">
        <v>0.75</v>
      </c>
      <c r="AK651" s="48">
        <v>0.75</v>
      </c>
      <c r="AL651" s="48">
        <v>0.95833333333333326</v>
      </c>
      <c r="AM651">
        <v>31</v>
      </c>
      <c r="AO651">
        <v>55.999999999999972</v>
      </c>
    </row>
    <row r="652" spans="1:41" hidden="1" x14ac:dyDescent="0.25">
      <c r="A652">
        <v>651</v>
      </c>
      <c r="B652">
        <v>2025</v>
      </c>
      <c r="C652">
        <v>10</v>
      </c>
      <c r="D652" t="s">
        <v>129</v>
      </c>
      <c r="E652">
        <v>31</v>
      </c>
      <c r="F652">
        <v>9</v>
      </c>
      <c r="G652" t="s">
        <v>430</v>
      </c>
      <c r="H652" s="48" t="s">
        <v>375</v>
      </c>
      <c r="I652" s="48" t="s">
        <v>375</v>
      </c>
      <c r="J652" s="48" t="s">
        <v>375</v>
      </c>
      <c r="K652" s="48" t="s">
        <v>375</v>
      </c>
      <c r="L652" s="48" t="s">
        <v>375</v>
      </c>
      <c r="M652" s="48" t="s">
        <v>375</v>
      </c>
      <c r="N652" s="48" t="s">
        <v>375</v>
      </c>
      <c r="O652" s="48" t="s">
        <v>375</v>
      </c>
      <c r="P652" s="48" t="s">
        <v>375</v>
      </c>
      <c r="Q652" s="48" t="s">
        <v>375</v>
      </c>
      <c r="R652" s="48" t="s">
        <v>375</v>
      </c>
      <c r="S652" s="48" t="s">
        <v>375</v>
      </c>
      <c r="T652" s="48" t="s">
        <v>375</v>
      </c>
      <c r="U652" s="48" t="s">
        <v>375</v>
      </c>
      <c r="V652" s="48" t="s">
        <v>375</v>
      </c>
      <c r="W652" s="48" t="s">
        <v>375</v>
      </c>
      <c r="X652" s="48" t="s">
        <v>375</v>
      </c>
      <c r="Y652" s="48" t="s">
        <v>375</v>
      </c>
      <c r="Z652" s="48" t="s">
        <v>375</v>
      </c>
      <c r="AA652" s="48" t="s">
        <v>375</v>
      </c>
      <c r="AB652" s="48" t="s">
        <v>375</v>
      </c>
      <c r="AC652" s="48" t="s">
        <v>375</v>
      </c>
      <c r="AD652" s="48" t="s">
        <v>375</v>
      </c>
      <c r="AE652" s="48" t="s">
        <v>375</v>
      </c>
      <c r="AF652" s="48" t="s">
        <v>375</v>
      </c>
      <c r="AG652" s="48" t="s">
        <v>375</v>
      </c>
      <c r="AH652" s="48" t="s">
        <v>375</v>
      </c>
      <c r="AI652" s="48" t="s">
        <v>375</v>
      </c>
      <c r="AJ652" s="48" t="s">
        <v>375</v>
      </c>
      <c r="AK652" s="48" t="s">
        <v>375</v>
      </c>
      <c r="AL652" s="48" t="s">
        <v>320</v>
      </c>
    </row>
    <row r="653" spans="1:41" hidden="1" x14ac:dyDescent="0.25">
      <c r="A653">
        <v>652</v>
      </c>
      <c r="B653">
        <v>2025</v>
      </c>
      <c r="C653">
        <v>10</v>
      </c>
      <c r="D653" t="s">
        <v>129</v>
      </c>
      <c r="E653">
        <v>31</v>
      </c>
      <c r="F653">
        <v>9</v>
      </c>
      <c r="G653" t="s">
        <v>431</v>
      </c>
      <c r="H653" s="48">
        <v>0.75</v>
      </c>
      <c r="I653" s="48">
        <v>0.79166666666666674</v>
      </c>
      <c r="J653" s="48">
        <v>0.95833333333333326</v>
      </c>
      <c r="K653" s="48">
        <v>0.75</v>
      </c>
      <c r="L653" s="48">
        <v>0.95833333333333326</v>
      </c>
      <c r="M653" s="48">
        <v>0.75</v>
      </c>
      <c r="N653" s="48">
        <v>0.875</v>
      </c>
      <c r="O653" s="48">
        <v>0.75</v>
      </c>
      <c r="P653" s="48">
        <v>0.95833333333333326</v>
      </c>
      <c r="Q653" s="48">
        <v>1.0416666666666667</v>
      </c>
      <c r="R653" s="48">
        <v>0.75</v>
      </c>
      <c r="S653" s="48">
        <v>0.95833333333333326</v>
      </c>
      <c r="T653" s="48">
        <v>0.95833333333333326</v>
      </c>
      <c r="U653" s="48">
        <v>0.75</v>
      </c>
      <c r="V653" s="48">
        <v>0.83333333333333326</v>
      </c>
      <c r="W653" s="48">
        <v>0.75</v>
      </c>
      <c r="X653" s="48">
        <v>0.95833333333333326</v>
      </c>
      <c r="Y653" s="48">
        <v>0.875</v>
      </c>
      <c r="Z653" s="48">
        <v>0.95833333333333326</v>
      </c>
      <c r="AA653" s="48">
        <v>0.75</v>
      </c>
      <c r="AB653" s="48">
        <v>0.95833333333333326</v>
      </c>
      <c r="AC653" s="48">
        <v>0.75</v>
      </c>
      <c r="AD653" s="48">
        <v>0.875</v>
      </c>
      <c r="AE653" s="48">
        <v>0.75</v>
      </c>
      <c r="AF653" s="48">
        <v>0.95833333333333326</v>
      </c>
      <c r="AG653" s="48">
        <v>0.75</v>
      </c>
      <c r="AH653" s="48">
        <v>0.75</v>
      </c>
      <c r="AI653" s="48">
        <v>0.95833333333333326</v>
      </c>
      <c r="AJ653" s="48">
        <v>0.75</v>
      </c>
      <c r="AK653" s="48">
        <v>0.95833333333333326</v>
      </c>
      <c r="AL653" s="48" t="s">
        <v>320</v>
      </c>
      <c r="AM653">
        <v>30</v>
      </c>
      <c r="AO653">
        <v>73.999999999999972</v>
      </c>
    </row>
    <row r="654" spans="1:41" hidden="1" x14ac:dyDescent="0.25">
      <c r="A654">
        <v>653</v>
      </c>
      <c r="B654">
        <v>2025</v>
      </c>
      <c r="C654">
        <v>10</v>
      </c>
      <c r="D654" t="s">
        <v>159</v>
      </c>
      <c r="E654">
        <v>31</v>
      </c>
      <c r="F654">
        <v>9</v>
      </c>
      <c r="G654" t="s">
        <v>430</v>
      </c>
      <c r="H654" s="48" t="s">
        <v>375</v>
      </c>
      <c r="I654" s="48" t="s">
        <v>375</v>
      </c>
      <c r="J654" s="48" t="s">
        <v>375</v>
      </c>
      <c r="K654" s="48" t="s">
        <v>375</v>
      </c>
      <c r="L654" s="48" t="s">
        <v>375</v>
      </c>
      <c r="M654" s="48" t="s">
        <v>375</v>
      </c>
      <c r="N654" s="48" t="s">
        <v>375</v>
      </c>
      <c r="O654" s="48" t="s">
        <v>375</v>
      </c>
      <c r="P654" s="48" t="s">
        <v>375</v>
      </c>
      <c r="Q654" s="48" t="s">
        <v>375</v>
      </c>
      <c r="R654" s="48" t="s">
        <v>375</v>
      </c>
      <c r="S654" s="48" t="s">
        <v>375</v>
      </c>
      <c r="T654" s="48" t="s">
        <v>375</v>
      </c>
      <c r="U654" s="48" t="s">
        <v>375</v>
      </c>
      <c r="V654" s="48" t="s">
        <v>375</v>
      </c>
      <c r="W654" s="48" t="s">
        <v>375</v>
      </c>
      <c r="X654" s="48" t="s">
        <v>375</v>
      </c>
      <c r="Y654" s="48" t="s">
        <v>375</v>
      </c>
      <c r="Z654" s="48" t="s">
        <v>375</v>
      </c>
      <c r="AA654" s="48" t="s">
        <v>375</v>
      </c>
      <c r="AB654" s="48" t="s">
        <v>375</v>
      </c>
      <c r="AC654" s="48" t="s">
        <v>375</v>
      </c>
      <c r="AD654" s="48" t="s">
        <v>375</v>
      </c>
      <c r="AE654" s="48" t="s">
        <v>375</v>
      </c>
      <c r="AF654" s="48" t="s">
        <v>375</v>
      </c>
      <c r="AG654" s="48" t="s">
        <v>375</v>
      </c>
      <c r="AH654" s="48" t="s">
        <v>375</v>
      </c>
      <c r="AI654" s="48" t="s">
        <v>375</v>
      </c>
      <c r="AJ654" s="48" t="s">
        <v>375</v>
      </c>
      <c r="AK654" s="48" t="s">
        <v>375</v>
      </c>
      <c r="AL654" s="48" t="s">
        <v>375</v>
      </c>
    </row>
    <row r="655" spans="1:41" hidden="1" x14ac:dyDescent="0.25">
      <c r="A655">
        <v>654</v>
      </c>
      <c r="B655">
        <v>2025</v>
      </c>
      <c r="C655">
        <v>10</v>
      </c>
      <c r="D655" t="s">
        <v>159</v>
      </c>
      <c r="E655">
        <v>31</v>
      </c>
      <c r="F655">
        <v>9</v>
      </c>
      <c r="G655" t="s">
        <v>431</v>
      </c>
      <c r="H655" s="48">
        <v>0.25</v>
      </c>
      <c r="I655" s="48">
        <v>0.25</v>
      </c>
      <c r="J655" s="48">
        <v>0.25</v>
      </c>
      <c r="K655" s="48">
        <v>0.25</v>
      </c>
      <c r="L655" s="48">
        <v>0.25</v>
      </c>
      <c r="M655" s="48">
        <v>0.25</v>
      </c>
      <c r="N655" s="48">
        <v>0.25</v>
      </c>
      <c r="O655" s="48">
        <v>0.25</v>
      </c>
      <c r="P655" s="48">
        <v>0.25</v>
      </c>
      <c r="Q655" s="48">
        <v>0.25</v>
      </c>
      <c r="R655" s="48">
        <v>0.25</v>
      </c>
      <c r="S655" s="48">
        <v>0.25</v>
      </c>
      <c r="T655" s="48">
        <v>0.25</v>
      </c>
      <c r="U655" s="48">
        <v>0.25</v>
      </c>
      <c r="V655" s="48">
        <v>0.25</v>
      </c>
      <c r="W655" s="48">
        <v>0.25</v>
      </c>
      <c r="X655" s="48">
        <v>0.25</v>
      </c>
      <c r="Y655" s="48">
        <v>0.25</v>
      </c>
      <c r="Z655" s="48">
        <v>0.25</v>
      </c>
      <c r="AA655" s="48">
        <v>0.25</v>
      </c>
      <c r="AB655" s="48">
        <v>0.25</v>
      </c>
      <c r="AC655" s="48">
        <v>0.25</v>
      </c>
      <c r="AD655" s="48">
        <v>0.25</v>
      </c>
      <c r="AE655" s="48">
        <v>0.25</v>
      </c>
      <c r="AF655" s="48">
        <v>0.25</v>
      </c>
      <c r="AG655" s="48">
        <v>0.25</v>
      </c>
      <c r="AH655" s="48">
        <v>0.25</v>
      </c>
      <c r="AI655" s="48">
        <v>0.25</v>
      </c>
      <c r="AJ655" s="48">
        <v>0.25</v>
      </c>
      <c r="AK655" s="48">
        <v>0.25</v>
      </c>
      <c r="AL655" s="48">
        <v>0.25</v>
      </c>
      <c r="AM655">
        <v>0</v>
      </c>
      <c r="AN655">
        <v>31</v>
      </c>
    </row>
    <row r="656" spans="1:41" hidden="1" x14ac:dyDescent="0.25">
      <c r="A656">
        <v>655</v>
      </c>
      <c r="B656">
        <v>2025</v>
      </c>
      <c r="C656">
        <v>10</v>
      </c>
      <c r="D656" t="s">
        <v>175</v>
      </c>
      <c r="E656">
        <v>31</v>
      </c>
      <c r="F656">
        <v>9</v>
      </c>
      <c r="G656" t="s">
        <v>430</v>
      </c>
      <c r="H656" s="48" t="s">
        <v>375</v>
      </c>
      <c r="I656" s="48" t="s">
        <v>375</v>
      </c>
      <c r="J656" s="48" t="s">
        <v>375</v>
      </c>
      <c r="K656" s="48" t="s">
        <v>375</v>
      </c>
      <c r="L656" s="48" t="s">
        <v>375</v>
      </c>
      <c r="M656" s="48" t="s">
        <v>375</v>
      </c>
      <c r="N656" s="48" t="s">
        <v>375</v>
      </c>
      <c r="O656" s="48" t="s">
        <v>375</v>
      </c>
      <c r="P656" s="48" t="s">
        <v>375</v>
      </c>
      <c r="Q656" s="48" t="s">
        <v>375</v>
      </c>
      <c r="R656" s="48" t="s">
        <v>375</v>
      </c>
      <c r="S656" s="48" t="s">
        <v>375</v>
      </c>
      <c r="T656" s="48" t="s">
        <v>375</v>
      </c>
      <c r="U656" s="48" t="s">
        <v>375</v>
      </c>
      <c r="V656" s="48" t="s">
        <v>375</v>
      </c>
      <c r="W656" s="48" t="s">
        <v>375</v>
      </c>
      <c r="X656" s="48" t="s">
        <v>375</v>
      </c>
      <c r="Y656" s="48" t="s">
        <v>375</v>
      </c>
      <c r="Z656" s="48" t="s">
        <v>375</v>
      </c>
      <c r="AA656" s="48" t="s">
        <v>375</v>
      </c>
      <c r="AB656" s="48" t="s">
        <v>375</v>
      </c>
      <c r="AC656" s="48" t="s">
        <v>375</v>
      </c>
      <c r="AD656" s="48" t="s">
        <v>375</v>
      </c>
      <c r="AE656" s="48" t="s">
        <v>375</v>
      </c>
      <c r="AF656" s="48" t="s">
        <v>375</v>
      </c>
      <c r="AG656" s="48" t="s">
        <v>375</v>
      </c>
      <c r="AH656" s="48" t="s">
        <v>375</v>
      </c>
      <c r="AI656" s="48" t="s">
        <v>375</v>
      </c>
      <c r="AJ656" s="48" t="s">
        <v>375</v>
      </c>
      <c r="AK656" s="48" t="s">
        <v>375</v>
      </c>
      <c r="AL656" s="48" t="s">
        <v>320</v>
      </c>
    </row>
    <row r="657" spans="1:41" hidden="1" x14ac:dyDescent="0.25">
      <c r="A657">
        <v>656</v>
      </c>
      <c r="B657">
        <v>2025</v>
      </c>
      <c r="C657">
        <v>10</v>
      </c>
      <c r="D657" t="s">
        <v>175</v>
      </c>
      <c r="E657">
        <v>31</v>
      </c>
      <c r="F657">
        <v>9</v>
      </c>
      <c r="G657" t="s">
        <v>431</v>
      </c>
      <c r="H657" s="48">
        <v>0.875</v>
      </c>
      <c r="I657" s="48">
        <v>0.875</v>
      </c>
      <c r="J657" s="48">
        <v>0.875</v>
      </c>
      <c r="K657" s="48">
        <v>0.875</v>
      </c>
      <c r="L657" s="48">
        <v>0.875</v>
      </c>
      <c r="M657" s="48">
        <v>0.875</v>
      </c>
      <c r="N657" s="48">
        <v>0.875</v>
      </c>
      <c r="O657" s="48">
        <v>0.875</v>
      </c>
      <c r="P657" s="48">
        <v>0.875</v>
      </c>
      <c r="Q657" s="48">
        <v>0.875</v>
      </c>
      <c r="R657" s="48">
        <v>0.875</v>
      </c>
      <c r="S657" s="48">
        <v>0.875</v>
      </c>
      <c r="T657" s="48">
        <v>0.875</v>
      </c>
      <c r="U657" s="48">
        <v>0.875</v>
      </c>
      <c r="V657" s="48">
        <v>0.875</v>
      </c>
      <c r="W657" s="48">
        <v>0.875</v>
      </c>
      <c r="X657" s="48">
        <v>0.875</v>
      </c>
      <c r="Y657" s="48">
        <v>0.875</v>
      </c>
      <c r="Z657" s="48">
        <v>0.875</v>
      </c>
      <c r="AA657" s="48">
        <v>0.875</v>
      </c>
      <c r="AB657" s="48">
        <v>0.875</v>
      </c>
      <c r="AC657" s="48">
        <v>0.875</v>
      </c>
      <c r="AD657" s="48">
        <v>0.875</v>
      </c>
      <c r="AE657" s="48">
        <v>0.875</v>
      </c>
      <c r="AF657" s="48">
        <v>0.875</v>
      </c>
      <c r="AG657" s="48">
        <v>0.75</v>
      </c>
      <c r="AH657" s="48">
        <v>0.875</v>
      </c>
      <c r="AI657" s="48">
        <v>0.875</v>
      </c>
      <c r="AJ657" s="48">
        <v>0.875</v>
      </c>
      <c r="AK657" s="48">
        <v>0.875</v>
      </c>
      <c r="AL657" s="48" t="s">
        <v>320</v>
      </c>
      <c r="AM657">
        <v>30</v>
      </c>
      <c r="AO657">
        <v>86.999999999999986</v>
      </c>
    </row>
    <row r="658" spans="1:41" hidden="1" x14ac:dyDescent="0.25">
      <c r="A658">
        <v>657</v>
      </c>
      <c r="B658">
        <v>2025</v>
      </c>
      <c r="C658">
        <v>10</v>
      </c>
      <c r="D658" t="s">
        <v>179</v>
      </c>
      <c r="E658">
        <v>31</v>
      </c>
      <c r="F658">
        <v>9</v>
      </c>
      <c r="G658" t="s">
        <v>430</v>
      </c>
      <c r="H658" s="48" t="s">
        <v>320</v>
      </c>
      <c r="I658" s="48" t="s">
        <v>320</v>
      </c>
      <c r="J658" s="48" t="s">
        <v>320</v>
      </c>
      <c r="K658" s="48" t="s">
        <v>320</v>
      </c>
      <c r="L658" s="48" t="s">
        <v>320</v>
      </c>
      <c r="M658" s="48" t="s">
        <v>320</v>
      </c>
      <c r="N658" s="48" t="s">
        <v>320</v>
      </c>
      <c r="O658" s="48" t="s">
        <v>320</v>
      </c>
      <c r="P658" s="48" t="s">
        <v>320</v>
      </c>
      <c r="Q658" s="48" t="s">
        <v>320</v>
      </c>
      <c r="R658" s="48" t="s">
        <v>320</v>
      </c>
      <c r="S658" s="48" t="s">
        <v>320</v>
      </c>
      <c r="T658" s="48" t="s">
        <v>320</v>
      </c>
      <c r="U658" s="48" t="s">
        <v>320</v>
      </c>
      <c r="V658" s="48" t="s">
        <v>320</v>
      </c>
      <c r="W658" s="48" t="s">
        <v>320</v>
      </c>
      <c r="X658" s="48" t="s">
        <v>320</v>
      </c>
      <c r="Y658" s="48" t="s">
        <v>320</v>
      </c>
      <c r="Z658" s="48" t="s">
        <v>320</v>
      </c>
      <c r="AA658" s="48" t="s">
        <v>375</v>
      </c>
      <c r="AB658" s="48" t="s">
        <v>375</v>
      </c>
      <c r="AC658" s="48" t="s">
        <v>375</v>
      </c>
      <c r="AD658" s="48" t="s">
        <v>375</v>
      </c>
      <c r="AE658" s="48" t="s">
        <v>375</v>
      </c>
      <c r="AF658" s="48" t="s">
        <v>375</v>
      </c>
      <c r="AG658" s="48" t="s">
        <v>375</v>
      </c>
      <c r="AH658" s="48" t="s">
        <v>375</v>
      </c>
      <c r="AI658" s="48" t="s">
        <v>375</v>
      </c>
      <c r="AJ658" s="48" t="s">
        <v>375</v>
      </c>
      <c r="AK658" s="48" t="s">
        <v>375</v>
      </c>
      <c r="AL658" s="48" t="s">
        <v>375</v>
      </c>
    </row>
    <row r="659" spans="1:41" hidden="1" x14ac:dyDescent="0.25">
      <c r="A659">
        <v>658</v>
      </c>
      <c r="B659">
        <v>2025</v>
      </c>
      <c r="C659">
        <v>10</v>
      </c>
      <c r="D659" t="s">
        <v>179</v>
      </c>
      <c r="E659">
        <v>31</v>
      </c>
      <c r="F659">
        <v>9</v>
      </c>
      <c r="G659" t="s">
        <v>431</v>
      </c>
      <c r="H659" s="48" t="s">
        <v>320</v>
      </c>
      <c r="I659" s="48" t="s">
        <v>320</v>
      </c>
      <c r="J659" s="48" t="s">
        <v>320</v>
      </c>
      <c r="K659" s="48" t="s">
        <v>320</v>
      </c>
      <c r="L659" s="48" t="s">
        <v>320</v>
      </c>
      <c r="M659" s="48" t="s">
        <v>320</v>
      </c>
      <c r="N659" s="48" t="s">
        <v>320</v>
      </c>
      <c r="O659" s="48" t="s">
        <v>320</v>
      </c>
      <c r="P659" s="48" t="s">
        <v>320</v>
      </c>
      <c r="Q659" s="48" t="s">
        <v>320</v>
      </c>
      <c r="R659" s="48" t="s">
        <v>320</v>
      </c>
      <c r="S659" s="48" t="s">
        <v>320</v>
      </c>
      <c r="T659" s="48" t="s">
        <v>320</v>
      </c>
      <c r="U659" s="48" t="s">
        <v>320</v>
      </c>
      <c r="V659" s="48" t="s">
        <v>320</v>
      </c>
      <c r="W659" s="48" t="s">
        <v>320</v>
      </c>
      <c r="X659" s="48" t="s">
        <v>320</v>
      </c>
      <c r="Y659" s="48" t="s">
        <v>320</v>
      </c>
      <c r="Z659" s="48" t="s">
        <v>320</v>
      </c>
      <c r="AA659" s="48">
        <v>0.75</v>
      </c>
      <c r="AB659" s="48">
        <v>0.75</v>
      </c>
      <c r="AC659" s="48">
        <v>0.75</v>
      </c>
      <c r="AD659" s="48">
        <v>0.75</v>
      </c>
      <c r="AE659" s="48">
        <v>0.75</v>
      </c>
      <c r="AF659" s="48">
        <v>0.75</v>
      </c>
      <c r="AG659" s="48">
        <v>0.75</v>
      </c>
      <c r="AH659" s="48">
        <v>0.75</v>
      </c>
      <c r="AI659" s="48">
        <v>0.75</v>
      </c>
      <c r="AJ659" s="48">
        <v>0.75</v>
      </c>
      <c r="AK659" s="48">
        <v>0.75</v>
      </c>
      <c r="AL659" s="48">
        <v>0.75</v>
      </c>
      <c r="AM659">
        <v>12</v>
      </c>
    </row>
    <row r="660" spans="1:41" hidden="1" x14ac:dyDescent="0.25">
      <c r="A660">
        <v>659</v>
      </c>
      <c r="B660">
        <v>2025</v>
      </c>
      <c r="C660">
        <v>10</v>
      </c>
      <c r="D660" t="s">
        <v>156</v>
      </c>
      <c r="E660">
        <v>31</v>
      </c>
      <c r="F660">
        <v>9</v>
      </c>
      <c r="G660" t="s">
        <v>430</v>
      </c>
      <c r="H660" s="48">
        <v>0.29166666666666669</v>
      </c>
      <c r="I660" s="48" t="s">
        <v>382</v>
      </c>
      <c r="J660" s="48" t="s">
        <v>382</v>
      </c>
      <c r="K660" s="48" t="s">
        <v>382</v>
      </c>
      <c r="L660" s="48" t="s">
        <v>382</v>
      </c>
      <c r="M660" s="48" t="s">
        <v>382</v>
      </c>
      <c r="N660" s="48" t="s">
        <v>382</v>
      </c>
      <c r="O660" s="48" t="s">
        <v>382</v>
      </c>
      <c r="P660" s="48" t="s">
        <v>382</v>
      </c>
      <c r="Q660" s="48" t="s">
        <v>382</v>
      </c>
      <c r="R660" s="48" t="s">
        <v>382</v>
      </c>
      <c r="S660" s="48" t="s">
        <v>320</v>
      </c>
      <c r="T660" s="48" t="s">
        <v>382</v>
      </c>
      <c r="U660" s="48" t="s">
        <v>382</v>
      </c>
      <c r="V660" s="48" t="s">
        <v>382</v>
      </c>
      <c r="W660" s="48" t="s">
        <v>382</v>
      </c>
      <c r="X660" s="48" t="s">
        <v>382</v>
      </c>
      <c r="Y660" s="48" t="s">
        <v>382</v>
      </c>
      <c r="Z660" s="48" t="s">
        <v>320</v>
      </c>
      <c r="AA660" s="48" t="s">
        <v>382</v>
      </c>
      <c r="AB660" s="48" t="s">
        <v>382</v>
      </c>
      <c r="AC660" s="48" t="s">
        <v>382</v>
      </c>
      <c r="AD660" s="48" t="s">
        <v>382</v>
      </c>
      <c r="AE660" s="48" t="s">
        <v>382</v>
      </c>
      <c r="AF660" s="48" t="s">
        <v>382</v>
      </c>
      <c r="AG660" s="48" t="s">
        <v>382</v>
      </c>
      <c r="AH660" s="48" t="s">
        <v>382</v>
      </c>
      <c r="AI660" s="48" t="s">
        <v>382</v>
      </c>
      <c r="AJ660" s="48" t="s">
        <v>382</v>
      </c>
      <c r="AK660" s="48" t="s">
        <v>382</v>
      </c>
      <c r="AL660" s="48" t="s">
        <v>382</v>
      </c>
    </row>
    <row r="661" spans="1:41" hidden="1" x14ac:dyDescent="0.25">
      <c r="A661">
        <v>660</v>
      </c>
      <c r="B661">
        <v>2025</v>
      </c>
      <c r="C661">
        <v>10</v>
      </c>
      <c r="D661" t="s">
        <v>156</v>
      </c>
      <c r="E661">
        <v>31</v>
      </c>
      <c r="F661">
        <v>9</v>
      </c>
      <c r="G661" t="s">
        <v>431</v>
      </c>
      <c r="H661" s="48">
        <v>0.75</v>
      </c>
      <c r="I661" s="48">
        <v>0.66666666666666663</v>
      </c>
      <c r="J661" s="48">
        <v>0.66666666666666663</v>
      </c>
      <c r="K661" s="48">
        <v>0.66666666666666663</v>
      </c>
      <c r="L661" s="48">
        <v>0.66666666666666663</v>
      </c>
      <c r="M661" s="48">
        <v>0.66666666666666663</v>
      </c>
      <c r="N661" s="48">
        <v>0.66666666666666663</v>
      </c>
      <c r="O661" s="48">
        <v>0.66666666666666663</v>
      </c>
      <c r="P661" s="48">
        <v>0.66666666666666663</v>
      </c>
      <c r="Q661" s="48">
        <v>0.66666666666666663</v>
      </c>
      <c r="R661" s="48">
        <v>0.66666666666666663</v>
      </c>
      <c r="S661" s="48" t="s">
        <v>320</v>
      </c>
      <c r="T661" s="48">
        <v>0.66666666666666663</v>
      </c>
      <c r="U661" s="48">
        <v>0.66666666666666663</v>
      </c>
      <c r="V661" s="48">
        <v>0.66666666666666663</v>
      </c>
      <c r="W661" s="48">
        <v>0.66666666666666663</v>
      </c>
      <c r="X661" s="48">
        <v>0.66666666666666663</v>
      </c>
      <c r="Y661" s="48">
        <v>0.66666666666666663</v>
      </c>
      <c r="Z661" s="48" t="s">
        <v>320</v>
      </c>
      <c r="AA661" s="48">
        <v>0.66666666666666663</v>
      </c>
      <c r="AB661" s="48">
        <v>0.66666666666666663</v>
      </c>
      <c r="AC661" s="48">
        <v>0.66666666666666663</v>
      </c>
      <c r="AD661" s="48">
        <v>0.66666666666666663</v>
      </c>
      <c r="AE661" s="48">
        <v>0.66666666666666663</v>
      </c>
      <c r="AF661" s="48">
        <v>0.66666666666666663</v>
      </c>
      <c r="AG661" s="48">
        <v>0.66666666666666663</v>
      </c>
      <c r="AH661" s="48">
        <v>0.66666666666666663</v>
      </c>
      <c r="AI661" s="48">
        <v>0.66666666666666663</v>
      </c>
      <c r="AJ661" s="48">
        <v>0.66666666666666663</v>
      </c>
      <c r="AK661" s="48">
        <v>0.66666666666666663</v>
      </c>
      <c r="AL661" s="48">
        <v>0.66666666666666663</v>
      </c>
      <c r="AM661">
        <v>29</v>
      </c>
    </row>
    <row r="662" spans="1:41" hidden="1" x14ac:dyDescent="0.25">
      <c r="A662">
        <v>661</v>
      </c>
      <c r="B662">
        <v>2025</v>
      </c>
      <c r="C662">
        <v>10</v>
      </c>
      <c r="D662" t="s">
        <v>168</v>
      </c>
      <c r="E662">
        <v>31</v>
      </c>
      <c r="F662">
        <v>9</v>
      </c>
      <c r="G662" t="s">
        <v>430</v>
      </c>
      <c r="H662" s="48" t="s">
        <v>375</v>
      </c>
      <c r="I662" s="48" t="s">
        <v>375</v>
      </c>
      <c r="J662" s="48" t="s">
        <v>375</v>
      </c>
      <c r="K662" s="48" t="s">
        <v>375</v>
      </c>
      <c r="L662" s="48" t="s">
        <v>375</v>
      </c>
      <c r="M662" s="48" t="s">
        <v>375</v>
      </c>
      <c r="N662" s="48" t="s">
        <v>375</v>
      </c>
      <c r="O662" s="48" t="s">
        <v>375</v>
      </c>
      <c r="P662" s="48" t="s">
        <v>375</v>
      </c>
      <c r="Q662" s="48" t="s">
        <v>375</v>
      </c>
      <c r="R662" s="48" t="s">
        <v>375</v>
      </c>
      <c r="S662" s="48" t="s">
        <v>375</v>
      </c>
      <c r="T662" s="48" t="s">
        <v>375</v>
      </c>
      <c r="U662" s="48" t="s">
        <v>375</v>
      </c>
      <c r="V662" s="48" t="s">
        <v>375</v>
      </c>
      <c r="W662" s="48" t="s">
        <v>375</v>
      </c>
      <c r="X662" s="48" t="s">
        <v>375</v>
      </c>
      <c r="Y662" s="48" t="s">
        <v>375</v>
      </c>
      <c r="Z662" s="48" t="s">
        <v>375</v>
      </c>
      <c r="AA662" s="48" t="s">
        <v>375</v>
      </c>
      <c r="AB662" s="48" t="s">
        <v>375</v>
      </c>
      <c r="AC662" s="48" t="s">
        <v>375</v>
      </c>
      <c r="AD662" s="48" t="s">
        <v>375</v>
      </c>
      <c r="AE662" s="48" t="s">
        <v>375</v>
      </c>
      <c r="AF662" s="48" t="s">
        <v>375</v>
      </c>
      <c r="AG662" s="48" t="s">
        <v>375</v>
      </c>
      <c r="AH662" s="48" t="s">
        <v>375</v>
      </c>
      <c r="AI662" s="48" t="s">
        <v>375</v>
      </c>
      <c r="AJ662" s="48" t="s">
        <v>375</v>
      </c>
      <c r="AK662" s="48" t="s">
        <v>375</v>
      </c>
      <c r="AL662" s="48" t="s">
        <v>375</v>
      </c>
    </row>
    <row r="663" spans="1:41" hidden="1" x14ac:dyDescent="0.25">
      <c r="A663">
        <v>662</v>
      </c>
      <c r="B663">
        <v>2025</v>
      </c>
      <c r="C663">
        <v>10</v>
      </c>
      <c r="D663" t="s">
        <v>168</v>
      </c>
      <c r="E663">
        <v>31</v>
      </c>
      <c r="F663">
        <v>9</v>
      </c>
      <c r="G663" t="s">
        <v>431</v>
      </c>
      <c r="H663" s="48">
        <v>0.83333333333333326</v>
      </c>
      <c r="I663" s="48">
        <v>0.75</v>
      </c>
      <c r="J663" s="48">
        <v>1.1666666666666667</v>
      </c>
      <c r="K663" s="48">
        <v>0.75</v>
      </c>
      <c r="L663" s="48">
        <v>0.75</v>
      </c>
      <c r="M663" s="48">
        <v>1.0416666666666667</v>
      </c>
      <c r="N663" s="48">
        <v>0.95833333333333326</v>
      </c>
      <c r="O663" s="48">
        <v>0.75</v>
      </c>
      <c r="P663" s="48">
        <v>0.75</v>
      </c>
      <c r="Q663" s="48">
        <v>0.75</v>
      </c>
      <c r="R663" s="48">
        <v>0.95833333333333326</v>
      </c>
      <c r="S663" s="48">
        <v>0.75</v>
      </c>
      <c r="T663" s="48">
        <v>0.79166666666666674</v>
      </c>
      <c r="U663" s="48">
        <v>0.91666666666666674</v>
      </c>
      <c r="V663" s="48">
        <v>0.875</v>
      </c>
      <c r="W663" s="48">
        <v>0.75</v>
      </c>
      <c r="X663" s="48">
        <v>0.75</v>
      </c>
      <c r="Y663" s="48">
        <v>1.25</v>
      </c>
      <c r="Z663" s="48">
        <v>0.79166666666666674</v>
      </c>
      <c r="AA663" s="48">
        <v>0.95833333333333326</v>
      </c>
      <c r="AB663" s="48">
        <v>0.75</v>
      </c>
      <c r="AC663" s="48">
        <v>0.95833333333333326</v>
      </c>
      <c r="AD663" s="48">
        <v>0.75</v>
      </c>
      <c r="AE663" s="48">
        <v>0.75</v>
      </c>
      <c r="AF663" s="48">
        <v>0.75</v>
      </c>
      <c r="AG663" s="48">
        <v>0.75</v>
      </c>
      <c r="AH663" s="48">
        <v>0.875</v>
      </c>
      <c r="AI663" s="48">
        <v>0.91666666666666674</v>
      </c>
      <c r="AJ663" s="48">
        <v>0.75</v>
      </c>
      <c r="AK663" s="48">
        <v>0.875</v>
      </c>
      <c r="AL663" s="48">
        <v>0.95833333333333326</v>
      </c>
      <c r="AM663">
        <v>31</v>
      </c>
      <c r="AO663">
        <v>74.999999999999986</v>
      </c>
    </row>
    <row r="664" spans="1:41" hidden="1" x14ac:dyDescent="0.25">
      <c r="A664">
        <v>663</v>
      </c>
      <c r="B664">
        <v>2025</v>
      </c>
      <c r="C664">
        <v>10</v>
      </c>
      <c r="D664" t="s">
        <v>164</v>
      </c>
      <c r="E664">
        <v>31</v>
      </c>
      <c r="F664">
        <v>9</v>
      </c>
      <c r="G664" t="s">
        <v>430</v>
      </c>
      <c r="H664" s="48" t="s">
        <v>375</v>
      </c>
      <c r="I664" s="48" t="s">
        <v>375</v>
      </c>
      <c r="J664" s="48" t="s">
        <v>375</v>
      </c>
      <c r="K664" s="48" t="s">
        <v>375</v>
      </c>
      <c r="L664" s="48" t="s">
        <v>375</v>
      </c>
      <c r="M664" s="48" t="s">
        <v>375</v>
      </c>
      <c r="N664" s="48" t="s">
        <v>375</v>
      </c>
      <c r="O664" s="48" t="s">
        <v>375</v>
      </c>
      <c r="P664" s="48" t="s">
        <v>375</v>
      </c>
      <c r="Q664" s="48" t="s">
        <v>375</v>
      </c>
      <c r="R664" s="48" t="s">
        <v>375</v>
      </c>
      <c r="S664" s="48" t="s">
        <v>375</v>
      </c>
      <c r="T664" s="48" t="s">
        <v>375</v>
      </c>
      <c r="U664" s="48" t="s">
        <v>375</v>
      </c>
      <c r="V664" s="48" t="s">
        <v>375</v>
      </c>
      <c r="W664" s="48" t="s">
        <v>375</v>
      </c>
      <c r="X664" s="48" t="s">
        <v>375</v>
      </c>
      <c r="Y664" s="48" t="s">
        <v>375</v>
      </c>
      <c r="Z664" s="48" t="s">
        <v>375</v>
      </c>
      <c r="AA664" s="48" t="s">
        <v>375</v>
      </c>
      <c r="AB664" s="48" t="s">
        <v>375</v>
      </c>
      <c r="AC664" s="48" t="s">
        <v>375</v>
      </c>
      <c r="AD664" s="48" t="s">
        <v>375</v>
      </c>
      <c r="AE664" s="48" t="s">
        <v>375</v>
      </c>
      <c r="AF664" s="48" t="s">
        <v>375</v>
      </c>
      <c r="AG664" s="48" t="s">
        <v>375</v>
      </c>
      <c r="AH664" s="48" t="s">
        <v>375</v>
      </c>
      <c r="AI664" s="48" t="s">
        <v>375</v>
      </c>
      <c r="AJ664" s="48" t="s">
        <v>375</v>
      </c>
      <c r="AK664" s="48" t="s">
        <v>375</v>
      </c>
      <c r="AL664" s="48" t="s">
        <v>375</v>
      </c>
    </row>
    <row r="665" spans="1:41" hidden="1" x14ac:dyDescent="0.25">
      <c r="A665">
        <v>664</v>
      </c>
      <c r="B665">
        <v>2025</v>
      </c>
      <c r="C665">
        <v>10</v>
      </c>
      <c r="D665" t="s">
        <v>164</v>
      </c>
      <c r="E665">
        <v>31</v>
      </c>
      <c r="F665">
        <v>9</v>
      </c>
      <c r="G665" t="s">
        <v>431</v>
      </c>
      <c r="H665" s="48">
        <v>0.75</v>
      </c>
      <c r="I665" s="48">
        <v>0.83333333333333326</v>
      </c>
      <c r="J665" s="48">
        <v>0.83333333333333326</v>
      </c>
      <c r="K665" s="48">
        <v>0.83333333333333326</v>
      </c>
      <c r="L665" s="48">
        <v>0.83333333333333326</v>
      </c>
      <c r="M665" s="48">
        <v>0.83333333333333326</v>
      </c>
      <c r="N665" s="48">
        <v>0.83333333333333326</v>
      </c>
      <c r="O665" s="48">
        <v>0.75</v>
      </c>
      <c r="P665" s="48">
        <v>0.83333333333333326</v>
      </c>
      <c r="Q665" s="48">
        <v>0.83333333333333326</v>
      </c>
      <c r="R665" s="48">
        <v>0.83333333333333326</v>
      </c>
      <c r="S665" s="48">
        <v>0.83333333333333326</v>
      </c>
      <c r="T665" s="48">
        <v>0.75</v>
      </c>
      <c r="U665" s="48">
        <v>0.83333333333333326</v>
      </c>
      <c r="V665" s="48">
        <v>0.83333333333333326</v>
      </c>
      <c r="W665" s="48">
        <v>0.83333333333333326</v>
      </c>
      <c r="X665" s="48">
        <v>0.83333333333333326</v>
      </c>
      <c r="Y665" s="48">
        <v>0.83333333333333326</v>
      </c>
      <c r="Z665" s="48">
        <v>0.75</v>
      </c>
      <c r="AA665" s="48">
        <v>0.83333333333333326</v>
      </c>
      <c r="AB665" s="48">
        <v>0.83333333333333326</v>
      </c>
      <c r="AC665" s="48">
        <v>0.83333333333333326</v>
      </c>
      <c r="AD665" s="48">
        <v>0.83333333333333326</v>
      </c>
      <c r="AE665" s="48">
        <v>0.83333333333333326</v>
      </c>
      <c r="AF665" s="48">
        <v>0.83333333333333326</v>
      </c>
      <c r="AG665" s="48">
        <v>0.83333333333333326</v>
      </c>
      <c r="AH665" s="48">
        <v>0.83333333333333326</v>
      </c>
      <c r="AI665" s="48">
        <v>0.75</v>
      </c>
      <c r="AJ665" s="48">
        <v>0.83333333333333326</v>
      </c>
      <c r="AK665" s="48">
        <v>0.83333333333333326</v>
      </c>
      <c r="AL665" s="48">
        <v>0.75</v>
      </c>
      <c r="AM665">
        <v>31</v>
      </c>
      <c r="AO665">
        <v>49.999999999999943</v>
      </c>
    </row>
    <row r="666" spans="1:41" hidden="1" x14ac:dyDescent="0.25">
      <c r="A666">
        <v>665</v>
      </c>
      <c r="B666">
        <v>2025</v>
      </c>
      <c r="C666">
        <v>10</v>
      </c>
      <c r="D666" t="s">
        <v>163</v>
      </c>
      <c r="E666">
        <v>31</v>
      </c>
      <c r="F666">
        <v>9</v>
      </c>
      <c r="G666" t="s">
        <v>430</v>
      </c>
      <c r="H666" s="48" t="s">
        <v>377</v>
      </c>
      <c r="I666" s="48" t="s">
        <v>377</v>
      </c>
      <c r="J666" s="48" t="s">
        <v>377</v>
      </c>
      <c r="K666" s="48" t="s">
        <v>377</v>
      </c>
      <c r="L666" s="48" t="s">
        <v>377</v>
      </c>
      <c r="M666" s="48" t="s">
        <v>377</v>
      </c>
      <c r="N666" s="48" t="s">
        <v>377</v>
      </c>
      <c r="O666" s="48" t="s">
        <v>377</v>
      </c>
      <c r="P666" s="48" t="s">
        <v>320</v>
      </c>
      <c r="Q666" s="48" t="s">
        <v>377</v>
      </c>
      <c r="R666" s="48" t="s">
        <v>377</v>
      </c>
      <c r="S666" s="48" t="s">
        <v>377</v>
      </c>
      <c r="T666" s="48" t="s">
        <v>320</v>
      </c>
      <c r="U666" s="48" t="s">
        <v>377</v>
      </c>
      <c r="V666" s="48" t="s">
        <v>377</v>
      </c>
      <c r="W666" s="48" t="s">
        <v>377</v>
      </c>
      <c r="X666" s="48" t="s">
        <v>377</v>
      </c>
      <c r="Y666" s="48" t="s">
        <v>377</v>
      </c>
      <c r="Z666" s="48" t="s">
        <v>377</v>
      </c>
      <c r="AA666" s="48" t="s">
        <v>377</v>
      </c>
      <c r="AB666" s="48" t="s">
        <v>377</v>
      </c>
      <c r="AC666" s="48" t="s">
        <v>320</v>
      </c>
      <c r="AD666" s="48" t="s">
        <v>377</v>
      </c>
      <c r="AE666" s="48" t="s">
        <v>377</v>
      </c>
      <c r="AF666" s="48" t="s">
        <v>377</v>
      </c>
      <c r="AG666" s="48" t="s">
        <v>377</v>
      </c>
      <c r="AH666" s="48" t="s">
        <v>377</v>
      </c>
      <c r="AI666" s="48" t="s">
        <v>377</v>
      </c>
      <c r="AJ666" s="48" t="s">
        <v>377</v>
      </c>
      <c r="AK666" s="48" t="s">
        <v>377</v>
      </c>
      <c r="AL666" s="48" t="s">
        <v>377</v>
      </c>
    </row>
    <row r="667" spans="1:41" hidden="1" x14ac:dyDescent="0.25">
      <c r="A667">
        <v>666</v>
      </c>
      <c r="B667">
        <v>2025</v>
      </c>
      <c r="C667">
        <v>10</v>
      </c>
      <c r="D667" t="s">
        <v>163</v>
      </c>
      <c r="E667">
        <v>31</v>
      </c>
      <c r="F667">
        <v>9</v>
      </c>
      <c r="G667" t="s">
        <v>431</v>
      </c>
      <c r="H667" s="48">
        <v>0.8125</v>
      </c>
      <c r="I667" s="48">
        <v>0.8125</v>
      </c>
      <c r="J667" s="48">
        <v>0.8125</v>
      </c>
      <c r="K667" s="48">
        <v>0.8125</v>
      </c>
      <c r="L667" s="48">
        <v>0.8125</v>
      </c>
      <c r="M667" s="48">
        <v>0.8125</v>
      </c>
      <c r="N667" s="48">
        <v>0.8125</v>
      </c>
      <c r="O667" s="48">
        <v>0.8125</v>
      </c>
      <c r="P667" s="48" t="s">
        <v>320</v>
      </c>
      <c r="Q667" s="48">
        <v>0.8125</v>
      </c>
      <c r="R667" s="48">
        <v>0.8125</v>
      </c>
      <c r="S667" s="48">
        <v>0.8125</v>
      </c>
      <c r="T667" s="48" t="s">
        <v>320</v>
      </c>
      <c r="U667" s="48">
        <v>0.8125</v>
      </c>
      <c r="V667" s="48">
        <v>0.8125</v>
      </c>
      <c r="W667" s="48">
        <v>0.8125</v>
      </c>
      <c r="X667" s="48">
        <v>0.8125</v>
      </c>
      <c r="Y667" s="48">
        <v>0.8125</v>
      </c>
      <c r="Z667" s="48">
        <v>0.8125</v>
      </c>
      <c r="AA667" s="48">
        <v>0.6875</v>
      </c>
      <c r="AB667" s="48">
        <v>0.89583333333333326</v>
      </c>
      <c r="AC667" s="48" t="s">
        <v>320</v>
      </c>
      <c r="AD667" s="48">
        <v>0.8125</v>
      </c>
      <c r="AE667" s="48">
        <v>0.8125</v>
      </c>
      <c r="AF667" s="48">
        <v>0.8125</v>
      </c>
      <c r="AG667" s="48">
        <v>0.8125</v>
      </c>
      <c r="AH667" s="48">
        <v>0.8125</v>
      </c>
      <c r="AI667" s="48">
        <v>0.8125</v>
      </c>
      <c r="AJ667" s="48">
        <v>0.8125</v>
      </c>
      <c r="AK667" s="48">
        <v>0.8125</v>
      </c>
      <c r="AL667" s="48">
        <v>0.8125</v>
      </c>
      <c r="AM667">
        <v>28</v>
      </c>
      <c r="AO667">
        <v>83</v>
      </c>
    </row>
    <row r="668" spans="1:41" hidden="1" x14ac:dyDescent="0.25">
      <c r="A668">
        <v>667</v>
      </c>
      <c r="B668">
        <v>2025</v>
      </c>
      <c r="C668">
        <v>10</v>
      </c>
      <c r="D668" t="s">
        <v>131</v>
      </c>
      <c r="E668">
        <v>31</v>
      </c>
      <c r="F668">
        <v>9</v>
      </c>
      <c r="G668" t="s">
        <v>430</v>
      </c>
      <c r="H668" s="48" t="s">
        <v>375</v>
      </c>
      <c r="I668" s="48" t="s">
        <v>375</v>
      </c>
      <c r="J668" s="48" t="s">
        <v>375</v>
      </c>
      <c r="K668" s="48" t="s">
        <v>375</v>
      </c>
      <c r="L668" s="48" t="s">
        <v>375</v>
      </c>
      <c r="M668" s="48" t="s">
        <v>375</v>
      </c>
      <c r="N668" s="48" t="s">
        <v>375</v>
      </c>
      <c r="O668" s="48" t="s">
        <v>375</v>
      </c>
      <c r="P668" s="48" t="s">
        <v>375</v>
      </c>
      <c r="Q668" s="48" t="s">
        <v>375</v>
      </c>
      <c r="R668" s="48" t="s">
        <v>375</v>
      </c>
      <c r="S668" s="48" t="s">
        <v>375</v>
      </c>
      <c r="T668" s="48" t="s">
        <v>375</v>
      </c>
      <c r="U668" s="48" t="s">
        <v>375</v>
      </c>
      <c r="V668" s="48" t="s">
        <v>375</v>
      </c>
      <c r="W668" s="48" t="s">
        <v>375</v>
      </c>
      <c r="X668" s="48" t="s">
        <v>375</v>
      </c>
      <c r="Y668" s="48" t="s">
        <v>375</v>
      </c>
      <c r="Z668" s="48" t="s">
        <v>375</v>
      </c>
      <c r="AA668" s="48" t="s">
        <v>375</v>
      </c>
      <c r="AB668" s="48" t="s">
        <v>375</v>
      </c>
      <c r="AC668" s="48" t="s">
        <v>375</v>
      </c>
      <c r="AD668" s="48" t="s">
        <v>375</v>
      </c>
      <c r="AE668" s="48" t="s">
        <v>375</v>
      </c>
      <c r="AF668" s="48" t="s">
        <v>375</v>
      </c>
      <c r="AG668" s="48" t="s">
        <v>320</v>
      </c>
      <c r="AH668" s="48" t="s">
        <v>375</v>
      </c>
      <c r="AI668" s="48" t="s">
        <v>375</v>
      </c>
      <c r="AJ668" s="48" t="s">
        <v>375</v>
      </c>
      <c r="AK668" s="48" t="s">
        <v>375</v>
      </c>
      <c r="AL668" s="48" t="s">
        <v>375</v>
      </c>
    </row>
    <row r="669" spans="1:41" hidden="1" x14ac:dyDescent="0.25">
      <c r="A669">
        <v>668</v>
      </c>
      <c r="B669">
        <v>2025</v>
      </c>
      <c r="C669">
        <v>10</v>
      </c>
      <c r="D669" t="s">
        <v>131</v>
      </c>
      <c r="E669">
        <v>31</v>
      </c>
      <c r="F669">
        <v>9</v>
      </c>
      <c r="G669" t="s">
        <v>431</v>
      </c>
      <c r="H669" s="48">
        <v>0.75</v>
      </c>
      <c r="I669" s="48">
        <v>0.75</v>
      </c>
      <c r="J669" s="48">
        <v>0.75</v>
      </c>
      <c r="K669" s="48">
        <v>0.75</v>
      </c>
      <c r="L669" s="48">
        <v>0.75</v>
      </c>
      <c r="M669" s="48">
        <v>0.75</v>
      </c>
      <c r="N669" s="48">
        <v>0.75</v>
      </c>
      <c r="O669" s="48">
        <v>0.75</v>
      </c>
      <c r="P669" s="48">
        <v>0.79166666666666674</v>
      </c>
      <c r="Q669" s="48">
        <v>0.75</v>
      </c>
      <c r="R669" s="48">
        <v>0.95833333333333326</v>
      </c>
      <c r="S669" s="48">
        <v>1</v>
      </c>
      <c r="T669" s="48">
        <v>0.875</v>
      </c>
      <c r="U669" s="48">
        <v>0.875</v>
      </c>
      <c r="V669" s="48">
        <v>0.75</v>
      </c>
      <c r="W669" s="48">
        <v>0.91666666666666674</v>
      </c>
      <c r="X669" s="48">
        <v>0.75</v>
      </c>
      <c r="Y669" s="48">
        <v>0.875</v>
      </c>
      <c r="Z669" s="48">
        <v>0.79166666666666674</v>
      </c>
      <c r="AA669" s="48">
        <v>0.83333333333333326</v>
      </c>
      <c r="AB669" s="48">
        <v>0.83333333333333326</v>
      </c>
      <c r="AC669" s="48">
        <v>0.75</v>
      </c>
      <c r="AD669" s="48">
        <v>0.91666666666666674</v>
      </c>
      <c r="AE669" s="48">
        <v>0.91666666666666674</v>
      </c>
      <c r="AF669" s="48">
        <v>0.75</v>
      </c>
      <c r="AG669" s="48" t="s">
        <v>320</v>
      </c>
      <c r="AH669" s="48">
        <v>0.75</v>
      </c>
      <c r="AI669" s="48">
        <v>0.75</v>
      </c>
      <c r="AJ669" s="48">
        <v>0.75</v>
      </c>
      <c r="AK669" s="48">
        <v>0.75</v>
      </c>
      <c r="AL669" s="48">
        <v>0.875</v>
      </c>
      <c r="AM669">
        <v>30</v>
      </c>
      <c r="AO669">
        <v>40.999999999999986</v>
      </c>
    </row>
    <row r="670" spans="1:41" hidden="1" x14ac:dyDescent="0.25">
      <c r="A670">
        <v>669</v>
      </c>
      <c r="B670">
        <v>2025</v>
      </c>
      <c r="C670">
        <v>10</v>
      </c>
      <c r="D670" t="s">
        <v>174</v>
      </c>
      <c r="E670">
        <v>31</v>
      </c>
      <c r="F670">
        <v>9</v>
      </c>
      <c r="G670" t="s">
        <v>430</v>
      </c>
      <c r="H670" s="48" t="s">
        <v>379</v>
      </c>
      <c r="I670" s="48" t="s">
        <v>375</v>
      </c>
      <c r="J670" s="48" t="s">
        <v>375</v>
      </c>
      <c r="K670" s="48" t="s">
        <v>428</v>
      </c>
      <c r="L670" s="48" t="s">
        <v>375</v>
      </c>
      <c r="M670" s="48" t="s">
        <v>375</v>
      </c>
      <c r="N670" s="48" t="s">
        <v>375</v>
      </c>
      <c r="O670" s="48" t="s">
        <v>379</v>
      </c>
      <c r="P670" s="48" t="s">
        <v>375</v>
      </c>
      <c r="Q670" s="48" t="s">
        <v>375</v>
      </c>
      <c r="R670" s="48" t="s">
        <v>425</v>
      </c>
      <c r="S670" s="48" t="s">
        <v>379</v>
      </c>
      <c r="T670" s="48" t="s">
        <v>420</v>
      </c>
      <c r="U670" s="48" t="s">
        <v>379</v>
      </c>
      <c r="V670" s="48" t="s">
        <v>375</v>
      </c>
      <c r="W670" s="48" t="s">
        <v>411</v>
      </c>
      <c r="X670" s="48" t="s">
        <v>375</v>
      </c>
      <c r="Y670" s="48" t="s">
        <v>375</v>
      </c>
      <c r="Z670" s="48" t="s">
        <v>375</v>
      </c>
      <c r="AA670" s="48" t="s">
        <v>428</v>
      </c>
      <c r="AB670" s="48" t="s">
        <v>375</v>
      </c>
      <c r="AC670" s="48" t="s">
        <v>428</v>
      </c>
      <c r="AD670" s="48" t="s">
        <v>428</v>
      </c>
      <c r="AE670" s="48" t="s">
        <v>375</v>
      </c>
      <c r="AF670" s="48" t="s">
        <v>375</v>
      </c>
      <c r="AG670" s="48" t="s">
        <v>428</v>
      </c>
      <c r="AH670" s="48" t="s">
        <v>375</v>
      </c>
      <c r="AI670" s="48" t="s">
        <v>375</v>
      </c>
      <c r="AJ670" s="48" t="s">
        <v>375</v>
      </c>
      <c r="AK670" s="48" t="s">
        <v>375</v>
      </c>
      <c r="AL670" s="48" t="s">
        <v>428</v>
      </c>
    </row>
    <row r="671" spans="1:41" hidden="1" x14ac:dyDescent="0.25">
      <c r="A671">
        <v>670</v>
      </c>
      <c r="B671">
        <v>2025</v>
      </c>
      <c r="C671">
        <v>10</v>
      </c>
      <c r="D671" t="s">
        <v>174</v>
      </c>
      <c r="E671">
        <v>31</v>
      </c>
      <c r="F671">
        <v>9</v>
      </c>
      <c r="G671" t="s">
        <v>431</v>
      </c>
      <c r="H671" s="48">
        <v>0.75</v>
      </c>
      <c r="I671" s="48">
        <v>0.75</v>
      </c>
      <c r="J671" s="48">
        <v>0.875</v>
      </c>
      <c r="K671" s="48">
        <v>0.75</v>
      </c>
      <c r="L671" s="48">
        <v>0.75</v>
      </c>
      <c r="M671" s="48">
        <v>0.75</v>
      </c>
      <c r="N671" s="48">
        <v>0.75</v>
      </c>
      <c r="O671" s="48">
        <v>0.75</v>
      </c>
      <c r="P671" s="48">
        <v>0.75</v>
      </c>
      <c r="Q671" s="48">
        <v>0.75</v>
      </c>
      <c r="R671" s="48">
        <v>0.75</v>
      </c>
      <c r="S671" s="48">
        <v>0.75</v>
      </c>
      <c r="T671" s="48">
        <v>1.75</v>
      </c>
      <c r="U671" s="48">
        <v>0.75</v>
      </c>
      <c r="V671" s="48">
        <v>0.75</v>
      </c>
      <c r="W671" s="48">
        <v>1.7499999999999998</v>
      </c>
      <c r="X671" s="48">
        <v>0.75</v>
      </c>
      <c r="Y671" s="48">
        <v>0.75</v>
      </c>
      <c r="Z671" s="48">
        <v>0.75</v>
      </c>
      <c r="AA671" s="48">
        <v>0.75</v>
      </c>
      <c r="AB671" s="48">
        <v>0.79166666666666674</v>
      </c>
      <c r="AC671" s="48">
        <v>0.75</v>
      </c>
      <c r="AD671" s="48">
        <v>0.75</v>
      </c>
      <c r="AE671" s="48">
        <v>0.95833333333333326</v>
      </c>
      <c r="AF671" s="48">
        <v>1</v>
      </c>
      <c r="AG671" s="48">
        <v>0.75</v>
      </c>
      <c r="AH671" s="48">
        <v>0.75</v>
      </c>
      <c r="AI671" s="48">
        <v>0.75</v>
      </c>
      <c r="AJ671" s="48">
        <v>0.75</v>
      </c>
      <c r="AK671" s="48">
        <v>0.75</v>
      </c>
      <c r="AL671" s="48">
        <v>0.75</v>
      </c>
      <c r="AM671">
        <v>31</v>
      </c>
      <c r="AO671">
        <v>101</v>
      </c>
    </row>
    <row r="672" spans="1:41" hidden="1" x14ac:dyDescent="0.25">
      <c r="A672">
        <v>671</v>
      </c>
      <c r="B672">
        <v>2025</v>
      </c>
      <c r="C672">
        <v>10</v>
      </c>
      <c r="D672" t="s">
        <v>155</v>
      </c>
      <c r="E672">
        <v>31</v>
      </c>
      <c r="F672">
        <v>9</v>
      </c>
      <c r="G672" t="s">
        <v>432</v>
      </c>
      <c r="H672" s="48">
        <v>383307</v>
      </c>
      <c r="I672" s="48">
        <v>383426</v>
      </c>
      <c r="J672" s="48">
        <v>383590</v>
      </c>
      <c r="K672" s="48">
        <v>383726</v>
      </c>
      <c r="L672" s="48">
        <v>383846</v>
      </c>
      <c r="M672" s="48">
        <v>383953</v>
      </c>
      <c r="N672" s="48">
        <v>384072</v>
      </c>
      <c r="O672" s="48">
        <v>384195</v>
      </c>
      <c r="P672" s="48">
        <v>384313</v>
      </c>
      <c r="Q672" s="48">
        <v>384442</v>
      </c>
      <c r="R672" s="48">
        <v>384568</v>
      </c>
      <c r="S672" s="48">
        <v>384690</v>
      </c>
      <c r="T672" s="48">
        <v>384803</v>
      </c>
      <c r="U672" s="48">
        <v>384943</v>
      </c>
      <c r="V672" s="48">
        <v>385087</v>
      </c>
      <c r="W672" s="48">
        <v>385229</v>
      </c>
      <c r="X672" s="48">
        <v>385362</v>
      </c>
      <c r="Y672" s="48">
        <v>385491</v>
      </c>
      <c r="Z672" s="48">
        <v>385638</v>
      </c>
      <c r="AA672" s="48">
        <v>385767</v>
      </c>
      <c r="AB672" s="48">
        <v>385904</v>
      </c>
      <c r="AC672" s="48">
        <v>386047</v>
      </c>
      <c r="AD672" s="48">
        <v>386199</v>
      </c>
      <c r="AE672" s="48">
        <v>386347</v>
      </c>
      <c r="AF672" s="48">
        <v>386479</v>
      </c>
      <c r="AG672" s="48">
        <v>386607</v>
      </c>
      <c r="AH672" s="48">
        <v>386718</v>
      </c>
      <c r="AI672" s="48">
        <v>386840</v>
      </c>
      <c r="AJ672" s="48">
        <v>386979</v>
      </c>
      <c r="AK672" s="48">
        <v>387106</v>
      </c>
      <c r="AL672" s="48">
        <v>387248</v>
      </c>
    </row>
    <row r="673" spans="1:45" hidden="1" x14ac:dyDescent="0.25">
      <c r="A673">
        <v>672</v>
      </c>
      <c r="B673">
        <v>2025</v>
      </c>
      <c r="C673">
        <v>10</v>
      </c>
      <c r="D673" t="s">
        <v>155</v>
      </c>
      <c r="E673">
        <v>31</v>
      </c>
      <c r="F673">
        <v>9</v>
      </c>
      <c r="G673" t="s">
        <v>433</v>
      </c>
      <c r="H673" s="48">
        <v>383426</v>
      </c>
      <c r="I673" s="48">
        <v>383590</v>
      </c>
      <c r="J673" s="48">
        <v>383726</v>
      </c>
      <c r="K673" s="48">
        <v>383846</v>
      </c>
      <c r="L673" s="48">
        <v>383953</v>
      </c>
      <c r="M673" s="48">
        <v>384072</v>
      </c>
      <c r="N673" s="48">
        <v>384195</v>
      </c>
      <c r="O673" s="48">
        <v>384313</v>
      </c>
      <c r="P673" s="48">
        <v>384442</v>
      </c>
      <c r="Q673" s="48">
        <v>384568</v>
      </c>
      <c r="R673" s="48">
        <v>384690</v>
      </c>
      <c r="S673" s="48">
        <v>384803</v>
      </c>
      <c r="T673" s="48">
        <v>384949</v>
      </c>
      <c r="U673" s="48">
        <v>385087</v>
      </c>
      <c r="V673" s="48">
        <v>385229</v>
      </c>
      <c r="W673" s="48">
        <v>385362</v>
      </c>
      <c r="X673" s="48">
        <v>385491</v>
      </c>
      <c r="Y673" s="48">
        <v>385638</v>
      </c>
      <c r="Z673" s="48">
        <v>385767</v>
      </c>
      <c r="AA673" s="48">
        <v>385904</v>
      </c>
      <c r="AB673" s="48">
        <v>386047</v>
      </c>
      <c r="AC673" s="48">
        <v>386199</v>
      </c>
      <c r="AD673" s="48">
        <v>386347</v>
      </c>
      <c r="AE673" s="48">
        <v>386479</v>
      </c>
      <c r="AF673" s="48">
        <v>386607</v>
      </c>
      <c r="AG673" s="48">
        <v>386718</v>
      </c>
      <c r="AH673" s="48">
        <v>386840</v>
      </c>
      <c r="AI673" s="48">
        <v>386979</v>
      </c>
      <c r="AJ673" s="48">
        <v>387106</v>
      </c>
      <c r="AK673" s="48">
        <v>387248</v>
      </c>
      <c r="AL673" s="48">
        <v>387382</v>
      </c>
      <c r="AP673">
        <v>612.15</v>
      </c>
      <c r="AQ673">
        <v>15</v>
      </c>
      <c r="AS673">
        <v>4081</v>
      </c>
    </row>
    <row r="674" spans="1:45" hidden="1" x14ac:dyDescent="0.25">
      <c r="A674">
        <v>673</v>
      </c>
      <c r="B674">
        <v>2025</v>
      </c>
      <c r="C674">
        <v>10</v>
      </c>
      <c r="D674" t="s">
        <v>180</v>
      </c>
      <c r="E674">
        <v>31</v>
      </c>
      <c r="F674">
        <v>9</v>
      </c>
      <c r="G674" t="s">
        <v>432</v>
      </c>
      <c r="H674" s="48" t="s">
        <v>320</v>
      </c>
      <c r="I674" s="48" t="s">
        <v>320</v>
      </c>
      <c r="J674" s="48" t="s">
        <v>320</v>
      </c>
      <c r="K674" s="48" t="s">
        <v>320</v>
      </c>
      <c r="L674" s="48" t="s">
        <v>320</v>
      </c>
      <c r="M674" s="48" t="s">
        <v>320</v>
      </c>
      <c r="N674" s="48" t="s">
        <v>320</v>
      </c>
      <c r="O674" s="48" t="s">
        <v>320</v>
      </c>
      <c r="P674" s="48" t="s">
        <v>320</v>
      </c>
      <c r="Q674" s="48" t="s">
        <v>320</v>
      </c>
      <c r="R674" s="48" t="s">
        <v>320</v>
      </c>
      <c r="S674" s="48" t="s">
        <v>320</v>
      </c>
      <c r="T674" s="48" t="s">
        <v>320</v>
      </c>
      <c r="U674" s="48" t="s">
        <v>320</v>
      </c>
      <c r="V674" s="48" t="s">
        <v>320</v>
      </c>
      <c r="W674" s="48" t="s">
        <v>320</v>
      </c>
      <c r="X674" s="48" t="s">
        <v>320</v>
      </c>
      <c r="Y674" s="48" t="s">
        <v>320</v>
      </c>
      <c r="Z674" s="48" t="s">
        <v>320</v>
      </c>
      <c r="AA674" s="48" t="s">
        <v>320</v>
      </c>
      <c r="AB674" s="48" t="s">
        <v>320</v>
      </c>
      <c r="AC674" s="48" t="s">
        <v>320</v>
      </c>
      <c r="AD674" s="48" t="s">
        <v>320</v>
      </c>
      <c r="AE674" s="48" t="s">
        <v>320</v>
      </c>
      <c r="AF674" s="48" t="s">
        <v>320</v>
      </c>
      <c r="AG674" s="48" t="s">
        <v>320</v>
      </c>
      <c r="AH674" s="48" t="s">
        <v>320</v>
      </c>
      <c r="AI674" s="48" t="s">
        <v>320</v>
      </c>
      <c r="AJ674" s="48" t="s">
        <v>320</v>
      </c>
      <c r="AK674" s="48">
        <v>507015</v>
      </c>
      <c r="AL674" s="48" t="s">
        <v>320</v>
      </c>
    </row>
    <row r="675" spans="1:45" hidden="1" x14ac:dyDescent="0.25">
      <c r="A675">
        <v>674</v>
      </c>
      <c r="B675">
        <v>2025</v>
      </c>
      <c r="C675">
        <v>10</v>
      </c>
      <c r="D675" t="s">
        <v>180</v>
      </c>
      <c r="E675">
        <v>31</v>
      </c>
      <c r="F675">
        <v>9</v>
      </c>
      <c r="G675" t="s">
        <v>433</v>
      </c>
      <c r="H675" s="48" t="s">
        <v>320</v>
      </c>
      <c r="I675" s="48" t="s">
        <v>320</v>
      </c>
      <c r="J675" s="48" t="s">
        <v>320</v>
      </c>
      <c r="K675" s="48" t="s">
        <v>320</v>
      </c>
      <c r="L675" s="48" t="s">
        <v>320</v>
      </c>
      <c r="M675" s="48" t="s">
        <v>320</v>
      </c>
      <c r="N675" s="48" t="s">
        <v>320</v>
      </c>
      <c r="O675" s="48" t="s">
        <v>320</v>
      </c>
      <c r="P675" s="48" t="s">
        <v>320</v>
      </c>
      <c r="Q675" s="48" t="s">
        <v>320</v>
      </c>
      <c r="R675" s="48" t="s">
        <v>320</v>
      </c>
      <c r="S675" s="48" t="s">
        <v>320</v>
      </c>
      <c r="T675" s="48" t="s">
        <v>320</v>
      </c>
      <c r="U675" s="48" t="s">
        <v>320</v>
      </c>
      <c r="V675" s="48" t="s">
        <v>320</v>
      </c>
      <c r="W675" s="48" t="s">
        <v>320</v>
      </c>
      <c r="X675" s="48" t="s">
        <v>320</v>
      </c>
      <c r="Y675" s="48" t="s">
        <v>320</v>
      </c>
      <c r="Z675" s="48" t="s">
        <v>320</v>
      </c>
      <c r="AA675" s="48" t="s">
        <v>320</v>
      </c>
      <c r="AB675" s="48" t="s">
        <v>320</v>
      </c>
      <c r="AC675" s="48" t="s">
        <v>320</v>
      </c>
      <c r="AD675" s="48" t="s">
        <v>320</v>
      </c>
      <c r="AE675" s="48" t="s">
        <v>320</v>
      </c>
      <c r="AF675" s="48" t="s">
        <v>320</v>
      </c>
      <c r="AG675" s="48" t="s">
        <v>320</v>
      </c>
      <c r="AH675" s="48" t="s">
        <v>320</v>
      </c>
      <c r="AI675" s="48" t="s">
        <v>320</v>
      </c>
      <c r="AJ675" s="48" t="s">
        <v>320</v>
      </c>
      <c r="AK675" s="48">
        <v>507020</v>
      </c>
      <c r="AL675" s="48" t="s">
        <v>320</v>
      </c>
      <c r="AP675">
        <v>0.75</v>
      </c>
      <c r="AQ675">
        <v>15</v>
      </c>
      <c r="AS675">
        <v>5</v>
      </c>
    </row>
    <row r="676" spans="1:45" hidden="1" x14ac:dyDescent="0.25">
      <c r="A676">
        <v>675</v>
      </c>
      <c r="B676">
        <v>2025</v>
      </c>
      <c r="C676">
        <v>10</v>
      </c>
      <c r="D676" t="s">
        <v>176</v>
      </c>
      <c r="E676">
        <v>31</v>
      </c>
      <c r="F676">
        <v>9</v>
      </c>
      <c r="G676" t="s">
        <v>432</v>
      </c>
      <c r="H676" s="48">
        <v>227138</v>
      </c>
      <c r="I676" s="48">
        <v>227328</v>
      </c>
      <c r="J676" s="48">
        <v>227578</v>
      </c>
      <c r="K676" s="48">
        <v>227829</v>
      </c>
      <c r="L676" s="48">
        <v>227968</v>
      </c>
      <c r="M676" s="48">
        <v>228101</v>
      </c>
      <c r="N676" s="48">
        <v>228199</v>
      </c>
      <c r="O676" s="48">
        <v>228382</v>
      </c>
      <c r="P676" s="48">
        <v>228576</v>
      </c>
      <c r="Q676" s="48">
        <v>228740</v>
      </c>
      <c r="R676" s="48">
        <v>228910</v>
      </c>
      <c r="S676" s="48">
        <v>229099</v>
      </c>
      <c r="T676" s="48">
        <v>229257</v>
      </c>
      <c r="U676" s="48">
        <v>229498</v>
      </c>
      <c r="V676" s="48">
        <v>229622</v>
      </c>
      <c r="W676" s="48">
        <v>229794</v>
      </c>
      <c r="X676" s="48">
        <v>230001</v>
      </c>
      <c r="Y676" s="48">
        <v>230242</v>
      </c>
      <c r="Z676" s="48">
        <v>230489</v>
      </c>
      <c r="AA676" s="48">
        <v>230738</v>
      </c>
      <c r="AB676" s="48">
        <v>230955</v>
      </c>
      <c r="AC676" s="48">
        <v>231144</v>
      </c>
      <c r="AD676" s="48">
        <v>231313</v>
      </c>
      <c r="AE676" s="48">
        <v>231471</v>
      </c>
      <c r="AF676" s="48">
        <v>231661</v>
      </c>
      <c r="AG676" s="48">
        <v>231829</v>
      </c>
      <c r="AH676" s="48">
        <v>231996</v>
      </c>
      <c r="AI676" s="48">
        <v>232166</v>
      </c>
      <c r="AJ676" s="48" t="s">
        <v>320</v>
      </c>
      <c r="AK676" s="48" t="s">
        <v>320</v>
      </c>
      <c r="AL676" s="48">
        <v>232332</v>
      </c>
    </row>
    <row r="677" spans="1:45" hidden="1" x14ac:dyDescent="0.25">
      <c r="A677">
        <v>676</v>
      </c>
      <c r="B677">
        <v>2025</v>
      </c>
      <c r="C677">
        <v>10</v>
      </c>
      <c r="D677" t="s">
        <v>176</v>
      </c>
      <c r="E677">
        <v>31</v>
      </c>
      <c r="F677">
        <v>9</v>
      </c>
      <c r="G677" t="s">
        <v>433</v>
      </c>
      <c r="H677" s="48">
        <v>227328</v>
      </c>
      <c r="I677" s="48">
        <v>227578</v>
      </c>
      <c r="J677" s="48">
        <v>227829</v>
      </c>
      <c r="K677" s="48">
        <v>227968</v>
      </c>
      <c r="L677" s="48">
        <v>228101</v>
      </c>
      <c r="M677" s="48">
        <v>228199</v>
      </c>
      <c r="N677" s="48">
        <v>228382</v>
      </c>
      <c r="O677" s="48">
        <v>228576</v>
      </c>
      <c r="P677" s="48">
        <v>228740</v>
      </c>
      <c r="Q677" s="48">
        <v>228910</v>
      </c>
      <c r="R677" s="48">
        <v>229099</v>
      </c>
      <c r="S677" s="48">
        <v>229257</v>
      </c>
      <c r="T677" s="48">
        <v>229498</v>
      </c>
      <c r="U677" s="48">
        <v>229622</v>
      </c>
      <c r="V677" s="48">
        <v>229794</v>
      </c>
      <c r="W677" s="48">
        <v>230001</v>
      </c>
      <c r="X677" s="48">
        <v>230242</v>
      </c>
      <c r="Y677" s="48">
        <v>230489</v>
      </c>
      <c r="Z677" s="48">
        <v>230738</v>
      </c>
      <c r="AA677" s="48">
        <v>230985</v>
      </c>
      <c r="AB677" s="48">
        <v>231144</v>
      </c>
      <c r="AC677" s="48">
        <v>231313</v>
      </c>
      <c r="AD677" s="48">
        <v>231471</v>
      </c>
      <c r="AE677" s="48">
        <v>231661</v>
      </c>
      <c r="AF677" s="48">
        <v>231829</v>
      </c>
      <c r="AG677" s="48">
        <v>231996</v>
      </c>
      <c r="AH677" s="48">
        <v>232166</v>
      </c>
      <c r="AI677" s="48">
        <v>232332</v>
      </c>
      <c r="AJ677" s="48" t="s">
        <v>320</v>
      </c>
      <c r="AK677" s="48" t="s">
        <v>320</v>
      </c>
      <c r="AL677" s="48">
        <v>232502</v>
      </c>
      <c r="AP677">
        <v>701.22</v>
      </c>
      <c r="AQ677">
        <v>13</v>
      </c>
      <c r="AS677">
        <v>5394</v>
      </c>
    </row>
    <row r="678" spans="1:45" hidden="1" x14ac:dyDescent="0.25">
      <c r="A678">
        <v>677</v>
      </c>
      <c r="B678">
        <v>2025</v>
      </c>
      <c r="C678">
        <v>10</v>
      </c>
      <c r="D678" t="s">
        <v>165</v>
      </c>
      <c r="E678">
        <v>31</v>
      </c>
      <c r="F678">
        <v>9</v>
      </c>
      <c r="G678" t="s">
        <v>432</v>
      </c>
      <c r="H678" s="48">
        <v>30402</v>
      </c>
      <c r="I678" s="48">
        <v>30519</v>
      </c>
      <c r="J678" s="48">
        <v>30549</v>
      </c>
      <c r="K678" s="48">
        <v>30572</v>
      </c>
      <c r="L678" s="48">
        <v>30588</v>
      </c>
      <c r="M678" s="48">
        <v>30633</v>
      </c>
      <c r="N678" s="48">
        <v>30681</v>
      </c>
      <c r="O678" s="48">
        <v>30694</v>
      </c>
      <c r="P678" s="48">
        <v>30703</v>
      </c>
      <c r="Q678" s="48">
        <v>30723</v>
      </c>
      <c r="R678" s="48">
        <v>30740</v>
      </c>
      <c r="S678" s="48">
        <v>30777</v>
      </c>
      <c r="T678" s="48">
        <v>30789</v>
      </c>
      <c r="U678" s="48">
        <v>30814</v>
      </c>
      <c r="V678" s="48">
        <v>30836</v>
      </c>
      <c r="W678" s="48">
        <v>30880</v>
      </c>
      <c r="X678" s="48">
        <v>30891</v>
      </c>
      <c r="Y678" s="48">
        <v>30902</v>
      </c>
      <c r="Z678" s="48">
        <v>30921</v>
      </c>
      <c r="AA678" s="48">
        <v>30938</v>
      </c>
      <c r="AB678" s="48">
        <v>30975</v>
      </c>
      <c r="AC678" s="48">
        <v>30992</v>
      </c>
      <c r="AD678" s="48">
        <v>31012</v>
      </c>
      <c r="AE678" s="48">
        <v>31053</v>
      </c>
      <c r="AF678" s="48">
        <v>31074</v>
      </c>
      <c r="AG678" s="48">
        <v>31101</v>
      </c>
      <c r="AH678" s="48">
        <v>31114</v>
      </c>
      <c r="AI678" s="48">
        <v>31198</v>
      </c>
      <c r="AJ678" s="48">
        <v>31217</v>
      </c>
      <c r="AK678" s="48">
        <v>31243</v>
      </c>
      <c r="AL678" s="48">
        <v>31261</v>
      </c>
    </row>
    <row r="679" spans="1:45" hidden="1" x14ac:dyDescent="0.25">
      <c r="A679">
        <v>678</v>
      </c>
      <c r="B679">
        <v>2025</v>
      </c>
      <c r="C679">
        <v>10</v>
      </c>
      <c r="D679" t="s">
        <v>165</v>
      </c>
      <c r="E679">
        <v>31</v>
      </c>
      <c r="F679">
        <v>9</v>
      </c>
      <c r="G679" t="s">
        <v>433</v>
      </c>
      <c r="H679" s="48">
        <v>30519</v>
      </c>
      <c r="I679" s="48">
        <v>30549</v>
      </c>
      <c r="J679" s="48">
        <v>30572</v>
      </c>
      <c r="K679" s="48">
        <v>30588</v>
      </c>
      <c r="L679" s="48">
        <v>30633</v>
      </c>
      <c r="M679" s="48">
        <v>30681</v>
      </c>
      <c r="N679" s="48">
        <v>30694</v>
      </c>
      <c r="O679" s="48">
        <v>30703</v>
      </c>
      <c r="P679" s="48">
        <v>30723</v>
      </c>
      <c r="Q679" s="48">
        <v>30740</v>
      </c>
      <c r="R679" s="48">
        <v>30777</v>
      </c>
      <c r="S679" s="48">
        <v>30789</v>
      </c>
      <c r="T679" s="48">
        <v>30814</v>
      </c>
      <c r="U679" s="48">
        <v>30836</v>
      </c>
      <c r="V679" s="48">
        <v>30880</v>
      </c>
      <c r="W679" s="48">
        <v>30891</v>
      </c>
      <c r="X679" s="48">
        <v>30902</v>
      </c>
      <c r="Y679" s="48">
        <v>30921</v>
      </c>
      <c r="Z679" s="48">
        <v>30938</v>
      </c>
      <c r="AA679" s="48">
        <v>30975</v>
      </c>
      <c r="AB679" s="48">
        <v>30992</v>
      </c>
      <c r="AC679" s="48">
        <v>31012</v>
      </c>
      <c r="AD679" s="48">
        <v>31053</v>
      </c>
      <c r="AE679" s="48">
        <v>31074</v>
      </c>
      <c r="AF679" s="48">
        <v>31101</v>
      </c>
      <c r="AG679" s="48">
        <v>31114</v>
      </c>
      <c r="AH679" s="48">
        <v>31198</v>
      </c>
      <c r="AI679" s="48">
        <v>31217</v>
      </c>
      <c r="AJ679" s="48">
        <v>31243</v>
      </c>
      <c r="AK679" s="48">
        <v>31261</v>
      </c>
      <c r="AL679" s="48">
        <v>31305</v>
      </c>
      <c r="AP679">
        <v>135.44999999999999</v>
      </c>
      <c r="AQ679">
        <v>15</v>
      </c>
      <c r="AS679">
        <v>903</v>
      </c>
    </row>
    <row r="680" spans="1:45" hidden="1" x14ac:dyDescent="0.25">
      <c r="A680">
        <v>679</v>
      </c>
      <c r="B680">
        <v>2025</v>
      </c>
      <c r="C680">
        <v>10</v>
      </c>
      <c r="D680" t="s">
        <v>154</v>
      </c>
      <c r="E680">
        <v>31</v>
      </c>
      <c r="F680">
        <v>9</v>
      </c>
      <c r="G680" t="s">
        <v>432</v>
      </c>
      <c r="H680" s="48">
        <v>37112</v>
      </c>
      <c r="I680" s="48">
        <v>37244</v>
      </c>
      <c r="J680" s="48">
        <v>37374</v>
      </c>
      <c r="K680" s="48">
        <v>37493</v>
      </c>
      <c r="L680" s="48">
        <v>37617</v>
      </c>
      <c r="M680" s="48">
        <v>37761</v>
      </c>
      <c r="N680" s="48">
        <v>37943</v>
      </c>
      <c r="O680" s="48">
        <v>38116</v>
      </c>
      <c r="P680" s="48">
        <v>38244</v>
      </c>
      <c r="Q680" s="48">
        <v>38360</v>
      </c>
      <c r="R680" s="48">
        <v>38474</v>
      </c>
      <c r="S680" s="48">
        <v>38598</v>
      </c>
      <c r="T680" s="48">
        <v>38698</v>
      </c>
      <c r="U680" s="48">
        <v>38778</v>
      </c>
      <c r="V680" s="48">
        <v>38848</v>
      </c>
      <c r="W680" s="48">
        <v>38888</v>
      </c>
      <c r="X680" s="48">
        <v>38968</v>
      </c>
      <c r="Y680" s="48" t="s">
        <v>320</v>
      </c>
      <c r="Z680" s="48" t="s">
        <v>320</v>
      </c>
      <c r="AA680" s="48" t="s">
        <v>320</v>
      </c>
      <c r="AB680" s="48" t="s">
        <v>320</v>
      </c>
      <c r="AC680" s="48" t="s">
        <v>320</v>
      </c>
      <c r="AD680" s="48" t="s">
        <v>320</v>
      </c>
      <c r="AE680" s="48" t="s">
        <v>320</v>
      </c>
      <c r="AF680" s="48" t="s">
        <v>320</v>
      </c>
      <c r="AG680" s="48" t="s">
        <v>320</v>
      </c>
      <c r="AH680" s="48" t="s">
        <v>320</v>
      </c>
      <c r="AI680" s="48" t="s">
        <v>320</v>
      </c>
      <c r="AJ680" s="48" t="s">
        <v>320</v>
      </c>
      <c r="AK680" s="48" t="s">
        <v>320</v>
      </c>
      <c r="AL680" s="48" t="s">
        <v>320</v>
      </c>
    </row>
    <row r="681" spans="1:45" hidden="1" x14ac:dyDescent="0.25">
      <c r="A681">
        <v>680</v>
      </c>
      <c r="B681">
        <v>2025</v>
      </c>
      <c r="C681">
        <v>10</v>
      </c>
      <c r="D681" t="s">
        <v>154</v>
      </c>
      <c r="E681">
        <v>31</v>
      </c>
      <c r="F681">
        <v>9</v>
      </c>
      <c r="G681" t="s">
        <v>433</v>
      </c>
      <c r="H681" s="48">
        <v>37244</v>
      </c>
      <c r="I681" s="48">
        <v>37374</v>
      </c>
      <c r="J681" s="48">
        <v>37493</v>
      </c>
      <c r="K681" s="48">
        <v>37617</v>
      </c>
      <c r="L681" s="48">
        <v>37761</v>
      </c>
      <c r="M681" s="48">
        <v>37943</v>
      </c>
      <c r="N681" s="48">
        <v>38116</v>
      </c>
      <c r="O681" s="48">
        <v>38244</v>
      </c>
      <c r="P681" s="48">
        <v>38360</v>
      </c>
      <c r="Q681" s="48">
        <v>38474</v>
      </c>
      <c r="R681" s="48">
        <v>38598</v>
      </c>
      <c r="S681" s="48">
        <v>38698</v>
      </c>
      <c r="T681" s="48">
        <v>38778</v>
      </c>
      <c r="U681" s="48">
        <v>38848</v>
      </c>
      <c r="V681" s="48">
        <v>38888</v>
      </c>
      <c r="W681" s="48">
        <v>38968</v>
      </c>
      <c r="X681" s="48">
        <v>39008</v>
      </c>
      <c r="Y681" s="48" t="s">
        <v>320</v>
      </c>
      <c r="Z681" s="48" t="s">
        <v>320</v>
      </c>
      <c r="AA681" s="48" t="s">
        <v>320</v>
      </c>
      <c r="AB681" s="48" t="s">
        <v>320</v>
      </c>
      <c r="AC681" s="48" t="s">
        <v>320</v>
      </c>
      <c r="AD681" s="48" t="s">
        <v>320</v>
      </c>
      <c r="AE681" s="48" t="s">
        <v>320</v>
      </c>
      <c r="AF681" s="48" t="s">
        <v>320</v>
      </c>
      <c r="AG681" s="48" t="s">
        <v>320</v>
      </c>
      <c r="AH681" s="48" t="s">
        <v>320</v>
      </c>
      <c r="AI681" s="48" t="s">
        <v>320</v>
      </c>
      <c r="AJ681" s="48" t="s">
        <v>320</v>
      </c>
      <c r="AK681" s="48" t="s">
        <v>320</v>
      </c>
      <c r="AL681" s="48" t="s">
        <v>320</v>
      </c>
      <c r="AP681">
        <v>256.27999999999997</v>
      </c>
      <c r="AQ681">
        <v>18</v>
      </c>
      <c r="AR681" t="s">
        <v>438</v>
      </c>
      <c r="AS681">
        <v>1896</v>
      </c>
    </row>
    <row r="682" spans="1:45" hidden="1" x14ac:dyDescent="0.25">
      <c r="A682">
        <v>681</v>
      </c>
      <c r="B682">
        <v>2025</v>
      </c>
      <c r="C682">
        <v>10</v>
      </c>
      <c r="D682" t="s">
        <v>153</v>
      </c>
      <c r="E682">
        <v>31</v>
      </c>
      <c r="F682">
        <v>9</v>
      </c>
      <c r="G682" t="s">
        <v>432</v>
      </c>
      <c r="H682" s="48">
        <v>958189</v>
      </c>
      <c r="I682" s="48">
        <v>958261</v>
      </c>
      <c r="J682" s="48">
        <v>958306</v>
      </c>
      <c r="K682" s="48">
        <v>958445</v>
      </c>
      <c r="L682" s="48">
        <v>958484</v>
      </c>
      <c r="M682" s="48">
        <v>958589</v>
      </c>
      <c r="N682" s="48">
        <v>958626</v>
      </c>
      <c r="O682" s="48">
        <v>958716</v>
      </c>
      <c r="P682" s="48">
        <v>958806</v>
      </c>
      <c r="Q682" s="48">
        <v>958997</v>
      </c>
      <c r="R682" s="48">
        <v>959044</v>
      </c>
      <c r="S682" s="48">
        <v>959129</v>
      </c>
      <c r="T682" s="48">
        <v>959195</v>
      </c>
      <c r="U682" s="48">
        <v>959369</v>
      </c>
      <c r="V682" s="48">
        <v>959405</v>
      </c>
      <c r="W682" s="48">
        <v>959603</v>
      </c>
      <c r="X682" s="48">
        <v>959653</v>
      </c>
      <c r="Y682" s="48">
        <v>959759</v>
      </c>
      <c r="Z682" s="48">
        <v>959808</v>
      </c>
      <c r="AA682" s="48">
        <v>959951</v>
      </c>
      <c r="AB682" s="48">
        <v>960073</v>
      </c>
      <c r="AC682" s="48">
        <v>960115</v>
      </c>
      <c r="AD682" s="48">
        <v>960215</v>
      </c>
      <c r="AE682" s="48">
        <v>960280</v>
      </c>
      <c r="AF682" s="48" t="s">
        <v>320</v>
      </c>
      <c r="AG682" s="48" t="s">
        <v>320</v>
      </c>
      <c r="AH682" s="48" t="s">
        <v>320</v>
      </c>
      <c r="AI682" s="48" t="s">
        <v>320</v>
      </c>
      <c r="AJ682" s="48" t="s">
        <v>320</v>
      </c>
      <c r="AK682" s="48" t="s">
        <v>320</v>
      </c>
      <c r="AL682" s="48" t="s">
        <v>320</v>
      </c>
    </row>
    <row r="683" spans="1:45" hidden="1" x14ac:dyDescent="0.25">
      <c r="A683">
        <v>682</v>
      </c>
      <c r="B683">
        <v>2025</v>
      </c>
      <c r="C683">
        <v>10</v>
      </c>
      <c r="D683" t="s">
        <v>153</v>
      </c>
      <c r="E683">
        <v>31</v>
      </c>
      <c r="F683">
        <v>9</v>
      </c>
      <c r="G683" t="s">
        <v>433</v>
      </c>
      <c r="H683" s="48">
        <v>958261</v>
      </c>
      <c r="I683" s="48">
        <v>958306</v>
      </c>
      <c r="J683" s="48">
        <v>958445</v>
      </c>
      <c r="K683" s="48">
        <v>958484</v>
      </c>
      <c r="L683" s="48">
        <v>958589</v>
      </c>
      <c r="M683" s="48">
        <v>958626</v>
      </c>
      <c r="N683" s="48">
        <v>958716</v>
      </c>
      <c r="O683" s="48">
        <v>958806</v>
      </c>
      <c r="P683" s="48">
        <v>958997</v>
      </c>
      <c r="Q683" s="48">
        <v>959044</v>
      </c>
      <c r="R683" s="48">
        <v>959129</v>
      </c>
      <c r="S683" s="48">
        <v>959195</v>
      </c>
      <c r="T683" s="48">
        <v>959369</v>
      </c>
      <c r="U683" s="48">
        <v>959405</v>
      </c>
      <c r="V683" s="48">
        <v>959505</v>
      </c>
      <c r="W683" s="48">
        <v>959653</v>
      </c>
      <c r="X683" s="48">
        <v>959759</v>
      </c>
      <c r="Y683" s="48">
        <v>959808</v>
      </c>
      <c r="Z683" s="48">
        <v>959951</v>
      </c>
      <c r="AA683" s="48">
        <v>960073</v>
      </c>
      <c r="AB683" s="48">
        <v>960115</v>
      </c>
      <c r="AC683" s="48">
        <v>960215</v>
      </c>
      <c r="AD683" s="48">
        <v>960280</v>
      </c>
      <c r="AE683" s="48">
        <v>960360</v>
      </c>
      <c r="AF683" s="48" t="s">
        <v>320</v>
      </c>
      <c r="AG683" s="48" t="s">
        <v>320</v>
      </c>
      <c r="AH683" s="48" t="s">
        <v>320</v>
      </c>
      <c r="AI683" s="48" t="s">
        <v>320</v>
      </c>
      <c r="AJ683" s="48" t="s">
        <v>320</v>
      </c>
      <c r="AK683" s="48" t="s">
        <v>320</v>
      </c>
      <c r="AL683" s="48" t="s">
        <v>320</v>
      </c>
      <c r="AP683">
        <v>310.95</v>
      </c>
      <c r="AQ683">
        <v>15</v>
      </c>
      <c r="AS683">
        <v>2073</v>
      </c>
    </row>
    <row r="684" spans="1:45" hidden="1" x14ac:dyDescent="0.25">
      <c r="A684">
        <v>683</v>
      </c>
      <c r="B684">
        <v>2025</v>
      </c>
      <c r="C684">
        <v>10</v>
      </c>
      <c r="D684" t="s">
        <v>162</v>
      </c>
      <c r="E684">
        <v>31</v>
      </c>
      <c r="F684">
        <v>9</v>
      </c>
      <c r="G684" t="s">
        <v>432</v>
      </c>
      <c r="H684" s="48">
        <v>10799</v>
      </c>
      <c r="I684" s="48">
        <v>11048</v>
      </c>
      <c r="J684" s="48">
        <v>11285</v>
      </c>
      <c r="K684" s="48">
        <v>11500</v>
      </c>
      <c r="L684" s="48">
        <v>11672</v>
      </c>
      <c r="M684" s="48">
        <v>11866</v>
      </c>
      <c r="N684" s="48">
        <v>12102</v>
      </c>
      <c r="O684" s="48">
        <v>12274</v>
      </c>
      <c r="P684" s="48">
        <v>12467</v>
      </c>
      <c r="Q684" s="48">
        <v>12635</v>
      </c>
      <c r="R684" s="48">
        <v>12817</v>
      </c>
      <c r="S684" s="48">
        <v>13035</v>
      </c>
      <c r="T684" s="48">
        <v>13231</v>
      </c>
      <c r="U684" s="48">
        <v>13458</v>
      </c>
      <c r="V684" s="48">
        <v>13643</v>
      </c>
      <c r="W684" s="48">
        <v>13806</v>
      </c>
      <c r="X684" s="48">
        <v>13998</v>
      </c>
      <c r="Y684" s="48">
        <v>14166</v>
      </c>
      <c r="Z684" s="48" t="s">
        <v>320</v>
      </c>
      <c r="AA684" s="48">
        <v>14391</v>
      </c>
      <c r="AB684" s="48">
        <v>14609</v>
      </c>
      <c r="AC684" s="48">
        <v>14785</v>
      </c>
      <c r="AD684" s="48">
        <v>14978</v>
      </c>
      <c r="AE684" s="48">
        <v>15136</v>
      </c>
      <c r="AF684" s="48">
        <v>15363</v>
      </c>
      <c r="AG684" s="48">
        <v>15534</v>
      </c>
      <c r="AH684" s="48">
        <v>15732</v>
      </c>
      <c r="AI684" s="48">
        <v>15967</v>
      </c>
      <c r="AJ684" s="48">
        <v>16153</v>
      </c>
      <c r="AK684" s="48">
        <v>16335</v>
      </c>
      <c r="AL684" s="48">
        <v>16562</v>
      </c>
    </row>
    <row r="685" spans="1:45" hidden="1" x14ac:dyDescent="0.25">
      <c r="A685">
        <v>684</v>
      </c>
      <c r="B685">
        <v>2025</v>
      </c>
      <c r="C685">
        <v>10</v>
      </c>
      <c r="D685" t="s">
        <v>162</v>
      </c>
      <c r="E685">
        <v>31</v>
      </c>
      <c r="F685">
        <v>9</v>
      </c>
      <c r="G685" t="s">
        <v>433</v>
      </c>
      <c r="H685" s="48">
        <v>11048</v>
      </c>
      <c r="I685" s="48">
        <v>11285</v>
      </c>
      <c r="J685" s="48">
        <v>11500</v>
      </c>
      <c r="K685" s="48">
        <v>11672</v>
      </c>
      <c r="L685" s="48">
        <v>11866</v>
      </c>
      <c r="M685" s="48">
        <v>12102</v>
      </c>
      <c r="N685" s="48">
        <v>12274</v>
      </c>
      <c r="O685" s="48">
        <v>12467</v>
      </c>
      <c r="P685" s="48">
        <v>12635</v>
      </c>
      <c r="Q685" s="48">
        <v>12817</v>
      </c>
      <c r="R685" s="48">
        <v>13035</v>
      </c>
      <c r="S685" s="48">
        <v>13231</v>
      </c>
      <c r="T685" s="48">
        <v>13458</v>
      </c>
      <c r="U685" s="48">
        <v>13643</v>
      </c>
      <c r="V685" s="48">
        <v>13806</v>
      </c>
      <c r="W685" s="48">
        <v>13998</v>
      </c>
      <c r="X685" s="48">
        <v>14166</v>
      </c>
      <c r="Y685" s="48">
        <v>14391</v>
      </c>
      <c r="Z685" s="48" t="s">
        <v>320</v>
      </c>
      <c r="AA685" s="48">
        <v>14609</v>
      </c>
      <c r="AB685" s="48">
        <v>14785</v>
      </c>
      <c r="AC685" s="48">
        <v>14978</v>
      </c>
      <c r="AD685" s="48">
        <v>15136</v>
      </c>
      <c r="AE685" s="48">
        <v>15363</v>
      </c>
      <c r="AF685" s="48">
        <v>15534</v>
      </c>
      <c r="AG685" s="48">
        <v>15732</v>
      </c>
      <c r="AH685" s="48">
        <v>15967</v>
      </c>
      <c r="AI685" s="48">
        <v>16153</v>
      </c>
      <c r="AJ685" s="48">
        <v>16335</v>
      </c>
      <c r="AK685" s="48">
        <v>16562</v>
      </c>
      <c r="AL685" s="48">
        <v>16720</v>
      </c>
      <c r="AP685">
        <v>888.14999999999986</v>
      </c>
      <c r="AQ685">
        <v>14.999999999999998</v>
      </c>
      <c r="AS685">
        <v>5921</v>
      </c>
    </row>
    <row r="686" spans="1:45" hidden="1" x14ac:dyDescent="0.25">
      <c r="A686">
        <v>685</v>
      </c>
      <c r="B686">
        <v>2025</v>
      </c>
      <c r="C686">
        <v>10</v>
      </c>
      <c r="D686" t="s">
        <v>171</v>
      </c>
      <c r="E686">
        <v>31</v>
      </c>
      <c r="F686">
        <v>9</v>
      </c>
      <c r="G686" t="s">
        <v>432</v>
      </c>
      <c r="H686" s="48">
        <v>200798</v>
      </c>
      <c r="I686" s="48">
        <v>200821</v>
      </c>
      <c r="J686" s="48">
        <v>200860</v>
      </c>
      <c r="K686" s="48">
        <v>200883</v>
      </c>
      <c r="L686" s="48">
        <v>200914</v>
      </c>
      <c r="M686" s="48">
        <v>200940</v>
      </c>
      <c r="N686" s="48">
        <v>201015</v>
      </c>
      <c r="O686" s="48">
        <v>201110</v>
      </c>
      <c r="P686" s="48">
        <v>201142</v>
      </c>
      <c r="Q686" s="48">
        <v>201175</v>
      </c>
      <c r="R686" s="48">
        <v>201200</v>
      </c>
      <c r="S686" s="48">
        <v>201258</v>
      </c>
      <c r="T686" s="48">
        <v>201324</v>
      </c>
      <c r="U686" s="48">
        <v>201358</v>
      </c>
      <c r="V686" s="48">
        <v>201386</v>
      </c>
      <c r="W686" s="48">
        <v>201404</v>
      </c>
      <c r="X686" s="48">
        <v>201429</v>
      </c>
      <c r="Y686" s="48">
        <v>201463</v>
      </c>
      <c r="Z686" s="48">
        <v>201498</v>
      </c>
      <c r="AA686" s="48">
        <v>201532</v>
      </c>
      <c r="AB686" s="48">
        <v>201561</v>
      </c>
      <c r="AC686" s="48">
        <v>201597</v>
      </c>
      <c r="AD686" s="48">
        <v>201635</v>
      </c>
      <c r="AE686" s="48">
        <v>201655</v>
      </c>
      <c r="AF686" s="48">
        <v>201678</v>
      </c>
      <c r="AG686" s="48">
        <v>201690</v>
      </c>
      <c r="AH686" s="48">
        <v>201742</v>
      </c>
      <c r="AI686" s="48">
        <v>201941</v>
      </c>
      <c r="AJ686" s="48">
        <v>201957</v>
      </c>
      <c r="AK686" s="48">
        <v>201983</v>
      </c>
      <c r="AL686" s="48">
        <v>202011</v>
      </c>
    </row>
    <row r="687" spans="1:45" hidden="1" x14ac:dyDescent="0.25">
      <c r="A687">
        <v>686</v>
      </c>
      <c r="B687">
        <v>2025</v>
      </c>
      <c r="C687">
        <v>10</v>
      </c>
      <c r="D687" t="s">
        <v>171</v>
      </c>
      <c r="E687">
        <v>31</v>
      </c>
      <c r="F687">
        <v>9</v>
      </c>
      <c r="G687" t="s">
        <v>433</v>
      </c>
      <c r="H687" s="48">
        <v>200821</v>
      </c>
      <c r="I687" s="48">
        <v>200860</v>
      </c>
      <c r="J687" s="48">
        <v>200883</v>
      </c>
      <c r="K687" s="48">
        <v>200914</v>
      </c>
      <c r="L687" s="48">
        <v>200940</v>
      </c>
      <c r="M687" s="48">
        <v>201003</v>
      </c>
      <c r="N687" s="48">
        <v>201110</v>
      </c>
      <c r="O687" s="48">
        <v>201142</v>
      </c>
      <c r="P687" s="48">
        <v>201175</v>
      </c>
      <c r="Q687" s="48">
        <v>201200</v>
      </c>
      <c r="R687" s="48">
        <v>201258</v>
      </c>
      <c r="S687" s="48">
        <v>201324</v>
      </c>
      <c r="T687" s="48">
        <v>201358</v>
      </c>
      <c r="U687" s="48">
        <v>201386</v>
      </c>
      <c r="V687" s="48">
        <v>201404</v>
      </c>
      <c r="W687" s="48">
        <v>201429</v>
      </c>
      <c r="X687" s="48">
        <v>201463</v>
      </c>
      <c r="Y687" s="48">
        <v>201498</v>
      </c>
      <c r="Z687" s="48">
        <v>201532</v>
      </c>
      <c r="AA687" s="48">
        <v>201561</v>
      </c>
      <c r="AB687" s="48">
        <v>201597</v>
      </c>
      <c r="AC687" s="48">
        <v>201635</v>
      </c>
      <c r="AD687" s="48">
        <v>201655</v>
      </c>
      <c r="AE687" s="48">
        <v>201678</v>
      </c>
      <c r="AF687" s="48">
        <v>201690</v>
      </c>
      <c r="AG687" s="48">
        <v>201742</v>
      </c>
      <c r="AH687" s="48">
        <v>201838</v>
      </c>
      <c r="AI687" s="48">
        <v>201957</v>
      </c>
      <c r="AJ687" s="48">
        <v>201983</v>
      </c>
      <c r="AK687" s="48">
        <v>202011</v>
      </c>
      <c r="AL687" s="48">
        <v>202042</v>
      </c>
      <c r="AP687">
        <v>169.35</v>
      </c>
      <c r="AQ687">
        <v>15</v>
      </c>
      <c r="AS687">
        <v>1129</v>
      </c>
    </row>
    <row r="688" spans="1:45" hidden="1" x14ac:dyDescent="0.25">
      <c r="A688">
        <v>687</v>
      </c>
      <c r="B688">
        <v>2025</v>
      </c>
      <c r="C688">
        <v>10</v>
      </c>
      <c r="D688" t="s">
        <v>178</v>
      </c>
      <c r="E688">
        <v>31</v>
      </c>
      <c r="F688">
        <v>9</v>
      </c>
      <c r="G688" t="s">
        <v>432</v>
      </c>
      <c r="H688" s="48" t="s">
        <v>320</v>
      </c>
      <c r="I688" s="48" t="s">
        <v>320</v>
      </c>
      <c r="J688" s="48" t="s">
        <v>320</v>
      </c>
      <c r="K688" s="48" t="s">
        <v>320</v>
      </c>
      <c r="L688" s="48" t="s">
        <v>320</v>
      </c>
      <c r="M688" s="48" t="s">
        <v>320</v>
      </c>
      <c r="N688" s="48" t="s">
        <v>320</v>
      </c>
      <c r="O688" s="48" t="s">
        <v>320</v>
      </c>
      <c r="P688" s="48" t="s">
        <v>320</v>
      </c>
      <c r="Q688" s="48" t="s">
        <v>320</v>
      </c>
      <c r="R688" s="48" t="s">
        <v>320</v>
      </c>
      <c r="S688" s="48" t="s">
        <v>320</v>
      </c>
      <c r="T688" s="48">
        <v>922490</v>
      </c>
      <c r="U688" s="48">
        <v>922511</v>
      </c>
      <c r="V688" s="48">
        <v>922549</v>
      </c>
      <c r="W688" s="48">
        <v>922582</v>
      </c>
      <c r="X688" s="48">
        <v>922622</v>
      </c>
      <c r="Y688" s="48">
        <v>922647</v>
      </c>
      <c r="Z688" s="48">
        <v>922679</v>
      </c>
      <c r="AA688" s="48">
        <v>922715</v>
      </c>
      <c r="AB688" s="48">
        <v>922758</v>
      </c>
      <c r="AC688" s="48">
        <v>922800</v>
      </c>
      <c r="AD688" s="48">
        <v>922840</v>
      </c>
      <c r="AE688" s="48">
        <v>922881</v>
      </c>
      <c r="AF688" s="48">
        <v>922915</v>
      </c>
      <c r="AG688" s="48">
        <v>922954</v>
      </c>
      <c r="AH688" s="48">
        <v>922968</v>
      </c>
      <c r="AI688" s="48">
        <v>923017</v>
      </c>
      <c r="AJ688" s="48">
        <v>923071</v>
      </c>
      <c r="AK688" s="48">
        <v>923130</v>
      </c>
      <c r="AL688" s="48">
        <v>923199</v>
      </c>
    </row>
    <row r="689" spans="1:45" hidden="1" x14ac:dyDescent="0.25">
      <c r="A689">
        <v>688</v>
      </c>
      <c r="B689">
        <v>2025</v>
      </c>
      <c r="C689">
        <v>10</v>
      </c>
      <c r="D689" t="s">
        <v>178</v>
      </c>
      <c r="E689">
        <v>31</v>
      </c>
      <c r="F689">
        <v>9</v>
      </c>
      <c r="G689" t="s">
        <v>433</v>
      </c>
      <c r="H689" s="48" t="s">
        <v>320</v>
      </c>
      <c r="I689" s="48" t="s">
        <v>320</v>
      </c>
      <c r="J689" s="48" t="s">
        <v>320</v>
      </c>
      <c r="K689" s="48" t="s">
        <v>320</v>
      </c>
      <c r="L689" s="48" t="s">
        <v>320</v>
      </c>
      <c r="M689" s="48" t="s">
        <v>320</v>
      </c>
      <c r="N689" s="48" t="s">
        <v>320</v>
      </c>
      <c r="O689" s="48" t="s">
        <v>320</v>
      </c>
      <c r="P689" s="48" t="s">
        <v>320</v>
      </c>
      <c r="Q689" s="48" t="s">
        <v>320</v>
      </c>
      <c r="R689" s="48" t="s">
        <v>320</v>
      </c>
      <c r="S689" s="48" t="s">
        <v>320</v>
      </c>
      <c r="T689" s="48">
        <v>922511</v>
      </c>
      <c r="U689" s="48">
        <v>922549</v>
      </c>
      <c r="V689" s="48">
        <v>922582</v>
      </c>
      <c r="W689" s="48">
        <v>922622</v>
      </c>
      <c r="X689" s="48">
        <v>922647</v>
      </c>
      <c r="Y689" s="48">
        <v>922679</v>
      </c>
      <c r="Z689" s="48">
        <v>922715</v>
      </c>
      <c r="AA689" s="48">
        <v>922758</v>
      </c>
      <c r="AB689" s="48">
        <v>922800</v>
      </c>
      <c r="AC689" s="48">
        <v>922840</v>
      </c>
      <c r="AD689" s="48">
        <v>922881</v>
      </c>
      <c r="AE689" s="48">
        <v>922915</v>
      </c>
      <c r="AF689" s="48">
        <v>922954</v>
      </c>
      <c r="AG689" s="48">
        <v>922968</v>
      </c>
      <c r="AH689" s="48">
        <v>923017</v>
      </c>
      <c r="AI689" s="48">
        <v>923071</v>
      </c>
      <c r="AJ689" s="48">
        <v>923130</v>
      </c>
      <c r="AK689" s="48">
        <v>923199</v>
      </c>
      <c r="AL689" s="48">
        <v>923253</v>
      </c>
      <c r="AP689">
        <v>114.45</v>
      </c>
      <c r="AQ689">
        <v>15</v>
      </c>
      <c r="AS689">
        <v>763</v>
      </c>
    </row>
    <row r="690" spans="1:45" hidden="1" x14ac:dyDescent="0.25">
      <c r="A690">
        <v>689</v>
      </c>
      <c r="B690">
        <v>2025</v>
      </c>
      <c r="C690">
        <v>10</v>
      </c>
      <c r="D690" t="s">
        <v>181</v>
      </c>
      <c r="E690">
        <v>31</v>
      </c>
      <c r="F690">
        <v>9</v>
      </c>
      <c r="G690" t="s">
        <v>432</v>
      </c>
      <c r="H690" s="48" t="s">
        <v>320</v>
      </c>
      <c r="I690" s="48" t="s">
        <v>320</v>
      </c>
      <c r="J690" s="48" t="s">
        <v>320</v>
      </c>
      <c r="K690" s="48" t="s">
        <v>320</v>
      </c>
      <c r="L690" s="48" t="s">
        <v>320</v>
      </c>
      <c r="M690" s="48" t="s">
        <v>320</v>
      </c>
      <c r="N690" s="48" t="s">
        <v>320</v>
      </c>
      <c r="O690" s="48" t="s">
        <v>320</v>
      </c>
      <c r="P690" s="48" t="s">
        <v>320</v>
      </c>
      <c r="Q690" s="48" t="s">
        <v>320</v>
      </c>
      <c r="R690" s="48" t="s">
        <v>320</v>
      </c>
      <c r="S690" s="48" t="s">
        <v>320</v>
      </c>
      <c r="T690" s="48" t="s">
        <v>320</v>
      </c>
      <c r="U690" s="48" t="s">
        <v>320</v>
      </c>
      <c r="V690" s="48" t="s">
        <v>320</v>
      </c>
      <c r="W690" s="48" t="s">
        <v>320</v>
      </c>
      <c r="X690" s="48" t="s">
        <v>320</v>
      </c>
      <c r="Y690" s="48" t="s">
        <v>320</v>
      </c>
      <c r="Z690" s="48" t="s">
        <v>320</v>
      </c>
      <c r="AA690" s="48" t="s">
        <v>320</v>
      </c>
      <c r="AB690" s="48" t="s">
        <v>320</v>
      </c>
      <c r="AC690" s="48" t="s">
        <v>320</v>
      </c>
      <c r="AD690" s="48" t="s">
        <v>320</v>
      </c>
      <c r="AE690" s="48" t="s">
        <v>320</v>
      </c>
      <c r="AF690" s="48" t="s">
        <v>320</v>
      </c>
      <c r="AG690" s="48" t="s">
        <v>320</v>
      </c>
      <c r="AH690" s="48" t="s">
        <v>320</v>
      </c>
      <c r="AI690" s="48" t="s">
        <v>320</v>
      </c>
      <c r="AJ690" s="48" t="s">
        <v>320</v>
      </c>
      <c r="AK690" s="48">
        <v>126591</v>
      </c>
      <c r="AL690" s="48">
        <v>126900</v>
      </c>
    </row>
    <row r="691" spans="1:45" hidden="1" x14ac:dyDescent="0.25">
      <c r="A691">
        <v>690</v>
      </c>
      <c r="B691">
        <v>2025</v>
      </c>
      <c r="C691">
        <v>10</v>
      </c>
      <c r="D691" t="s">
        <v>181</v>
      </c>
      <c r="E691">
        <v>31</v>
      </c>
      <c r="F691">
        <v>9</v>
      </c>
      <c r="G691" t="s">
        <v>433</v>
      </c>
      <c r="H691" s="48" t="s">
        <v>320</v>
      </c>
      <c r="I691" s="48" t="s">
        <v>320</v>
      </c>
      <c r="J691" s="48" t="s">
        <v>320</v>
      </c>
      <c r="K691" s="48" t="s">
        <v>320</v>
      </c>
      <c r="L691" s="48" t="s">
        <v>320</v>
      </c>
      <c r="M691" s="48" t="s">
        <v>320</v>
      </c>
      <c r="N691" s="48" t="s">
        <v>320</v>
      </c>
      <c r="O691" s="48" t="s">
        <v>320</v>
      </c>
      <c r="P691" s="48" t="s">
        <v>320</v>
      </c>
      <c r="Q691" s="48" t="s">
        <v>320</v>
      </c>
      <c r="R691" s="48" t="s">
        <v>320</v>
      </c>
      <c r="S691" s="48" t="s">
        <v>320</v>
      </c>
      <c r="T691" s="48" t="s">
        <v>320</v>
      </c>
      <c r="U691" s="48" t="s">
        <v>320</v>
      </c>
      <c r="V691" s="48" t="s">
        <v>320</v>
      </c>
      <c r="W691" s="48" t="s">
        <v>320</v>
      </c>
      <c r="X691" s="48" t="s">
        <v>320</v>
      </c>
      <c r="Y691" s="48" t="s">
        <v>320</v>
      </c>
      <c r="Z691" s="48" t="s">
        <v>320</v>
      </c>
      <c r="AA691" s="48" t="s">
        <v>320</v>
      </c>
      <c r="AB691" s="48" t="s">
        <v>320</v>
      </c>
      <c r="AC691" s="48" t="s">
        <v>320</v>
      </c>
      <c r="AD691" s="48" t="s">
        <v>320</v>
      </c>
      <c r="AE691" s="48" t="s">
        <v>320</v>
      </c>
      <c r="AF691" s="48" t="s">
        <v>320</v>
      </c>
      <c r="AG691" s="48" t="s">
        <v>320</v>
      </c>
      <c r="AH691" s="48" t="s">
        <v>320</v>
      </c>
      <c r="AI691" s="48" t="s">
        <v>320</v>
      </c>
      <c r="AJ691" s="48" t="s">
        <v>320</v>
      </c>
      <c r="AK691" s="48">
        <v>126670</v>
      </c>
      <c r="AL691" s="48">
        <v>127001</v>
      </c>
      <c r="AP691">
        <v>27</v>
      </c>
      <c r="AQ691">
        <v>15</v>
      </c>
      <c r="AS691">
        <v>180</v>
      </c>
    </row>
    <row r="692" spans="1:45" hidden="1" x14ac:dyDescent="0.25">
      <c r="A692">
        <v>691</v>
      </c>
      <c r="B692">
        <v>2025</v>
      </c>
      <c r="C692">
        <v>10</v>
      </c>
      <c r="D692" t="s">
        <v>161</v>
      </c>
      <c r="E692">
        <v>31</v>
      </c>
      <c r="F692">
        <v>9</v>
      </c>
      <c r="G692" t="s">
        <v>432</v>
      </c>
      <c r="H692" s="48">
        <v>820439</v>
      </c>
      <c r="I692" s="48">
        <v>820600</v>
      </c>
      <c r="J692" s="48">
        <v>820684</v>
      </c>
      <c r="K692" s="48">
        <v>820817</v>
      </c>
      <c r="L692" s="48">
        <v>820928</v>
      </c>
      <c r="M692" s="48">
        <v>821002</v>
      </c>
      <c r="N692" s="48">
        <v>821116</v>
      </c>
      <c r="O692" s="48">
        <v>821207</v>
      </c>
      <c r="P692" s="48">
        <v>821312</v>
      </c>
      <c r="Q692" s="48">
        <v>821406</v>
      </c>
      <c r="R692" s="48">
        <v>821511</v>
      </c>
      <c r="S692" s="48">
        <v>821634</v>
      </c>
      <c r="T692" s="48">
        <v>821716</v>
      </c>
      <c r="U692" s="48">
        <v>821802</v>
      </c>
      <c r="V692" s="48">
        <v>821894</v>
      </c>
      <c r="W692" s="48">
        <v>822005</v>
      </c>
      <c r="X692" s="48">
        <v>822085</v>
      </c>
      <c r="Y692" s="48">
        <v>822187</v>
      </c>
      <c r="Z692" s="48">
        <v>822298</v>
      </c>
      <c r="AA692" s="48">
        <v>822429</v>
      </c>
      <c r="AB692" s="48">
        <v>822523</v>
      </c>
      <c r="AC692" s="48">
        <v>822609</v>
      </c>
      <c r="AD692" s="48">
        <v>822712</v>
      </c>
      <c r="AE692" s="48">
        <v>822796</v>
      </c>
      <c r="AF692" s="48">
        <v>822899</v>
      </c>
      <c r="AG692" s="48" t="s">
        <v>320</v>
      </c>
      <c r="AH692" s="48">
        <v>823031</v>
      </c>
      <c r="AI692" s="48">
        <v>823125</v>
      </c>
      <c r="AJ692" s="48">
        <v>823217</v>
      </c>
      <c r="AK692" s="48">
        <v>823321</v>
      </c>
      <c r="AL692" s="48">
        <v>823418</v>
      </c>
    </row>
    <row r="693" spans="1:45" hidden="1" x14ac:dyDescent="0.25">
      <c r="A693">
        <v>692</v>
      </c>
      <c r="B693">
        <v>2025</v>
      </c>
      <c r="C693">
        <v>10</v>
      </c>
      <c r="D693" t="s">
        <v>161</v>
      </c>
      <c r="E693">
        <v>31</v>
      </c>
      <c r="F693">
        <v>9</v>
      </c>
      <c r="G693" t="s">
        <v>433</v>
      </c>
      <c r="H693" s="48">
        <v>820600</v>
      </c>
      <c r="I693" s="48">
        <v>820684</v>
      </c>
      <c r="J693" s="48">
        <v>820817</v>
      </c>
      <c r="K693" s="48">
        <v>820928</v>
      </c>
      <c r="L693" s="48">
        <v>821002</v>
      </c>
      <c r="M693" s="48">
        <v>821116</v>
      </c>
      <c r="N693" s="48">
        <v>821207</v>
      </c>
      <c r="O693" s="48">
        <v>821312</v>
      </c>
      <c r="P693" s="48">
        <v>821406</v>
      </c>
      <c r="Q693" s="48">
        <v>821511</v>
      </c>
      <c r="R693" s="48">
        <v>821634</v>
      </c>
      <c r="S693" s="48">
        <v>821716</v>
      </c>
      <c r="T693" s="48">
        <v>821802</v>
      </c>
      <c r="U693" s="48">
        <v>821894</v>
      </c>
      <c r="V693" s="48">
        <v>822005</v>
      </c>
      <c r="W693" s="48">
        <v>822085</v>
      </c>
      <c r="X693" s="48">
        <v>822187</v>
      </c>
      <c r="Y693" s="48">
        <v>822298</v>
      </c>
      <c r="Z693" s="48">
        <v>822429</v>
      </c>
      <c r="AA693" s="48">
        <v>822523</v>
      </c>
      <c r="AB693" s="48">
        <v>822609</v>
      </c>
      <c r="AC693" s="48">
        <v>822712</v>
      </c>
      <c r="AD693" s="48">
        <v>822796</v>
      </c>
      <c r="AE693" s="48">
        <v>822899</v>
      </c>
      <c r="AF693" s="48">
        <v>823031</v>
      </c>
      <c r="AG693" s="48" t="s">
        <v>320</v>
      </c>
      <c r="AH693" s="48">
        <v>823125</v>
      </c>
      <c r="AI693" s="48">
        <v>823217</v>
      </c>
      <c r="AJ693" s="48">
        <v>823321</v>
      </c>
      <c r="AK693" s="48">
        <v>823418</v>
      </c>
      <c r="AL693" s="48">
        <v>823501</v>
      </c>
      <c r="AP693">
        <v>367.44</v>
      </c>
      <c r="AQ693">
        <v>12</v>
      </c>
      <c r="AS693">
        <v>3062</v>
      </c>
    </row>
    <row r="694" spans="1:45" hidden="1" x14ac:dyDescent="0.25">
      <c r="A694">
        <v>693</v>
      </c>
      <c r="B694">
        <v>2025</v>
      </c>
      <c r="C694">
        <v>10</v>
      </c>
      <c r="D694" t="s">
        <v>151</v>
      </c>
      <c r="E694">
        <v>31</v>
      </c>
      <c r="F694">
        <v>9</v>
      </c>
      <c r="G694" t="s">
        <v>432</v>
      </c>
      <c r="H694" s="48">
        <v>275920</v>
      </c>
      <c r="I694" s="48">
        <v>276028</v>
      </c>
      <c r="J694" s="48">
        <v>276100</v>
      </c>
      <c r="K694" s="48">
        <v>276192</v>
      </c>
      <c r="L694" s="48">
        <v>276275</v>
      </c>
      <c r="M694" s="48">
        <v>276380</v>
      </c>
      <c r="N694" s="48">
        <v>276498</v>
      </c>
      <c r="O694" s="48">
        <v>276601</v>
      </c>
      <c r="P694" s="48">
        <v>276749</v>
      </c>
      <c r="Q694" s="48">
        <v>276855</v>
      </c>
      <c r="R694" s="48">
        <v>276930</v>
      </c>
      <c r="S694" s="48">
        <v>276980</v>
      </c>
      <c r="T694" s="48">
        <v>277025</v>
      </c>
      <c r="U694" s="48">
        <v>277102</v>
      </c>
      <c r="V694" s="48">
        <v>277142</v>
      </c>
      <c r="W694" s="48">
        <v>277212</v>
      </c>
      <c r="X694" s="48">
        <v>277295</v>
      </c>
      <c r="Y694" s="48">
        <v>277380</v>
      </c>
      <c r="Z694" s="48">
        <v>277540</v>
      </c>
      <c r="AA694" s="48">
        <v>277720</v>
      </c>
      <c r="AB694" s="48">
        <v>277852</v>
      </c>
      <c r="AC694" s="48">
        <v>277954</v>
      </c>
      <c r="AD694" s="48">
        <v>278102</v>
      </c>
      <c r="AE694" s="48">
        <v>278211</v>
      </c>
      <c r="AF694" s="48">
        <v>278312</v>
      </c>
      <c r="AG694" s="48">
        <v>278512</v>
      </c>
      <c r="AH694" s="48">
        <v>278592</v>
      </c>
      <c r="AI694" s="48">
        <v>278687</v>
      </c>
      <c r="AJ694" s="48">
        <v>278802</v>
      </c>
      <c r="AK694" s="48">
        <v>278845</v>
      </c>
      <c r="AL694" s="48">
        <v>278924</v>
      </c>
    </row>
    <row r="695" spans="1:45" hidden="1" x14ac:dyDescent="0.25">
      <c r="A695">
        <v>694</v>
      </c>
      <c r="B695">
        <v>2025</v>
      </c>
      <c r="C695">
        <v>10</v>
      </c>
      <c r="D695" t="s">
        <v>151</v>
      </c>
      <c r="E695">
        <v>31</v>
      </c>
      <c r="F695">
        <v>9</v>
      </c>
      <c r="G695" t="s">
        <v>433</v>
      </c>
      <c r="H695" s="48">
        <v>276028</v>
      </c>
      <c r="I695" s="48">
        <v>276100</v>
      </c>
      <c r="J695" s="48">
        <v>276192</v>
      </c>
      <c r="K695" s="48">
        <v>276275</v>
      </c>
      <c r="L695" s="48">
        <v>276380</v>
      </c>
      <c r="M695" s="48">
        <v>276498</v>
      </c>
      <c r="N695" s="48">
        <v>276601</v>
      </c>
      <c r="O695" s="48">
        <v>276743</v>
      </c>
      <c r="P695" s="48">
        <v>276855</v>
      </c>
      <c r="Q695" s="48">
        <v>276930</v>
      </c>
      <c r="R695" s="48">
        <v>276980</v>
      </c>
      <c r="S695" s="48">
        <v>277025</v>
      </c>
      <c r="T695" s="48">
        <v>277102</v>
      </c>
      <c r="U695" s="48">
        <v>277142</v>
      </c>
      <c r="V695" s="48">
        <v>277212</v>
      </c>
      <c r="W695" s="48">
        <v>277295</v>
      </c>
      <c r="X695" s="48">
        <v>277380</v>
      </c>
      <c r="Y695" s="48">
        <v>277540</v>
      </c>
      <c r="Z695" s="48">
        <v>277720</v>
      </c>
      <c r="AA695" s="48">
        <v>277852</v>
      </c>
      <c r="AB695" s="48">
        <v>277954</v>
      </c>
      <c r="AC695" s="48">
        <v>278102</v>
      </c>
      <c r="AD695" s="48">
        <v>278211</v>
      </c>
      <c r="AE695" s="48">
        <v>278312</v>
      </c>
      <c r="AF695" s="48">
        <v>278512</v>
      </c>
      <c r="AG695" s="48">
        <v>278592</v>
      </c>
      <c r="AH695" s="48">
        <v>278687</v>
      </c>
      <c r="AI695" s="48">
        <v>278802</v>
      </c>
      <c r="AJ695" s="48">
        <v>278845</v>
      </c>
      <c r="AK695" s="48">
        <v>278924</v>
      </c>
      <c r="AL695" s="48">
        <v>278960</v>
      </c>
      <c r="AP695">
        <v>364.08</v>
      </c>
      <c r="AQ695">
        <v>12</v>
      </c>
      <c r="AS695">
        <v>3034</v>
      </c>
    </row>
    <row r="696" spans="1:45" hidden="1" x14ac:dyDescent="0.25">
      <c r="A696">
        <v>695</v>
      </c>
      <c r="B696">
        <v>2025</v>
      </c>
      <c r="C696">
        <v>10</v>
      </c>
      <c r="D696" t="s">
        <v>173</v>
      </c>
      <c r="E696">
        <v>31</v>
      </c>
      <c r="F696">
        <v>9</v>
      </c>
      <c r="G696" t="s">
        <v>432</v>
      </c>
      <c r="H696" s="48">
        <v>350211</v>
      </c>
      <c r="I696" s="48">
        <v>350429</v>
      </c>
      <c r="J696" s="48">
        <v>350638</v>
      </c>
      <c r="K696" s="48">
        <v>350877</v>
      </c>
      <c r="L696" s="48" t="s">
        <v>320</v>
      </c>
      <c r="M696" s="48">
        <v>351114</v>
      </c>
      <c r="N696" s="48">
        <v>351326</v>
      </c>
      <c r="O696" s="48">
        <v>351550</v>
      </c>
      <c r="P696" s="48">
        <v>351839</v>
      </c>
      <c r="Q696" s="48">
        <v>352077</v>
      </c>
      <c r="R696" s="48">
        <v>352302</v>
      </c>
      <c r="S696" s="48">
        <v>352513</v>
      </c>
      <c r="T696" s="48">
        <v>352712</v>
      </c>
      <c r="U696" s="48">
        <v>352952</v>
      </c>
      <c r="V696" s="48">
        <v>353176</v>
      </c>
      <c r="W696" s="48">
        <v>353410</v>
      </c>
      <c r="X696" s="48">
        <v>353637</v>
      </c>
      <c r="Y696" s="48" t="s">
        <v>320</v>
      </c>
      <c r="Z696" s="48">
        <v>353894</v>
      </c>
      <c r="AA696" s="48">
        <v>354089</v>
      </c>
      <c r="AB696" s="48">
        <v>354394</v>
      </c>
      <c r="AC696" s="48">
        <v>354631</v>
      </c>
      <c r="AD696" s="48">
        <v>354851</v>
      </c>
      <c r="AE696" s="48">
        <v>355091</v>
      </c>
      <c r="AF696" s="48">
        <v>355322</v>
      </c>
      <c r="AG696" s="48">
        <v>355533</v>
      </c>
      <c r="AH696" s="48">
        <v>355727</v>
      </c>
      <c r="AI696" s="48">
        <v>355964</v>
      </c>
      <c r="AJ696" s="48">
        <v>356187</v>
      </c>
      <c r="AK696" s="48">
        <v>356424</v>
      </c>
      <c r="AL696" s="48">
        <v>356647</v>
      </c>
    </row>
    <row r="697" spans="1:45" hidden="1" x14ac:dyDescent="0.25">
      <c r="A697">
        <v>696</v>
      </c>
      <c r="B697">
        <v>2025</v>
      </c>
      <c r="C697">
        <v>10</v>
      </c>
      <c r="D697" t="s">
        <v>173</v>
      </c>
      <c r="E697">
        <v>31</v>
      </c>
      <c r="F697">
        <v>9</v>
      </c>
      <c r="G697" t="s">
        <v>433</v>
      </c>
      <c r="H697" s="48">
        <v>350429</v>
      </c>
      <c r="I697" s="48">
        <v>350638</v>
      </c>
      <c r="J697" s="48">
        <v>350877</v>
      </c>
      <c r="K697" s="48">
        <v>351098</v>
      </c>
      <c r="L697" s="48" t="s">
        <v>320</v>
      </c>
      <c r="M697" s="48">
        <v>351326</v>
      </c>
      <c r="N697" s="48">
        <v>351550</v>
      </c>
      <c r="O697" s="48">
        <v>351787</v>
      </c>
      <c r="P697" s="48">
        <v>352055</v>
      </c>
      <c r="Q697" s="48">
        <v>352300</v>
      </c>
      <c r="R697" s="48">
        <v>352495</v>
      </c>
      <c r="S697" s="48">
        <v>352702</v>
      </c>
      <c r="T697" s="48">
        <v>352932</v>
      </c>
      <c r="U697" s="48">
        <v>353173</v>
      </c>
      <c r="V697" s="48">
        <v>353393</v>
      </c>
      <c r="W697" s="48">
        <v>353628</v>
      </c>
      <c r="X697" s="48">
        <v>353863</v>
      </c>
      <c r="Y697" s="48" t="s">
        <v>320</v>
      </c>
      <c r="Z697" s="48">
        <v>354089</v>
      </c>
      <c r="AA697" s="48">
        <v>354391</v>
      </c>
      <c r="AB697" s="48">
        <v>354612</v>
      </c>
      <c r="AC697" s="48">
        <v>354851</v>
      </c>
      <c r="AD697" s="48">
        <v>355072</v>
      </c>
      <c r="AE697" s="48">
        <v>355313</v>
      </c>
      <c r="AF697" s="48">
        <v>355528</v>
      </c>
      <c r="AG697" s="48">
        <v>355727</v>
      </c>
      <c r="AH697" s="48">
        <v>355951</v>
      </c>
      <c r="AI697" s="48">
        <v>356184</v>
      </c>
      <c r="AJ697" s="48">
        <v>356405</v>
      </c>
      <c r="AK697" s="48">
        <v>356640</v>
      </c>
      <c r="AL697" s="48">
        <v>356820</v>
      </c>
      <c r="AP697">
        <v>1136.1599999999996</v>
      </c>
      <c r="AQ697">
        <v>17.999999999999996</v>
      </c>
      <c r="AS697">
        <v>6312</v>
      </c>
    </row>
    <row r="698" spans="1:45" hidden="1" x14ac:dyDescent="0.25">
      <c r="A698">
        <v>697</v>
      </c>
      <c r="B698">
        <v>2025</v>
      </c>
      <c r="C698">
        <v>10</v>
      </c>
      <c r="D698" t="s">
        <v>172</v>
      </c>
      <c r="E698">
        <v>31</v>
      </c>
      <c r="F698">
        <v>9</v>
      </c>
      <c r="G698" t="s">
        <v>432</v>
      </c>
      <c r="H698" s="48">
        <v>554946</v>
      </c>
      <c r="I698" s="48">
        <v>555010</v>
      </c>
      <c r="J698" s="48">
        <v>555062</v>
      </c>
      <c r="K698" s="48">
        <v>555115</v>
      </c>
      <c r="L698" s="48" t="s">
        <v>320</v>
      </c>
      <c r="M698" s="48">
        <v>555345</v>
      </c>
      <c r="N698" s="48">
        <v>555439</v>
      </c>
      <c r="O698" s="48">
        <v>555504</v>
      </c>
      <c r="P698" s="48">
        <v>555575</v>
      </c>
      <c r="Q698" s="48">
        <v>555608</v>
      </c>
      <c r="R698" s="48">
        <v>555657</v>
      </c>
      <c r="S698" s="48" t="s">
        <v>320</v>
      </c>
      <c r="T698" s="48">
        <v>555874</v>
      </c>
      <c r="U698" s="48">
        <v>555994</v>
      </c>
      <c r="V698" s="48">
        <v>556028</v>
      </c>
      <c r="W698" s="48">
        <v>556090</v>
      </c>
      <c r="X698" s="48">
        <v>556152</v>
      </c>
      <c r="Y698" s="48">
        <v>556212</v>
      </c>
      <c r="Z698" s="48">
        <v>556284</v>
      </c>
      <c r="AA698" s="48">
        <v>556333</v>
      </c>
      <c r="AB698" s="48">
        <v>556555</v>
      </c>
      <c r="AC698" s="48">
        <v>556675</v>
      </c>
      <c r="AD698" s="48">
        <v>556728</v>
      </c>
      <c r="AE698" s="48">
        <v>556810</v>
      </c>
      <c r="AF698" s="48">
        <v>556871</v>
      </c>
      <c r="AG698" s="48">
        <v>556914</v>
      </c>
      <c r="AH698" s="48" t="s">
        <v>320</v>
      </c>
      <c r="AI698" s="48">
        <v>556986</v>
      </c>
      <c r="AJ698" s="48">
        <v>557036</v>
      </c>
      <c r="AK698" s="48">
        <v>557084</v>
      </c>
      <c r="AL698" s="48">
        <v>557134</v>
      </c>
    </row>
    <row r="699" spans="1:45" hidden="1" x14ac:dyDescent="0.25">
      <c r="A699">
        <v>698</v>
      </c>
      <c r="B699">
        <v>2025</v>
      </c>
      <c r="C699">
        <v>10</v>
      </c>
      <c r="D699" t="s">
        <v>172</v>
      </c>
      <c r="E699">
        <v>31</v>
      </c>
      <c r="F699">
        <v>9</v>
      </c>
      <c r="G699" t="s">
        <v>433</v>
      </c>
      <c r="H699" s="48">
        <v>555010</v>
      </c>
      <c r="I699" s="48">
        <v>555062</v>
      </c>
      <c r="J699" s="48">
        <v>555115</v>
      </c>
      <c r="K699" s="48">
        <v>555240</v>
      </c>
      <c r="L699" s="48" t="s">
        <v>320</v>
      </c>
      <c r="M699" s="48">
        <v>555439</v>
      </c>
      <c r="N699" s="48">
        <v>555504</v>
      </c>
      <c r="O699" s="48">
        <v>555575</v>
      </c>
      <c r="P699" s="48">
        <v>555608</v>
      </c>
      <c r="Q699" s="48">
        <v>555657</v>
      </c>
      <c r="R699" s="48">
        <v>555778</v>
      </c>
      <c r="S699" s="48" t="s">
        <v>320</v>
      </c>
      <c r="T699" s="48">
        <v>555994</v>
      </c>
      <c r="U699" s="48">
        <v>556028</v>
      </c>
      <c r="V699" s="48">
        <v>556090</v>
      </c>
      <c r="W699" s="48">
        <v>556152</v>
      </c>
      <c r="X699" s="48">
        <v>556212</v>
      </c>
      <c r="Y699" s="48">
        <v>556284</v>
      </c>
      <c r="Z699" s="48">
        <v>556333</v>
      </c>
      <c r="AA699" s="48">
        <v>556461</v>
      </c>
      <c r="AB699" s="48">
        <v>556675</v>
      </c>
      <c r="AC699" s="48">
        <v>556728</v>
      </c>
      <c r="AD699" s="48">
        <v>556810</v>
      </c>
      <c r="AE699" s="48">
        <v>556871</v>
      </c>
      <c r="AF699" s="48">
        <v>556914</v>
      </c>
      <c r="AG699" s="48">
        <v>556941</v>
      </c>
      <c r="AH699" s="48" t="s">
        <v>320</v>
      </c>
      <c r="AI699" s="48">
        <v>557036</v>
      </c>
      <c r="AJ699" s="48">
        <v>557084</v>
      </c>
      <c r="AK699" s="48">
        <v>557134</v>
      </c>
      <c r="AL699" s="48">
        <v>557189</v>
      </c>
      <c r="AP699">
        <v>285.45</v>
      </c>
      <c r="AQ699">
        <v>15</v>
      </c>
      <c r="AS699">
        <v>1903</v>
      </c>
    </row>
    <row r="700" spans="1:45" hidden="1" x14ac:dyDescent="0.25">
      <c r="A700">
        <v>699</v>
      </c>
      <c r="B700">
        <v>2025</v>
      </c>
      <c r="C700">
        <v>10</v>
      </c>
      <c r="D700" t="s">
        <v>167</v>
      </c>
      <c r="E700">
        <v>31</v>
      </c>
      <c r="F700">
        <v>9</v>
      </c>
      <c r="G700" t="s">
        <v>432</v>
      </c>
      <c r="H700" s="48">
        <v>209792</v>
      </c>
      <c r="I700" s="48">
        <v>209879</v>
      </c>
      <c r="J700" s="48">
        <v>209965</v>
      </c>
      <c r="K700" s="48">
        <v>210063</v>
      </c>
      <c r="L700" s="48">
        <v>210120</v>
      </c>
      <c r="M700" s="48">
        <v>210223</v>
      </c>
      <c r="N700" s="48">
        <v>210295</v>
      </c>
      <c r="O700" s="48">
        <v>210416</v>
      </c>
      <c r="P700" s="48">
        <v>210516</v>
      </c>
      <c r="Q700" s="48">
        <v>210596</v>
      </c>
      <c r="R700" s="48">
        <v>210658</v>
      </c>
      <c r="S700" s="48" t="s">
        <v>320</v>
      </c>
      <c r="T700" s="48">
        <v>210764</v>
      </c>
      <c r="U700" s="48">
        <v>210882</v>
      </c>
      <c r="V700" s="48">
        <v>210946</v>
      </c>
      <c r="W700" s="48">
        <v>211035</v>
      </c>
      <c r="X700" s="48">
        <v>211153</v>
      </c>
      <c r="Y700" s="48">
        <v>211278</v>
      </c>
      <c r="Z700" s="48">
        <v>211327</v>
      </c>
      <c r="AA700" s="48">
        <v>211428</v>
      </c>
      <c r="AB700" s="48">
        <v>211497</v>
      </c>
      <c r="AC700" s="48">
        <v>211559</v>
      </c>
      <c r="AD700" s="48">
        <v>211638</v>
      </c>
      <c r="AE700" s="48">
        <v>211706</v>
      </c>
      <c r="AF700" s="48">
        <v>211753</v>
      </c>
      <c r="AG700" s="48" t="s">
        <v>320</v>
      </c>
      <c r="AH700" s="48">
        <v>212036</v>
      </c>
      <c r="AI700" s="48">
        <v>212129</v>
      </c>
      <c r="AJ700" s="48">
        <v>212210</v>
      </c>
      <c r="AK700" s="48">
        <v>212321</v>
      </c>
      <c r="AL700" s="48">
        <v>212504</v>
      </c>
    </row>
    <row r="701" spans="1:45" hidden="1" x14ac:dyDescent="0.25">
      <c r="A701">
        <v>700</v>
      </c>
      <c r="B701">
        <v>2025</v>
      </c>
      <c r="C701">
        <v>10</v>
      </c>
      <c r="D701" t="s">
        <v>167</v>
      </c>
      <c r="E701">
        <v>31</v>
      </c>
      <c r="F701">
        <v>9</v>
      </c>
      <c r="G701" t="s">
        <v>433</v>
      </c>
      <c r="H701" s="48">
        <v>209879</v>
      </c>
      <c r="I701" s="48">
        <v>209965</v>
      </c>
      <c r="J701" s="48">
        <v>210063</v>
      </c>
      <c r="K701" s="48">
        <v>210120</v>
      </c>
      <c r="L701" s="48">
        <v>210223</v>
      </c>
      <c r="M701" s="48">
        <v>210295</v>
      </c>
      <c r="N701" s="48">
        <v>210416</v>
      </c>
      <c r="O701" s="48">
        <v>210516</v>
      </c>
      <c r="P701" s="48">
        <v>210596</v>
      </c>
      <c r="Q701" s="48">
        <v>210658</v>
      </c>
      <c r="R701" s="48">
        <v>210754</v>
      </c>
      <c r="S701" s="48" t="s">
        <v>320</v>
      </c>
      <c r="T701" s="48">
        <v>210882</v>
      </c>
      <c r="U701" s="48">
        <v>210946</v>
      </c>
      <c r="V701" s="48">
        <v>211035</v>
      </c>
      <c r="W701" s="48">
        <v>211105</v>
      </c>
      <c r="X701" s="48">
        <v>211227</v>
      </c>
      <c r="Y701" s="48">
        <v>211327</v>
      </c>
      <c r="Z701" s="48">
        <v>211428</v>
      </c>
      <c r="AA701" s="48">
        <v>211497</v>
      </c>
      <c r="AB701" s="48">
        <v>211559</v>
      </c>
      <c r="AC701" s="48">
        <v>211638</v>
      </c>
      <c r="AD701" s="48">
        <v>211706</v>
      </c>
      <c r="AE701" s="48">
        <v>211753</v>
      </c>
      <c r="AF701" s="48">
        <v>211886</v>
      </c>
      <c r="AG701" s="48" t="s">
        <v>320</v>
      </c>
      <c r="AH701" s="48">
        <v>212129</v>
      </c>
      <c r="AI701" s="48">
        <v>212210</v>
      </c>
      <c r="AJ701" s="48">
        <v>212321</v>
      </c>
      <c r="AK701" s="48">
        <v>212504</v>
      </c>
      <c r="AL701" s="48">
        <v>212585</v>
      </c>
      <c r="AP701">
        <v>380.1</v>
      </c>
      <c r="AQ701">
        <v>15</v>
      </c>
      <c r="AS701">
        <v>2534</v>
      </c>
    </row>
    <row r="702" spans="1:45" hidden="1" x14ac:dyDescent="0.25">
      <c r="A702">
        <v>701</v>
      </c>
      <c r="B702">
        <v>2025</v>
      </c>
      <c r="C702">
        <v>10</v>
      </c>
      <c r="D702" t="s">
        <v>177</v>
      </c>
      <c r="E702">
        <v>31</v>
      </c>
      <c r="F702">
        <v>9</v>
      </c>
      <c r="G702" t="s">
        <v>432</v>
      </c>
      <c r="H702" s="48" t="s">
        <v>320</v>
      </c>
      <c r="I702" s="48">
        <v>929153</v>
      </c>
      <c r="J702" s="48">
        <v>929210</v>
      </c>
      <c r="K702" s="48">
        <v>929400</v>
      </c>
      <c r="L702" s="48">
        <v>929615</v>
      </c>
      <c r="M702" s="48">
        <v>929808</v>
      </c>
      <c r="N702" s="48">
        <v>929819</v>
      </c>
      <c r="O702" s="48">
        <v>929961</v>
      </c>
      <c r="P702" s="48">
        <v>930031</v>
      </c>
      <c r="Q702" s="48">
        <v>930067</v>
      </c>
      <c r="R702" s="48">
        <v>930279</v>
      </c>
      <c r="S702" s="48">
        <v>930333</v>
      </c>
      <c r="T702" s="48">
        <v>930552</v>
      </c>
      <c r="U702" s="48">
        <v>930606</v>
      </c>
      <c r="V702" s="48">
        <v>930677</v>
      </c>
      <c r="W702" s="48">
        <v>930816</v>
      </c>
      <c r="X702" s="48">
        <v>930846</v>
      </c>
      <c r="Y702" s="48">
        <v>930883</v>
      </c>
      <c r="Z702" s="48">
        <v>931025</v>
      </c>
      <c r="AA702" s="48">
        <v>931073</v>
      </c>
      <c r="AB702" s="48">
        <v>931148</v>
      </c>
      <c r="AC702" s="48">
        <v>931191</v>
      </c>
      <c r="AD702" s="48">
        <v>931359</v>
      </c>
      <c r="AE702" s="48">
        <v>931442</v>
      </c>
      <c r="AF702" s="48">
        <v>931491</v>
      </c>
      <c r="AG702" s="48">
        <v>931528</v>
      </c>
      <c r="AH702" s="48">
        <v>931626</v>
      </c>
      <c r="AI702" s="48">
        <v>931698</v>
      </c>
      <c r="AJ702" s="48">
        <v>931760</v>
      </c>
      <c r="AK702" s="48">
        <v>931782</v>
      </c>
      <c r="AL702" s="48">
        <v>931813</v>
      </c>
    </row>
    <row r="703" spans="1:45" hidden="1" x14ac:dyDescent="0.25">
      <c r="A703">
        <v>702</v>
      </c>
      <c r="B703">
        <v>2025</v>
      </c>
      <c r="C703">
        <v>10</v>
      </c>
      <c r="D703" t="s">
        <v>177</v>
      </c>
      <c r="E703">
        <v>31</v>
      </c>
      <c r="F703">
        <v>9</v>
      </c>
      <c r="G703" t="s">
        <v>433</v>
      </c>
      <c r="H703" s="48" t="s">
        <v>320</v>
      </c>
      <c r="I703" s="48">
        <v>929207</v>
      </c>
      <c r="J703" s="48">
        <v>929262</v>
      </c>
      <c r="K703" s="48">
        <v>929529</v>
      </c>
      <c r="L703" s="48">
        <v>929705</v>
      </c>
      <c r="M703" s="48">
        <v>929819</v>
      </c>
      <c r="N703" s="48">
        <v>929889</v>
      </c>
      <c r="O703" s="48">
        <v>930031</v>
      </c>
      <c r="P703" s="48">
        <v>930067</v>
      </c>
      <c r="Q703" s="48">
        <v>930123</v>
      </c>
      <c r="R703" s="48">
        <v>930333</v>
      </c>
      <c r="S703" s="48">
        <v>930419</v>
      </c>
      <c r="T703" s="48">
        <v>930606</v>
      </c>
      <c r="U703" s="48">
        <v>930677</v>
      </c>
      <c r="V703" s="48">
        <v>930716</v>
      </c>
      <c r="W703" s="48">
        <v>930846</v>
      </c>
      <c r="X703" s="48">
        <v>930883</v>
      </c>
      <c r="Y703" s="48">
        <v>930957</v>
      </c>
      <c r="Z703" s="48">
        <v>931073</v>
      </c>
      <c r="AA703" s="48">
        <v>931148</v>
      </c>
      <c r="AB703" s="48">
        <v>931191</v>
      </c>
      <c r="AC703" s="48">
        <v>931300</v>
      </c>
      <c r="AD703" s="48">
        <v>931442</v>
      </c>
      <c r="AE703" s="48">
        <v>931491</v>
      </c>
      <c r="AF703" s="48">
        <v>931528</v>
      </c>
      <c r="AG703" s="48">
        <v>931626</v>
      </c>
      <c r="AH703" s="48">
        <v>931698</v>
      </c>
      <c r="AI703" s="48">
        <v>931760</v>
      </c>
      <c r="AJ703" s="48">
        <v>931782</v>
      </c>
      <c r="AK703" s="48">
        <v>931813</v>
      </c>
      <c r="AL703" s="48">
        <v>931890</v>
      </c>
      <c r="AP703">
        <v>272.85000000000002</v>
      </c>
      <c r="AQ703">
        <v>15</v>
      </c>
      <c r="AS703">
        <v>1819</v>
      </c>
    </row>
    <row r="704" spans="1:45" hidden="1" x14ac:dyDescent="0.25">
      <c r="A704">
        <v>703</v>
      </c>
      <c r="B704">
        <v>2025</v>
      </c>
      <c r="C704">
        <v>10</v>
      </c>
      <c r="D704" t="s">
        <v>169</v>
      </c>
      <c r="E704">
        <v>31</v>
      </c>
      <c r="F704">
        <v>9</v>
      </c>
      <c r="G704" t="s">
        <v>432</v>
      </c>
      <c r="H704" s="48">
        <v>243622</v>
      </c>
      <c r="I704" s="48">
        <v>243769</v>
      </c>
      <c r="J704" s="48">
        <v>243922</v>
      </c>
      <c r="K704" s="48">
        <v>244085</v>
      </c>
      <c r="L704" s="48">
        <v>244204</v>
      </c>
      <c r="M704" s="48">
        <v>244226</v>
      </c>
      <c r="N704" s="48">
        <v>244258</v>
      </c>
      <c r="O704" s="48">
        <v>244279</v>
      </c>
      <c r="P704" s="48">
        <v>244414</v>
      </c>
      <c r="Q704" s="48">
        <v>244645</v>
      </c>
      <c r="R704" s="48">
        <v>244797</v>
      </c>
      <c r="S704" s="48">
        <v>244823</v>
      </c>
      <c r="T704" s="48">
        <v>244830</v>
      </c>
      <c r="U704" s="48">
        <v>244863</v>
      </c>
      <c r="V704" s="48">
        <v>244997</v>
      </c>
      <c r="W704" s="48">
        <v>245130</v>
      </c>
      <c r="X704" s="48">
        <v>245297</v>
      </c>
      <c r="Y704" s="48">
        <v>245431</v>
      </c>
      <c r="Z704" s="48">
        <v>245584</v>
      </c>
      <c r="AA704" s="48">
        <v>245684</v>
      </c>
      <c r="AB704" s="48">
        <v>245724</v>
      </c>
      <c r="AC704" s="48">
        <v>245764</v>
      </c>
      <c r="AD704" s="48">
        <v>245928</v>
      </c>
      <c r="AE704" s="48">
        <v>246037</v>
      </c>
      <c r="AF704" s="48">
        <v>246089</v>
      </c>
      <c r="AG704" s="48">
        <v>246231</v>
      </c>
      <c r="AH704" s="48">
        <v>246298</v>
      </c>
      <c r="AI704" s="48">
        <v>246393</v>
      </c>
      <c r="AJ704" s="48">
        <v>246432</v>
      </c>
      <c r="AK704" s="48">
        <v>246608</v>
      </c>
      <c r="AL704" s="48">
        <v>246714</v>
      </c>
    </row>
    <row r="705" spans="1:45" hidden="1" x14ac:dyDescent="0.25">
      <c r="A705">
        <v>704</v>
      </c>
      <c r="B705">
        <v>2025</v>
      </c>
      <c r="C705">
        <v>10</v>
      </c>
      <c r="D705" t="s">
        <v>169</v>
      </c>
      <c r="E705">
        <v>31</v>
      </c>
      <c r="F705">
        <v>9</v>
      </c>
      <c r="G705" t="s">
        <v>433</v>
      </c>
      <c r="H705" s="48">
        <v>243762</v>
      </c>
      <c r="I705" s="48">
        <v>243900</v>
      </c>
      <c r="J705" s="48">
        <v>244077</v>
      </c>
      <c r="K705" s="48">
        <v>244204</v>
      </c>
      <c r="L705" s="48">
        <v>244226</v>
      </c>
      <c r="M705" s="48">
        <v>244258</v>
      </c>
      <c r="N705" s="48">
        <v>244279</v>
      </c>
      <c r="O705" s="48">
        <v>244411</v>
      </c>
      <c r="P705" s="48">
        <v>244645</v>
      </c>
      <c r="Q705" s="48">
        <v>244790</v>
      </c>
      <c r="R705" s="48">
        <v>244823</v>
      </c>
      <c r="S705" s="48">
        <v>244830</v>
      </c>
      <c r="T705" s="48">
        <v>244863</v>
      </c>
      <c r="U705" s="48">
        <v>244997</v>
      </c>
      <c r="V705" s="48">
        <v>245130</v>
      </c>
      <c r="W705" s="48">
        <v>245272</v>
      </c>
      <c r="X705" s="48">
        <v>245431</v>
      </c>
      <c r="Y705" s="48">
        <v>245584</v>
      </c>
      <c r="Z705" s="48">
        <v>245684</v>
      </c>
      <c r="AA705" s="48">
        <v>245724</v>
      </c>
      <c r="AB705" s="48">
        <v>245764</v>
      </c>
      <c r="AC705" s="48">
        <v>245916</v>
      </c>
      <c r="AD705" s="48">
        <v>246037</v>
      </c>
      <c r="AE705" s="48">
        <v>246089</v>
      </c>
      <c r="AF705" s="48">
        <v>246231</v>
      </c>
      <c r="AG705" s="48">
        <v>246244</v>
      </c>
      <c r="AH705" s="48">
        <v>246393</v>
      </c>
      <c r="AI705" s="48">
        <v>246432</v>
      </c>
      <c r="AJ705" s="48">
        <v>246582</v>
      </c>
      <c r="AK705" s="48">
        <v>246714</v>
      </c>
      <c r="AL705" s="48">
        <v>246739</v>
      </c>
      <c r="AP705">
        <v>442.94999999999993</v>
      </c>
      <c r="AQ705">
        <v>14.999999999999998</v>
      </c>
      <c r="AS705">
        <v>2953</v>
      </c>
    </row>
    <row r="706" spans="1:45" hidden="1" x14ac:dyDescent="0.25">
      <c r="A706">
        <v>705</v>
      </c>
      <c r="B706">
        <v>2025</v>
      </c>
      <c r="C706">
        <v>10</v>
      </c>
      <c r="D706" t="s">
        <v>170</v>
      </c>
      <c r="E706">
        <v>31</v>
      </c>
      <c r="F706">
        <v>9</v>
      </c>
      <c r="G706" t="s">
        <v>432</v>
      </c>
      <c r="H706" s="48">
        <v>371741</v>
      </c>
      <c r="I706" s="48">
        <v>371878</v>
      </c>
      <c r="J706" s="48">
        <v>372065</v>
      </c>
      <c r="K706" s="48">
        <v>372202</v>
      </c>
      <c r="L706" s="48" t="s">
        <v>320</v>
      </c>
      <c r="M706" s="48">
        <v>372438</v>
      </c>
      <c r="N706" s="48">
        <v>372571</v>
      </c>
      <c r="O706" s="48">
        <v>372708</v>
      </c>
      <c r="P706" s="48">
        <v>372845</v>
      </c>
      <c r="Q706" s="48">
        <v>372982</v>
      </c>
      <c r="R706" s="48">
        <v>373119</v>
      </c>
      <c r="S706" s="48">
        <v>373256</v>
      </c>
      <c r="T706" s="48">
        <v>373393</v>
      </c>
      <c r="U706" s="48">
        <v>373530</v>
      </c>
      <c r="V706" s="48">
        <v>373667</v>
      </c>
      <c r="W706" s="48">
        <v>373806</v>
      </c>
      <c r="X706" s="48">
        <v>373994</v>
      </c>
      <c r="Y706" s="48">
        <v>374164</v>
      </c>
      <c r="Z706" s="48">
        <v>374366</v>
      </c>
      <c r="AA706" s="48">
        <v>374572</v>
      </c>
      <c r="AB706" s="48">
        <v>374745</v>
      </c>
      <c r="AC706" s="48">
        <v>374883</v>
      </c>
      <c r="AD706" s="48">
        <v>375021</v>
      </c>
      <c r="AE706" s="48">
        <v>375158</v>
      </c>
      <c r="AF706" s="48">
        <v>375328</v>
      </c>
      <c r="AG706" s="48" t="s">
        <v>320</v>
      </c>
      <c r="AH706" s="48">
        <v>375535</v>
      </c>
      <c r="AI706" s="48">
        <v>375703</v>
      </c>
      <c r="AJ706" s="48">
        <v>375841</v>
      </c>
      <c r="AK706" s="48">
        <v>375978</v>
      </c>
      <c r="AL706" s="48">
        <v>376115</v>
      </c>
    </row>
    <row r="707" spans="1:45" hidden="1" x14ac:dyDescent="0.25">
      <c r="A707">
        <v>706</v>
      </c>
      <c r="B707">
        <v>2025</v>
      </c>
      <c r="C707">
        <v>10</v>
      </c>
      <c r="D707" t="s">
        <v>170</v>
      </c>
      <c r="E707">
        <v>31</v>
      </c>
      <c r="F707">
        <v>9</v>
      </c>
      <c r="G707" t="s">
        <v>433</v>
      </c>
      <c r="H707" s="48">
        <v>371878</v>
      </c>
      <c r="I707" s="48">
        <v>372065</v>
      </c>
      <c r="J707" s="48">
        <v>372202</v>
      </c>
      <c r="K707" s="48">
        <v>372339</v>
      </c>
      <c r="L707" s="48" t="s">
        <v>320</v>
      </c>
      <c r="M707" s="48">
        <v>372571</v>
      </c>
      <c r="N707" s="48">
        <v>372708</v>
      </c>
      <c r="O707" s="48">
        <v>372845</v>
      </c>
      <c r="P707" s="48">
        <v>372982</v>
      </c>
      <c r="Q707" s="48">
        <v>373119</v>
      </c>
      <c r="R707" s="48">
        <v>373256</v>
      </c>
      <c r="S707" s="48">
        <v>373393</v>
      </c>
      <c r="T707" s="48">
        <v>373530</v>
      </c>
      <c r="U707" s="48">
        <v>373667</v>
      </c>
      <c r="V707" s="48">
        <v>373806</v>
      </c>
      <c r="W707" s="48">
        <v>373994</v>
      </c>
      <c r="X707" s="48">
        <v>374164</v>
      </c>
      <c r="Y707" s="48">
        <v>374366</v>
      </c>
      <c r="Z707" s="48">
        <v>374572</v>
      </c>
      <c r="AA707" s="48">
        <v>374745</v>
      </c>
      <c r="AB707" s="48">
        <v>374883</v>
      </c>
      <c r="AC707" s="48">
        <v>375021</v>
      </c>
      <c r="AD707" s="48">
        <v>375158</v>
      </c>
      <c r="AE707" s="48">
        <v>375328</v>
      </c>
      <c r="AF707" s="48">
        <v>375535</v>
      </c>
      <c r="AG707" s="48" t="s">
        <v>320</v>
      </c>
      <c r="AH707" s="48">
        <v>375703</v>
      </c>
      <c r="AI707" s="48">
        <v>375841</v>
      </c>
      <c r="AJ707" s="48">
        <v>375978</v>
      </c>
      <c r="AK707" s="48">
        <v>376115</v>
      </c>
      <c r="AL707" s="48">
        <v>376252</v>
      </c>
      <c r="AP707">
        <v>794.15999999999985</v>
      </c>
      <c r="AQ707">
        <v>17.999999999999996</v>
      </c>
      <c r="AS707">
        <v>4412</v>
      </c>
    </row>
    <row r="708" spans="1:45" hidden="1" x14ac:dyDescent="0.25">
      <c r="A708">
        <v>707</v>
      </c>
      <c r="B708">
        <v>2025</v>
      </c>
      <c r="C708">
        <v>10</v>
      </c>
      <c r="D708" t="s">
        <v>166</v>
      </c>
      <c r="E708">
        <v>31</v>
      </c>
      <c r="F708">
        <v>9</v>
      </c>
      <c r="G708" t="s">
        <v>432</v>
      </c>
      <c r="H708" s="48">
        <v>273630</v>
      </c>
      <c r="I708" s="48">
        <v>273713</v>
      </c>
      <c r="J708" s="48">
        <v>273804</v>
      </c>
      <c r="K708" s="48">
        <v>273889</v>
      </c>
      <c r="L708" s="48">
        <v>273984</v>
      </c>
      <c r="M708" s="48">
        <v>274034</v>
      </c>
      <c r="N708" s="48">
        <v>274097</v>
      </c>
      <c r="O708" s="48">
        <v>274191</v>
      </c>
      <c r="P708" s="48">
        <v>274294</v>
      </c>
      <c r="Q708" s="48">
        <v>274383</v>
      </c>
      <c r="R708" s="48">
        <v>274538</v>
      </c>
      <c r="S708" s="48">
        <v>274594</v>
      </c>
      <c r="T708" s="48">
        <v>274655</v>
      </c>
      <c r="U708" s="48">
        <v>274753</v>
      </c>
      <c r="V708" s="48">
        <v>274794</v>
      </c>
      <c r="W708" s="48">
        <v>274894</v>
      </c>
      <c r="X708" s="48">
        <v>274986</v>
      </c>
      <c r="Y708" s="48">
        <v>275075</v>
      </c>
      <c r="Z708" s="48">
        <v>275176</v>
      </c>
      <c r="AA708" s="48">
        <v>275273</v>
      </c>
      <c r="AB708" s="48">
        <v>275361</v>
      </c>
      <c r="AC708" s="48">
        <v>275453</v>
      </c>
      <c r="AD708" s="48">
        <v>275538</v>
      </c>
      <c r="AE708" s="48">
        <v>275644</v>
      </c>
      <c r="AF708" s="48">
        <v>275739</v>
      </c>
      <c r="AG708" s="48">
        <v>275838</v>
      </c>
      <c r="AH708" s="48">
        <v>275911</v>
      </c>
      <c r="AI708" s="48">
        <v>276018</v>
      </c>
      <c r="AJ708" s="48">
        <v>276099</v>
      </c>
      <c r="AK708" s="48">
        <v>276182</v>
      </c>
      <c r="AL708" s="48">
        <v>276279</v>
      </c>
    </row>
    <row r="709" spans="1:45" hidden="1" x14ac:dyDescent="0.25">
      <c r="A709">
        <v>708</v>
      </c>
      <c r="B709">
        <v>2025</v>
      </c>
      <c r="C709">
        <v>10</v>
      </c>
      <c r="D709" t="s">
        <v>166</v>
      </c>
      <c r="E709">
        <v>31</v>
      </c>
      <c r="F709">
        <v>9</v>
      </c>
      <c r="G709" t="s">
        <v>433</v>
      </c>
      <c r="H709" s="48">
        <v>273713</v>
      </c>
      <c r="I709" s="48">
        <v>273804</v>
      </c>
      <c r="J709" s="48">
        <v>273889</v>
      </c>
      <c r="K709" s="48">
        <v>273984</v>
      </c>
      <c r="L709" s="48">
        <v>274034</v>
      </c>
      <c r="M709" s="48">
        <v>274097</v>
      </c>
      <c r="N709" s="48">
        <v>274191</v>
      </c>
      <c r="O709" s="48">
        <v>274294</v>
      </c>
      <c r="P709" s="48">
        <v>274383</v>
      </c>
      <c r="Q709" s="48">
        <v>274450</v>
      </c>
      <c r="R709" s="48">
        <v>274594</v>
      </c>
      <c r="S709" s="48">
        <v>274655</v>
      </c>
      <c r="T709" s="48">
        <v>274753</v>
      </c>
      <c r="U709" s="48">
        <v>274794</v>
      </c>
      <c r="V709" s="48">
        <v>274894</v>
      </c>
      <c r="W709" s="48">
        <v>274986</v>
      </c>
      <c r="X709" s="48">
        <v>275075</v>
      </c>
      <c r="Y709" s="48">
        <v>275176</v>
      </c>
      <c r="Z709" s="48">
        <v>275273</v>
      </c>
      <c r="AA709" s="48">
        <v>275361</v>
      </c>
      <c r="AB709" s="48">
        <v>275453</v>
      </c>
      <c r="AC709" s="48">
        <v>275538</v>
      </c>
      <c r="AD709" s="48">
        <v>275644</v>
      </c>
      <c r="AE709" s="48">
        <v>275739</v>
      </c>
      <c r="AF709" s="48">
        <v>275838</v>
      </c>
      <c r="AG709" s="48">
        <v>275911</v>
      </c>
      <c r="AH709" s="48">
        <v>276018</v>
      </c>
      <c r="AI709" s="48">
        <v>276099</v>
      </c>
      <c r="AJ709" s="48">
        <v>276182</v>
      </c>
      <c r="AK709" s="48">
        <v>276279</v>
      </c>
      <c r="AL709" s="48">
        <v>276382</v>
      </c>
      <c r="AP709">
        <v>399.6</v>
      </c>
      <c r="AQ709">
        <v>15</v>
      </c>
      <c r="AS709">
        <v>2664</v>
      </c>
    </row>
    <row r="710" spans="1:45" hidden="1" x14ac:dyDescent="0.25">
      <c r="A710">
        <v>709</v>
      </c>
      <c r="B710">
        <v>2025</v>
      </c>
      <c r="C710">
        <v>10</v>
      </c>
      <c r="D710" t="s">
        <v>144</v>
      </c>
      <c r="E710">
        <v>31</v>
      </c>
      <c r="F710">
        <v>9</v>
      </c>
      <c r="G710" t="s">
        <v>432</v>
      </c>
      <c r="H710" s="48">
        <v>373536</v>
      </c>
      <c r="I710" s="48">
        <v>373772</v>
      </c>
      <c r="J710" s="48">
        <v>373859</v>
      </c>
      <c r="K710" s="48">
        <v>373988</v>
      </c>
      <c r="L710" s="48" t="s">
        <v>320</v>
      </c>
      <c r="M710" s="48">
        <v>374274</v>
      </c>
      <c r="N710" s="48">
        <v>374437</v>
      </c>
      <c r="O710" s="48">
        <v>374484</v>
      </c>
      <c r="P710" s="48">
        <v>374553</v>
      </c>
      <c r="Q710" s="48">
        <v>374623</v>
      </c>
      <c r="R710" s="48">
        <v>374661</v>
      </c>
      <c r="S710" s="48">
        <v>374724</v>
      </c>
      <c r="T710" s="48">
        <v>374761</v>
      </c>
      <c r="U710" s="48">
        <v>374989</v>
      </c>
      <c r="V710" s="48">
        <v>375125</v>
      </c>
      <c r="W710" s="48">
        <v>375376</v>
      </c>
      <c r="X710" s="48">
        <v>375528</v>
      </c>
      <c r="Y710" s="48">
        <v>375758</v>
      </c>
      <c r="Z710" s="48">
        <v>375994</v>
      </c>
      <c r="AA710" s="48">
        <v>376187</v>
      </c>
      <c r="AB710" s="48">
        <v>376295</v>
      </c>
      <c r="AC710" s="48">
        <v>376464</v>
      </c>
      <c r="AD710" s="48">
        <v>376711</v>
      </c>
      <c r="AE710" s="48">
        <v>376858</v>
      </c>
      <c r="AF710" s="48">
        <v>376905</v>
      </c>
      <c r="AG710" s="48">
        <v>376964</v>
      </c>
      <c r="AH710" s="48">
        <v>376998</v>
      </c>
      <c r="AI710" s="48">
        <v>377183</v>
      </c>
      <c r="AJ710" s="48">
        <v>377400</v>
      </c>
      <c r="AK710" s="48">
        <v>377482</v>
      </c>
      <c r="AL710" s="48">
        <v>377857</v>
      </c>
    </row>
    <row r="711" spans="1:45" hidden="1" x14ac:dyDescent="0.25">
      <c r="A711">
        <v>710</v>
      </c>
      <c r="B711">
        <v>2025</v>
      </c>
      <c r="C711">
        <v>10</v>
      </c>
      <c r="D711" t="s">
        <v>144</v>
      </c>
      <c r="E711">
        <v>31</v>
      </c>
      <c r="F711">
        <v>9</v>
      </c>
      <c r="G711" t="s">
        <v>433</v>
      </c>
      <c r="H711" s="48">
        <v>373772</v>
      </c>
      <c r="I711" s="48">
        <v>373859</v>
      </c>
      <c r="J711" s="48">
        <v>373988</v>
      </c>
      <c r="K711" s="48">
        <v>374163</v>
      </c>
      <c r="L711" s="48" t="s">
        <v>320</v>
      </c>
      <c r="M711" s="48">
        <v>374437</v>
      </c>
      <c r="N711" s="48">
        <v>374484</v>
      </c>
      <c r="O711" s="48">
        <v>374553</v>
      </c>
      <c r="P711" s="48">
        <v>374622</v>
      </c>
      <c r="Q711" s="48">
        <v>374661</v>
      </c>
      <c r="R711" s="48">
        <v>374724</v>
      </c>
      <c r="S711" s="48">
        <v>374760</v>
      </c>
      <c r="T711" s="48">
        <v>374886</v>
      </c>
      <c r="U711" s="48">
        <v>375108</v>
      </c>
      <c r="V711" s="48">
        <v>375202</v>
      </c>
      <c r="W711" s="48">
        <v>375528</v>
      </c>
      <c r="X711" s="48">
        <v>375667</v>
      </c>
      <c r="Y711" s="48">
        <v>375994</v>
      </c>
      <c r="Z711" s="48">
        <v>376187</v>
      </c>
      <c r="AA711" s="48">
        <v>376295</v>
      </c>
      <c r="AB711" s="48">
        <v>376423</v>
      </c>
      <c r="AC711" s="48">
        <v>376711</v>
      </c>
      <c r="AD711" s="48">
        <v>376857</v>
      </c>
      <c r="AE711" s="48">
        <v>376909</v>
      </c>
      <c r="AF711" s="48">
        <v>376964</v>
      </c>
      <c r="AG711" s="48">
        <v>376998</v>
      </c>
      <c r="AH711" s="48">
        <v>377059</v>
      </c>
      <c r="AI711" s="48">
        <v>377359</v>
      </c>
      <c r="AJ711" s="48">
        <v>377458</v>
      </c>
      <c r="AK711" s="48">
        <v>377664</v>
      </c>
      <c r="AL711" s="48">
        <v>378139</v>
      </c>
      <c r="AP711">
        <v>552.75</v>
      </c>
      <c r="AQ711">
        <v>15</v>
      </c>
      <c r="AS711">
        <v>3685</v>
      </c>
    </row>
    <row r="712" spans="1:45" hidden="1" x14ac:dyDescent="0.25">
      <c r="A712">
        <v>711</v>
      </c>
      <c r="B712">
        <v>2025</v>
      </c>
      <c r="C712">
        <v>10</v>
      </c>
      <c r="D712" t="s">
        <v>129</v>
      </c>
      <c r="E712">
        <v>31</v>
      </c>
      <c r="F712">
        <v>9</v>
      </c>
      <c r="G712" t="s">
        <v>432</v>
      </c>
      <c r="H712" s="48">
        <v>490518</v>
      </c>
      <c r="I712" s="48">
        <v>490543</v>
      </c>
      <c r="J712" s="48">
        <v>490569</v>
      </c>
      <c r="K712" s="48">
        <v>490624</v>
      </c>
      <c r="L712" s="48">
        <v>490738</v>
      </c>
      <c r="M712" s="48">
        <v>490830</v>
      </c>
      <c r="N712" s="48">
        <v>490856</v>
      </c>
      <c r="O712" s="48">
        <v>490877</v>
      </c>
      <c r="P712" s="48">
        <v>490996</v>
      </c>
      <c r="Q712" s="48">
        <v>491186</v>
      </c>
      <c r="R712" s="48">
        <v>491309</v>
      </c>
      <c r="S712" s="48">
        <v>491402</v>
      </c>
      <c r="T712" s="48">
        <v>491615</v>
      </c>
      <c r="U712" s="48">
        <v>491638</v>
      </c>
      <c r="V712" s="48">
        <v>491699</v>
      </c>
      <c r="W712" s="48">
        <v>491748</v>
      </c>
      <c r="X712" s="48">
        <v>491771</v>
      </c>
      <c r="Y712" s="48">
        <v>491785</v>
      </c>
      <c r="Z712" s="48">
        <v>491826</v>
      </c>
      <c r="AA712" s="48">
        <v>491842</v>
      </c>
      <c r="AB712" s="48">
        <v>492129</v>
      </c>
      <c r="AC712" s="48">
        <v>492277</v>
      </c>
      <c r="AD712" s="48">
        <v>492534</v>
      </c>
      <c r="AE712" s="48">
        <v>492658</v>
      </c>
      <c r="AF712" s="48">
        <v>492683</v>
      </c>
      <c r="AG712" s="48" t="s">
        <v>320</v>
      </c>
      <c r="AH712" s="48">
        <v>492837</v>
      </c>
      <c r="AI712" s="48">
        <v>492955</v>
      </c>
      <c r="AJ712" s="48">
        <v>492992</v>
      </c>
      <c r="AK712" s="48">
        <v>493019</v>
      </c>
      <c r="AL712" s="48" t="s">
        <v>320</v>
      </c>
    </row>
    <row r="713" spans="1:45" hidden="1" x14ac:dyDescent="0.25">
      <c r="A713">
        <v>712</v>
      </c>
      <c r="B713">
        <v>2025</v>
      </c>
      <c r="C713">
        <v>10</v>
      </c>
      <c r="D713" t="s">
        <v>129</v>
      </c>
      <c r="E713">
        <v>31</v>
      </c>
      <c r="F713">
        <v>9</v>
      </c>
      <c r="G713" t="s">
        <v>433</v>
      </c>
      <c r="H713" s="48">
        <v>490543</v>
      </c>
      <c r="I713" s="48">
        <v>490569</v>
      </c>
      <c r="J713" s="48">
        <v>490624</v>
      </c>
      <c r="K713" s="48">
        <v>490738</v>
      </c>
      <c r="L713" s="48">
        <v>490830</v>
      </c>
      <c r="M713" s="48">
        <v>490855</v>
      </c>
      <c r="N713" s="48">
        <v>490877</v>
      </c>
      <c r="O713" s="48">
        <v>490991</v>
      </c>
      <c r="P713" s="48">
        <v>491186</v>
      </c>
      <c r="Q713" s="48">
        <v>491309</v>
      </c>
      <c r="R713" s="48">
        <v>491402</v>
      </c>
      <c r="S713" s="48">
        <v>491615</v>
      </c>
      <c r="T713" s="48">
        <v>491638</v>
      </c>
      <c r="U713" s="48">
        <v>491699</v>
      </c>
      <c r="V713" s="48">
        <v>491748</v>
      </c>
      <c r="W713" s="48">
        <v>491771</v>
      </c>
      <c r="X713" s="48">
        <v>491785</v>
      </c>
      <c r="Y713" s="48">
        <v>491826</v>
      </c>
      <c r="Z713" s="48">
        <v>491842</v>
      </c>
      <c r="AA713" s="48">
        <v>491965</v>
      </c>
      <c r="AB713" s="48">
        <v>492270</v>
      </c>
      <c r="AC713" s="48">
        <v>492362</v>
      </c>
      <c r="AD713" s="48">
        <v>492658</v>
      </c>
      <c r="AE713" s="48">
        <v>492683</v>
      </c>
      <c r="AF713" s="48">
        <v>492743</v>
      </c>
      <c r="AG713" s="48" t="s">
        <v>320</v>
      </c>
      <c r="AH713" s="48">
        <v>492955</v>
      </c>
      <c r="AI713" s="48">
        <v>492992</v>
      </c>
      <c r="AJ713" s="48">
        <v>493019</v>
      </c>
      <c r="AK713" s="48">
        <v>493055</v>
      </c>
      <c r="AL713" s="48" t="s">
        <v>320</v>
      </c>
      <c r="AP713">
        <v>314.10000000000002</v>
      </c>
      <c r="AQ713">
        <v>15</v>
      </c>
      <c r="AS713">
        <v>2094</v>
      </c>
    </row>
    <row r="714" spans="1:45" hidden="1" x14ac:dyDescent="0.25">
      <c r="A714">
        <v>713</v>
      </c>
      <c r="B714">
        <v>2025</v>
      </c>
      <c r="C714">
        <v>10</v>
      </c>
      <c r="D714" t="s">
        <v>159</v>
      </c>
      <c r="E714">
        <v>31</v>
      </c>
      <c r="F714">
        <v>9</v>
      </c>
      <c r="G714" t="s">
        <v>432</v>
      </c>
      <c r="H714" s="48">
        <v>331132</v>
      </c>
      <c r="I714" s="48">
        <v>331272</v>
      </c>
      <c r="J714" s="48">
        <v>331331</v>
      </c>
      <c r="K714" s="48">
        <v>331413</v>
      </c>
      <c r="L714" s="48">
        <v>331481</v>
      </c>
      <c r="M714" s="48">
        <v>331528</v>
      </c>
      <c r="N714" s="48">
        <v>331596</v>
      </c>
      <c r="O714" s="48">
        <v>331744</v>
      </c>
      <c r="P714" s="48">
        <v>331808</v>
      </c>
      <c r="Q714" s="48">
        <v>331872</v>
      </c>
      <c r="R714" s="48">
        <v>331934</v>
      </c>
      <c r="S714" s="48">
        <v>332118</v>
      </c>
      <c r="T714" s="48">
        <v>332188</v>
      </c>
      <c r="U714" s="48">
        <v>332327</v>
      </c>
      <c r="V714" s="48">
        <v>332373</v>
      </c>
      <c r="W714" s="48">
        <v>332392</v>
      </c>
      <c r="X714" s="48">
        <v>332484</v>
      </c>
      <c r="Y714" s="48">
        <v>332566</v>
      </c>
      <c r="Z714" s="48">
        <v>332649</v>
      </c>
      <c r="AA714" s="48">
        <v>332717</v>
      </c>
      <c r="AB714" s="48">
        <v>332795</v>
      </c>
      <c r="AC714" s="48">
        <v>332865</v>
      </c>
      <c r="AD714" s="48">
        <v>332935</v>
      </c>
      <c r="AE714" s="48">
        <v>332993</v>
      </c>
      <c r="AF714" s="48">
        <v>333061</v>
      </c>
      <c r="AG714" s="48">
        <v>333126</v>
      </c>
      <c r="AH714" s="48">
        <v>333174</v>
      </c>
      <c r="AI714" s="48">
        <v>333242</v>
      </c>
      <c r="AJ714" s="48">
        <v>333295</v>
      </c>
      <c r="AK714" s="48">
        <v>333351</v>
      </c>
      <c r="AL714" s="48">
        <v>333409</v>
      </c>
    </row>
    <row r="715" spans="1:45" hidden="1" x14ac:dyDescent="0.25">
      <c r="A715">
        <v>714</v>
      </c>
      <c r="B715">
        <v>2025</v>
      </c>
      <c r="C715">
        <v>10</v>
      </c>
      <c r="D715" t="s">
        <v>159</v>
      </c>
      <c r="E715">
        <v>31</v>
      </c>
      <c r="F715">
        <v>9</v>
      </c>
      <c r="G715" t="s">
        <v>433</v>
      </c>
      <c r="H715" s="48">
        <v>331245</v>
      </c>
      <c r="I715" s="48">
        <v>331308</v>
      </c>
      <c r="J715" s="48">
        <v>331384</v>
      </c>
      <c r="K715" s="48">
        <v>331456</v>
      </c>
      <c r="L715" s="48">
        <v>331508</v>
      </c>
      <c r="M715" s="48">
        <v>331575</v>
      </c>
      <c r="N715" s="48">
        <v>331717</v>
      </c>
      <c r="O715" s="48">
        <v>331788</v>
      </c>
      <c r="P715" s="48">
        <v>331855</v>
      </c>
      <c r="Q715" s="48">
        <v>331914</v>
      </c>
      <c r="R715" s="48">
        <v>331978</v>
      </c>
      <c r="S715" s="48">
        <v>332170</v>
      </c>
      <c r="T715" s="48">
        <v>332309</v>
      </c>
      <c r="U715" s="48">
        <v>332373</v>
      </c>
      <c r="V715" s="48">
        <v>332392</v>
      </c>
      <c r="W715" s="48">
        <v>332453</v>
      </c>
      <c r="X715" s="48">
        <v>332539</v>
      </c>
      <c r="Y715" s="48">
        <v>332614</v>
      </c>
      <c r="Z715" s="48">
        <v>332700</v>
      </c>
      <c r="AA715" s="48">
        <v>332765</v>
      </c>
      <c r="AB715" s="48">
        <v>332840</v>
      </c>
      <c r="AC715" s="48">
        <v>332907</v>
      </c>
      <c r="AD715" s="48">
        <v>332972</v>
      </c>
      <c r="AE715" s="48">
        <v>333035</v>
      </c>
      <c r="AF715" s="48">
        <v>333109</v>
      </c>
      <c r="AG715" s="48">
        <v>333174</v>
      </c>
      <c r="AH715" s="48">
        <v>333224</v>
      </c>
      <c r="AI715" s="48">
        <v>333275</v>
      </c>
      <c r="AJ715" s="48">
        <v>333332</v>
      </c>
      <c r="AK715" s="48">
        <v>333384</v>
      </c>
      <c r="AL715" s="48">
        <v>333434</v>
      </c>
      <c r="AP715">
        <v>233.7</v>
      </c>
      <c r="AQ715">
        <v>15</v>
      </c>
      <c r="AS715">
        <v>1558</v>
      </c>
    </row>
    <row r="716" spans="1:45" hidden="1" x14ac:dyDescent="0.25">
      <c r="A716">
        <v>715</v>
      </c>
      <c r="B716">
        <v>2025</v>
      </c>
      <c r="C716">
        <v>10</v>
      </c>
      <c r="D716" t="s">
        <v>175</v>
      </c>
      <c r="E716">
        <v>31</v>
      </c>
      <c r="F716">
        <v>9</v>
      </c>
      <c r="G716" t="s">
        <v>432</v>
      </c>
      <c r="H716" s="48">
        <v>872588</v>
      </c>
      <c r="I716" s="48">
        <v>872668</v>
      </c>
      <c r="J716" s="48">
        <v>872741</v>
      </c>
      <c r="K716" s="48">
        <v>872818</v>
      </c>
      <c r="L716" s="48">
        <v>872870</v>
      </c>
      <c r="M716" s="48">
        <v>872899</v>
      </c>
      <c r="N716" s="48">
        <v>872934</v>
      </c>
      <c r="O716" s="48">
        <v>872981</v>
      </c>
      <c r="P716" s="48">
        <v>873047</v>
      </c>
      <c r="Q716" s="48">
        <v>873133</v>
      </c>
      <c r="R716" s="48">
        <v>873229</v>
      </c>
      <c r="S716" s="48">
        <v>873307</v>
      </c>
      <c r="T716" s="48">
        <v>873441</v>
      </c>
      <c r="U716" s="48">
        <v>873548</v>
      </c>
      <c r="V716" s="48">
        <v>873659</v>
      </c>
      <c r="W716" s="48">
        <v>873705</v>
      </c>
      <c r="X716" s="48">
        <v>873800</v>
      </c>
      <c r="Y716" s="48">
        <v>873860</v>
      </c>
      <c r="Z716" s="48">
        <v>873878</v>
      </c>
      <c r="AA716" s="48">
        <v>873891</v>
      </c>
      <c r="AB716" s="48">
        <v>873924</v>
      </c>
      <c r="AC716" s="48">
        <v>873949</v>
      </c>
      <c r="AD716" s="48">
        <v>873983</v>
      </c>
      <c r="AE716" s="48">
        <v>874011</v>
      </c>
      <c r="AF716" s="48">
        <v>874023</v>
      </c>
      <c r="AG716" s="48" t="s">
        <v>320</v>
      </c>
      <c r="AH716" s="48">
        <v>874029</v>
      </c>
      <c r="AI716" s="48">
        <v>874047</v>
      </c>
      <c r="AJ716" s="48">
        <v>874057</v>
      </c>
      <c r="AK716" s="48">
        <v>874078</v>
      </c>
      <c r="AL716" s="48" t="s">
        <v>320</v>
      </c>
    </row>
    <row r="717" spans="1:45" hidden="1" x14ac:dyDescent="0.25">
      <c r="A717">
        <v>716</v>
      </c>
      <c r="B717">
        <v>2025</v>
      </c>
      <c r="C717">
        <v>10</v>
      </c>
      <c r="D717" t="s">
        <v>175</v>
      </c>
      <c r="E717">
        <v>31</v>
      </c>
      <c r="F717">
        <v>9</v>
      </c>
      <c r="G717" t="s">
        <v>433</v>
      </c>
      <c r="H717" s="48">
        <v>872668</v>
      </c>
      <c r="I717" s="48">
        <v>872741</v>
      </c>
      <c r="J717" s="48">
        <v>872818</v>
      </c>
      <c r="K717" s="48">
        <v>872870</v>
      </c>
      <c r="L717" s="48">
        <v>872899</v>
      </c>
      <c r="M717" s="48">
        <v>872934</v>
      </c>
      <c r="N717" s="48">
        <v>872981</v>
      </c>
      <c r="O717" s="48">
        <v>873047</v>
      </c>
      <c r="P717" s="48">
        <v>873133</v>
      </c>
      <c r="Q717" s="48">
        <v>873229</v>
      </c>
      <c r="R717" s="48">
        <v>873307</v>
      </c>
      <c r="S717" s="48">
        <v>873441</v>
      </c>
      <c r="T717" s="48">
        <v>873548</v>
      </c>
      <c r="U717" s="48">
        <v>873659</v>
      </c>
      <c r="V717" s="48">
        <v>873705</v>
      </c>
      <c r="W717" s="48">
        <v>873800</v>
      </c>
      <c r="X717" s="48">
        <v>873860</v>
      </c>
      <c r="Y717" s="48">
        <v>873878</v>
      </c>
      <c r="Z717" s="48">
        <v>873891</v>
      </c>
      <c r="AA717" s="48">
        <v>873924</v>
      </c>
      <c r="AB717" s="48">
        <v>873949</v>
      </c>
      <c r="AC717" s="48">
        <v>873983</v>
      </c>
      <c r="AD717" s="48">
        <v>874011</v>
      </c>
      <c r="AE717" s="48">
        <v>874023</v>
      </c>
      <c r="AF717" s="48">
        <v>874029</v>
      </c>
      <c r="AG717" s="48" t="s">
        <v>320</v>
      </c>
      <c r="AH717" s="48">
        <v>874047</v>
      </c>
      <c r="AI717" s="48">
        <v>874057</v>
      </c>
      <c r="AJ717" s="48">
        <v>874078</v>
      </c>
      <c r="AK717" s="48">
        <v>874105</v>
      </c>
      <c r="AL717" s="48" t="s">
        <v>320</v>
      </c>
      <c r="AP717">
        <v>227.55</v>
      </c>
      <c r="AQ717">
        <v>15</v>
      </c>
      <c r="AS717">
        <v>1517</v>
      </c>
    </row>
    <row r="718" spans="1:45" hidden="1" x14ac:dyDescent="0.25">
      <c r="A718">
        <v>717</v>
      </c>
      <c r="B718">
        <v>2025</v>
      </c>
      <c r="C718">
        <v>10</v>
      </c>
      <c r="D718" t="s">
        <v>179</v>
      </c>
      <c r="E718">
        <v>31</v>
      </c>
      <c r="F718">
        <v>9</v>
      </c>
      <c r="G718" t="s">
        <v>432</v>
      </c>
      <c r="H718" s="48" t="s">
        <v>320</v>
      </c>
      <c r="I718" s="48" t="s">
        <v>320</v>
      </c>
      <c r="J718" s="48" t="s">
        <v>320</v>
      </c>
      <c r="K718" s="48" t="s">
        <v>320</v>
      </c>
      <c r="L718" s="48" t="s">
        <v>320</v>
      </c>
      <c r="M718" s="48" t="s">
        <v>320</v>
      </c>
      <c r="N718" s="48" t="s">
        <v>320</v>
      </c>
      <c r="O718" s="48" t="s">
        <v>320</v>
      </c>
      <c r="P718" s="48" t="s">
        <v>320</v>
      </c>
      <c r="Q718" s="48" t="s">
        <v>320</v>
      </c>
      <c r="R718" s="48" t="s">
        <v>320</v>
      </c>
      <c r="S718" s="48" t="s">
        <v>320</v>
      </c>
      <c r="T718" s="48" t="s">
        <v>320</v>
      </c>
      <c r="U718" s="48" t="s">
        <v>320</v>
      </c>
      <c r="V718" s="48" t="s">
        <v>320</v>
      </c>
      <c r="W718" s="48" t="s">
        <v>320</v>
      </c>
      <c r="X718" s="48" t="s">
        <v>320</v>
      </c>
      <c r="Y718" s="48" t="s">
        <v>320</v>
      </c>
      <c r="Z718" s="48" t="s">
        <v>320</v>
      </c>
      <c r="AA718" s="48">
        <v>229511</v>
      </c>
      <c r="AB718" s="48">
        <v>229531</v>
      </c>
      <c r="AC718" s="48">
        <v>229563</v>
      </c>
      <c r="AD718" s="48">
        <v>229583</v>
      </c>
      <c r="AE718" s="48">
        <v>229602</v>
      </c>
      <c r="AF718" s="48">
        <v>229639</v>
      </c>
      <c r="AG718" s="48">
        <v>229670</v>
      </c>
      <c r="AH718" s="48">
        <v>229810</v>
      </c>
      <c r="AI718" s="48">
        <v>229844</v>
      </c>
      <c r="AJ718" s="48">
        <v>229868</v>
      </c>
      <c r="AK718" s="48">
        <v>229895</v>
      </c>
      <c r="AL718" s="48">
        <v>229934</v>
      </c>
    </row>
    <row r="719" spans="1:45" hidden="1" x14ac:dyDescent="0.25">
      <c r="A719">
        <v>718</v>
      </c>
      <c r="B719">
        <v>2025</v>
      </c>
      <c r="C719">
        <v>10</v>
      </c>
      <c r="D719" t="s">
        <v>179</v>
      </c>
      <c r="E719">
        <v>31</v>
      </c>
      <c r="F719">
        <v>9</v>
      </c>
      <c r="G719" t="s">
        <v>433</v>
      </c>
      <c r="H719" s="48" t="s">
        <v>320</v>
      </c>
      <c r="I719" s="48" t="s">
        <v>320</v>
      </c>
      <c r="J719" s="48" t="s">
        <v>320</v>
      </c>
      <c r="K719" s="48" t="s">
        <v>320</v>
      </c>
      <c r="L719" s="48" t="s">
        <v>320</v>
      </c>
      <c r="M719" s="48" t="s">
        <v>320</v>
      </c>
      <c r="N719" s="48" t="s">
        <v>320</v>
      </c>
      <c r="O719" s="48" t="s">
        <v>320</v>
      </c>
      <c r="P719" s="48" t="s">
        <v>320</v>
      </c>
      <c r="Q719" s="48" t="s">
        <v>320</v>
      </c>
      <c r="R719" s="48" t="s">
        <v>320</v>
      </c>
      <c r="S719" s="48" t="s">
        <v>320</v>
      </c>
      <c r="T719" s="48" t="s">
        <v>320</v>
      </c>
      <c r="U719" s="48" t="s">
        <v>320</v>
      </c>
      <c r="V719" s="48" t="s">
        <v>320</v>
      </c>
      <c r="W719" s="48" t="s">
        <v>320</v>
      </c>
      <c r="X719" s="48" t="s">
        <v>320</v>
      </c>
      <c r="Y719" s="48" t="s">
        <v>320</v>
      </c>
      <c r="Z719" s="48" t="s">
        <v>320</v>
      </c>
      <c r="AA719" s="48">
        <v>229531</v>
      </c>
      <c r="AB719" s="48">
        <v>229563</v>
      </c>
      <c r="AC719" s="48">
        <v>229583</v>
      </c>
      <c r="AD719" s="48">
        <v>229602</v>
      </c>
      <c r="AE719" s="48">
        <v>229639</v>
      </c>
      <c r="AF719" s="48">
        <v>229670</v>
      </c>
      <c r="AG719" s="48">
        <v>229810</v>
      </c>
      <c r="AH719" s="48">
        <v>229844</v>
      </c>
      <c r="AI719" s="48">
        <v>229868</v>
      </c>
      <c r="AJ719" s="48">
        <v>229895</v>
      </c>
      <c r="AK719" s="48">
        <v>229934</v>
      </c>
      <c r="AL719" s="48">
        <v>229966</v>
      </c>
      <c r="AP719">
        <v>68.25</v>
      </c>
      <c r="AQ719">
        <v>15</v>
      </c>
      <c r="AS719">
        <v>455</v>
      </c>
    </row>
    <row r="720" spans="1:45" hidden="1" x14ac:dyDescent="0.25">
      <c r="A720">
        <v>719</v>
      </c>
      <c r="B720">
        <v>2025</v>
      </c>
      <c r="C720">
        <v>10</v>
      </c>
      <c r="D720" t="s">
        <v>156</v>
      </c>
      <c r="E720">
        <v>31</v>
      </c>
      <c r="F720">
        <v>9</v>
      </c>
      <c r="G720" t="s">
        <v>432</v>
      </c>
      <c r="H720" s="48">
        <v>810034</v>
      </c>
      <c r="I720" s="48">
        <v>810187</v>
      </c>
      <c r="J720" s="48">
        <v>810351</v>
      </c>
      <c r="K720" s="48">
        <v>810543</v>
      </c>
      <c r="L720" s="48">
        <v>810679</v>
      </c>
      <c r="M720" s="48">
        <v>810824</v>
      </c>
      <c r="N720" s="48">
        <v>810938</v>
      </c>
      <c r="O720" s="48">
        <v>811232</v>
      </c>
      <c r="P720" s="48">
        <v>811414</v>
      </c>
      <c r="Q720" s="48">
        <v>811581</v>
      </c>
      <c r="R720" s="48">
        <v>811729</v>
      </c>
      <c r="S720" s="48" t="s">
        <v>320</v>
      </c>
      <c r="T720" s="48">
        <v>811957</v>
      </c>
      <c r="U720" s="48">
        <v>812113</v>
      </c>
      <c r="V720" s="48">
        <v>812265</v>
      </c>
      <c r="W720" s="48">
        <v>812424</v>
      </c>
      <c r="X720" s="48">
        <v>812576</v>
      </c>
      <c r="Y720" s="48">
        <v>812729</v>
      </c>
      <c r="Z720" s="48" t="s">
        <v>320</v>
      </c>
      <c r="AA720" s="48">
        <v>812879</v>
      </c>
      <c r="AB720" s="48">
        <v>813072</v>
      </c>
      <c r="AC720" s="48">
        <v>813236</v>
      </c>
      <c r="AD720" s="48">
        <v>813386</v>
      </c>
      <c r="AE720" s="48">
        <v>813548</v>
      </c>
      <c r="AF720" s="48">
        <v>813680</v>
      </c>
      <c r="AG720" s="48">
        <v>813821</v>
      </c>
      <c r="AH720" s="48">
        <v>813985</v>
      </c>
      <c r="AI720" s="48">
        <v>814143</v>
      </c>
      <c r="AJ720" s="48">
        <v>814293</v>
      </c>
      <c r="AK720" s="48">
        <v>814464</v>
      </c>
      <c r="AL720" s="48">
        <v>814644</v>
      </c>
    </row>
    <row r="721" spans="1:45" hidden="1" x14ac:dyDescent="0.25">
      <c r="A721">
        <v>720</v>
      </c>
      <c r="B721">
        <v>2025</v>
      </c>
      <c r="C721">
        <v>10</v>
      </c>
      <c r="D721" t="s">
        <v>156</v>
      </c>
      <c r="E721">
        <v>31</v>
      </c>
      <c r="F721">
        <v>9</v>
      </c>
      <c r="G721" t="s">
        <v>433</v>
      </c>
      <c r="H721" s="48">
        <v>810187</v>
      </c>
      <c r="I721" s="48">
        <v>810351</v>
      </c>
      <c r="J721" s="48">
        <v>810543</v>
      </c>
      <c r="K721" s="48">
        <v>810679</v>
      </c>
      <c r="L721" s="48">
        <v>810824</v>
      </c>
      <c r="M721" s="48">
        <v>810938</v>
      </c>
      <c r="N721" s="48">
        <v>811232</v>
      </c>
      <c r="O721" s="48">
        <v>811414</v>
      </c>
      <c r="P721" s="48">
        <v>811581</v>
      </c>
      <c r="Q721" s="48">
        <v>811729</v>
      </c>
      <c r="R721" s="48">
        <v>811897</v>
      </c>
      <c r="S721" s="48" t="s">
        <v>320</v>
      </c>
      <c r="T721" s="48">
        <v>812113</v>
      </c>
      <c r="U721" s="48">
        <v>812265</v>
      </c>
      <c r="V721" s="48">
        <v>812424</v>
      </c>
      <c r="W721" s="48">
        <v>812576</v>
      </c>
      <c r="X721" s="48">
        <v>812729</v>
      </c>
      <c r="Y721" s="48">
        <v>812879</v>
      </c>
      <c r="Z721" s="48" t="s">
        <v>320</v>
      </c>
      <c r="AA721" s="48">
        <v>813072</v>
      </c>
      <c r="AB721" s="48">
        <v>813236</v>
      </c>
      <c r="AC721" s="48">
        <v>813386</v>
      </c>
      <c r="AD721" s="48">
        <v>813548</v>
      </c>
      <c r="AE721" s="48">
        <v>813680</v>
      </c>
      <c r="AF721" s="48">
        <v>813821</v>
      </c>
      <c r="AG721" s="48">
        <v>813985</v>
      </c>
      <c r="AH721" s="48">
        <v>814143</v>
      </c>
      <c r="AI721" s="48">
        <v>814293</v>
      </c>
      <c r="AJ721" s="48">
        <v>814464</v>
      </c>
      <c r="AK721" s="48">
        <v>814644</v>
      </c>
      <c r="AL721" s="48">
        <v>814794</v>
      </c>
      <c r="AP721">
        <v>846</v>
      </c>
      <c r="AQ721">
        <v>18</v>
      </c>
      <c r="AS721">
        <v>4700</v>
      </c>
    </row>
    <row r="722" spans="1:45" hidden="1" x14ac:dyDescent="0.25">
      <c r="A722">
        <v>721</v>
      </c>
      <c r="B722">
        <v>2025</v>
      </c>
      <c r="C722">
        <v>10</v>
      </c>
      <c r="D722" t="s">
        <v>168</v>
      </c>
      <c r="E722">
        <v>31</v>
      </c>
      <c r="F722">
        <v>9</v>
      </c>
      <c r="G722" t="s">
        <v>432</v>
      </c>
      <c r="H722" s="48">
        <v>283093</v>
      </c>
      <c r="I722" s="48">
        <v>283201</v>
      </c>
      <c r="J722" s="48">
        <v>283246</v>
      </c>
      <c r="K722" s="48">
        <v>283357</v>
      </c>
      <c r="L722" s="48">
        <v>283387</v>
      </c>
      <c r="M722" s="48">
        <v>283486</v>
      </c>
      <c r="N722" s="48">
        <v>283591</v>
      </c>
      <c r="O722" s="48">
        <v>283629</v>
      </c>
      <c r="P722" s="48">
        <v>283788</v>
      </c>
      <c r="Q722" s="48">
        <v>283871</v>
      </c>
      <c r="R722" s="48">
        <v>283903</v>
      </c>
      <c r="S722" s="48">
        <v>283941</v>
      </c>
      <c r="T722" s="48">
        <v>283963</v>
      </c>
      <c r="U722" s="48">
        <v>283978</v>
      </c>
      <c r="V722" s="48">
        <v>284033</v>
      </c>
      <c r="W722" s="48">
        <v>284075</v>
      </c>
      <c r="X722" s="48">
        <v>284180</v>
      </c>
      <c r="Y722" s="48">
        <v>284283</v>
      </c>
      <c r="Z722" s="48">
        <v>284317</v>
      </c>
      <c r="AA722" s="48">
        <v>284338</v>
      </c>
      <c r="AB722" s="48">
        <v>284510</v>
      </c>
      <c r="AC722" s="48">
        <v>284568</v>
      </c>
      <c r="AD722" s="48">
        <v>284734</v>
      </c>
      <c r="AE722" s="48">
        <v>284835</v>
      </c>
      <c r="AF722" s="48">
        <v>284864</v>
      </c>
      <c r="AG722" s="48">
        <v>284878</v>
      </c>
      <c r="AH722" s="48">
        <v>284888</v>
      </c>
      <c r="AI722" s="48">
        <v>285068</v>
      </c>
      <c r="AJ722" s="48">
        <v>285195</v>
      </c>
      <c r="AK722" s="48">
        <v>285241</v>
      </c>
      <c r="AL722" s="48">
        <v>285294</v>
      </c>
    </row>
    <row r="723" spans="1:45" hidden="1" x14ac:dyDescent="0.25">
      <c r="A723">
        <v>722</v>
      </c>
      <c r="B723">
        <v>2025</v>
      </c>
      <c r="C723">
        <v>10</v>
      </c>
      <c r="D723" t="s">
        <v>168</v>
      </c>
      <c r="E723">
        <v>31</v>
      </c>
      <c r="F723">
        <v>9</v>
      </c>
      <c r="G723" t="s">
        <v>433</v>
      </c>
      <c r="H723" s="48">
        <v>283201</v>
      </c>
      <c r="I723" s="48">
        <v>283246</v>
      </c>
      <c r="J723" s="48">
        <v>283357</v>
      </c>
      <c r="K723" s="48">
        <v>283387</v>
      </c>
      <c r="L723" s="48">
        <v>283486</v>
      </c>
      <c r="M723" s="48">
        <v>283591</v>
      </c>
      <c r="N723" s="48">
        <v>283629</v>
      </c>
      <c r="O723" s="48">
        <v>283721</v>
      </c>
      <c r="P723" s="48">
        <v>283871</v>
      </c>
      <c r="Q723" s="48">
        <v>283903</v>
      </c>
      <c r="R723" s="48">
        <v>283941</v>
      </c>
      <c r="S723" s="48">
        <v>283963</v>
      </c>
      <c r="T723" s="48">
        <v>283978</v>
      </c>
      <c r="U723" s="48">
        <v>284033</v>
      </c>
      <c r="V723" s="48">
        <v>284075</v>
      </c>
      <c r="W723" s="48">
        <v>284171</v>
      </c>
      <c r="X723" s="48">
        <v>284283</v>
      </c>
      <c r="Y723" s="48">
        <v>284317</v>
      </c>
      <c r="Z723" s="48">
        <v>284338</v>
      </c>
      <c r="AA723" s="48">
        <v>284510</v>
      </c>
      <c r="AB723" s="48">
        <v>284568</v>
      </c>
      <c r="AC723" s="48">
        <v>284734</v>
      </c>
      <c r="AD723" s="48">
        <v>284835</v>
      </c>
      <c r="AE723" s="48">
        <v>284864</v>
      </c>
      <c r="AF723" s="48">
        <v>284878</v>
      </c>
      <c r="AG723" s="48">
        <v>284888</v>
      </c>
      <c r="AH723" s="48">
        <v>284987</v>
      </c>
      <c r="AI723" s="48">
        <v>285195</v>
      </c>
      <c r="AJ723" s="48">
        <v>285241</v>
      </c>
      <c r="AK723" s="48">
        <v>285294</v>
      </c>
      <c r="AL723" s="48">
        <v>285374</v>
      </c>
      <c r="AP723">
        <v>318.60000000000002</v>
      </c>
      <c r="AQ723">
        <v>15</v>
      </c>
      <c r="AS723">
        <v>2124</v>
      </c>
    </row>
    <row r="724" spans="1:45" hidden="1" x14ac:dyDescent="0.25">
      <c r="A724">
        <v>723</v>
      </c>
      <c r="B724">
        <v>2025</v>
      </c>
      <c r="C724">
        <v>10</v>
      </c>
      <c r="D724" t="s">
        <v>164</v>
      </c>
      <c r="E724">
        <v>31</v>
      </c>
      <c r="F724">
        <v>9</v>
      </c>
      <c r="G724" t="s">
        <v>432</v>
      </c>
      <c r="H724" s="48">
        <v>28793</v>
      </c>
      <c r="I724" s="48">
        <v>28880</v>
      </c>
      <c r="J724" s="48">
        <v>29011</v>
      </c>
      <c r="K724" s="48">
        <v>29158</v>
      </c>
      <c r="L724" s="48">
        <v>29245</v>
      </c>
      <c r="M724" s="48">
        <v>29370</v>
      </c>
      <c r="N724" s="48">
        <v>29498</v>
      </c>
      <c r="O724" s="48">
        <v>29518</v>
      </c>
      <c r="P724" s="48">
        <v>29547</v>
      </c>
      <c r="Q724" s="48">
        <v>29576</v>
      </c>
      <c r="R724" s="48">
        <v>29601</v>
      </c>
      <c r="S724" s="48">
        <v>29634</v>
      </c>
      <c r="T724" s="48">
        <v>29689</v>
      </c>
      <c r="U724" s="48">
        <v>29737</v>
      </c>
      <c r="V724" s="48">
        <v>29761</v>
      </c>
      <c r="W724" s="48">
        <v>29817</v>
      </c>
      <c r="X724" s="48">
        <v>29874</v>
      </c>
      <c r="Y724" s="48">
        <v>29892</v>
      </c>
      <c r="Z724" s="48">
        <v>30007</v>
      </c>
      <c r="AA724" s="48">
        <v>30038</v>
      </c>
      <c r="AB724" s="48">
        <v>30045</v>
      </c>
      <c r="AC724" s="48">
        <v>30094</v>
      </c>
      <c r="AD724" s="48">
        <v>30132</v>
      </c>
      <c r="AE724" s="48">
        <v>30155</v>
      </c>
      <c r="AF724" s="48">
        <v>30208</v>
      </c>
      <c r="AG724" s="48">
        <v>30260</v>
      </c>
      <c r="AH724" s="48">
        <v>30300</v>
      </c>
      <c r="AI724" s="48">
        <v>30340</v>
      </c>
      <c r="AJ724" s="48">
        <v>30350</v>
      </c>
      <c r="AK724" s="48">
        <v>30371</v>
      </c>
      <c r="AL724" s="48">
        <v>30390</v>
      </c>
    </row>
    <row r="725" spans="1:45" hidden="1" x14ac:dyDescent="0.25">
      <c r="A725">
        <v>724</v>
      </c>
      <c r="B725">
        <v>2025</v>
      </c>
      <c r="C725">
        <v>10</v>
      </c>
      <c r="D725" t="s">
        <v>164</v>
      </c>
      <c r="E725">
        <v>31</v>
      </c>
      <c r="F725">
        <v>9</v>
      </c>
      <c r="G725" t="s">
        <v>433</v>
      </c>
      <c r="H725" s="48">
        <v>28880</v>
      </c>
      <c r="I725" s="48">
        <v>29007</v>
      </c>
      <c r="J725" s="48">
        <v>29158</v>
      </c>
      <c r="K725" s="48">
        <v>29245</v>
      </c>
      <c r="L725" s="48">
        <v>29370</v>
      </c>
      <c r="M725" s="48">
        <v>29498</v>
      </c>
      <c r="N725" s="48">
        <v>29518</v>
      </c>
      <c r="O725" s="48">
        <v>29547</v>
      </c>
      <c r="P725" s="48">
        <v>29576</v>
      </c>
      <c r="Q725" s="48">
        <v>29601</v>
      </c>
      <c r="R725" s="48">
        <v>29634</v>
      </c>
      <c r="S725" s="48">
        <v>29689</v>
      </c>
      <c r="T725" s="48">
        <v>29737</v>
      </c>
      <c r="U725" s="48">
        <v>29761</v>
      </c>
      <c r="V725" s="48">
        <v>29817</v>
      </c>
      <c r="W725" s="48">
        <v>29874</v>
      </c>
      <c r="X725" s="48">
        <v>29892</v>
      </c>
      <c r="Y725" s="48">
        <v>30007</v>
      </c>
      <c r="Z725" s="48">
        <v>30038</v>
      </c>
      <c r="AA725" s="48">
        <v>30045</v>
      </c>
      <c r="AB725" s="48">
        <v>30094</v>
      </c>
      <c r="AC725" s="48">
        <v>30132</v>
      </c>
      <c r="AD725" s="48">
        <v>30155</v>
      </c>
      <c r="AE725" s="48">
        <v>30208</v>
      </c>
      <c r="AF725" s="48">
        <v>30260</v>
      </c>
      <c r="AG725" s="48">
        <v>30300</v>
      </c>
      <c r="AH725" s="48">
        <v>30340</v>
      </c>
      <c r="AI725" s="48">
        <v>30350</v>
      </c>
      <c r="AJ725" s="48">
        <v>30371</v>
      </c>
      <c r="AK725" s="48">
        <v>30390</v>
      </c>
      <c r="AL725" s="48">
        <v>30410</v>
      </c>
      <c r="AP725">
        <v>241.95</v>
      </c>
      <c r="AQ725">
        <v>15</v>
      </c>
      <c r="AS725">
        <v>1613</v>
      </c>
    </row>
    <row r="726" spans="1:45" hidden="1" x14ac:dyDescent="0.25">
      <c r="A726">
        <v>725</v>
      </c>
      <c r="B726">
        <v>2025</v>
      </c>
      <c r="C726">
        <v>10</v>
      </c>
      <c r="D726" t="s">
        <v>163</v>
      </c>
      <c r="E726">
        <v>31</v>
      </c>
      <c r="F726">
        <v>9</v>
      </c>
      <c r="G726" t="s">
        <v>432</v>
      </c>
      <c r="H726" s="48">
        <v>340233</v>
      </c>
      <c r="I726" s="48">
        <v>340403</v>
      </c>
      <c r="J726" s="48">
        <v>340552</v>
      </c>
      <c r="K726" s="48">
        <v>340798</v>
      </c>
      <c r="L726" s="48">
        <v>341029</v>
      </c>
      <c r="M726" s="48">
        <v>341274</v>
      </c>
      <c r="N726" s="48">
        <v>341446</v>
      </c>
      <c r="O726" s="48">
        <v>341678</v>
      </c>
      <c r="P726" s="48" t="s">
        <v>320</v>
      </c>
      <c r="Q726" s="48">
        <v>342013</v>
      </c>
      <c r="R726" s="48">
        <v>342178</v>
      </c>
      <c r="S726" s="48">
        <v>342330</v>
      </c>
      <c r="T726" s="48" t="s">
        <v>320</v>
      </c>
      <c r="U726" s="48">
        <v>342702</v>
      </c>
      <c r="V726" s="48">
        <v>342887</v>
      </c>
      <c r="W726" s="48">
        <v>343137</v>
      </c>
      <c r="X726" s="48">
        <v>343395</v>
      </c>
      <c r="Y726" s="48">
        <v>343650</v>
      </c>
      <c r="Z726" s="48">
        <v>343896</v>
      </c>
      <c r="AA726" s="48">
        <v>344226</v>
      </c>
      <c r="AB726" s="48">
        <v>344409</v>
      </c>
      <c r="AC726" s="48" t="s">
        <v>320</v>
      </c>
      <c r="AD726" s="48">
        <v>344736</v>
      </c>
      <c r="AE726" s="48">
        <v>344991</v>
      </c>
      <c r="AF726" s="48">
        <v>345277</v>
      </c>
      <c r="AG726" s="48">
        <v>345459</v>
      </c>
      <c r="AH726" s="48">
        <v>345716</v>
      </c>
      <c r="AI726" s="48">
        <v>345951</v>
      </c>
      <c r="AJ726" s="48">
        <v>346197</v>
      </c>
      <c r="AK726" s="48">
        <v>346365</v>
      </c>
      <c r="AL726" s="48">
        <v>346560</v>
      </c>
    </row>
    <row r="727" spans="1:45" hidden="1" x14ac:dyDescent="0.25">
      <c r="A727">
        <v>726</v>
      </c>
      <c r="B727">
        <v>2025</v>
      </c>
      <c r="C727">
        <v>10</v>
      </c>
      <c r="D727" t="s">
        <v>163</v>
      </c>
      <c r="E727">
        <v>31</v>
      </c>
      <c r="F727">
        <v>9</v>
      </c>
      <c r="G727" t="s">
        <v>433</v>
      </c>
      <c r="H727" s="48">
        <v>340303</v>
      </c>
      <c r="I727" s="48">
        <v>340552</v>
      </c>
      <c r="J727" s="48">
        <v>340719</v>
      </c>
      <c r="K727" s="48">
        <v>341029</v>
      </c>
      <c r="L727" s="48">
        <v>341235</v>
      </c>
      <c r="M727" s="48">
        <v>341446</v>
      </c>
      <c r="N727" s="48">
        <v>341678</v>
      </c>
      <c r="O727" s="48">
        <v>341928</v>
      </c>
      <c r="P727" s="48" t="s">
        <v>320</v>
      </c>
      <c r="Q727" s="48">
        <v>342178</v>
      </c>
      <c r="R727" s="48">
        <v>342330</v>
      </c>
      <c r="S727" s="48">
        <v>342537</v>
      </c>
      <c r="T727" s="48" t="s">
        <v>320</v>
      </c>
      <c r="U727" s="48">
        <v>342887</v>
      </c>
      <c r="V727" s="48">
        <v>343137</v>
      </c>
      <c r="W727" s="48">
        <v>343395</v>
      </c>
      <c r="X727" s="48">
        <v>343604</v>
      </c>
      <c r="Y727" s="48">
        <v>343896</v>
      </c>
      <c r="Z727" s="48">
        <v>344146</v>
      </c>
      <c r="AA727" s="48">
        <v>344409</v>
      </c>
      <c r="AB727" s="48">
        <v>344560</v>
      </c>
      <c r="AC727" s="48" t="s">
        <v>320</v>
      </c>
      <c r="AD727" s="48">
        <v>344991</v>
      </c>
      <c r="AE727" s="48">
        <v>345277</v>
      </c>
      <c r="AF727" s="48">
        <v>345459</v>
      </c>
      <c r="AG727" s="48">
        <v>345716</v>
      </c>
      <c r="AH727" s="48">
        <v>345949</v>
      </c>
      <c r="AI727" s="48">
        <v>346197</v>
      </c>
      <c r="AJ727" s="48">
        <v>346365</v>
      </c>
      <c r="AK727" s="48">
        <v>346560</v>
      </c>
      <c r="AL727" s="48">
        <v>346725</v>
      </c>
      <c r="AP727">
        <v>858</v>
      </c>
      <c r="AQ727">
        <v>15</v>
      </c>
      <c r="AS727">
        <v>5720</v>
      </c>
    </row>
    <row r="728" spans="1:45" hidden="1" x14ac:dyDescent="0.25">
      <c r="A728">
        <v>727</v>
      </c>
      <c r="B728">
        <v>2025</v>
      </c>
      <c r="C728">
        <v>10</v>
      </c>
      <c r="D728" t="s">
        <v>131</v>
      </c>
      <c r="E728">
        <v>31</v>
      </c>
      <c r="F728">
        <v>9</v>
      </c>
      <c r="G728" t="s">
        <v>432</v>
      </c>
      <c r="H728" s="48">
        <v>689988</v>
      </c>
      <c r="I728" s="48">
        <v>690041</v>
      </c>
      <c r="J728" s="48">
        <v>690149</v>
      </c>
      <c r="K728" s="48">
        <v>690220</v>
      </c>
      <c r="L728" s="48">
        <v>690258</v>
      </c>
      <c r="M728" s="48">
        <v>690293</v>
      </c>
      <c r="N728" s="48">
        <v>690344</v>
      </c>
      <c r="O728" s="48">
        <v>690543</v>
      </c>
      <c r="P728" s="48">
        <v>690575</v>
      </c>
      <c r="Q728" s="48">
        <v>690604</v>
      </c>
      <c r="R728" s="48">
        <v>690623</v>
      </c>
      <c r="S728" s="48">
        <v>690660</v>
      </c>
      <c r="T728" s="48">
        <v>690687</v>
      </c>
      <c r="U728" s="48">
        <v>690731</v>
      </c>
      <c r="V728" s="48">
        <v>690799</v>
      </c>
      <c r="W728" s="48">
        <v>690832</v>
      </c>
      <c r="X728" s="48">
        <v>690959</v>
      </c>
      <c r="Y728" s="48">
        <v>691001</v>
      </c>
      <c r="Z728" s="48">
        <v>691051</v>
      </c>
      <c r="AA728" s="48">
        <v>691075</v>
      </c>
      <c r="AB728" s="48">
        <v>691108</v>
      </c>
      <c r="AC728" s="48">
        <v>691141</v>
      </c>
      <c r="AD728" s="48">
        <v>691169</v>
      </c>
      <c r="AE728" s="48">
        <v>691215</v>
      </c>
      <c r="AF728" s="48">
        <v>691242</v>
      </c>
      <c r="AG728" s="48" t="s">
        <v>320</v>
      </c>
      <c r="AH728" s="48">
        <v>691532</v>
      </c>
      <c r="AI728" s="48">
        <v>691559</v>
      </c>
      <c r="AJ728" s="48">
        <v>691663</v>
      </c>
      <c r="AK728" s="48">
        <v>691692</v>
      </c>
      <c r="AL728" s="48">
        <v>691808</v>
      </c>
    </row>
    <row r="729" spans="1:45" hidden="1" x14ac:dyDescent="0.25">
      <c r="A729">
        <v>728</v>
      </c>
      <c r="B729">
        <v>2025</v>
      </c>
      <c r="C729">
        <v>10</v>
      </c>
      <c r="D729" t="s">
        <v>131</v>
      </c>
      <c r="E729">
        <v>31</v>
      </c>
      <c r="F729">
        <v>9</v>
      </c>
      <c r="G729" t="s">
        <v>433</v>
      </c>
      <c r="H729" s="48">
        <v>690041</v>
      </c>
      <c r="I729" s="48">
        <v>690125</v>
      </c>
      <c r="J729" s="48">
        <v>690220</v>
      </c>
      <c r="K729" s="48">
        <v>690257</v>
      </c>
      <c r="L729" s="48">
        <v>690293</v>
      </c>
      <c r="M729" s="48">
        <v>690342</v>
      </c>
      <c r="N729" s="48">
        <v>690460</v>
      </c>
      <c r="O729" s="48">
        <v>690573</v>
      </c>
      <c r="P729" s="48">
        <v>690604</v>
      </c>
      <c r="Q729" s="48">
        <v>690622</v>
      </c>
      <c r="R729" s="48">
        <v>690660</v>
      </c>
      <c r="S729" s="48">
        <v>690687</v>
      </c>
      <c r="T729" s="48">
        <v>690731</v>
      </c>
      <c r="U729" s="48">
        <v>690799</v>
      </c>
      <c r="V729" s="48">
        <v>690832</v>
      </c>
      <c r="W729" s="48">
        <v>690959</v>
      </c>
      <c r="X729" s="48">
        <v>691001</v>
      </c>
      <c r="Y729" s="48">
        <v>691051</v>
      </c>
      <c r="Z729" s="48">
        <v>691075</v>
      </c>
      <c r="AA729" s="48">
        <v>691108</v>
      </c>
      <c r="AB729" s="48">
        <v>691141</v>
      </c>
      <c r="AC729" s="48">
        <v>691168</v>
      </c>
      <c r="AD729" s="48">
        <v>691215</v>
      </c>
      <c r="AE729" s="48">
        <v>691242</v>
      </c>
      <c r="AF729" s="48">
        <v>691325</v>
      </c>
      <c r="AG729" s="48" t="s">
        <v>320</v>
      </c>
      <c r="AH729" s="48">
        <v>691559</v>
      </c>
      <c r="AI729" s="48">
        <v>691663</v>
      </c>
      <c r="AJ729" s="48">
        <v>691692</v>
      </c>
      <c r="AK729" s="48">
        <v>691765</v>
      </c>
      <c r="AL729" s="48">
        <v>691861</v>
      </c>
      <c r="AP729">
        <v>226.35</v>
      </c>
      <c r="AQ729">
        <v>15</v>
      </c>
      <c r="AS729">
        <v>1509</v>
      </c>
    </row>
    <row r="730" spans="1:45" hidden="1" x14ac:dyDescent="0.25">
      <c r="A730">
        <v>729</v>
      </c>
      <c r="B730">
        <v>2025</v>
      </c>
      <c r="C730">
        <v>10</v>
      </c>
      <c r="D730" t="s">
        <v>174</v>
      </c>
      <c r="E730">
        <v>31</v>
      </c>
      <c r="F730">
        <v>9</v>
      </c>
      <c r="G730" t="s">
        <v>432</v>
      </c>
      <c r="H730" s="48">
        <v>969956</v>
      </c>
      <c r="I730" s="48">
        <v>970514</v>
      </c>
      <c r="J730" s="48">
        <v>970814</v>
      </c>
      <c r="K730" s="48">
        <v>971145</v>
      </c>
      <c r="L730" s="48">
        <v>971504</v>
      </c>
      <c r="M730" s="48">
        <v>971648</v>
      </c>
      <c r="N730" s="48">
        <v>971801</v>
      </c>
      <c r="O730" s="48">
        <v>972103</v>
      </c>
      <c r="P730" s="48">
        <v>972667</v>
      </c>
      <c r="Q730" s="48">
        <v>972992</v>
      </c>
      <c r="R730" s="48">
        <v>973443</v>
      </c>
      <c r="S730" s="48">
        <v>973860</v>
      </c>
      <c r="T730" s="48">
        <v>974303</v>
      </c>
      <c r="U730" s="48">
        <v>974697</v>
      </c>
      <c r="V730" s="48">
        <v>975200</v>
      </c>
      <c r="W730" s="48">
        <v>975606</v>
      </c>
      <c r="X730" s="48">
        <v>975997</v>
      </c>
      <c r="Y730" s="48">
        <v>976195</v>
      </c>
      <c r="Z730" s="48">
        <v>976337</v>
      </c>
      <c r="AA730" s="48">
        <v>976733</v>
      </c>
      <c r="AB730" s="48">
        <v>977084</v>
      </c>
      <c r="AC730" s="48">
        <v>977660</v>
      </c>
      <c r="AD730" s="48">
        <v>977895</v>
      </c>
      <c r="AE730" s="48">
        <v>978072</v>
      </c>
      <c r="AF730" s="48">
        <v>978486</v>
      </c>
      <c r="AG730" s="48">
        <v>978920</v>
      </c>
      <c r="AH730" s="48">
        <v>979480</v>
      </c>
      <c r="AI730" s="48">
        <v>979646</v>
      </c>
      <c r="AJ730" s="48">
        <v>980127</v>
      </c>
      <c r="AK730" s="48">
        <v>980389</v>
      </c>
      <c r="AL730" s="48">
        <v>980676</v>
      </c>
    </row>
    <row r="731" spans="1:45" hidden="1" x14ac:dyDescent="0.25">
      <c r="A731">
        <v>730</v>
      </c>
      <c r="B731">
        <v>2025</v>
      </c>
      <c r="C731">
        <v>10</v>
      </c>
      <c r="D731" t="s">
        <v>174</v>
      </c>
      <c r="E731">
        <v>31</v>
      </c>
      <c r="F731">
        <v>9</v>
      </c>
      <c r="G731" t="s">
        <v>433</v>
      </c>
      <c r="H731" s="48">
        <v>970385</v>
      </c>
      <c r="I731" s="48">
        <v>970808</v>
      </c>
      <c r="J731" s="48">
        <v>971145</v>
      </c>
      <c r="K731" s="48">
        <v>971504</v>
      </c>
      <c r="L731" s="48">
        <v>971648</v>
      </c>
      <c r="M731" s="48">
        <v>971801</v>
      </c>
      <c r="N731" s="48">
        <v>972103</v>
      </c>
      <c r="O731" s="48">
        <v>972667</v>
      </c>
      <c r="P731" s="48">
        <v>972992</v>
      </c>
      <c r="Q731" s="48">
        <v>973443</v>
      </c>
      <c r="R731" s="48">
        <v>973854</v>
      </c>
      <c r="S731" s="48">
        <v>974303</v>
      </c>
      <c r="T731" s="48">
        <v>974697</v>
      </c>
      <c r="U731" s="48">
        <v>975200</v>
      </c>
      <c r="V731" s="48">
        <v>975606</v>
      </c>
      <c r="W731" s="48">
        <v>975997</v>
      </c>
      <c r="X731" s="48">
        <v>976195</v>
      </c>
      <c r="Y731" s="48">
        <v>976337</v>
      </c>
      <c r="Z731" s="48">
        <v>976733</v>
      </c>
      <c r="AA731" s="48">
        <v>977084</v>
      </c>
      <c r="AB731" s="48">
        <v>977660</v>
      </c>
      <c r="AC731" s="48">
        <v>977801</v>
      </c>
      <c r="AD731" s="48">
        <v>978070</v>
      </c>
      <c r="AE731" s="48">
        <v>978486</v>
      </c>
      <c r="AF731" s="48">
        <v>978882</v>
      </c>
      <c r="AG731" s="48">
        <v>979380</v>
      </c>
      <c r="AH731" s="48">
        <v>979645</v>
      </c>
      <c r="AI731" s="48">
        <v>979933</v>
      </c>
      <c r="AJ731" s="48">
        <v>980268</v>
      </c>
      <c r="AK731" s="48">
        <v>980676</v>
      </c>
      <c r="AL731" s="48">
        <v>981132</v>
      </c>
      <c r="AP731">
        <v>1101.0099284999999</v>
      </c>
      <c r="AQ731" s="58">
        <v>10.50081</v>
      </c>
      <c r="AS731">
        <v>10485</v>
      </c>
    </row>
    <row r="732" spans="1:45" hidden="1" x14ac:dyDescent="0.25">
      <c r="A732">
        <v>731</v>
      </c>
      <c r="B732">
        <v>2025</v>
      </c>
      <c r="C732">
        <v>11</v>
      </c>
      <c r="D732" t="s">
        <v>155</v>
      </c>
      <c r="E732">
        <v>31</v>
      </c>
      <c r="F732">
        <v>10</v>
      </c>
      <c r="G732" t="s">
        <v>430</v>
      </c>
      <c r="H732" s="48" t="s">
        <v>377</v>
      </c>
      <c r="I732" s="48" t="s">
        <v>377</v>
      </c>
      <c r="J732" s="48" t="s">
        <v>377</v>
      </c>
      <c r="K732" s="48" t="s">
        <v>377</v>
      </c>
      <c r="L732" s="48" t="s">
        <v>377</v>
      </c>
      <c r="M732" s="48" t="s">
        <v>377</v>
      </c>
      <c r="N732" s="48" t="s">
        <v>377</v>
      </c>
      <c r="O732" s="48" t="s">
        <v>377</v>
      </c>
      <c r="P732" s="48" t="s">
        <v>320</v>
      </c>
      <c r="Q732" s="48" t="s">
        <v>377</v>
      </c>
      <c r="R732" s="48" t="s">
        <v>377</v>
      </c>
      <c r="S732" s="48" t="s">
        <v>377</v>
      </c>
      <c r="T732" s="48" t="s">
        <v>377</v>
      </c>
      <c r="U732" s="48" t="s">
        <v>377</v>
      </c>
      <c r="V732" s="48" t="s">
        <v>377</v>
      </c>
      <c r="W732" s="48" t="s">
        <v>377</v>
      </c>
      <c r="X732" s="48" t="s">
        <v>377</v>
      </c>
      <c r="Y732" s="48" t="s">
        <v>377</v>
      </c>
      <c r="Z732" s="48" t="s">
        <v>377</v>
      </c>
      <c r="AA732" s="48" t="s">
        <v>377</v>
      </c>
      <c r="AB732" s="48" t="s">
        <v>377</v>
      </c>
      <c r="AC732" s="48" t="s">
        <v>377</v>
      </c>
      <c r="AD732" s="48" t="s">
        <v>377</v>
      </c>
      <c r="AE732" s="48" t="s">
        <v>377</v>
      </c>
      <c r="AF732" s="48" t="s">
        <v>377</v>
      </c>
      <c r="AG732" s="48" t="s">
        <v>377</v>
      </c>
      <c r="AH732" s="48" t="s">
        <v>377</v>
      </c>
      <c r="AI732" s="48" t="s">
        <v>377</v>
      </c>
      <c r="AJ732" s="48" t="s">
        <v>377</v>
      </c>
      <c r="AK732" s="48" t="s">
        <v>377</v>
      </c>
      <c r="AL732" s="48" t="s">
        <v>320</v>
      </c>
    </row>
    <row r="733" spans="1:45" hidden="1" x14ac:dyDescent="0.25">
      <c r="A733">
        <v>732</v>
      </c>
      <c r="B733">
        <v>2025</v>
      </c>
      <c r="C733">
        <v>11</v>
      </c>
      <c r="D733" t="s">
        <v>155</v>
      </c>
      <c r="E733">
        <v>31</v>
      </c>
      <c r="F733">
        <v>10</v>
      </c>
      <c r="G733" t="s">
        <v>431</v>
      </c>
      <c r="H733" s="48">
        <v>0.77083333333333326</v>
      </c>
      <c r="I733" s="48">
        <v>0.77083333333333326</v>
      </c>
      <c r="J733" s="48">
        <v>0.8125</v>
      </c>
      <c r="K733" s="48">
        <v>0.85416666666666663</v>
      </c>
      <c r="L733" s="48">
        <v>0.77083333333333326</v>
      </c>
      <c r="M733" s="48">
        <v>0.8125</v>
      </c>
      <c r="N733" s="48">
        <v>0.85416666666666663</v>
      </c>
      <c r="O733" s="48">
        <v>0.77083333333333326</v>
      </c>
      <c r="P733" s="48" t="s">
        <v>320</v>
      </c>
      <c r="Q733" s="48">
        <v>0.85416666666666663</v>
      </c>
      <c r="R733" s="48">
        <v>0.8125</v>
      </c>
      <c r="S733" s="48">
        <v>0.85416666666666663</v>
      </c>
      <c r="T733" s="48">
        <v>0.77083333333333326</v>
      </c>
      <c r="U733" s="48">
        <v>0.85416666666666663</v>
      </c>
      <c r="V733" s="48">
        <v>0.8125</v>
      </c>
      <c r="W733" s="48">
        <v>0.77083333333333326</v>
      </c>
      <c r="X733" s="48">
        <v>0.85416666666666663</v>
      </c>
      <c r="Y733" s="48">
        <v>0.85416666666666663</v>
      </c>
      <c r="Z733" s="48">
        <v>0.8125</v>
      </c>
      <c r="AA733" s="48">
        <v>0.77083333333333326</v>
      </c>
      <c r="AB733" s="48">
        <v>0.77083333333333326</v>
      </c>
      <c r="AC733" s="48">
        <v>0.77083333333333326</v>
      </c>
      <c r="AD733" s="48">
        <v>0.77083333333333326</v>
      </c>
      <c r="AE733" s="48">
        <v>0.85416666666666663</v>
      </c>
      <c r="AF733" s="48">
        <v>0.85416666666666663</v>
      </c>
      <c r="AG733" s="48">
        <v>0.8125</v>
      </c>
      <c r="AH733" s="48">
        <v>0.8125</v>
      </c>
      <c r="AI733" s="48">
        <v>0.8125</v>
      </c>
      <c r="AJ733" s="48">
        <v>0.77083333333333326</v>
      </c>
      <c r="AK733" s="48">
        <v>0.77083333333333326</v>
      </c>
      <c r="AL733" s="48" t="s">
        <v>320</v>
      </c>
      <c r="AM733">
        <v>29</v>
      </c>
      <c r="AO733">
        <v>84</v>
      </c>
    </row>
    <row r="734" spans="1:45" hidden="1" x14ac:dyDescent="0.25">
      <c r="A734">
        <v>733</v>
      </c>
      <c r="B734">
        <v>2025</v>
      </c>
      <c r="C734">
        <v>11</v>
      </c>
      <c r="D734" t="s">
        <v>176</v>
      </c>
      <c r="E734">
        <v>31</v>
      </c>
      <c r="F734">
        <v>10</v>
      </c>
      <c r="G734" t="s">
        <v>430</v>
      </c>
      <c r="H734" s="48" t="s">
        <v>382</v>
      </c>
      <c r="I734" s="48" t="s">
        <v>382</v>
      </c>
      <c r="J734" s="48" t="s">
        <v>382</v>
      </c>
      <c r="K734" s="48" t="s">
        <v>382</v>
      </c>
      <c r="L734" s="48" t="s">
        <v>382</v>
      </c>
      <c r="M734" s="48" t="s">
        <v>382</v>
      </c>
      <c r="N734" s="48" t="s">
        <v>382</v>
      </c>
      <c r="O734" s="48" t="s">
        <v>382</v>
      </c>
      <c r="P734" s="48" t="s">
        <v>320</v>
      </c>
      <c r="Q734" s="48" t="s">
        <v>382</v>
      </c>
      <c r="R734" s="48" t="s">
        <v>382</v>
      </c>
      <c r="S734" s="48" t="s">
        <v>382</v>
      </c>
      <c r="T734" s="48" t="s">
        <v>382</v>
      </c>
      <c r="U734" s="48" t="s">
        <v>382</v>
      </c>
      <c r="V734" s="48" t="s">
        <v>382</v>
      </c>
      <c r="W734" s="48" t="s">
        <v>382</v>
      </c>
      <c r="X734" s="48" t="s">
        <v>382</v>
      </c>
      <c r="Y734" s="48" t="s">
        <v>382</v>
      </c>
      <c r="Z734" s="48" t="s">
        <v>382</v>
      </c>
      <c r="AA734" s="48" t="s">
        <v>382</v>
      </c>
      <c r="AB734" s="48" t="s">
        <v>382</v>
      </c>
      <c r="AC734" s="48" t="s">
        <v>382</v>
      </c>
      <c r="AD734" s="48" t="s">
        <v>320</v>
      </c>
      <c r="AE734" s="48" t="s">
        <v>382</v>
      </c>
      <c r="AF734" s="48" t="s">
        <v>382</v>
      </c>
      <c r="AG734" s="48" t="s">
        <v>382</v>
      </c>
      <c r="AH734" s="48" t="s">
        <v>382</v>
      </c>
      <c r="AI734" s="48" t="s">
        <v>382</v>
      </c>
      <c r="AJ734" s="48" t="s">
        <v>382</v>
      </c>
      <c r="AK734" s="48" t="s">
        <v>382</v>
      </c>
      <c r="AL734" s="48" t="s">
        <v>320</v>
      </c>
    </row>
    <row r="735" spans="1:45" hidden="1" x14ac:dyDescent="0.25">
      <c r="A735">
        <v>734</v>
      </c>
      <c r="B735">
        <v>2025</v>
      </c>
      <c r="C735">
        <v>11</v>
      </c>
      <c r="D735" t="s">
        <v>176</v>
      </c>
      <c r="E735">
        <v>31</v>
      </c>
      <c r="F735">
        <v>10</v>
      </c>
      <c r="G735" t="s">
        <v>431</v>
      </c>
      <c r="H735" s="48">
        <v>0.79166666666666674</v>
      </c>
      <c r="I735" s="48">
        <v>0.79166666666666674</v>
      </c>
      <c r="J735" s="48">
        <v>0.79166666666666674</v>
      </c>
      <c r="K735" s="48">
        <v>0.79166666666666674</v>
      </c>
      <c r="L735" s="48">
        <v>0.79166666666666674</v>
      </c>
      <c r="M735" s="48">
        <v>0.79166666666666674</v>
      </c>
      <c r="N735" s="48">
        <v>0.79166666666666674</v>
      </c>
      <c r="O735" s="48">
        <v>0.79166666666666674</v>
      </c>
      <c r="P735" s="48" t="s">
        <v>320</v>
      </c>
      <c r="Q735" s="48">
        <v>0.79166666666666674</v>
      </c>
      <c r="R735" s="48">
        <v>0.79166666666666674</v>
      </c>
      <c r="S735" s="48">
        <v>0.79166666666666674</v>
      </c>
      <c r="T735" s="48">
        <v>0.79166666666666674</v>
      </c>
      <c r="U735" s="48">
        <v>0.79166666666666674</v>
      </c>
      <c r="V735" s="48">
        <v>0.79166666666666674</v>
      </c>
      <c r="W735" s="48">
        <v>0.79166666666666674</v>
      </c>
      <c r="X735" s="48">
        <v>0.79166666666666674</v>
      </c>
      <c r="Y735" s="48">
        <v>0.79166666666666674</v>
      </c>
      <c r="Z735" s="48">
        <v>0.79166666666666674</v>
      </c>
      <c r="AA735" s="48">
        <v>0.79166666666666674</v>
      </c>
      <c r="AB735" s="48">
        <v>0.79166666666666674</v>
      </c>
      <c r="AC735" s="48">
        <v>0.79166666666666674</v>
      </c>
      <c r="AD735" s="48" t="s">
        <v>320</v>
      </c>
      <c r="AE735" s="48">
        <v>0.79166666666666674</v>
      </c>
      <c r="AF735" s="48">
        <v>0.79166666666666674</v>
      </c>
      <c r="AG735" s="48">
        <v>0.79166666666666674</v>
      </c>
      <c r="AH735" s="48">
        <v>0.79166666666666674</v>
      </c>
      <c r="AI735" s="48">
        <v>0.79166666666666674</v>
      </c>
      <c r="AJ735" s="48">
        <v>0.79166666666666674</v>
      </c>
      <c r="AK735" s="48">
        <v>0.79166666666666674</v>
      </c>
      <c r="AL735" s="48" t="s">
        <v>320</v>
      </c>
      <c r="AM735">
        <v>28</v>
      </c>
      <c r="AO735">
        <v>84</v>
      </c>
    </row>
    <row r="736" spans="1:45" hidden="1" x14ac:dyDescent="0.25">
      <c r="A736">
        <v>735</v>
      </c>
      <c r="B736">
        <v>2025</v>
      </c>
      <c r="C736">
        <v>11</v>
      </c>
      <c r="D736" t="s">
        <v>165</v>
      </c>
      <c r="E736">
        <v>31</v>
      </c>
      <c r="F736">
        <v>10</v>
      </c>
      <c r="G736" t="s">
        <v>430</v>
      </c>
      <c r="H736" s="48" t="s">
        <v>375</v>
      </c>
      <c r="I736" s="48" t="s">
        <v>375</v>
      </c>
      <c r="J736" s="48" t="s">
        <v>375</v>
      </c>
      <c r="K736" s="48" t="s">
        <v>375</v>
      </c>
      <c r="L736" s="48" t="s">
        <v>375</v>
      </c>
      <c r="M736" s="48" t="s">
        <v>375</v>
      </c>
      <c r="N736" s="48" t="s">
        <v>375</v>
      </c>
      <c r="O736" s="48" t="s">
        <v>375</v>
      </c>
      <c r="P736" s="48" t="s">
        <v>375</v>
      </c>
      <c r="Q736" s="48" t="s">
        <v>375</v>
      </c>
      <c r="R736" s="48" t="s">
        <v>375</v>
      </c>
      <c r="S736" s="48" t="s">
        <v>375</v>
      </c>
      <c r="T736" s="48" t="s">
        <v>320</v>
      </c>
      <c r="U736" s="48" t="s">
        <v>320</v>
      </c>
      <c r="V736" s="48" t="s">
        <v>320</v>
      </c>
      <c r="W736" s="48" t="s">
        <v>320</v>
      </c>
      <c r="X736" s="48" t="s">
        <v>320</v>
      </c>
      <c r="Y736" s="48" t="s">
        <v>320</v>
      </c>
      <c r="Z736" s="48" t="s">
        <v>320</v>
      </c>
      <c r="AA736" s="48" t="s">
        <v>320</v>
      </c>
      <c r="AB736" s="48" t="s">
        <v>320</v>
      </c>
      <c r="AC736" s="48" t="s">
        <v>320</v>
      </c>
      <c r="AD736" s="48" t="s">
        <v>320</v>
      </c>
      <c r="AE736" s="48" t="s">
        <v>320</v>
      </c>
      <c r="AF736" s="48" t="s">
        <v>320</v>
      </c>
      <c r="AG736" s="48" t="s">
        <v>320</v>
      </c>
      <c r="AH736" s="48" t="s">
        <v>320</v>
      </c>
      <c r="AI736" s="48" t="s">
        <v>320</v>
      </c>
      <c r="AJ736" s="48" t="s">
        <v>320</v>
      </c>
      <c r="AK736" s="48" t="s">
        <v>320</v>
      </c>
      <c r="AL736" s="48" t="s">
        <v>320</v>
      </c>
    </row>
    <row r="737" spans="1:41" hidden="1" x14ac:dyDescent="0.25">
      <c r="A737">
        <v>736</v>
      </c>
      <c r="B737">
        <v>2025</v>
      </c>
      <c r="C737">
        <v>11</v>
      </c>
      <c r="D737" t="s">
        <v>165</v>
      </c>
      <c r="E737">
        <v>31</v>
      </c>
      <c r="F737">
        <v>10</v>
      </c>
      <c r="G737" t="s">
        <v>431</v>
      </c>
      <c r="H737" s="48" t="s">
        <v>376</v>
      </c>
      <c r="I737" s="48" t="s">
        <v>376</v>
      </c>
      <c r="J737" s="48" t="s">
        <v>376</v>
      </c>
      <c r="K737" s="48" t="s">
        <v>376</v>
      </c>
      <c r="L737" s="48" t="s">
        <v>376</v>
      </c>
      <c r="M737" s="48" t="s">
        <v>376</v>
      </c>
      <c r="N737" s="48" t="s">
        <v>376</v>
      </c>
      <c r="O737" s="48" t="s">
        <v>376</v>
      </c>
      <c r="P737" s="48" t="s">
        <v>376</v>
      </c>
      <c r="Q737" s="48" t="s">
        <v>376</v>
      </c>
      <c r="R737" s="48" t="s">
        <v>376</v>
      </c>
      <c r="S737" s="48" t="s">
        <v>376</v>
      </c>
      <c r="T737" s="48" t="s">
        <v>320</v>
      </c>
      <c r="U737" s="48" t="s">
        <v>320</v>
      </c>
      <c r="V737" s="48" t="s">
        <v>320</v>
      </c>
      <c r="W737" s="48" t="s">
        <v>320</v>
      </c>
      <c r="X737" s="48" t="s">
        <v>320</v>
      </c>
      <c r="Y737" s="48" t="s">
        <v>320</v>
      </c>
      <c r="Z737" s="48" t="s">
        <v>320</v>
      </c>
      <c r="AA737" s="48" t="s">
        <v>320</v>
      </c>
      <c r="AB737" s="48" t="s">
        <v>320</v>
      </c>
      <c r="AC737" s="48" t="s">
        <v>320</v>
      </c>
      <c r="AD737" s="48" t="s">
        <v>320</v>
      </c>
      <c r="AE737" s="48" t="s">
        <v>320</v>
      </c>
      <c r="AF737" s="48" t="s">
        <v>320</v>
      </c>
      <c r="AG737" s="48" t="s">
        <v>320</v>
      </c>
      <c r="AH737" s="48" t="s">
        <v>320</v>
      </c>
      <c r="AI737" s="48" t="s">
        <v>320</v>
      </c>
      <c r="AJ737" s="48" t="s">
        <v>320</v>
      </c>
      <c r="AK737" s="48" t="s">
        <v>320</v>
      </c>
      <c r="AL737" s="48" t="s">
        <v>320</v>
      </c>
      <c r="AM737">
        <v>12</v>
      </c>
    </row>
    <row r="738" spans="1:41" hidden="1" x14ac:dyDescent="0.25">
      <c r="A738">
        <v>737</v>
      </c>
      <c r="B738">
        <v>2025</v>
      </c>
      <c r="C738">
        <v>11</v>
      </c>
      <c r="D738" t="s">
        <v>162</v>
      </c>
      <c r="E738">
        <v>31</v>
      </c>
      <c r="F738">
        <v>10</v>
      </c>
      <c r="G738" t="s">
        <v>430</v>
      </c>
      <c r="H738" s="48" t="s">
        <v>382</v>
      </c>
      <c r="I738" s="48" t="s">
        <v>382</v>
      </c>
      <c r="J738" s="48" t="s">
        <v>382</v>
      </c>
      <c r="K738" s="48" t="s">
        <v>382</v>
      </c>
      <c r="L738" s="48" t="s">
        <v>382</v>
      </c>
      <c r="M738" s="48" t="s">
        <v>382</v>
      </c>
      <c r="N738" s="48" t="s">
        <v>382</v>
      </c>
      <c r="O738" s="48" t="s">
        <v>382</v>
      </c>
      <c r="P738" s="48" t="s">
        <v>320</v>
      </c>
      <c r="Q738" s="48" t="s">
        <v>382</v>
      </c>
      <c r="R738" s="48" t="s">
        <v>382</v>
      </c>
      <c r="S738" s="48" t="s">
        <v>382</v>
      </c>
      <c r="T738" s="48" t="s">
        <v>382</v>
      </c>
      <c r="U738" s="48" t="s">
        <v>382</v>
      </c>
      <c r="V738" s="48" t="s">
        <v>382</v>
      </c>
      <c r="W738" s="48" t="s">
        <v>382</v>
      </c>
      <c r="X738" s="48" t="s">
        <v>382</v>
      </c>
      <c r="Y738" s="48" t="s">
        <v>382</v>
      </c>
      <c r="Z738" s="48" t="s">
        <v>382</v>
      </c>
      <c r="AA738" s="48" t="s">
        <v>382</v>
      </c>
      <c r="AB738" s="48" t="s">
        <v>382</v>
      </c>
      <c r="AC738" s="48" t="s">
        <v>382</v>
      </c>
      <c r="AD738" s="48" t="s">
        <v>382</v>
      </c>
      <c r="AE738" s="48" t="s">
        <v>382</v>
      </c>
      <c r="AF738" s="48" t="s">
        <v>382</v>
      </c>
      <c r="AG738" s="48" t="s">
        <v>382</v>
      </c>
      <c r="AH738" s="48" t="s">
        <v>382</v>
      </c>
      <c r="AI738" s="48" t="s">
        <v>382</v>
      </c>
      <c r="AJ738" s="48" t="s">
        <v>382</v>
      </c>
      <c r="AK738" s="48" t="s">
        <v>382</v>
      </c>
      <c r="AL738" s="48" t="s">
        <v>320</v>
      </c>
    </row>
    <row r="739" spans="1:41" hidden="1" x14ac:dyDescent="0.25">
      <c r="A739">
        <v>738</v>
      </c>
      <c r="B739">
        <v>2025</v>
      </c>
      <c r="C739">
        <v>11</v>
      </c>
      <c r="D739" t="s">
        <v>162</v>
      </c>
      <c r="E739">
        <v>31</v>
      </c>
      <c r="F739">
        <v>10</v>
      </c>
      <c r="G739" t="s">
        <v>431</v>
      </c>
      <c r="H739" s="48">
        <v>0.79166666666666674</v>
      </c>
      <c r="I739" s="48">
        <v>0.79166666666666674</v>
      </c>
      <c r="J739" s="48">
        <v>0.79166666666666674</v>
      </c>
      <c r="K739" s="48">
        <v>0.79166666666666674</v>
      </c>
      <c r="L739" s="48">
        <v>0.79166666666666674</v>
      </c>
      <c r="M739" s="48">
        <v>0.79166666666666674</v>
      </c>
      <c r="N739" s="48">
        <v>0.79166666666666674</v>
      </c>
      <c r="O739" s="48">
        <v>0.79166666666666674</v>
      </c>
      <c r="P739" s="48" t="s">
        <v>320</v>
      </c>
      <c r="Q739" s="48">
        <v>0.79166666666666674</v>
      </c>
      <c r="R739" s="48">
        <v>0.79166666666666674</v>
      </c>
      <c r="S739" s="48">
        <v>0.79166666666666674</v>
      </c>
      <c r="T739" s="48">
        <v>0.79166666666666674</v>
      </c>
      <c r="U739" s="48">
        <v>0.79166666666666674</v>
      </c>
      <c r="V739" s="48">
        <v>0.79166666666666674</v>
      </c>
      <c r="W739" s="48">
        <v>0.79166666666666674</v>
      </c>
      <c r="X739" s="48">
        <v>0.79166666666666674</v>
      </c>
      <c r="Y739" s="48">
        <v>0.79166666666666674</v>
      </c>
      <c r="Z739" s="48">
        <v>0.79166666666666674</v>
      </c>
      <c r="AA739" s="48">
        <v>0.79166666666666674</v>
      </c>
      <c r="AB739" s="48">
        <v>0.79166666666666674</v>
      </c>
      <c r="AC739" s="48">
        <v>0.79166666666666674</v>
      </c>
      <c r="AD739" s="48">
        <v>0.79166666666666674</v>
      </c>
      <c r="AE739" s="48">
        <v>0.79166666666666674</v>
      </c>
      <c r="AF739" s="48">
        <v>0.79166666666666674</v>
      </c>
      <c r="AG739" s="48">
        <v>0.79166666666666674</v>
      </c>
      <c r="AH739" s="48">
        <v>0.79166666666666674</v>
      </c>
      <c r="AI739" s="48">
        <v>0.79166666666666674</v>
      </c>
      <c r="AJ739" s="48">
        <v>0.79166666666666674</v>
      </c>
      <c r="AK739" s="48">
        <v>0.79166666666666674</v>
      </c>
      <c r="AL739" s="48" t="s">
        <v>320</v>
      </c>
      <c r="AM739">
        <v>29</v>
      </c>
      <c r="AO739">
        <v>87</v>
      </c>
    </row>
    <row r="740" spans="1:41" hidden="1" x14ac:dyDescent="0.25">
      <c r="A740">
        <v>739</v>
      </c>
      <c r="B740">
        <v>2025</v>
      </c>
      <c r="C740">
        <v>11</v>
      </c>
      <c r="D740" t="s">
        <v>171</v>
      </c>
      <c r="E740">
        <v>31</v>
      </c>
      <c r="F740">
        <v>10</v>
      </c>
      <c r="G740" t="s">
        <v>430</v>
      </c>
      <c r="H740" s="48" t="s">
        <v>375</v>
      </c>
      <c r="I740" s="48" t="s">
        <v>375</v>
      </c>
      <c r="J740" s="48" t="s">
        <v>375</v>
      </c>
      <c r="K740" s="48" t="s">
        <v>375</v>
      </c>
      <c r="L740" s="48" t="s">
        <v>375</v>
      </c>
      <c r="M740" s="48" t="s">
        <v>375</v>
      </c>
      <c r="N740" s="48" t="s">
        <v>375</v>
      </c>
      <c r="O740" s="48" t="s">
        <v>375</v>
      </c>
      <c r="P740" s="48" t="s">
        <v>320</v>
      </c>
      <c r="Q740" s="48" t="s">
        <v>375</v>
      </c>
      <c r="R740" s="48" t="s">
        <v>375</v>
      </c>
      <c r="S740" s="48" t="s">
        <v>375</v>
      </c>
      <c r="T740" s="48" t="s">
        <v>375</v>
      </c>
      <c r="U740" s="48" t="s">
        <v>375</v>
      </c>
      <c r="V740" s="48" t="s">
        <v>375</v>
      </c>
      <c r="W740" s="48" t="s">
        <v>375</v>
      </c>
      <c r="X740" s="48" t="s">
        <v>375</v>
      </c>
      <c r="Y740" s="48" t="s">
        <v>375</v>
      </c>
      <c r="Z740" s="48" t="s">
        <v>375</v>
      </c>
      <c r="AA740" s="48" t="s">
        <v>375</v>
      </c>
      <c r="AB740" s="48" t="s">
        <v>375</v>
      </c>
      <c r="AC740" s="48" t="s">
        <v>375</v>
      </c>
      <c r="AD740" s="48" t="s">
        <v>320</v>
      </c>
      <c r="AE740" s="48" t="s">
        <v>375</v>
      </c>
      <c r="AF740" s="48" t="s">
        <v>375</v>
      </c>
      <c r="AG740" s="48" t="s">
        <v>375</v>
      </c>
      <c r="AH740" s="48" t="s">
        <v>375</v>
      </c>
      <c r="AI740" s="48" t="s">
        <v>375</v>
      </c>
      <c r="AJ740" s="48" t="s">
        <v>375</v>
      </c>
      <c r="AK740" s="48" t="s">
        <v>375</v>
      </c>
      <c r="AL740" s="48" t="s">
        <v>320</v>
      </c>
    </row>
    <row r="741" spans="1:41" hidden="1" x14ac:dyDescent="0.25">
      <c r="A741">
        <v>740</v>
      </c>
      <c r="B741">
        <v>2025</v>
      </c>
      <c r="C741">
        <v>11</v>
      </c>
      <c r="D741" t="s">
        <v>171</v>
      </c>
      <c r="E741">
        <v>31</v>
      </c>
      <c r="F741">
        <v>10</v>
      </c>
      <c r="G741" t="s">
        <v>431</v>
      </c>
      <c r="H741" s="48" t="s">
        <v>388</v>
      </c>
      <c r="I741" s="48" t="s">
        <v>388</v>
      </c>
      <c r="J741" s="48" t="s">
        <v>388</v>
      </c>
      <c r="K741" s="48" t="s">
        <v>388</v>
      </c>
      <c r="L741" s="48" t="s">
        <v>388</v>
      </c>
      <c r="M741" s="48" t="s">
        <v>388</v>
      </c>
      <c r="N741" s="48" t="s">
        <v>388</v>
      </c>
      <c r="O741" s="48" t="s">
        <v>388</v>
      </c>
      <c r="P741" s="48" t="s">
        <v>320</v>
      </c>
      <c r="Q741" s="48" t="s">
        <v>388</v>
      </c>
      <c r="R741" s="48" t="s">
        <v>388</v>
      </c>
      <c r="S741" s="48" t="s">
        <v>388</v>
      </c>
      <c r="T741" s="48" t="s">
        <v>388</v>
      </c>
      <c r="U741" s="48" t="s">
        <v>388</v>
      </c>
      <c r="V741" s="48" t="s">
        <v>388</v>
      </c>
      <c r="W741" s="48" t="s">
        <v>388</v>
      </c>
      <c r="X741" s="48" t="s">
        <v>388</v>
      </c>
      <c r="Y741" s="48" t="s">
        <v>388</v>
      </c>
      <c r="Z741" s="48" t="s">
        <v>388</v>
      </c>
      <c r="AA741" s="48" t="s">
        <v>388</v>
      </c>
      <c r="AB741" s="48" t="s">
        <v>388</v>
      </c>
      <c r="AC741" s="48" t="s">
        <v>388</v>
      </c>
      <c r="AD741" s="48" t="s">
        <v>320</v>
      </c>
      <c r="AE741" s="48" t="s">
        <v>388</v>
      </c>
      <c r="AF741" s="48" t="s">
        <v>388</v>
      </c>
      <c r="AG741" s="48" t="s">
        <v>388</v>
      </c>
      <c r="AH741" s="48" t="s">
        <v>388</v>
      </c>
      <c r="AI741" s="48" t="s">
        <v>388</v>
      </c>
      <c r="AJ741" s="48" t="s">
        <v>388</v>
      </c>
      <c r="AK741" s="48" t="s">
        <v>388</v>
      </c>
      <c r="AL741" s="48" t="s">
        <v>320</v>
      </c>
      <c r="AM741">
        <v>28</v>
      </c>
      <c r="AO741">
        <v>27.999999999999972</v>
      </c>
    </row>
    <row r="742" spans="1:41" hidden="1" x14ac:dyDescent="0.25">
      <c r="A742">
        <v>741</v>
      </c>
      <c r="B742">
        <v>2025</v>
      </c>
      <c r="C742">
        <v>11</v>
      </c>
      <c r="D742" t="s">
        <v>161</v>
      </c>
      <c r="E742">
        <v>31</v>
      </c>
      <c r="F742">
        <v>10</v>
      </c>
      <c r="G742" t="s">
        <v>430</v>
      </c>
      <c r="H742" s="48" t="s">
        <v>375</v>
      </c>
      <c r="I742" s="48" t="s">
        <v>375</v>
      </c>
      <c r="J742" s="48" t="s">
        <v>375</v>
      </c>
      <c r="K742" s="48" t="s">
        <v>375</v>
      </c>
      <c r="L742" s="48" t="s">
        <v>375</v>
      </c>
      <c r="M742" s="48" t="s">
        <v>375</v>
      </c>
      <c r="N742" s="48" t="s">
        <v>375</v>
      </c>
      <c r="O742" s="48" t="s">
        <v>375</v>
      </c>
      <c r="P742" s="48" t="s">
        <v>320</v>
      </c>
      <c r="Q742" s="48" t="s">
        <v>375</v>
      </c>
      <c r="R742" s="48" t="s">
        <v>375</v>
      </c>
      <c r="S742" s="48" t="s">
        <v>375</v>
      </c>
      <c r="T742" s="48" t="s">
        <v>375</v>
      </c>
      <c r="U742" s="48" t="s">
        <v>375</v>
      </c>
      <c r="V742" s="48" t="s">
        <v>375</v>
      </c>
      <c r="W742" s="48" t="s">
        <v>375</v>
      </c>
      <c r="X742" s="48" t="s">
        <v>375</v>
      </c>
      <c r="Y742" s="48" t="s">
        <v>375</v>
      </c>
      <c r="Z742" s="48" t="s">
        <v>375</v>
      </c>
      <c r="AA742" s="48" t="s">
        <v>375</v>
      </c>
      <c r="AB742" s="48" t="s">
        <v>375</v>
      </c>
      <c r="AC742" s="48" t="s">
        <v>375</v>
      </c>
      <c r="AD742" s="48" t="s">
        <v>375</v>
      </c>
      <c r="AE742" s="48" t="s">
        <v>375</v>
      </c>
      <c r="AF742" s="48" t="s">
        <v>375</v>
      </c>
      <c r="AG742" s="48" t="s">
        <v>375</v>
      </c>
      <c r="AH742" s="48" t="s">
        <v>375</v>
      </c>
      <c r="AI742" s="48" t="s">
        <v>375</v>
      </c>
      <c r="AJ742" s="48" t="s">
        <v>375</v>
      </c>
      <c r="AK742" s="48" t="s">
        <v>375</v>
      </c>
      <c r="AL742" s="48" t="s">
        <v>320</v>
      </c>
    </row>
    <row r="743" spans="1:41" hidden="1" x14ac:dyDescent="0.25">
      <c r="A743">
        <v>742</v>
      </c>
      <c r="B743">
        <v>2025</v>
      </c>
      <c r="C743">
        <v>11</v>
      </c>
      <c r="D743" t="s">
        <v>161</v>
      </c>
      <c r="E743">
        <v>31</v>
      </c>
      <c r="F743">
        <v>10</v>
      </c>
      <c r="G743" t="s">
        <v>431</v>
      </c>
      <c r="H743" s="48">
        <v>0.875</v>
      </c>
      <c r="I743" s="48">
        <v>0.75</v>
      </c>
      <c r="J743" s="48">
        <v>0.79166666666666674</v>
      </c>
      <c r="K743" s="48">
        <v>0.75</v>
      </c>
      <c r="L743" s="48">
        <v>0.875</v>
      </c>
      <c r="M743" s="48">
        <v>0.75</v>
      </c>
      <c r="N743" s="48">
        <v>1</v>
      </c>
      <c r="O743" s="48">
        <v>0.75</v>
      </c>
      <c r="P743" s="48" t="s">
        <v>320</v>
      </c>
      <c r="Q743" s="48">
        <v>0.75</v>
      </c>
      <c r="R743" s="48">
        <v>0.79166666666666674</v>
      </c>
      <c r="S743" s="48">
        <v>0.95833333333333326</v>
      </c>
      <c r="T743" s="48">
        <v>1</v>
      </c>
      <c r="U743" s="48">
        <v>0.91666666666666674</v>
      </c>
      <c r="V743" s="48">
        <v>0.91666666666666674</v>
      </c>
      <c r="W743" s="48">
        <v>0.875</v>
      </c>
      <c r="X743" s="48">
        <v>0.75</v>
      </c>
      <c r="Y743" s="48">
        <v>0.75</v>
      </c>
      <c r="Z743" s="48">
        <v>0.91666666666666674</v>
      </c>
      <c r="AA743" s="48">
        <v>0.75</v>
      </c>
      <c r="AB743" s="48">
        <v>0.91666666666666674</v>
      </c>
      <c r="AC743" s="48">
        <v>0.75</v>
      </c>
      <c r="AD743" s="48">
        <v>1</v>
      </c>
      <c r="AE743" s="48">
        <v>0.875</v>
      </c>
      <c r="AF743" s="48">
        <v>0.95833333333333326</v>
      </c>
      <c r="AG743" s="48">
        <v>0.75</v>
      </c>
      <c r="AH743" s="48">
        <v>0.83333333333333326</v>
      </c>
      <c r="AI743" s="48">
        <v>0.75</v>
      </c>
      <c r="AJ743" s="48">
        <v>0.75</v>
      </c>
      <c r="AK743" s="48">
        <v>0.79166666666666674</v>
      </c>
      <c r="AL743" s="48" t="s">
        <v>320</v>
      </c>
      <c r="AM743">
        <v>29</v>
      </c>
      <c r="AO743">
        <v>60.999999999999986</v>
      </c>
    </row>
    <row r="744" spans="1:41" hidden="1" x14ac:dyDescent="0.25">
      <c r="A744">
        <v>743</v>
      </c>
      <c r="B744">
        <v>2025</v>
      </c>
      <c r="C744">
        <v>11</v>
      </c>
      <c r="D744" t="s">
        <v>151</v>
      </c>
      <c r="E744">
        <v>31</v>
      </c>
      <c r="F744">
        <v>10</v>
      </c>
      <c r="G744" t="s">
        <v>430</v>
      </c>
      <c r="H744" s="48" t="s">
        <v>375</v>
      </c>
      <c r="I744" s="48" t="s">
        <v>375</v>
      </c>
      <c r="J744" s="48" t="s">
        <v>375</v>
      </c>
      <c r="K744" s="48" t="s">
        <v>375</v>
      </c>
      <c r="L744" s="48" t="s">
        <v>375</v>
      </c>
      <c r="M744" s="48" t="s">
        <v>375</v>
      </c>
      <c r="N744" s="48" t="s">
        <v>375</v>
      </c>
      <c r="O744" s="48" t="s">
        <v>375</v>
      </c>
      <c r="P744" s="48" t="s">
        <v>375</v>
      </c>
      <c r="Q744" s="48" t="s">
        <v>375</v>
      </c>
      <c r="R744" s="48" t="s">
        <v>375</v>
      </c>
      <c r="S744" s="48" t="s">
        <v>375</v>
      </c>
      <c r="T744" s="48" t="s">
        <v>375</v>
      </c>
      <c r="U744" s="48" t="s">
        <v>375</v>
      </c>
      <c r="V744" s="48" t="s">
        <v>375</v>
      </c>
      <c r="W744" s="48" t="s">
        <v>375</v>
      </c>
      <c r="X744" s="48" t="s">
        <v>375</v>
      </c>
      <c r="Y744" s="48" t="s">
        <v>375</v>
      </c>
      <c r="Z744" s="48" t="s">
        <v>375</v>
      </c>
      <c r="AA744" s="48" t="s">
        <v>375</v>
      </c>
      <c r="AB744" s="48" t="s">
        <v>375</v>
      </c>
      <c r="AC744" s="48" t="s">
        <v>375</v>
      </c>
      <c r="AD744" s="48" t="s">
        <v>375</v>
      </c>
      <c r="AE744" s="48" t="s">
        <v>375</v>
      </c>
      <c r="AF744" s="48" t="s">
        <v>375</v>
      </c>
      <c r="AG744" s="48" t="s">
        <v>375</v>
      </c>
      <c r="AH744" s="48" t="s">
        <v>375</v>
      </c>
      <c r="AI744" s="48" t="s">
        <v>375</v>
      </c>
      <c r="AJ744" s="48" t="s">
        <v>375</v>
      </c>
      <c r="AK744" s="48" t="s">
        <v>375</v>
      </c>
      <c r="AL744" s="48" t="s">
        <v>320</v>
      </c>
    </row>
    <row r="745" spans="1:41" hidden="1" x14ac:dyDescent="0.25">
      <c r="A745">
        <v>744</v>
      </c>
      <c r="B745">
        <v>2025</v>
      </c>
      <c r="C745">
        <v>11</v>
      </c>
      <c r="D745" t="s">
        <v>151</v>
      </c>
      <c r="E745">
        <v>31</v>
      </c>
      <c r="F745">
        <v>10</v>
      </c>
      <c r="G745" t="s">
        <v>431</v>
      </c>
      <c r="H745" s="48" t="s">
        <v>406</v>
      </c>
      <c r="I745" s="48" t="s">
        <v>406</v>
      </c>
      <c r="J745" s="48" t="s">
        <v>406</v>
      </c>
      <c r="K745" s="48" t="s">
        <v>406</v>
      </c>
      <c r="L745" s="48" t="s">
        <v>406</v>
      </c>
      <c r="M745" s="48" t="s">
        <v>406</v>
      </c>
      <c r="N745" s="48" t="s">
        <v>406</v>
      </c>
      <c r="O745" s="48" t="s">
        <v>406</v>
      </c>
      <c r="P745" s="48" t="s">
        <v>406</v>
      </c>
      <c r="Q745" s="48" t="s">
        <v>406</v>
      </c>
      <c r="R745" s="48" t="s">
        <v>406</v>
      </c>
      <c r="S745" s="48" t="s">
        <v>406</v>
      </c>
      <c r="T745" s="48" t="s">
        <v>406</v>
      </c>
      <c r="U745" s="48" t="s">
        <v>406</v>
      </c>
      <c r="V745" s="48" t="s">
        <v>406</v>
      </c>
      <c r="W745" s="48" t="s">
        <v>406</v>
      </c>
      <c r="X745" s="48" t="s">
        <v>406</v>
      </c>
      <c r="Y745" s="48" t="s">
        <v>406</v>
      </c>
      <c r="Z745" s="48" t="s">
        <v>406</v>
      </c>
      <c r="AA745" s="48" t="s">
        <v>406</v>
      </c>
      <c r="AB745" s="48" t="s">
        <v>406</v>
      </c>
      <c r="AC745" s="48" t="s">
        <v>406</v>
      </c>
      <c r="AD745" s="48" t="s">
        <v>406</v>
      </c>
      <c r="AE745" s="48" t="s">
        <v>406</v>
      </c>
      <c r="AF745" s="48" t="s">
        <v>406</v>
      </c>
      <c r="AG745" s="48" t="s">
        <v>406</v>
      </c>
      <c r="AH745" s="48" t="s">
        <v>406</v>
      </c>
      <c r="AI745" s="48" t="s">
        <v>406</v>
      </c>
      <c r="AJ745" s="48" t="s">
        <v>406</v>
      </c>
      <c r="AK745" s="48" t="s">
        <v>406</v>
      </c>
      <c r="AL745" s="48" t="s">
        <v>320</v>
      </c>
      <c r="AM745">
        <v>0</v>
      </c>
      <c r="AN745">
        <v>30</v>
      </c>
    </row>
    <row r="746" spans="1:41" hidden="1" x14ac:dyDescent="0.25">
      <c r="A746">
        <v>745</v>
      </c>
      <c r="B746">
        <v>2025</v>
      </c>
      <c r="C746">
        <v>11</v>
      </c>
      <c r="D746" t="s">
        <v>173</v>
      </c>
      <c r="E746">
        <v>31</v>
      </c>
      <c r="F746">
        <v>10</v>
      </c>
      <c r="G746" t="s">
        <v>430</v>
      </c>
      <c r="H746" s="48" t="s">
        <v>406</v>
      </c>
      <c r="I746" s="48" t="s">
        <v>320</v>
      </c>
      <c r="J746" s="48" t="s">
        <v>406</v>
      </c>
      <c r="K746" s="48" t="s">
        <v>406</v>
      </c>
      <c r="L746" s="48" t="s">
        <v>406</v>
      </c>
      <c r="M746" s="48" t="s">
        <v>406</v>
      </c>
      <c r="N746" s="48" t="s">
        <v>406</v>
      </c>
      <c r="O746" s="48" t="s">
        <v>406</v>
      </c>
      <c r="P746" s="48" t="s">
        <v>320</v>
      </c>
      <c r="Q746" s="48" t="s">
        <v>406</v>
      </c>
      <c r="R746" s="48" t="s">
        <v>406</v>
      </c>
      <c r="S746" s="48" t="s">
        <v>406</v>
      </c>
      <c r="T746" s="48" t="s">
        <v>406</v>
      </c>
      <c r="U746" s="48" t="s">
        <v>406</v>
      </c>
      <c r="V746" s="48" t="s">
        <v>406</v>
      </c>
      <c r="W746" s="48" t="s">
        <v>320</v>
      </c>
      <c r="X746" s="48" t="s">
        <v>406</v>
      </c>
      <c r="Y746" s="48" t="s">
        <v>406</v>
      </c>
      <c r="Z746" s="48" t="s">
        <v>406</v>
      </c>
      <c r="AA746" s="48" t="s">
        <v>406</v>
      </c>
      <c r="AB746" s="48" t="s">
        <v>406</v>
      </c>
      <c r="AC746" s="48" t="s">
        <v>406</v>
      </c>
      <c r="AD746" s="48" t="s">
        <v>406</v>
      </c>
      <c r="AE746" s="48" t="s">
        <v>406</v>
      </c>
      <c r="AF746" s="48" t="s">
        <v>406</v>
      </c>
      <c r="AG746" s="48" t="s">
        <v>406</v>
      </c>
      <c r="AH746" s="48" t="s">
        <v>406</v>
      </c>
      <c r="AI746" s="48" t="s">
        <v>406</v>
      </c>
      <c r="AJ746" s="48" t="s">
        <v>406</v>
      </c>
      <c r="AK746" s="48" t="s">
        <v>406</v>
      </c>
      <c r="AL746" s="48" t="s">
        <v>320</v>
      </c>
    </row>
    <row r="747" spans="1:41" hidden="1" x14ac:dyDescent="0.25">
      <c r="A747">
        <v>746</v>
      </c>
      <c r="B747">
        <v>2025</v>
      </c>
      <c r="C747">
        <v>11</v>
      </c>
      <c r="D747" t="s">
        <v>173</v>
      </c>
      <c r="E747">
        <v>31</v>
      </c>
      <c r="F747">
        <v>10</v>
      </c>
      <c r="G747" t="s">
        <v>431</v>
      </c>
      <c r="H747" s="48">
        <v>0.875</v>
      </c>
      <c r="I747" s="48" t="s">
        <v>320</v>
      </c>
      <c r="J747" s="48">
        <v>0.875</v>
      </c>
      <c r="K747" s="48">
        <v>0.875</v>
      </c>
      <c r="L747" s="48">
        <v>0.875</v>
      </c>
      <c r="M747" s="48">
        <v>0.875</v>
      </c>
      <c r="N747" s="48">
        <v>0.875</v>
      </c>
      <c r="O747" s="48">
        <v>0.875</v>
      </c>
      <c r="P747" s="48" t="s">
        <v>320</v>
      </c>
      <c r="Q747" s="48">
        <v>0.875</v>
      </c>
      <c r="R747" s="48">
        <v>0.875</v>
      </c>
      <c r="S747" s="48">
        <v>0.875</v>
      </c>
      <c r="T747" s="48">
        <v>0.875</v>
      </c>
      <c r="U747" s="48">
        <v>0.875</v>
      </c>
      <c r="V747" s="48">
        <v>0.875</v>
      </c>
      <c r="W747" s="48" t="s">
        <v>320</v>
      </c>
      <c r="X747" s="48">
        <v>0.875</v>
      </c>
      <c r="Y747" s="48">
        <v>0.875</v>
      </c>
      <c r="Z747" s="48">
        <v>0.875</v>
      </c>
      <c r="AA747" s="48">
        <v>0.875</v>
      </c>
      <c r="AB747" s="48">
        <v>0.875</v>
      </c>
      <c r="AC747" s="48">
        <v>0.875</v>
      </c>
      <c r="AD747" s="48">
        <v>0.875</v>
      </c>
      <c r="AE747" s="48">
        <v>0.875</v>
      </c>
      <c r="AF747" s="48">
        <v>0.875</v>
      </c>
      <c r="AG747" s="48">
        <v>0.875</v>
      </c>
      <c r="AH747" s="48">
        <v>0.875</v>
      </c>
      <c r="AI747" s="48">
        <v>0.875</v>
      </c>
      <c r="AJ747" s="48">
        <v>0.875</v>
      </c>
      <c r="AK747" s="48">
        <v>0.875</v>
      </c>
      <c r="AL747" s="48" t="s">
        <v>320</v>
      </c>
      <c r="AM747">
        <v>30</v>
      </c>
      <c r="AO747">
        <v>108</v>
      </c>
    </row>
    <row r="748" spans="1:41" hidden="1" x14ac:dyDescent="0.25">
      <c r="A748">
        <v>747</v>
      </c>
      <c r="B748">
        <v>2025</v>
      </c>
      <c r="C748">
        <v>11</v>
      </c>
      <c r="D748" t="s">
        <v>172</v>
      </c>
      <c r="E748">
        <v>31</v>
      </c>
      <c r="F748">
        <v>10</v>
      </c>
      <c r="G748" t="s">
        <v>430</v>
      </c>
      <c r="H748" s="48" t="s">
        <v>375</v>
      </c>
      <c r="I748" s="48" t="s">
        <v>375</v>
      </c>
      <c r="J748" s="48" t="s">
        <v>375</v>
      </c>
      <c r="K748" s="48" t="s">
        <v>375</v>
      </c>
      <c r="L748" s="48" t="s">
        <v>375</v>
      </c>
      <c r="M748" s="48" t="s">
        <v>375</v>
      </c>
      <c r="N748" s="48" t="s">
        <v>375</v>
      </c>
      <c r="O748" s="48" t="s">
        <v>375</v>
      </c>
      <c r="P748" s="48" t="s">
        <v>320</v>
      </c>
      <c r="Q748" s="48" t="s">
        <v>375</v>
      </c>
      <c r="R748" s="48" t="s">
        <v>375</v>
      </c>
      <c r="S748" s="48" t="s">
        <v>375</v>
      </c>
      <c r="T748" s="48" t="s">
        <v>375</v>
      </c>
      <c r="U748" s="48" t="s">
        <v>375</v>
      </c>
      <c r="V748" s="48" t="s">
        <v>375</v>
      </c>
      <c r="W748" s="48" t="s">
        <v>375</v>
      </c>
      <c r="X748" s="48" t="s">
        <v>375</v>
      </c>
      <c r="Y748" s="48" t="s">
        <v>375</v>
      </c>
      <c r="Z748" s="48" t="s">
        <v>375</v>
      </c>
      <c r="AA748" s="48" t="s">
        <v>375</v>
      </c>
      <c r="AB748" s="48" t="s">
        <v>375</v>
      </c>
      <c r="AC748" s="48" t="s">
        <v>375</v>
      </c>
      <c r="AD748" s="48" t="s">
        <v>375</v>
      </c>
      <c r="AE748" s="48" t="s">
        <v>375</v>
      </c>
      <c r="AF748" s="48" t="s">
        <v>375</v>
      </c>
      <c r="AG748" s="48" t="s">
        <v>375</v>
      </c>
      <c r="AH748" s="48" t="s">
        <v>375</v>
      </c>
      <c r="AI748" s="48" t="s">
        <v>375</v>
      </c>
      <c r="AJ748" s="48" t="s">
        <v>375</v>
      </c>
      <c r="AK748" s="48" t="s">
        <v>375</v>
      </c>
      <c r="AL748" s="48" t="s">
        <v>320</v>
      </c>
    </row>
    <row r="749" spans="1:41" hidden="1" x14ac:dyDescent="0.25">
      <c r="A749">
        <v>748</v>
      </c>
      <c r="B749">
        <v>2025</v>
      </c>
      <c r="C749">
        <v>11</v>
      </c>
      <c r="D749" t="s">
        <v>172</v>
      </c>
      <c r="E749">
        <v>31</v>
      </c>
      <c r="F749">
        <v>10</v>
      </c>
      <c r="G749" t="s">
        <v>431</v>
      </c>
      <c r="H749" s="48" t="s">
        <v>376</v>
      </c>
      <c r="I749" s="48" t="s">
        <v>376</v>
      </c>
      <c r="J749" s="48" t="s">
        <v>376</v>
      </c>
      <c r="K749" s="48" t="s">
        <v>376</v>
      </c>
      <c r="L749" s="48" t="s">
        <v>376</v>
      </c>
      <c r="M749" s="48" t="s">
        <v>376</v>
      </c>
      <c r="N749" s="48" t="s">
        <v>376</v>
      </c>
      <c r="O749" s="48" t="s">
        <v>376</v>
      </c>
      <c r="P749" s="48" t="s">
        <v>320</v>
      </c>
      <c r="Q749" s="48" t="s">
        <v>376</v>
      </c>
      <c r="R749" s="48" t="s">
        <v>376</v>
      </c>
      <c r="S749" s="48" t="s">
        <v>376</v>
      </c>
      <c r="T749" s="48" t="s">
        <v>376</v>
      </c>
      <c r="U749" s="48" t="s">
        <v>376</v>
      </c>
      <c r="V749" s="48" t="s">
        <v>376</v>
      </c>
      <c r="W749" s="48" t="s">
        <v>376</v>
      </c>
      <c r="X749" s="48" t="s">
        <v>376</v>
      </c>
      <c r="Y749" s="48" t="s">
        <v>376</v>
      </c>
      <c r="Z749" s="48" t="s">
        <v>376</v>
      </c>
      <c r="AA749" s="48" t="s">
        <v>376</v>
      </c>
      <c r="AB749" s="48" t="s">
        <v>376</v>
      </c>
      <c r="AC749" s="48" t="s">
        <v>376</v>
      </c>
      <c r="AD749" s="48" t="s">
        <v>376</v>
      </c>
      <c r="AE749" s="48" t="s">
        <v>376</v>
      </c>
      <c r="AF749" s="48" t="s">
        <v>376</v>
      </c>
      <c r="AG749" s="48" t="s">
        <v>376</v>
      </c>
      <c r="AH749" s="48" t="s">
        <v>376</v>
      </c>
      <c r="AI749" s="48" t="s">
        <v>376</v>
      </c>
      <c r="AJ749" s="48" t="s">
        <v>376</v>
      </c>
      <c r="AK749" s="48" t="s">
        <v>376</v>
      </c>
      <c r="AL749" s="48" t="s">
        <v>320</v>
      </c>
      <c r="AM749">
        <v>29</v>
      </c>
    </row>
    <row r="750" spans="1:41" hidden="1" x14ac:dyDescent="0.25">
      <c r="A750">
        <v>749</v>
      </c>
      <c r="B750">
        <v>2025</v>
      </c>
      <c r="C750">
        <v>11</v>
      </c>
      <c r="D750" t="s">
        <v>167</v>
      </c>
      <c r="E750">
        <v>31</v>
      </c>
      <c r="F750">
        <v>10</v>
      </c>
      <c r="G750" t="s">
        <v>430</v>
      </c>
      <c r="H750" s="48" t="s">
        <v>375</v>
      </c>
      <c r="I750" s="48" t="s">
        <v>375</v>
      </c>
      <c r="J750" s="48" t="s">
        <v>375</v>
      </c>
      <c r="K750" s="48" t="s">
        <v>375</v>
      </c>
      <c r="L750" s="48" t="s">
        <v>375</v>
      </c>
      <c r="M750" s="48" t="s">
        <v>375</v>
      </c>
      <c r="N750" s="48" t="s">
        <v>375</v>
      </c>
      <c r="O750" s="48" t="s">
        <v>375</v>
      </c>
      <c r="P750" s="48" t="s">
        <v>320</v>
      </c>
      <c r="Q750" s="48" t="s">
        <v>375</v>
      </c>
      <c r="R750" s="48" t="s">
        <v>375</v>
      </c>
      <c r="S750" s="48" t="s">
        <v>375</v>
      </c>
      <c r="T750" s="48" t="s">
        <v>375</v>
      </c>
      <c r="U750" s="48" t="s">
        <v>375</v>
      </c>
      <c r="V750" s="48" t="s">
        <v>375</v>
      </c>
      <c r="W750" s="48" t="s">
        <v>375</v>
      </c>
      <c r="X750" s="48" t="s">
        <v>375</v>
      </c>
      <c r="Y750" s="48" t="s">
        <v>375</v>
      </c>
      <c r="Z750" s="48" t="s">
        <v>375</v>
      </c>
      <c r="AA750" s="48" t="s">
        <v>375</v>
      </c>
      <c r="AB750" s="48" t="s">
        <v>375</v>
      </c>
      <c r="AC750" s="48" t="s">
        <v>375</v>
      </c>
      <c r="AD750" s="48" t="s">
        <v>320</v>
      </c>
      <c r="AE750" s="48" t="s">
        <v>375</v>
      </c>
      <c r="AF750" s="48" t="s">
        <v>375</v>
      </c>
      <c r="AG750" s="48" t="s">
        <v>375</v>
      </c>
      <c r="AH750" s="48" t="s">
        <v>375</v>
      </c>
      <c r="AI750" s="48" t="s">
        <v>375</v>
      </c>
      <c r="AJ750" s="48" t="s">
        <v>375</v>
      </c>
      <c r="AK750" s="48" t="s">
        <v>375</v>
      </c>
      <c r="AL750" s="48" t="s">
        <v>320</v>
      </c>
    </row>
    <row r="751" spans="1:41" hidden="1" x14ac:dyDescent="0.25">
      <c r="A751">
        <v>750</v>
      </c>
      <c r="B751">
        <v>2025</v>
      </c>
      <c r="C751">
        <v>11</v>
      </c>
      <c r="D751" t="s">
        <v>167</v>
      </c>
      <c r="E751">
        <v>31</v>
      </c>
      <c r="F751">
        <v>10</v>
      </c>
      <c r="G751" t="s">
        <v>431</v>
      </c>
      <c r="H751" s="48" t="s">
        <v>376</v>
      </c>
      <c r="I751" s="48" t="s">
        <v>376</v>
      </c>
      <c r="J751" s="48" t="s">
        <v>376</v>
      </c>
      <c r="K751" s="48" t="s">
        <v>376</v>
      </c>
      <c r="L751" s="48" t="s">
        <v>376</v>
      </c>
      <c r="M751" s="48" t="s">
        <v>376</v>
      </c>
      <c r="N751" s="48" t="s">
        <v>376</v>
      </c>
      <c r="O751" s="48" t="s">
        <v>376</v>
      </c>
      <c r="P751" s="48" t="s">
        <v>320</v>
      </c>
      <c r="Q751" s="48" t="s">
        <v>376</v>
      </c>
      <c r="R751" s="48" t="s">
        <v>376</v>
      </c>
      <c r="S751" s="48" t="s">
        <v>376</v>
      </c>
      <c r="T751" s="48" t="s">
        <v>376</v>
      </c>
      <c r="U751" s="48" t="s">
        <v>376</v>
      </c>
      <c r="V751" s="48" t="s">
        <v>376</v>
      </c>
      <c r="W751" s="48" t="s">
        <v>376</v>
      </c>
      <c r="X751" s="48" t="s">
        <v>376</v>
      </c>
      <c r="Y751" s="48" t="s">
        <v>376</v>
      </c>
      <c r="Z751" s="48" t="s">
        <v>376</v>
      </c>
      <c r="AA751" s="48" t="s">
        <v>376</v>
      </c>
      <c r="AB751" s="48" t="s">
        <v>376</v>
      </c>
      <c r="AC751" s="48" t="s">
        <v>376</v>
      </c>
      <c r="AD751" s="48" t="s">
        <v>320</v>
      </c>
      <c r="AE751" s="48" t="s">
        <v>376</v>
      </c>
      <c r="AF751" s="48" t="s">
        <v>376</v>
      </c>
      <c r="AG751" s="48" t="s">
        <v>376</v>
      </c>
      <c r="AH751" s="48" t="s">
        <v>376</v>
      </c>
      <c r="AI751" s="48" t="s">
        <v>376</v>
      </c>
      <c r="AJ751" s="48" t="s">
        <v>376</v>
      </c>
      <c r="AK751" s="48" t="s">
        <v>376</v>
      </c>
      <c r="AL751" s="48" t="s">
        <v>320</v>
      </c>
      <c r="AM751">
        <v>28</v>
      </c>
    </row>
    <row r="752" spans="1:41" hidden="1" x14ac:dyDescent="0.25">
      <c r="A752">
        <v>751</v>
      </c>
      <c r="B752">
        <v>2025</v>
      </c>
      <c r="C752">
        <v>11</v>
      </c>
      <c r="D752" t="s">
        <v>160</v>
      </c>
      <c r="E752">
        <v>31</v>
      </c>
      <c r="F752">
        <v>10</v>
      </c>
      <c r="G752" t="s">
        <v>430</v>
      </c>
      <c r="H752" s="48" t="s">
        <v>375</v>
      </c>
      <c r="I752" s="48" t="s">
        <v>375</v>
      </c>
      <c r="J752" s="48" t="s">
        <v>375</v>
      </c>
      <c r="K752" s="48" t="s">
        <v>375</v>
      </c>
      <c r="L752" s="48" t="s">
        <v>375</v>
      </c>
      <c r="M752" s="48" t="s">
        <v>375</v>
      </c>
      <c r="N752" s="48" t="s">
        <v>375</v>
      </c>
      <c r="O752" s="48" t="s">
        <v>375</v>
      </c>
      <c r="P752" s="48" t="s">
        <v>375</v>
      </c>
      <c r="Q752" s="48" t="s">
        <v>375</v>
      </c>
      <c r="R752" s="48" t="s">
        <v>375</v>
      </c>
      <c r="S752" s="48" t="s">
        <v>375</v>
      </c>
      <c r="T752" s="48" t="s">
        <v>375</v>
      </c>
      <c r="U752" s="48" t="s">
        <v>375</v>
      </c>
      <c r="V752" s="48" t="s">
        <v>375</v>
      </c>
      <c r="W752" s="48" t="s">
        <v>320</v>
      </c>
      <c r="X752" s="48" t="s">
        <v>375</v>
      </c>
      <c r="Y752" s="48" t="s">
        <v>375</v>
      </c>
      <c r="Z752" s="48" t="s">
        <v>375</v>
      </c>
      <c r="AA752" s="48" t="s">
        <v>375</v>
      </c>
      <c r="AB752" s="48" t="s">
        <v>375</v>
      </c>
      <c r="AC752" s="48" t="s">
        <v>375</v>
      </c>
      <c r="AD752" s="48" t="s">
        <v>375</v>
      </c>
      <c r="AE752" s="48" t="s">
        <v>375</v>
      </c>
      <c r="AF752" s="48" t="s">
        <v>375</v>
      </c>
      <c r="AG752" s="48" t="s">
        <v>375</v>
      </c>
      <c r="AH752" s="48" t="s">
        <v>375</v>
      </c>
      <c r="AI752" s="48" t="s">
        <v>375</v>
      </c>
      <c r="AJ752" s="48" t="s">
        <v>375</v>
      </c>
      <c r="AK752" s="48" t="s">
        <v>375</v>
      </c>
      <c r="AL752" s="48" t="s">
        <v>320</v>
      </c>
    </row>
    <row r="753" spans="1:41" hidden="1" x14ac:dyDescent="0.25">
      <c r="A753">
        <v>752</v>
      </c>
      <c r="B753">
        <v>2025</v>
      </c>
      <c r="C753">
        <v>11</v>
      </c>
      <c r="D753" t="s">
        <v>160</v>
      </c>
      <c r="E753">
        <v>31</v>
      </c>
      <c r="F753">
        <v>10</v>
      </c>
      <c r="G753" t="s">
        <v>431</v>
      </c>
      <c r="H753" s="48" t="s">
        <v>376</v>
      </c>
      <c r="I753" s="48" t="s">
        <v>376</v>
      </c>
      <c r="J753" s="48" t="s">
        <v>376</v>
      </c>
      <c r="K753" s="48" t="s">
        <v>376</v>
      </c>
      <c r="L753" s="48" t="s">
        <v>376</v>
      </c>
      <c r="M753" s="48" t="s">
        <v>376</v>
      </c>
      <c r="N753" s="48" t="s">
        <v>376</v>
      </c>
      <c r="O753" s="48" t="s">
        <v>376</v>
      </c>
      <c r="P753" s="48" t="s">
        <v>376</v>
      </c>
      <c r="Q753" s="48" t="s">
        <v>376</v>
      </c>
      <c r="R753" s="48" t="s">
        <v>376</v>
      </c>
      <c r="S753" s="48" t="s">
        <v>376</v>
      </c>
      <c r="T753" s="48" t="s">
        <v>376</v>
      </c>
      <c r="U753" s="48" t="s">
        <v>376</v>
      </c>
      <c r="V753" s="48" t="s">
        <v>376</v>
      </c>
      <c r="W753" s="48" t="s">
        <v>320</v>
      </c>
      <c r="X753" s="48" t="s">
        <v>376</v>
      </c>
      <c r="Y753" s="48" t="s">
        <v>376</v>
      </c>
      <c r="Z753" s="48" t="s">
        <v>376</v>
      </c>
      <c r="AA753" s="48" t="s">
        <v>376</v>
      </c>
      <c r="AB753" s="48" t="s">
        <v>376</v>
      </c>
      <c r="AC753" s="48" t="s">
        <v>376</v>
      </c>
      <c r="AD753" s="48" t="s">
        <v>376</v>
      </c>
      <c r="AE753" s="48" t="s">
        <v>376</v>
      </c>
      <c r="AF753" s="48" t="s">
        <v>376</v>
      </c>
      <c r="AG753" s="48" t="s">
        <v>376</v>
      </c>
      <c r="AH753" s="48" t="s">
        <v>376</v>
      </c>
      <c r="AI753" s="48" t="s">
        <v>376</v>
      </c>
      <c r="AJ753" s="48" t="s">
        <v>376</v>
      </c>
      <c r="AK753" s="48" t="s">
        <v>376</v>
      </c>
      <c r="AL753" s="48" t="s">
        <v>320</v>
      </c>
      <c r="AM753">
        <v>29</v>
      </c>
    </row>
    <row r="754" spans="1:41" hidden="1" x14ac:dyDescent="0.25">
      <c r="A754">
        <v>753</v>
      </c>
      <c r="B754">
        <v>2025</v>
      </c>
      <c r="C754">
        <v>11</v>
      </c>
      <c r="D754" t="s">
        <v>177</v>
      </c>
      <c r="E754">
        <v>31</v>
      </c>
      <c r="F754">
        <v>10</v>
      </c>
      <c r="G754" t="s">
        <v>430</v>
      </c>
      <c r="H754" s="48" t="s">
        <v>376</v>
      </c>
      <c r="I754" s="48" t="s">
        <v>376</v>
      </c>
      <c r="J754" s="48" t="s">
        <v>376</v>
      </c>
      <c r="K754" s="48" t="s">
        <v>376</v>
      </c>
      <c r="L754" s="48" t="s">
        <v>376</v>
      </c>
      <c r="M754" s="48" t="s">
        <v>376</v>
      </c>
      <c r="N754" s="48" t="s">
        <v>376</v>
      </c>
      <c r="O754" s="48" t="s">
        <v>376</v>
      </c>
      <c r="P754" s="48" t="s">
        <v>320</v>
      </c>
      <c r="Q754" s="48" t="s">
        <v>376</v>
      </c>
      <c r="R754" s="48" t="s">
        <v>376</v>
      </c>
      <c r="S754" s="48" t="s">
        <v>376</v>
      </c>
      <c r="T754" s="48" t="s">
        <v>376</v>
      </c>
      <c r="U754" s="48" t="s">
        <v>376</v>
      </c>
      <c r="V754" s="48" t="s">
        <v>429</v>
      </c>
      <c r="W754" s="48" t="s">
        <v>429</v>
      </c>
      <c r="X754" s="48" t="s">
        <v>429</v>
      </c>
      <c r="Y754" s="48" t="s">
        <v>429</v>
      </c>
      <c r="Z754" s="48" t="s">
        <v>429</v>
      </c>
      <c r="AA754" s="48" t="s">
        <v>429</v>
      </c>
      <c r="AB754" s="48" t="s">
        <v>429</v>
      </c>
      <c r="AC754" s="48" t="s">
        <v>429</v>
      </c>
      <c r="AD754" s="48" t="s">
        <v>429</v>
      </c>
      <c r="AE754" s="48" t="s">
        <v>429</v>
      </c>
      <c r="AF754" s="48" t="s">
        <v>429</v>
      </c>
      <c r="AG754" s="48" t="s">
        <v>429</v>
      </c>
      <c r="AH754" s="48" t="s">
        <v>429</v>
      </c>
      <c r="AI754" s="48" t="s">
        <v>429</v>
      </c>
      <c r="AJ754" s="48" t="s">
        <v>429</v>
      </c>
      <c r="AK754" s="48" t="s">
        <v>429</v>
      </c>
      <c r="AL754" s="48" t="s">
        <v>320</v>
      </c>
    </row>
    <row r="755" spans="1:41" hidden="1" x14ac:dyDescent="0.25">
      <c r="A755">
        <v>754</v>
      </c>
      <c r="B755">
        <v>2025</v>
      </c>
      <c r="C755">
        <v>11</v>
      </c>
      <c r="D755" t="s">
        <v>177</v>
      </c>
      <c r="E755">
        <v>31</v>
      </c>
      <c r="F755">
        <v>10</v>
      </c>
      <c r="G755" t="s">
        <v>431</v>
      </c>
      <c r="H755" s="48">
        <v>1.25</v>
      </c>
      <c r="I755" s="48">
        <v>1.25</v>
      </c>
      <c r="J755" s="48">
        <v>1.25</v>
      </c>
      <c r="K755" s="48">
        <v>1.375</v>
      </c>
      <c r="L755" s="48">
        <v>1.2083333333333333</v>
      </c>
      <c r="M755" s="48">
        <v>1.25</v>
      </c>
      <c r="N755" s="48">
        <v>1.25</v>
      </c>
      <c r="O755" s="48">
        <v>1.25</v>
      </c>
      <c r="P755" s="48" t="s">
        <v>320</v>
      </c>
      <c r="Q755" s="48">
        <v>1.25</v>
      </c>
      <c r="R755" s="48">
        <v>1.25</v>
      </c>
      <c r="S755" s="48">
        <v>1.25</v>
      </c>
      <c r="T755" s="48">
        <v>1.25</v>
      </c>
      <c r="U755" s="48">
        <v>1.25</v>
      </c>
      <c r="V755" s="48">
        <v>1.0416666666666665</v>
      </c>
      <c r="W755" s="48">
        <v>1.0416666666666665</v>
      </c>
      <c r="X755" s="48">
        <v>1.0416666666666665</v>
      </c>
      <c r="Y755" s="48">
        <v>1.0416666666666665</v>
      </c>
      <c r="Z755" s="48">
        <v>1.0416666666666665</v>
      </c>
      <c r="AA755" s="48">
        <v>1.0416666666666665</v>
      </c>
      <c r="AB755" s="48">
        <v>1</v>
      </c>
      <c r="AC755" s="48">
        <v>1.0833333333333333</v>
      </c>
      <c r="AD755" s="48">
        <v>1.0833333333333333</v>
      </c>
      <c r="AE755" s="48">
        <v>1</v>
      </c>
      <c r="AF755" s="48">
        <v>1</v>
      </c>
      <c r="AG755" s="48">
        <v>1.1666666666666665</v>
      </c>
      <c r="AH755" s="48">
        <v>1.0416666666666665</v>
      </c>
      <c r="AI755" s="48">
        <v>1.125</v>
      </c>
      <c r="AJ755" s="48">
        <v>1.2083333333333333</v>
      </c>
      <c r="AK755" s="48">
        <v>1.0833333333333333</v>
      </c>
      <c r="AL755" s="48" t="s">
        <v>320</v>
      </c>
      <c r="AM755">
        <v>29</v>
      </c>
      <c r="AO755">
        <v>39.999999999999972</v>
      </c>
    </row>
    <row r="756" spans="1:41" hidden="1" x14ac:dyDescent="0.25">
      <c r="A756">
        <v>755</v>
      </c>
      <c r="B756">
        <v>2025</v>
      </c>
      <c r="C756">
        <v>11</v>
      </c>
      <c r="D756" t="s">
        <v>169</v>
      </c>
      <c r="E756">
        <v>31</v>
      </c>
      <c r="F756">
        <v>10</v>
      </c>
      <c r="G756" t="s">
        <v>430</v>
      </c>
      <c r="H756" s="48" t="s">
        <v>375</v>
      </c>
      <c r="I756" s="48" t="s">
        <v>375</v>
      </c>
      <c r="J756" s="48" t="s">
        <v>375</v>
      </c>
      <c r="K756" s="48" t="s">
        <v>375</v>
      </c>
      <c r="L756" s="48" t="s">
        <v>375</v>
      </c>
      <c r="M756" s="48" t="s">
        <v>375</v>
      </c>
      <c r="N756" s="48" t="s">
        <v>375</v>
      </c>
      <c r="O756" s="48" t="s">
        <v>375</v>
      </c>
      <c r="P756" s="48" t="s">
        <v>320</v>
      </c>
      <c r="Q756" s="48" t="s">
        <v>375</v>
      </c>
      <c r="R756" s="48" t="s">
        <v>375</v>
      </c>
      <c r="S756" s="48" t="s">
        <v>375</v>
      </c>
      <c r="T756" s="48" t="s">
        <v>375</v>
      </c>
      <c r="U756" s="48" t="s">
        <v>375</v>
      </c>
      <c r="V756" s="48" t="s">
        <v>375</v>
      </c>
      <c r="W756" s="48" t="s">
        <v>375</v>
      </c>
      <c r="X756" s="48" t="s">
        <v>375</v>
      </c>
      <c r="Y756" s="48" t="s">
        <v>375</v>
      </c>
      <c r="Z756" s="48" t="s">
        <v>375</v>
      </c>
      <c r="AA756" s="48" t="s">
        <v>375</v>
      </c>
      <c r="AB756" s="48" t="s">
        <v>375</v>
      </c>
      <c r="AC756" s="48" t="s">
        <v>375</v>
      </c>
      <c r="AD756" s="48" t="s">
        <v>375</v>
      </c>
      <c r="AE756" s="48" t="s">
        <v>375</v>
      </c>
      <c r="AF756" s="48" t="s">
        <v>375</v>
      </c>
      <c r="AG756" s="48" t="s">
        <v>375</v>
      </c>
      <c r="AH756" s="48" t="s">
        <v>375</v>
      </c>
      <c r="AI756" s="48" t="s">
        <v>375</v>
      </c>
      <c r="AJ756" s="48" t="s">
        <v>375</v>
      </c>
      <c r="AK756" s="48" t="s">
        <v>375</v>
      </c>
      <c r="AL756" s="48" t="s">
        <v>320</v>
      </c>
    </row>
    <row r="757" spans="1:41" hidden="1" x14ac:dyDescent="0.25">
      <c r="A757">
        <v>756</v>
      </c>
      <c r="B757">
        <v>2025</v>
      </c>
      <c r="C757">
        <v>11</v>
      </c>
      <c r="D757" t="s">
        <v>169</v>
      </c>
      <c r="E757">
        <v>31</v>
      </c>
      <c r="F757">
        <v>10</v>
      </c>
      <c r="G757" t="s">
        <v>431</v>
      </c>
      <c r="H757" s="48">
        <v>0.75</v>
      </c>
      <c r="I757" s="48">
        <v>0.75</v>
      </c>
      <c r="J757" s="48">
        <v>0.875</v>
      </c>
      <c r="K757" s="48">
        <v>0.75</v>
      </c>
      <c r="L757" s="48">
        <v>1.1666666666666667</v>
      </c>
      <c r="M757" s="48">
        <v>0.75</v>
      </c>
      <c r="N757" s="48">
        <v>0.75</v>
      </c>
      <c r="O757" s="48">
        <v>1.1666666666666667</v>
      </c>
      <c r="P757" s="48" t="s">
        <v>320</v>
      </c>
      <c r="Q757" s="48">
        <v>0.75</v>
      </c>
      <c r="R757" s="48">
        <v>0.75</v>
      </c>
      <c r="S757" s="48">
        <v>0.75</v>
      </c>
      <c r="T757" s="48">
        <v>0.75</v>
      </c>
      <c r="U757" s="48">
        <v>0.79166666666666674</v>
      </c>
      <c r="V757" s="48">
        <v>1.125</v>
      </c>
      <c r="W757" s="48">
        <v>0.75</v>
      </c>
      <c r="X757" s="48">
        <v>0.79166666666666674</v>
      </c>
      <c r="Y757" s="48">
        <v>0.75</v>
      </c>
      <c r="Z757" s="48">
        <v>1.125</v>
      </c>
      <c r="AA757" s="48">
        <v>0.75</v>
      </c>
      <c r="AB757" s="48">
        <v>0.75</v>
      </c>
      <c r="AC757" s="48">
        <v>0.75</v>
      </c>
      <c r="AD757" s="48">
        <v>0.75</v>
      </c>
      <c r="AE757" s="48">
        <v>0.79166666666666674</v>
      </c>
      <c r="AF757" s="48">
        <v>0.75</v>
      </c>
      <c r="AG757" s="48">
        <v>0.75</v>
      </c>
      <c r="AH757" s="48">
        <v>0.875</v>
      </c>
      <c r="AI757" s="48">
        <v>0.75</v>
      </c>
      <c r="AJ757" s="48">
        <v>0.75</v>
      </c>
      <c r="AK757" s="48">
        <v>0.75</v>
      </c>
      <c r="AL757" s="48" t="s">
        <v>320</v>
      </c>
      <c r="AM757">
        <v>29</v>
      </c>
      <c r="AO757">
        <v>47</v>
      </c>
    </row>
    <row r="758" spans="1:41" hidden="1" x14ac:dyDescent="0.25">
      <c r="A758">
        <v>757</v>
      </c>
      <c r="B758">
        <v>2025</v>
      </c>
      <c r="C758">
        <v>11</v>
      </c>
      <c r="D758" t="s">
        <v>170</v>
      </c>
      <c r="E758">
        <v>31</v>
      </c>
      <c r="F758">
        <v>10</v>
      </c>
      <c r="G758" t="s">
        <v>430</v>
      </c>
      <c r="H758" s="48" t="s">
        <v>375</v>
      </c>
      <c r="I758" s="48" t="s">
        <v>375</v>
      </c>
      <c r="J758" s="48" t="s">
        <v>375</v>
      </c>
      <c r="K758" s="48" t="s">
        <v>375</v>
      </c>
      <c r="L758" s="48" t="s">
        <v>375</v>
      </c>
      <c r="M758" s="48" t="s">
        <v>375</v>
      </c>
      <c r="N758" s="48" t="s">
        <v>375</v>
      </c>
      <c r="O758" s="48" t="s">
        <v>375</v>
      </c>
      <c r="P758" s="48" t="s">
        <v>320</v>
      </c>
      <c r="Q758" s="48" t="s">
        <v>375</v>
      </c>
      <c r="R758" s="48" t="s">
        <v>375</v>
      </c>
      <c r="S758" s="48" t="s">
        <v>375</v>
      </c>
      <c r="T758" s="48" t="s">
        <v>375</v>
      </c>
      <c r="U758" s="48" t="s">
        <v>375</v>
      </c>
      <c r="V758" s="48" t="s">
        <v>375</v>
      </c>
      <c r="W758" s="48" t="s">
        <v>375</v>
      </c>
      <c r="X758" s="48" t="s">
        <v>375</v>
      </c>
      <c r="Y758" s="48" t="s">
        <v>375</v>
      </c>
      <c r="Z758" s="48" t="s">
        <v>375</v>
      </c>
      <c r="AA758" s="48" t="s">
        <v>375</v>
      </c>
      <c r="AB758" s="48" t="s">
        <v>375</v>
      </c>
      <c r="AC758" s="48" t="s">
        <v>375</v>
      </c>
      <c r="AD758" s="48" t="s">
        <v>320</v>
      </c>
      <c r="AE758" s="48" t="s">
        <v>375</v>
      </c>
      <c r="AF758" s="48" t="s">
        <v>375</v>
      </c>
      <c r="AG758" s="48" t="s">
        <v>375</v>
      </c>
      <c r="AH758" s="48" t="s">
        <v>375</v>
      </c>
      <c r="AI758" s="48" t="s">
        <v>375</v>
      </c>
      <c r="AJ758" s="48" t="s">
        <v>375</v>
      </c>
      <c r="AK758" s="48" t="s">
        <v>320</v>
      </c>
      <c r="AL758" s="48" t="s">
        <v>320</v>
      </c>
    </row>
    <row r="759" spans="1:41" hidden="1" x14ac:dyDescent="0.25">
      <c r="A759">
        <v>758</v>
      </c>
      <c r="B759">
        <v>2025</v>
      </c>
      <c r="C759">
        <v>11</v>
      </c>
      <c r="D759" t="s">
        <v>170</v>
      </c>
      <c r="E759">
        <v>31</v>
      </c>
      <c r="F759">
        <v>10</v>
      </c>
      <c r="G759" t="s">
        <v>431</v>
      </c>
      <c r="H759" s="48">
        <v>0.83333333333333326</v>
      </c>
      <c r="I759" s="48">
        <v>0.83333333333333326</v>
      </c>
      <c r="J759" s="48">
        <v>0.83333333333333326</v>
      </c>
      <c r="K759" s="48">
        <v>0.83333333333333326</v>
      </c>
      <c r="L759" s="48">
        <v>0.83333333333333326</v>
      </c>
      <c r="M759" s="48">
        <v>0.83333333333333326</v>
      </c>
      <c r="N759" s="48">
        <v>0.875</v>
      </c>
      <c r="O759" s="48">
        <v>0.83333333333333326</v>
      </c>
      <c r="P759" s="48" t="s">
        <v>320</v>
      </c>
      <c r="Q759" s="48">
        <v>0.83333333333333326</v>
      </c>
      <c r="R759" s="48">
        <v>0.83333333333333326</v>
      </c>
      <c r="S759" s="48">
        <v>0.83333333333333326</v>
      </c>
      <c r="T759" s="48">
        <v>0.83333333333333326</v>
      </c>
      <c r="U759" s="48">
        <v>0.83333333333333326</v>
      </c>
      <c r="V759" s="48">
        <v>0.83333333333333326</v>
      </c>
      <c r="W759" s="48">
        <v>0.83333333333333326</v>
      </c>
      <c r="X759" s="48">
        <v>0.83333333333333326</v>
      </c>
      <c r="Y759" s="48">
        <v>0.875</v>
      </c>
      <c r="Z759" s="48">
        <v>0.83333333333333326</v>
      </c>
      <c r="AA759" s="48">
        <v>0.83333333333333326</v>
      </c>
      <c r="AB759" s="48">
        <v>0.875</v>
      </c>
      <c r="AC759" s="48">
        <v>0.875</v>
      </c>
      <c r="AD759" s="48" t="s">
        <v>320</v>
      </c>
      <c r="AE759" s="48">
        <v>0.83333333333333326</v>
      </c>
      <c r="AF759" s="48">
        <v>0.83333333333333326</v>
      </c>
      <c r="AG759" s="48">
        <v>0.83333333333333326</v>
      </c>
      <c r="AH759" s="48">
        <v>0.83333333333333326</v>
      </c>
      <c r="AI759" s="48">
        <v>0.875</v>
      </c>
      <c r="AJ759" s="48">
        <v>0.875</v>
      </c>
      <c r="AK759" s="48" t="s">
        <v>320</v>
      </c>
      <c r="AL759" s="48" t="s">
        <v>320</v>
      </c>
      <c r="AM759">
        <v>30</v>
      </c>
      <c r="AO759">
        <v>59.999999999999943</v>
      </c>
    </row>
    <row r="760" spans="1:41" hidden="1" x14ac:dyDescent="0.25">
      <c r="A760">
        <v>759</v>
      </c>
      <c r="B760">
        <v>2025</v>
      </c>
      <c r="C760">
        <v>11</v>
      </c>
      <c r="D760" t="s">
        <v>166</v>
      </c>
      <c r="E760">
        <v>31</v>
      </c>
      <c r="F760">
        <v>10</v>
      </c>
      <c r="G760" t="s">
        <v>430</v>
      </c>
      <c r="H760" s="48" t="s">
        <v>375</v>
      </c>
      <c r="I760" s="48" t="s">
        <v>375</v>
      </c>
      <c r="J760" s="48" t="s">
        <v>375</v>
      </c>
      <c r="K760" s="48" t="s">
        <v>375</v>
      </c>
      <c r="L760" s="48" t="s">
        <v>375</v>
      </c>
      <c r="M760" s="48" t="s">
        <v>375</v>
      </c>
      <c r="N760" s="48" t="s">
        <v>375</v>
      </c>
      <c r="O760" s="48" t="s">
        <v>375</v>
      </c>
      <c r="P760" s="48" t="s">
        <v>320</v>
      </c>
      <c r="Q760" s="48" t="s">
        <v>375</v>
      </c>
      <c r="R760" s="48" t="s">
        <v>375</v>
      </c>
      <c r="S760" s="48" t="s">
        <v>375</v>
      </c>
      <c r="T760" s="48" t="s">
        <v>375</v>
      </c>
      <c r="U760" s="48" t="s">
        <v>375</v>
      </c>
      <c r="V760" s="48" t="s">
        <v>320</v>
      </c>
      <c r="W760" s="48" t="s">
        <v>320</v>
      </c>
      <c r="X760" s="48" t="s">
        <v>320</v>
      </c>
      <c r="Y760" s="48" t="s">
        <v>320</v>
      </c>
      <c r="Z760" s="48" t="s">
        <v>320</v>
      </c>
      <c r="AA760" s="48" t="s">
        <v>320</v>
      </c>
      <c r="AB760" s="48" t="s">
        <v>320</v>
      </c>
      <c r="AC760" s="48" t="s">
        <v>320</v>
      </c>
      <c r="AD760" s="48" t="s">
        <v>320</v>
      </c>
      <c r="AE760" s="48" t="s">
        <v>320</v>
      </c>
      <c r="AF760" s="48" t="s">
        <v>320</v>
      </c>
      <c r="AG760" s="48" t="s">
        <v>320</v>
      </c>
      <c r="AH760" s="48" t="s">
        <v>320</v>
      </c>
      <c r="AI760" s="48" t="s">
        <v>320</v>
      </c>
      <c r="AJ760" s="48" t="s">
        <v>320</v>
      </c>
      <c r="AK760" s="48" t="s">
        <v>320</v>
      </c>
      <c r="AL760" s="48" t="s">
        <v>320</v>
      </c>
    </row>
    <row r="761" spans="1:41" hidden="1" x14ac:dyDescent="0.25">
      <c r="A761">
        <v>760</v>
      </c>
      <c r="B761">
        <v>2025</v>
      </c>
      <c r="C761">
        <v>11</v>
      </c>
      <c r="D761" t="s">
        <v>166</v>
      </c>
      <c r="E761">
        <v>31</v>
      </c>
      <c r="F761">
        <v>10</v>
      </c>
      <c r="G761" t="s">
        <v>431</v>
      </c>
      <c r="H761" s="48">
        <v>0.75</v>
      </c>
      <c r="I761" s="48">
        <v>0.875</v>
      </c>
      <c r="J761" s="48">
        <v>0.875</v>
      </c>
      <c r="K761" s="48">
        <v>0.83333333333333326</v>
      </c>
      <c r="L761" s="48">
        <v>0.75</v>
      </c>
      <c r="M761" s="48">
        <v>0.875</v>
      </c>
      <c r="N761" s="48">
        <v>0.75</v>
      </c>
      <c r="O761" s="48">
        <v>0.75</v>
      </c>
      <c r="P761" s="48" t="s">
        <v>320</v>
      </c>
      <c r="Q761" s="48">
        <v>1</v>
      </c>
      <c r="R761" s="48">
        <v>0.875</v>
      </c>
      <c r="S761" s="48">
        <v>0.75</v>
      </c>
      <c r="T761" s="48">
        <v>0.79166666666666674</v>
      </c>
      <c r="U761" s="48">
        <v>0.75</v>
      </c>
      <c r="V761" s="48" t="s">
        <v>320</v>
      </c>
      <c r="W761" s="48" t="s">
        <v>320</v>
      </c>
      <c r="X761" s="48" t="s">
        <v>320</v>
      </c>
      <c r="Y761" s="48" t="s">
        <v>320</v>
      </c>
      <c r="Z761" s="48" t="s">
        <v>320</v>
      </c>
      <c r="AA761" s="48" t="s">
        <v>320</v>
      </c>
      <c r="AB761" s="48" t="s">
        <v>320</v>
      </c>
      <c r="AC761" s="48" t="s">
        <v>320</v>
      </c>
      <c r="AD761" s="48" t="s">
        <v>320</v>
      </c>
      <c r="AE761" s="48" t="s">
        <v>320</v>
      </c>
      <c r="AF761" s="48" t="s">
        <v>320</v>
      </c>
      <c r="AG761" s="48" t="s">
        <v>320</v>
      </c>
      <c r="AH761" s="48" t="s">
        <v>320</v>
      </c>
      <c r="AI761" s="48" t="s">
        <v>320</v>
      </c>
      <c r="AJ761" s="48" t="s">
        <v>320</v>
      </c>
      <c r="AK761" s="48" t="s">
        <v>320</v>
      </c>
      <c r="AL761" s="48" t="s">
        <v>320</v>
      </c>
      <c r="AM761">
        <v>13</v>
      </c>
      <c r="AO761">
        <v>20.999999999999993</v>
      </c>
    </row>
    <row r="762" spans="1:41" hidden="1" x14ac:dyDescent="0.25">
      <c r="A762">
        <v>761</v>
      </c>
      <c r="B762">
        <v>2025</v>
      </c>
      <c r="C762">
        <v>11</v>
      </c>
      <c r="D762" t="s">
        <v>144</v>
      </c>
      <c r="E762">
        <v>31</v>
      </c>
      <c r="F762">
        <v>10</v>
      </c>
      <c r="G762" t="s">
        <v>430</v>
      </c>
      <c r="H762" s="48" t="s">
        <v>375</v>
      </c>
      <c r="I762" s="48" t="s">
        <v>375</v>
      </c>
      <c r="J762" s="48" t="s">
        <v>375</v>
      </c>
      <c r="K762" s="48" t="s">
        <v>375</v>
      </c>
      <c r="L762" s="48" t="s">
        <v>375</v>
      </c>
      <c r="M762" s="48" t="s">
        <v>375</v>
      </c>
      <c r="N762" s="48" t="s">
        <v>375</v>
      </c>
      <c r="O762" s="48" t="s">
        <v>375</v>
      </c>
      <c r="P762" s="48" t="s">
        <v>320</v>
      </c>
      <c r="Q762" s="48" t="s">
        <v>375</v>
      </c>
      <c r="R762" s="48" t="s">
        <v>375</v>
      </c>
      <c r="S762" s="48" t="s">
        <v>375</v>
      </c>
      <c r="T762" s="48" t="s">
        <v>375</v>
      </c>
      <c r="U762" s="48" t="s">
        <v>375</v>
      </c>
      <c r="V762" s="48" t="s">
        <v>375</v>
      </c>
      <c r="W762" s="48" t="s">
        <v>375</v>
      </c>
      <c r="X762" s="48" t="s">
        <v>375</v>
      </c>
      <c r="Y762" s="48" t="s">
        <v>375</v>
      </c>
      <c r="Z762" s="48" t="s">
        <v>375</v>
      </c>
      <c r="AA762" s="48" t="s">
        <v>375</v>
      </c>
      <c r="AB762" s="48" t="s">
        <v>375</v>
      </c>
      <c r="AC762" s="48" t="s">
        <v>375</v>
      </c>
      <c r="AD762" s="48" t="s">
        <v>375</v>
      </c>
      <c r="AE762" s="48" t="s">
        <v>375</v>
      </c>
      <c r="AF762" s="48" t="s">
        <v>375</v>
      </c>
      <c r="AG762" s="48" t="s">
        <v>375</v>
      </c>
      <c r="AH762" s="48" t="s">
        <v>375</v>
      </c>
      <c r="AI762" s="48" t="s">
        <v>375</v>
      </c>
      <c r="AJ762" s="48" t="s">
        <v>375</v>
      </c>
      <c r="AK762" s="48" t="s">
        <v>375</v>
      </c>
      <c r="AL762" s="48" t="s">
        <v>320</v>
      </c>
    </row>
    <row r="763" spans="1:41" hidden="1" x14ac:dyDescent="0.25">
      <c r="A763">
        <v>762</v>
      </c>
      <c r="B763">
        <v>2025</v>
      </c>
      <c r="C763">
        <v>11</v>
      </c>
      <c r="D763" t="s">
        <v>144</v>
      </c>
      <c r="E763">
        <v>31</v>
      </c>
      <c r="F763">
        <v>10</v>
      </c>
      <c r="G763" t="s">
        <v>431</v>
      </c>
      <c r="H763" s="48" t="s">
        <v>389</v>
      </c>
      <c r="I763" s="48" t="s">
        <v>376</v>
      </c>
      <c r="J763" s="48" t="s">
        <v>390</v>
      </c>
      <c r="K763" s="48" t="s">
        <v>376</v>
      </c>
      <c r="L763" s="48" t="s">
        <v>390</v>
      </c>
      <c r="M763" s="48" t="s">
        <v>376</v>
      </c>
      <c r="N763" s="48" t="s">
        <v>389</v>
      </c>
      <c r="O763" s="48" t="s">
        <v>376</v>
      </c>
      <c r="P763" s="48" t="s">
        <v>320</v>
      </c>
      <c r="Q763" s="48" t="s">
        <v>389</v>
      </c>
      <c r="R763" s="48" t="s">
        <v>390</v>
      </c>
      <c r="S763" s="48" t="s">
        <v>376</v>
      </c>
      <c r="T763" s="48" t="s">
        <v>411</v>
      </c>
      <c r="U763" s="48" t="s">
        <v>390</v>
      </c>
      <c r="V763" s="48" t="s">
        <v>376</v>
      </c>
      <c r="W763" s="48" t="s">
        <v>420</v>
      </c>
      <c r="X763" s="48" t="s">
        <v>376</v>
      </c>
      <c r="Y763" s="48" t="s">
        <v>411</v>
      </c>
      <c r="Z763" s="48" t="s">
        <v>376</v>
      </c>
      <c r="AA763" s="48" t="s">
        <v>390</v>
      </c>
      <c r="AB763" s="48" t="s">
        <v>420</v>
      </c>
      <c r="AC763" s="48" t="s">
        <v>376</v>
      </c>
      <c r="AD763" s="48" t="s">
        <v>376</v>
      </c>
      <c r="AE763" s="48" t="s">
        <v>389</v>
      </c>
      <c r="AF763" s="48" t="s">
        <v>389</v>
      </c>
      <c r="AG763" s="48" t="s">
        <v>376</v>
      </c>
      <c r="AH763" s="48" t="s">
        <v>390</v>
      </c>
      <c r="AI763" s="48" t="s">
        <v>376</v>
      </c>
      <c r="AJ763" s="48" t="s">
        <v>376</v>
      </c>
      <c r="AK763" s="48" t="s">
        <v>376</v>
      </c>
      <c r="AL763" s="48" t="s">
        <v>320</v>
      </c>
      <c r="AM763">
        <v>29</v>
      </c>
      <c r="AO763">
        <v>46</v>
      </c>
    </row>
    <row r="764" spans="1:41" hidden="1" x14ac:dyDescent="0.25">
      <c r="A764">
        <v>763</v>
      </c>
      <c r="B764">
        <v>2025</v>
      </c>
      <c r="C764">
        <v>11</v>
      </c>
      <c r="D764" t="s">
        <v>129</v>
      </c>
      <c r="E764">
        <v>31</v>
      </c>
      <c r="F764">
        <v>10</v>
      </c>
      <c r="G764" t="s">
        <v>430</v>
      </c>
      <c r="H764" s="48" t="s">
        <v>375</v>
      </c>
      <c r="I764" s="48" t="s">
        <v>375</v>
      </c>
      <c r="J764" s="48" t="s">
        <v>375</v>
      </c>
      <c r="K764" s="48" t="s">
        <v>375</v>
      </c>
      <c r="L764" s="48" t="s">
        <v>375</v>
      </c>
      <c r="M764" s="48" t="s">
        <v>375</v>
      </c>
      <c r="N764" s="48" t="s">
        <v>375</v>
      </c>
      <c r="O764" s="48" t="s">
        <v>375</v>
      </c>
      <c r="P764" s="48" t="s">
        <v>320</v>
      </c>
      <c r="Q764" s="48" t="s">
        <v>375</v>
      </c>
      <c r="R764" s="48" t="s">
        <v>375</v>
      </c>
      <c r="S764" s="48" t="s">
        <v>375</v>
      </c>
      <c r="T764" s="48" t="s">
        <v>375</v>
      </c>
      <c r="U764" s="48" t="s">
        <v>375</v>
      </c>
      <c r="V764" s="48" t="s">
        <v>375</v>
      </c>
      <c r="W764" s="48" t="s">
        <v>375</v>
      </c>
      <c r="X764" s="48" t="s">
        <v>375</v>
      </c>
      <c r="Y764" s="48" t="s">
        <v>375</v>
      </c>
      <c r="Z764" s="48" t="s">
        <v>375</v>
      </c>
      <c r="AA764" s="48" t="s">
        <v>375</v>
      </c>
      <c r="AB764" s="48" t="s">
        <v>375</v>
      </c>
      <c r="AC764" s="48" t="s">
        <v>375</v>
      </c>
      <c r="AD764" s="48" t="s">
        <v>375</v>
      </c>
      <c r="AE764" s="48" t="s">
        <v>375</v>
      </c>
      <c r="AF764" s="48" t="s">
        <v>375</v>
      </c>
      <c r="AG764" s="48" t="s">
        <v>375</v>
      </c>
      <c r="AH764" s="48" t="s">
        <v>375</v>
      </c>
      <c r="AI764" s="48" t="s">
        <v>375</v>
      </c>
      <c r="AJ764" s="48" t="s">
        <v>375</v>
      </c>
      <c r="AK764" s="48" t="s">
        <v>375</v>
      </c>
      <c r="AL764" s="48" t="s">
        <v>320</v>
      </c>
    </row>
    <row r="765" spans="1:41" hidden="1" x14ac:dyDescent="0.25">
      <c r="A765">
        <v>764</v>
      </c>
      <c r="B765">
        <v>2025</v>
      </c>
      <c r="C765">
        <v>11</v>
      </c>
      <c r="D765" t="s">
        <v>129</v>
      </c>
      <c r="E765">
        <v>31</v>
      </c>
      <c r="F765">
        <v>10</v>
      </c>
      <c r="G765" t="s">
        <v>431</v>
      </c>
      <c r="H765" s="48">
        <v>0.91666666666666674</v>
      </c>
      <c r="I765" s="48">
        <v>0.75</v>
      </c>
      <c r="J765" s="48">
        <v>0.79166666666666674</v>
      </c>
      <c r="K765" s="48">
        <v>0.75</v>
      </c>
      <c r="L765" s="48">
        <v>0.75</v>
      </c>
      <c r="M765" s="48">
        <v>0.875</v>
      </c>
      <c r="N765" s="48">
        <v>0.75</v>
      </c>
      <c r="O765" s="48">
        <v>0.75</v>
      </c>
      <c r="P765" s="48" t="s">
        <v>320</v>
      </c>
      <c r="Q765" s="48">
        <v>0.91666666666666674</v>
      </c>
      <c r="R765" s="48">
        <v>0.75</v>
      </c>
      <c r="S765" s="48">
        <v>0.75</v>
      </c>
      <c r="T765" s="48">
        <v>0.75</v>
      </c>
      <c r="U765" s="48">
        <v>0.75</v>
      </c>
      <c r="V765" s="48">
        <v>0.91666666666666674</v>
      </c>
      <c r="W765" s="48">
        <v>0.75</v>
      </c>
      <c r="X765" s="48">
        <v>0.91666666666666674</v>
      </c>
      <c r="Y765" s="48">
        <v>0.75</v>
      </c>
      <c r="Z765" s="48">
        <v>0.75</v>
      </c>
      <c r="AA765" s="48">
        <v>0.75</v>
      </c>
      <c r="AB765" s="48">
        <v>0.75</v>
      </c>
      <c r="AC765" s="48">
        <v>0.75</v>
      </c>
      <c r="AD765" s="48">
        <v>0.75</v>
      </c>
      <c r="AE765" s="48">
        <v>0.75</v>
      </c>
      <c r="AF765" s="48">
        <v>0.875</v>
      </c>
      <c r="AG765" s="48">
        <v>1</v>
      </c>
      <c r="AH765" s="48">
        <v>0.75</v>
      </c>
      <c r="AI765" s="48">
        <v>0.75</v>
      </c>
      <c r="AJ765" s="48">
        <v>0.79166666666666674</v>
      </c>
      <c r="AK765" s="48">
        <v>0.75</v>
      </c>
      <c r="AL765" s="48" t="s">
        <v>320</v>
      </c>
      <c r="AM765">
        <v>29</v>
      </c>
      <c r="AO765">
        <v>30</v>
      </c>
    </row>
    <row r="766" spans="1:41" hidden="1" x14ac:dyDescent="0.25">
      <c r="A766">
        <v>765</v>
      </c>
      <c r="B766">
        <v>2025</v>
      </c>
      <c r="C766">
        <v>11</v>
      </c>
      <c r="D766" t="s">
        <v>159</v>
      </c>
      <c r="E766">
        <v>31</v>
      </c>
      <c r="F766">
        <v>10</v>
      </c>
      <c r="G766" t="s">
        <v>430</v>
      </c>
      <c r="H766" s="48" t="s">
        <v>375</v>
      </c>
      <c r="I766" s="48" t="s">
        <v>375</v>
      </c>
      <c r="J766" s="48" t="s">
        <v>375</v>
      </c>
      <c r="K766" s="48" t="s">
        <v>375</v>
      </c>
      <c r="L766" s="48" t="s">
        <v>375</v>
      </c>
      <c r="M766" s="48" t="s">
        <v>375</v>
      </c>
      <c r="N766" s="48" t="s">
        <v>375</v>
      </c>
      <c r="O766" s="48" t="s">
        <v>375</v>
      </c>
      <c r="P766" s="48" t="s">
        <v>320</v>
      </c>
      <c r="Q766" s="48" t="s">
        <v>375</v>
      </c>
      <c r="R766" s="48" t="s">
        <v>375</v>
      </c>
      <c r="S766" s="48" t="s">
        <v>375</v>
      </c>
      <c r="T766" s="48" t="s">
        <v>375</v>
      </c>
      <c r="U766" s="48" t="s">
        <v>375</v>
      </c>
      <c r="V766" s="48" t="s">
        <v>375</v>
      </c>
      <c r="W766" s="48" t="s">
        <v>375</v>
      </c>
      <c r="X766" s="48" t="s">
        <v>375</v>
      </c>
      <c r="Y766" s="48" t="s">
        <v>320</v>
      </c>
      <c r="Z766" s="48" t="s">
        <v>375</v>
      </c>
      <c r="AA766" s="48" t="s">
        <v>375</v>
      </c>
      <c r="AB766" s="48" t="s">
        <v>375</v>
      </c>
      <c r="AC766" s="48" t="s">
        <v>375</v>
      </c>
      <c r="AD766" s="48" t="s">
        <v>320</v>
      </c>
      <c r="AE766" s="48" t="s">
        <v>375</v>
      </c>
      <c r="AF766" s="48" t="s">
        <v>375</v>
      </c>
      <c r="AG766" s="48" t="s">
        <v>375</v>
      </c>
      <c r="AH766" s="48" t="s">
        <v>375</v>
      </c>
      <c r="AI766" s="48" t="s">
        <v>375</v>
      </c>
      <c r="AJ766" s="48" t="s">
        <v>375</v>
      </c>
      <c r="AK766" s="48" t="s">
        <v>375</v>
      </c>
      <c r="AL766" s="48" t="s">
        <v>320</v>
      </c>
    </row>
    <row r="767" spans="1:41" hidden="1" x14ac:dyDescent="0.25">
      <c r="A767">
        <v>766</v>
      </c>
      <c r="B767">
        <v>2025</v>
      </c>
      <c r="C767">
        <v>11</v>
      </c>
      <c r="D767" t="s">
        <v>159</v>
      </c>
      <c r="E767">
        <v>31</v>
      </c>
      <c r="F767">
        <v>10</v>
      </c>
      <c r="G767" t="s">
        <v>431</v>
      </c>
      <c r="H767" s="48">
        <v>0.25</v>
      </c>
      <c r="I767" s="48">
        <v>0.25</v>
      </c>
      <c r="J767" s="48">
        <v>0.25</v>
      </c>
      <c r="K767" s="48">
        <v>0.25</v>
      </c>
      <c r="L767" s="48">
        <v>0.25</v>
      </c>
      <c r="M767" s="48">
        <v>0.25</v>
      </c>
      <c r="N767" s="48">
        <v>0.25</v>
      </c>
      <c r="O767" s="48">
        <v>0.25</v>
      </c>
      <c r="P767" s="48" t="s">
        <v>320</v>
      </c>
      <c r="Q767" s="48">
        <v>0.75</v>
      </c>
      <c r="R767" s="48">
        <v>0.25</v>
      </c>
      <c r="S767" s="48">
        <v>0.25</v>
      </c>
      <c r="T767" s="48">
        <v>0.25</v>
      </c>
      <c r="U767" s="48">
        <v>0.25</v>
      </c>
      <c r="V767" s="48">
        <v>0.25</v>
      </c>
      <c r="W767" s="48">
        <v>0.25</v>
      </c>
      <c r="X767" s="48">
        <v>0.25</v>
      </c>
      <c r="Y767" s="48" t="s">
        <v>320</v>
      </c>
      <c r="Z767" s="48">
        <v>0.25</v>
      </c>
      <c r="AA767" s="48">
        <v>0.25</v>
      </c>
      <c r="AB767" s="48">
        <v>0.25</v>
      </c>
      <c r="AC767" s="48">
        <v>0.25</v>
      </c>
      <c r="AD767" s="48" t="s">
        <v>320</v>
      </c>
      <c r="AE767" s="48">
        <v>0.25</v>
      </c>
      <c r="AF767" s="48">
        <v>0.25</v>
      </c>
      <c r="AG767" s="48">
        <v>0.25</v>
      </c>
      <c r="AH767" s="48">
        <v>0.25</v>
      </c>
      <c r="AI767" s="48">
        <v>0.25</v>
      </c>
      <c r="AJ767" s="48">
        <v>0.25</v>
      </c>
      <c r="AK767" s="48">
        <v>0.25</v>
      </c>
      <c r="AL767" s="48" t="s">
        <v>320</v>
      </c>
      <c r="AM767">
        <v>1</v>
      </c>
      <c r="AN767">
        <v>26</v>
      </c>
    </row>
    <row r="768" spans="1:41" hidden="1" x14ac:dyDescent="0.25">
      <c r="A768">
        <v>767</v>
      </c>
      <c r="B768">
        <v>2025</v>
      </c>
      <c r="C768">
        <v>11</v>
      </c>
      <c r="D768" t="s">
        <v>175</v>
      </c>
      <c r="E768">
        <v>31</v>
      </c>
      <c r="F768">
        <v>10</v>
      </c>
      <c r="G768" t="s">
        <v>430</v>
      </c>
      <c r="H768" s="48" t="s">
        <v>375</v>
      </c>
      <c r="I768" s="48" t="s">
        <v>320</v>
      </c>
      <c r="J768" s="48" t="s">
        <v>375</v>
      </c>
      <c r="K768" s="48" t="s">
        <v>375</v>
      </c>
      <c r="L768" s="48" t="s">
        <v>375</v>
      </c>
      <c r="M768" s="48" t="s">
        <v>375</v>
      </c>
      <c r="N768" s="48" t="s">
        <v>375</v>
      </c>
      <c r="O768" s="48" t="s">
        <v>375</v>
      </c>
      <c r="P768" s="48" t="s">
        <v>320</v>
      </c>
      <c r="Q768" s="48" t="s">
        <v>375</v>
      </c>
      <c r="R768" s="48" t="s">
        <v>375</v>
      </c>
      <c r="S768" s="48" t="s">
        <v>375</v>
      </c>
      <c r="T768" s="48" t="s">
        <v>375</v>
      </c>
      <c r="U768" s="48" t="s">
        <v>375</v>
      </c>
      <c r="V768" s="48" t="s">
        <v>375</v>
      </c>
      <c r="W768" s="48" t="s">
        <v>375</v>
      </c>
      <c r="X768" s="48" t="s">
        <v>375</v>
      </c>
      <c r="Y768" s="48" t="s">
        <v>375</v>
      </c>
      <c r="Z768" s="48" t="s">
        <v>375</v>
      </c>
      <c r="AA768" s="48" t="s">
        <v>375</v>
      </c>
      <c r="AB768" s="48" t="s">
        <v>375</v>
      </c>
      <c r="AC768" s="48" t="s">
        <v>375</v>
      </c>
      <c r="AD768" s="48" t="s">
        <v>375</v>
      </c>
      <c r="AE768" s="48" t="s">
        <v>375</v>
      </c>
      <c r="AF768" s="48" t="s">
        <v>375</v>
      </c>
      <c r="AG768" s="48" t="s">
        <v>375</v>
      </c>
      <c r="AH768" s="48" t="s">
        <v>375</v>
      </c>
      <c r="AI768" s="48" t="s">
        <v>375</v>
      </c>
      <c r="AJ768" s="48" t="s">
        <v>375</v>
      </c>
      <c r="AK768" s="48" t="s">
        <v>375</v>
      </c>
      <c r="AL768" s="48" t="s">
        <v>320</v>
      </c>
    </row>
    <row r="769" spans="1:45" hidden="1" x14ac:dyDescent="0.25">
      <c r="A769">
        <v>768</v>
      </c>
      <c r="B769">
        <v>2025</v>
      </c>
      <c r="C769">
        <v>11</v>
      </c>
      <c r="D769" t="s">
        <v>175</v>
      </c>
      <c r="E769">
        <v>31</v>
      </c>
      <c r="F769">
        <v>10</v>
      </c>
      <c r="G769" t="s">
        <v>431</v>
      </c>
      <c r="H769" s="48" t="s">
        <v>390</v>
      </c>
      <c r="I769" s="48" t="s">
        <v>320</v>
      </c>
      <c r="J769" s="48" t="s">
        <v>389</v>
      </c>
      <c r="K769" s="48">
        <v>0.875</v>
      </c>
      <c r="L769" s="48" t="s">
        <v>389</v>
      </c>
      <c r="M769" s="48" t="s">
        <v>390</v>
      </c>
      <c r="N769" s="48" t="s">
        <v>389</v>
      </c>
      <c r="O769" s="48" t="s">
        <v>389</v>
      </c>
      <c r="P769" s="48" t="s">
        <v>320</v>
      </c>
      <c r="Q769" s="48" t="s">
        <v>389</v>
      </c>
      <c r="R769" s="48" t="s">
        <v>390</v>
      </c>
      <c r="S769" s="48" t="s">
        <v>389</v>
      </c>
      <c r="T769" s="48" t="s">
        <v>390</v>
      </c>
      <c r="U769" s="48" t="s">
        <v>389</v>
      </c>
      <c r="V769" s="48" t="s">
        <v>390</v>
      </c>
      <c r="W769" s="48" t="s">
        <v>389</v>
      </c>
      <c r="X769" s="48" t="s">
        <v>389</v>
      </c>
      <c r="Y769" s="48" t="s">
        <v>390</v>
      </c>
      <c r="Z769" s="48" t="s">
        <v>389</v>
      </c>
      <c r="AA769" s="48" t="s">
        <v>390</v>
      </c>
      <c r="AB769" s="48" t="s">
        <v>389</v>
      </c>
      <c r="AC769" s="48" t="s">
        <v>389</v>
      </c>
      <c r="AD769" s="48" t="s">
        <v>389</v>
      </c>
      <c r="AE769" s="48" t="s">
        <v>389</v>
      </c>
      <c r="AF769" s="48" t="s">
        <v>390</v>
      </c>
      <c r="AG769" s="48" t="s">
        <v>390</v>
      </c>
      <c r="AH769" s="48" t="s">
        <v>389</v>
      </c>
      <c r="AI769" s="48" t="s">
        <v>390</v>
      </c>
      <c r="AJ769" s="48" t="s">
        <v>389</v>
      </c>
      <c r="AK769" s="48" t="s">
        <v>376</v>
      </c>
      <c r="AL769" s="48" t="s">
        <v>320</v>
      </c>
      <c r="AM769">
        <v>28</v>
      </c>
      <c r="AO769">
        <v>65</v>
      </c>
    </row>
    <row r="770" spans="1:45" hidden="1" x14ac:dyDescent="0.25">
      <c r="A770">
        <v>769</v>
      </c>
      <c r="B770">
        <v>2025</v>
      </c>
      <c r="C770">
        <v>11</v>
      </c>
      <c r="D770" t="s">
        <v>168</v>
      </c>
      <c r="E770">
        <v>31</v>
      </c>
      <c r="F770">
        <v>10</v>
      </c>
      <c r="G770" t="s">
        <v>430</v>
      </c>
      <c r="H770" s="48" t="s">
        <v>375</v>
      </c>
      <c r="I770" s="48" t="s">
        <v>375</v>
      </c>
      <c r="J770" s="48" t="s">
        <v>375</v>
      </c>
      <c r="K770" s="48" t="s">
        <v>375</v>
      </c>
      <c r="L770" s="48" t="s">
        <v>375</v>
      </c>
      <c r="M770" s="48" t="s">
        <v>375</v>
      </c>
      <c r="N770" s="48" t="s">
        <v>375</v>
      </c>
      <c r="O770" s="48" t="s">
        <v>375</v>
      </c>
      <c r="P770" s="48" t="s">
        <v>320</v>
      </c>
      <c r="Q770" s="48" t="s">
        <v>375</v>
      </c>
      <c r="R770" s="48" t="s">
        <v>375</v>
      </c>
      <c r="S770" s="48" t="s">
        <v>375</v>
      </c>
      <c r="T770" s="48" t="s">
        <v>375</v>
      </c>
      <c r="U770" s="48" t="s">
        <v>375</v>
      </c>
      <c r="V770" s="48" t="s">
        <v>375</v>
      </c>
      <c r="W770" s="48" t="s">
        <v>375</v>
      </c>
      <c r="X770" s="48" t="s">
        <v>375</v>
      </c>
      <c r="Y770" s="48" t="s">
        <v>375</v>
      </c>
      <c r="Z770" s="48" t="s">
        <v>375</v>
      </c>
      <c r="AA770" s="48" t="s">
        <v>375</v>
      </c>
      <c r="AB770" s="48" t="s">
        <v>375</v>
      </c>
      <c r="AC770" s="48" t="s">
        <v>375</v>
      </c>
      <c r="AD770" s="48" t="s">
        <v>375</v>
      </c>
      <c r="AE770" s="48" t="s">
        <v>375</v>
      </c>
      <c r="AF770" s="48" t="s">
        <v>375</v>
      </c>
      <c r="AG770" s="48" t="s">
        <v>375</v>
      </c>
      <c r="AH770" s="48" t="s">
        <v>375</v>
      </c>
      <c r="AI770" s="48" t="s">
        <v>375</v>
      </c>
      <c r="AJ770" s="48" t="s">
        <v>375</v>
      </c>
      <c r="AK770" s="48" t="s">
        <v>375</v>
      </c>
      <c r="AL770" s="48" t="s">
        <v>320</v>
      </c>
    </row>
    <row r="771" spans="1:45" hidden="1" x14ac:dyDescent="0.25">
      <c r="A771">
        <v>770</v>
      </c>
      <c r="B771">
        <v>2025</v>
      </c>
      <c r="C771">
        <v>11</v>
      </c>
      <c r="D771" t="s">
        <v>168</v>
      </c>
      <c r="E771">
        <v>31</v>
      </c>
      <c r="F771">
        <v>10</v>
      </c>
      <c r="G771" t="s">
        <v>431</v>
      </c>
      <c r="H771" s="48">
        <v>1</v>
      </c>
      <c r="I771" s="48">
        <v>0.75</v>
      </c>
      <c r="J771" s="48">
        <v>0.75</v>
      </c>
      <c r="K771" s="48">
        <v>0.83333333333333326</v>
      </c>
      <c r="L771" s="48">
        <v>0.95833333333333326</v>
      </c>
      <c r="M771" s="48">
        <v>1.1666666666666667</v>
      </c>
      <c r="N771" s="48">
        <v>1.125</v>
      </c>
      <c r="O771" s="48">
        <v>0.75</v>
      </c>
      <c r="P771" s="48" t="s">
        <v>320</v>
      </c>
      <c r="Q771" s="48">
        <v>1.1666666666666667</v>
      </c>
      <c r="R771" s="48">
        <v>1.1666666666666667</v>
      </c>
      <c r="S771" s="48">
        <v>0.91666666666666674</v>
      </c>
      <c r="T771" s="48">
        <v>1</v>
      </c>
      <c r="U771" s="48">
        <v>0.83333333333333326</v>
      </c>
      <c r="V771" s="48">
        <v>0.75</v>
      </c>
      <c r="W771" s="48">
        <v>0.75</v>
      </c>
      <c r="X771" s="48">
        <v>0.75</v>
      </c>
      <c r="Y771" s="48">
        <v>0.75</v>
      </c>
      <c r="Z771" s="48">
        <v>0.75</v>
      </c>
      <c r="AA771" s="48">
        <v>0.75</v>
      </c>
      <c r="AB771" s="48">
        <v>0.83333333333333326</v>
      </c>
      <c r="AC771" s="48">
        <v>0.75</v>
      </c>
      <c r="AD771" s="48">
        <v>0.75</v>
      </c>
      <c r="AE771" s="48">
        <v>0.75</v>
      </c>
      <c r="AF771" s="48">
        <v>0.83333333333333326</v>
      </c>
      <c r="AG771" s="48">
        <v>0.75</v>
      </c>
      <c r="AH771" s="48">
        <v>0.875</v>
      </c>
      <c r="AI771" s="48">
        <v>0.75</v>
      </c>
      <c r="AJ771" s="48">
        <v>0.75</v>
      </c>
      <c r="AK771" s="48">
        <v>0.75</v>
      </c>
      <c r="AL771" s="48" t="s">
        <v>320</v>
      </c>
      <c r="AM771">
        <v>29</v>
      </c>
      <c r="AO771">
        <v>70.999999999999986</v>
      </c>
    </row>
    <row r="772" spans="1:45" hidden="1" x14ac:dyDescent="0.25">
      <c r="A772">
        <v>771</v>
      </c>
      <c r="B772">
        <v>2025</v>
      </c>
      <c r="C772">
        <v>11</v>
      </c>
      <c r="D772" t="s">
        <v>164</v>
      </c>
      <c r="E772">
        <v>31</v>
      </c>
      <c r="F772">
        <v>10</v>
      </c>
      <c r="G772" t="s">
        <v>430</v>
      </c>
      <c r="H772" s="48" t="s">
        <v>375</v>
      </c>
      <c r="I772" s="48" t="s">
        <v>375</v>
      </c>
      <c r="J772" s="48" t="s">
        <v>375</v>
      </c>
      <c r="K772" s="48" t="s">
        <v>375</v>
      </c>
      <c r="L772" s="48" t="s">
        <v>375</v>
      </c>
      <c r="M772" s="48" t="s">
        <v>375</v>
      </c>
      <c r="N772" s="48" t="s">
        <v>375</v>
      </c>
      <c r="O772" s="48" t="s">
        <v>375</v>
      </c>
      <c r="P772" s="48" t="s">
        <v>320</v>
      </c>
      <c r="Q772" s="48" t="s">
        <v>375</v>
      </c>
      <c r="R772" s="48" t="s">
        <v>375</v>
      </c>
      <c r="S772" s="48" t="s">
        <v>375</v>
      </c>
      <c r="T772" s="48" t="s">
        <v>375</v>
      </c>
      <c r="U772" s="48" t="s">
        <v>375</v>
      </c>
      <c r="V772" s="48" t="s">
        <v>375</v>
      </c>
      <c r="W772" s="48" t="s">
        <v>375</v>
      </c>
      <c r="X772" s="48" t="s">
        <v>375</v>
      </c>
      <c r="Y772" s="48" t="s">
        <v>375</v>
      </c>
      <c r="Z772" s="48" t="s">
        <v>375</v>
      </c>
      <c r="AA772" s="48" t="s">
        <v>375</v>
      </c>
      <c r="AB772" s="48" t="s">
        <v>375</v>
      </c>
      <c r="AC772" s="48" t="s">
        <v>375</v>
      </c>
      <c r="AD772" s="48" t="s">
        <v>375</v>
      </c>
      <c r="AE772" s="48" t="s">
        <v>375</v>
      </c>
      <c r="AF772" s="48" t="s">
        <v>375</v>
      </c>
      <c r="AG772" s="48" t="s">
        <v>375</v>
      </c>
      <c r="AH772" s="48" t="s">
        <v>375</v>
      </c>
      <c r="AI772" s="48" t="s">
        <v>375</v>
      </c>
      <c r="AJ772" s="48" t="s">
        <v>375</v>
      </c>
      <c r="AK772" s="48" t="s">
        <v>375</v>
      </c>
      <c r="AL772" s="48" t="s">
        <v>320</v>
      </c>
    </row>
    <row r="773" spans="1:45" hidden="1" x14ac:dyDescent="0.25">
      <c r="A773">
        <v>772</v>
      </c>
      <c r="B773">
        <v>2025</v>
      </c>
      <c r="C773">
        <v>11</v>
      </c>
      <c r="D773" t="s">
        <v>164</v>
      </c>
      <c r="E773">
        <v>31</v>
      </c>
      <c r="F773">
        <v>10</v>
      </c>
      <c r="G773" t="s">
        <v>431</v>
      </c>
      <c r="H773" s="48">
        <v>0.83333333333333326</v>
      </c>
      <c r="I773" s="48">
        <v>0.83333333333333326</v>
      </c>
      <c r="J773" s="48">
        <v>0.83333333333333326</v>
      </c>
      <c r="K773" s="48">
        <v>0.83333333333333326</v>
      </c>
      <c r="L773" s="48">
        <v>0.83333333333333326</v>
      </c>
      <c r="M773" s="48">
        <v>0.83333333333333326</v>
      </c>
      <c r="N773" s="48">
        <v>0.83333333333333326</v>
      </c>
      <c r="O773" s="48">
        <v>0.83333333333333326</v>
      </c>
      <c r="P773" s="48" t="s">
        <v>320</v>
      </c>
      <c r="Q773" s="48">
        <v>0.83333333333333326</v>
      </c>
      <c r="R773" s="48">
        <v>0.83333333333333326</v>
      </c>
      <c r="S773" s="48">
        <v>0.83333333333333326</v>
      </c>
      <c r="T773" s="48">
        <v>0.83333333333333326</v>
      </c>
      <c r="U773" s="48">
        <v>0.83333333333333326</v>
      </c>
      <c r="V773" s="48">
        <v>0.83333333333333326</v>
      </c>
      <c r="W773" s="48">
        <v>0.83333333333333326</v>
      </c>
      <c r="X773" s="48">
        <v>0.83333333333333326</v>
      </c>
      <c r="Y773" s="48">
        <v>0.83333333333333326</v>
      </c>
      <c r="Z773" s="48">
        <v>0.83333333333333326</v>
      </c>
      <c r="AA773" s="48">
        <v>0.83333333333333326</v>
      </c>
      <c r="AB773" s="48">
        <v>0.83333333333333326</v>
      </c>
      <c r="AC773" s="48">
        <v>0.83333333333333326</v>
      </c>
      <c r="AD773" s="48">
        <v>0.83333333333333326</v>
      </c>
      <c r="AE773" s="48">
        <v>0.83333333333333326</v>
      </c>
      <c r="AF773" s="48">
        <v>0.83333333333333326</v>
      </c>
      <c r="AG773" s="48">
        <v>0.91666666666666674</v>
      </c>
      <c r="AH773" s="48">
        <v>0.83333333333333326</v>
      </c>
      <c r="AI773" s="48">
        <v>0.91666666666666674</v>
      </c>
      <c r="AJ773" s="48">
        <v>0.83333333333333326</v>
      </c>
      <c r="AK773" s="48">
        <v>0.75</v>
      </c>
      <c r="AL773" s="48" t="s">
        <v>320</v>
      </c>
      <c r="AM773">
        <v>29</v>
      </c>
      <c r="AO773">
        <v>59.999999999999943</v>
      </c>
    </row>
    <row r="774" spans="1:45" hidden="1" x14ac:dyDescent="0.25">
      <c r="A774">
        <v>773</v>
      </c>
      <c r="B774">
        <v>2025</v>
      </c>
      <c r="C774">
        <v>11</v>
      </c>
      <c r="D774" t="s">
        <v>163</v>
      </c>
      <c r="E774">
        <v>31</v>
      </c>
      <c r="F774">
        <v>10</v>
      </c>
      <c r="G774" t="s">
        <v>430</v>
      </c>
      <c r="H774" s="48" t="s">
        <v>407</v>
      </c>
      <c r="I774" s="48" t="s">
        <v>407</v>
      </c>
      <c r="J774" s="48" t="s">
        <v>407</v>
      </c>
      <c r="K774" s="48" t="s">
        <v>407</v>
      </c>
      <c r="L774" s="48" t="s">
        <v>407</v>
      </c>
      <c r="M774" s="48" t="s">
        <v>407</v>
      </c>
      <c r="N774" s="48" t="s">
        <v>407</v>
      </c>
      <c r="O774" s="48" t="s">
        <v>407</v>
      </c>
      <c r="P774" s="48" t="s">
        <v>407</v>
      </c>
      <c r="Q774" s="48" t="s">
        <v>407</v>
      </c>
      <c r="R774" s="48" t="s">
        <v>407</v>
      </c>
      <c r="S774" s="48" t="s">
        <v>407</v>
      </c>
      <c r="T774" s="48" t="s">
        <v>407</v>
      </c>
      <c r="U774" s="48" t="s">
        <v>407</v>
      </c>
      <c r="V774" s="48" t="s">
        <v>407</v>
      </c>
      <c r="W774" s="48" t="s">
        <v>320</v>
      </c>
      <c r="X774" s="48" t="s">
        <v>407</v>
      </c>
      <c r="Y774" s="48" t="s">
        <v>407</v>
      </c>
      <c r="Z774" s="48" t="s">
        <v>407</v>
      </c>
      <c r="AA774" s="48" t="s">
        <v>407</v>
      </c>
      <c r="AB774" s="48" t="s">
        <v>407</v>
      </c>
      <c r="AC774" s="48" t="s">
        <v>407</v>
      </c>
      <c r="AD774" s="48" t="s">
        <v>407</v>
      </c>
      <c r="AE774" s="48" t="s">
        <v>407</v>
      </c>
      <c r="AF774" s="48" t="s">
        <v>407</v>
      </c>
      <c r="AG774" s="48" t="s">
        <v>407</v>
      </c>
      <c r="AH774" s="48" t="s">
        <v>407</v>
      </c>
      <c r="AI774" s="48" t="s">
        <v>407</v>
      </c>
      <c r="AJ774" s="48" t="s">
        <v>407</v>
      </c>
      <c r="AK774" s="48" t="s">
        <v>407</v>
      </c>
      <c r="AL774" s="48" t="s">
        <v>320</v>
      </c>
    </row>
    <row r="775" spans="1:45" hidden="1" x14ac:dyDescent="0.25">
      <c r="A775">
        <v>774</v>
      </c>
      <c r="B775">
        <v>2025</v>
      </c>
      <c r="C775">
        <v>11</v>
      </c>
      <c r="D775" t="s">
        <v>163</v>
      </c>
      <c r="E775">
        <v>31</v>
      </c>
      <c r="F775">
        <v>10</v>
      </c>
      <c r="G775" t="s">
        <v>431</v>
      </c>
      <c r="H775" s="48">
        <v>0.85416666666666663</v>
      </c>
      <c r="I775" s="48">
        <v>0.85416666666666663</v>
      </c>
      <c r="J775" s="48">
        <v>0.85416666666666663</v>
      </c>
      <c r="K775" s="48">
        <v>0.85416666666666663</v>
      </c>
      <c r="L775" s="48">
        <v>0.85416666666666663</v>
      </c>
      <c r="M775" s="48">
        <v>0.85416666666666663</v>
      </c>
      <c r="N775" s="48">
        <v>0.85416666666666663</v>
      </c>
      <c r="O775" s="48">
        <v>0.85416666666666663</v>
      </c>
      <c r="P775" s="48">
        <v>0.85416666666666663</v>
      </c>
      <c r="Q775" s="48">
        <v>0.85416666666666663</v>
      </c>
      <c r="R775" s="48">
        <v>0.85416666666666663</v>
      </c>
      <c r="S775" s="48">
        <v>0.85416666666666663</v>
      </c>
      <c r="T775" s="48">
        <v>0.85416666666666663</v>
      </c>
      <c r="U775" s="48">
        <v>0.85416666666666663</v>
      </c>
      <c r="V775" s="48">
        <v>0.85416666666666663</v>
      </c>
      <c r="W775" s="48" t="s">
        <v>320</v>
      </c>
      <c r="X775" s="48">
        <v>0.85416666666666663</v>
      </c>
      <c r="Y775" s="48">
        <v>0.85416666666666663</v>
      </c>
      <c r="Z775" s="48">
        <v>0.85416666666666663</v>
      </c>
      <c r="AA775" s="48">
        <v>0.85416666666666663</v>
      </c>
      <c r="AB775" s="48">
        <v>0.85416666666666663</v>
      </c>
      <c r="AC775" s="48">
        <v>0.85416666666666663</v>
      </c>
      <c r="AD775" s="48">
        <v>0.85416666666666663</v>
      </c>
      <c r="AE775" s="48">
        <v>0.85416666666666663</v>
      </c>
      <c r="AF775" s="48">
        <v>0.85416666666666663</v>
      </c>
      <c r="AG775" s="48">
        <v>0.85416666666666663</v>
      </c>
      <c r="AH775" s="48">
        <v>0.85416666666666663</v>
      </c>
      <c r="AI775" s="48">
        <v>0.85416666666666663</v>
      </c>
      <c r="AJ775" s="48">
        <v>0.85416666666666663</v>
      </c>
      <c r="AK775" s="48">
        <v>0.85416666666666663</v>
      </c>
      <c r="AL775" s="48" t="s">
        <v>320</v>
      </c>
      <c r="AM775">
        <v>29</v>
      </c>
      <c r="AO775">
        <v>86.999999999999986</v>
      </c>
    </row>
    <row r="776" spans="1:45" hidden="1" x14ac:dyDescent="0.25">
      <c r="A776">
        <v>775</v>
      </c>
      <c r="B776">
        <v>2025</v>
      </c>
      <c r="C776">
        <v>11</v>
      </c>
      <c r="D776" t="s">
        <v>131</v>
      </c>
      <c r="E776">
        <v>31</v>
      </c>
      <c r="F776">
        <v>10</v>
      </c>
      <c r="G776" t="s">
        <v>430</v>
      </c>
      <c r="H776" s="48" t="s">
        <v>375</v>
      </c>
      <c r="I776" s="48" t="s">
        <v>375</v>
      </c>
      <c r="J776" s="48" t="s">
        <v>375</v>
      </c>
      <c r="K776" s="48" t="s">
        <v>375</v>
      </c>
      <c r="L776" s="48" t="s">
        <v>375</v>
      </c>
      <c r="M776" s="48" t="s">
        <v>375</v>
      </c>
      <c r="N776" s="48" t="s">
        <v>375</v>
      </c>
      <c r="O776" s="48" t="s">
        <v>375</v>
      </c>
      <c r="P776" s="48" t="s">
        <v>375</v>
      </c>
      <c r="Q776" s="48" t="s">
        <v>375</v>
      </c>
      <c r="R776" s="48" t="s">
        <v>375</v>
      </c>
      <c r="S776" s="48" t="s">
        <v>375</v>
      </c>
      <c r="T776" s="48" t="s">
        <v>375</v>
      </c>
      <c r="U776" s="48" t="s">
        <v>375</v>
      </c>
      <c r="V776" s="48" t="s">
        <v>375</v>
      </c>
      <c r="W776" s="48" t="s">
        <v>375</v>
      </c>
      <c r="X776" s="48" t="s">
        <v>375</v>
      </c>
      <c r="Y776" s="48" t="s">
        <v>375</v>
      </c>
      <c r="Z776" s="48" t="s">
        <v>375</v>
      </c>
      <c r="AA776" s="48" t="s">
        <v>375</v>
      </c>
      <c r="AB776" s="48" t="s">
        <v>375</v>
      </c>
      <c r="AC776" s="48" t="s">
        <v>375</v>
      </c>
      <c r="AD776" s="48" t="s">
        <v>320</v>
      </c>
      <c r="AE776" s="48" t="s">
        <v>375</v>
      </c>
      <c r="AF776" s="48" t="s">
        <v>375</v>
      </c>
      <c r="AG776" s="48" t="s">
        <v>375</v>
      </c>
      <c r="AH776" s="48" t="s">
        <v>375</v>
      </c>
      <c r="AI776" s="48" t="s">
        <v>375</v>
      </c>
      <c r="AJ776" s="48" t="s">
        <v>375</v>
      </c>
      <c r="AK776" s="48" t="s">
        <v>375</v>
      </c>
      <c r="AL776" s="48" t="s">
        <v>320</v>
      </c>
    </row>
    <row r="777" spans="1:45" hidden="1" x14ac:dyDescent="0.25">
      <c r="A777">
        <v>776</v>
      </c>
      <c r="B777">
        <v>2025</v>
      </c>
      <c r="C777">
        <v>11</v>
      </c>
      <c r="D777" t="s">
        <v>131</v>
      </c>
      <c r="E777">
        <v>31</v>
      </c>
      <c r="F777">
        <v>10</v>
      </c>
      <c r="G777" t="s">
        <v>431</v>
      </c>
      <c r="H777" s="48" t="s">
        <v>411</v>
      </c>
      <c r="I777" s="48" t="s">
        <v>376</v>
      </c>
      <c r="J777" s="48" t="s">
        <v>376</v>
      </c>
      <c r="K777" s="48" t="s">
        <v>388</v>
      </c>
      <c r="L777" s="48" t="s">
        <v>376</v>
      </c>
      <c r="M777" s="48" t="s">
        <v>376</v>
      </c>
      <c r="N777" s="48" t="s">
        <v>389</v>
      </c>
      <c r="O777" s="48" t="s">
        <v>376</v>
      </c>
      <c r="P777" s="48" t="s">
        <v>388</v>
      </c>
      <c r="Q777" s="48" t="s">
        <v>388</v>
      </c>
      <c r="R777" s="48" t="s">
        <v>388</v>
      </c>
      <c r="S777" s="48" t="s">
        <v>390</v>
      </c>
      <c r="T777" s="48" t="s">
        <v>388</v>
      </c>
      <c r="U777" s="48" t="s">
        <v>376</v>
      </c>
      <c r="V777" s="48" t="s">
        <v>389</v>
      </c>
      <c r="W777" s="48" t="s">
        <v>411</v>
      </c>
      <c r="X777" s="48" t="s">
        <v>388</v>
      </c>
      <c r="Y777" s="48" t="s">
        <v>376</v>
      </c>
      <c r="Z777" s="48" t="s">
        <v>388</v>
      </c>
      <c r="AA777" s="48" t="s">
        <v>390</v>
      </c>
      <c r="AB777" s="48" t="s">
        <v>388</v>
      </c>
      <c r="AC777" s="48" t="s">
        <v>389</v>
      </c>
      <c r="AD777" s="48" t="s">
        <v>320</v>
      </c>
      <c r="AE777" s="48" t="s">
        <v>389</v>
      </c>
      <c r="AF777" s="48" t="s">
        <v>389</v>
      </c>
      <c r="AG777" s="48" t="s">
        <v>388</v>
      </c>
      <c r="AH777" s="48" t="s">
        <v>389</v>
      </c>
      <c r="AI777" s="48" t="s">
        <v>376</v>
      </c>
      <c r="AJ777" s="48" t="s">
        <v>389</v>
      </c>
      <c r="AK777" s="48" t="s">
        <v>376</v>
      </c>
      <c r="AL777" s="48" t="s">
        <v>320</v>
      </c>
      <c r="AM777">
        <v>29</v>
      </c>
      <c r="AO777">
        <v>36.999999999999993</v>
      </c>
    </row>
    <row r="778" spans="1:45" hidden="1" x14ac:dyDescent="0.25">
      <c r="A778">
        <v>777</v>
      </c>
      <c r="B778">
        <v>2025</v>
      </c>
      <c r="C778">
        <v>11</v>
      </c>
      <c r="D778" t="s">
        <v>174</v>
      </c>
      <c r="E778">
        <v>31</v>
      </c>
      <c r="F778">
        <v>10</v>
      </c>
      <c r="G778" t="s">
        <v>430</v>
      </c>
      <c r="H778" s="48" t="s">
        <v>375</v>
      </c>
      <c r="I778" s="48" t="s">
        <v>375</v>
      </c>
      <c r="J778" s="48" t="s">
        <v>375</v>
      </c>
      <c r="K778" s="48" t="s">
        <v>420</v>
      </c>
      <c r="L778" s="48" t="s">
        <v>424</v>
      </c>
      <c r="M778" s="48" t="s">
        <v>375</v>
      </c>
      <c r="N778" s="48" t="s">
        <v>420</v>
      </c>
      <c r="O778" s="48" t="s">
        <v>375</v>
      </c>
      <c r="P778" s="48" t="s">
        <v>375</v>
      </c>
      <c r="Q778" s="48" t="s">
        <v>375</v>
      </c>
      <c r="R778" s="48" t="s">
        <v>379</v>
      </c>
      <c r="S778" s="48" t="s">
        <v>379</v>
      </c>
      <c r="T778" s="48" t="s">
        <v>375</v>
      </c>
      <c r="U778" s="48" t="s">
        <v>375</v>
      </c>
      <c r="V778" s="48" t="s">
        <v>375</v>
      </c>
      <c r="W778" s="48" t="s">
        <v>375</v>
      </c>
      <c r="X778" s="48" t="s">
        <v>375</v>
      </c>
      <c r="Y778" s="48" t="s">
        <v>375</v>
      </c>
      <c r="Z778" s="48" t="s">
        <v>375</v>
      </c>
      <c r="AA778" s="48" t="s">
        <v>375</v>
      </c>
      <c r="AB778" s="48" t="s">
        <v>375</v>
      </c>
      <c r="AC778" s="48" t="s">
        <v>375</v>
      </c>
      <c r="AD778" s="48" t="s">
        <v>375</v>
      </c>
      <c r="AE778" s="48" t="s">
        <v>420</v>
      </c>
      <c r="AF778" s="48" t="s">
        <v>375</v>
      </c>
      <c r="AG778" s="48" t="s">
        <v>423</v>
      </c>
      <c r="AH778" s="48" t="s">
        <v>420</v>
      </c>
      <c r="AI778" s="48" t="s">
        <v>375</v>
      </c>
      <c r="AJ778" s="48" t="s">
        <v>420</v>
      </c>
      <c r="AK778" s="48" t="s">
        <v>375</v>
      </c>
      <c r="AL778" s="48" t="s">
        <v>320</v>
      </c>
    </row>
    <row r="779" spans="1:45" hidden="1" x14ac:dyDescent="0.25">
      <c r="A779">
        <v>778</v>
      </c>
      <c r="B779">
        <v>2025</v>
      </c>
      <c r="C779">
        <v>11</v>
      </c>
      <c r="D779" t="s">
        <v>174</v>
      </c>
      <c r="E779">
        <v>31</v>
      </c>
      <c r="F779">
        <v>10</v>
      </c>
      <c r="G779" t="s">
        <v>431</v>
      </c>
      <c r="H779" s="48">
        <v>0.75</v>
      </c>
      <c r="I779" s="48">
        <v>0.75</v>
      </c>
      <c r="J779" s="48">
        <v>0.75</v>
      </c>
      <c r="K779" s="48">
        <v>1.75</v>
      </c>
      <c r="L779" s="48">
        <v>0.79166666666666674</v>
      </c>
      <c r="M779" s="48">
        <v>0.75</v>
      </c>
      <c r="N779" s="48">
        <v>1.75</v>
      </c>
      <c r="O779" s="48">
        <v>0.75</v>
      </c>
      <c r="P779" s="48">
        <v>0.95833333333333326</v>
      </c>
      <c r="Q779" s="48">
        <v>0.75</v>
      </c>
      <c r="R779" s="48">
        <v>0.75</v>
      </c>
      <c r="S779" s="48">
        <v>0.75</v>
      </c>
      <c r="T779" s="48">
        <v>0.91666666666666674</v>
      </c>
      <c r="U779" s="48">
        <v>0.91666666666666674</v>
      </c>
      <c r="V779" s="48">
        <v>0.75</v>
      </c>
      <c r="W779" s="48">
        <v>0.75</v>
      </c>
      <c r="X779" s="48">
        <v>0.95833333333333326</v>
      </c>
      <c r="Y779" s="48">
        <v>0.75</v>
      </c>
      <c r="Z779" s="48">
        <v>0.75</v>
      </c>
      <c r="AA779" s="48">
        <v>0.875</v>
      </c>
      <c r="AB779" s="48">
        <v>0.75</v>
      </c>
      <c r="AC779" s="48">
        <v>0.91666666666666674</v>
      </c>
      <c r="AD779" s="48">
        <v>0.875</v>
      </c>
      <c r="AE779" s="48">
        <v>1.75</v>
      </c>
      <c r="AF779" s="48">
        <v>1</v>
      </c>
      <c r="AG779" s="48">
        <v>0.75</v>
      </c>
      <c r="AH779" s="48">
        <v>1.75</v>
      </c>
      <c r="AI779" s="48">
        <v>0.75</v>
      </c>
      <c r="AJ779" s="48">
        <v>1.75</v>
      </c>
      <c r="AK779" s="48">
        <v>0.83333333333333326</v>
      </c>
      <c r="AL779" s="48" t="s">
        <v>320</v>
      </c>
      <c r="AM779">
        <v>30</v>
      </c>
      <c r="AO779">
        <v>98</v>
      </c>
    </row>
    <row r="780" spans="1:45" hidden="1" x14ac:dyDescent="0.25">
      <c r="A780">
        <v>779</v>
      </c>
      <c r="B780">
        <v>2025</v>
      </c>
      <c r="C780">
        <v>11</v>
      </c>
      <c r="D780" t="s">
        <v>184</v>
      </c>
      <c r="E780">
        <v>31</v>
      </c>
      <c r="F780">
        <v>10</v>
      </c>
      <c r="G780" t="s">
        <v>432</v>
      </c>
      <c r="H780" s="48" t="s">
        <v>320</v>
      </c>
      <c r="I780" s="48" t="s">
        <v>320</v>
      </c>
      <c r="J780" s="48" t="s">
        <v>320</v>
      </c>
      <c r="K780" s="48" t="s">
        <v>320</v>
      </c>
      <c r="L780" s="48" t="s">
        <v>320</v>
      </c>
      <c r="M780" s="48" t="s">
        <v>320</v>
      </c>
      <c r="N780" s="48" t="s">
        <v>320</v>
      </c>
      <c r="O780" s="48" t="s">
        <v>320</v>
      </c>
      <c r="P780" s="48" t="s">
        <v>320</v>
      </c>
      <c r="Q780" s="48" t="s">
        <v>320</v>
      </c>
      <c r="R780" s="48" t="s">
        <v>320</v>
      </c>
      <c r="S780" s="48" t="s">
        <v>320</v>
      </c>
      <c r="T780" s="48" t="s">
        <v>320</v>
      </c>
      <c r="U780" s="48" t="s">
        <v>320</v>
      </c>
      <c r="V780" s="48">
        <v>336546</v>
      </c>
      <c r="W780" s="48">
        <v>336565</v>
      </c>
      <c r="X780" s="48">
        <v>336635</v>
      </c>
      <c r="Y780" s="48">
        <v>336697</v>
      </c>
      <c r="Z780" s="48">
        <v>336745</v>
      </c>
      <c r="AA780" s="48">
        <v>336774</v>
      </c>
      <c r="AB780" s="48">
        <v>336817</v>
      </c>
      <c r="AC780" s="48">
        <v>336844</v>
      </c>
      <c r="AD780" s="48">
        <v>336914</v>
      </c>
      <c r="AE780" s="48">
        <v>337106</v>
      </c>
      <c r="AF780" s="48">
        <v>337149</v>
      </c>
      <c r="AG780" s="48">
        <v>337234</v>
      </c>
      <c r="AH780" s="48">
        <v>337307</v>
      </c>
      <c r="AI780" s="48">
        <v>337346</v>
      </c>
      <c r="AJ780" s="48">
        <v>337380</v>
      </c>
      <c r="AK780" s="48">
        <v>337403</v>
      </c>
      <c r="AL780" s="48" t="s">
        <v>320</v>
      </c>
    </row>
    <row r="781" spans="1:45" hidden="1" x14ac:dyDescent="0.25">
      <c r="A781">
        <v>780</v>
      </c>
      <c r="B781">
        <v>2025</v>
      </c>
      <c r="C781">
        <v>11</v>
      </c>
      <c r="D781" t="s">
        <v>184</v>
      </c>
      <c r="E781">
        <v>31</v>
      </c>
      <c r="F781">
        <v>10</v>
      </c>
      <c r="G781" t="s">
        <v>433</v>
      </c>
      <c r="H781" s="48" t="s">
        <v>320</v>
      </c>
      <c r="I781" s="48" t="s">
        <v>320</v>
      </c>
      <c r="J781" s="48" t="s">
        <v>320</v>
      </c>
      <c r="K781" s="48" t="s">
        <v>320</v>
      </c>
      <c r="L781" s="48" t="s">
        <v>320</v>
      </c>
      <c r="M781" s="48" t="s">
        <v>320</v>
      </c>
      <c r="N781" s="48" t="s">
        <v>320</v>
      </c>
      <c r="O781" s="48" t="s">
        <v>320</v>
      </c>
      <c r="P781" s="48" t="s">
        <v>320</v>
      </c>
      <c r="Q781" s="48" t="s">
        <v>320</v>
      </c>
      <c r="R781" s="48" t="s">
        <v>320</v>
      </c>
      <c r="S781" s="48" t="s">
        <v>320</v>
      </c>
      <c r="T781" s="48" t="s">
        <v>320</v>
      </c>
      <c r="U781" s="48" t="s">
        <v>320</v>
      </c>
      <c r="V781" s="48">
        <v>336565</v>
      </c>
      <c r="W781" s="48">
        <v>336635</v>
      </c>
      <c r="X781" s="48">
        <v>336697</v>
      </c>
      <c r="Y781" s="48">
        <v>336745</v>
      </c>
      <c r="Z781" s="48">
        <v>336774</v>
      </c>
      <c r="AA781" s="48">
        <v>336817</v>
      </c>
      <c r="AB781" s="48">
        <v>336844</v>
      </c>
      <c r="AC781" s="48">
        <v>336914</v>
      </c>
      <c r="AD781" s="48">
        <v>337084</v>
      </c>
      <c r="AE781" s="48">
        <v>337149</v>
      </c>
      <c r="AF781" s="48">
        <v>337234</v>
      </c>
      <c r="AG781" s="48">
        <v>337307</v>
      </c>
      <c r="AH781" s="48">
        <v>337346</v>
      </c>
      <c r="AI781" s="48">
        <v>337380</v>
      </c>
      <c r="AJ781" s="48">
        <v>337403</v>
      </c>
      <c r="AK781" s="48">
        <v>337424</v>
      </c>
      <c r="AL781" s="48" t="s">
        <v>320</v>
      </c>
      <c r="AP781">
        <v>128.4</v>
      </c>
      <c r="AQ781">
        <v>15</v>
      </c>
      <c r="AS781">
        <v>856</v>
      </c>
    </row>
    <row r="782" spans="1:45" hidden="1" x14ac:dyDescent="0.25">
      <c r="A782">
        <v>781</v>
      </c>
      <c r="B782">
        <v>2025</v>
      </c>
      <c r="C782">
        <v>11</v>
      </c>
      <c r="D782" t="s">
        <v>155</v>
      </c>
      <c r="E782">
        <v>31</v>
      </c>
      <c r="F782">
        <v>10</v>
      </c>
      <c r="G782" t="s">
        <v>432</v>
      </c>
      <c r="H782" s="48">
        <v>387382</v>
      </c>
      <c r="I782" s="48">
        <v>387515</v>
      </c>
      <c r="J782" s="48">
        <v>387637</v>
      </c>
      <c r="K782" s="48">
        <v>387785</v>
      </c>
      <c r="L782" s="48">
        <v>387948</v>
      </c>
      <c r="M782" s="48">
        <v>388100</v>
      </c>
      <c r="N782" s="48">
        <v>388246</v>
      </c>
      <c r="O782" s="48">
        <v>388413</v>
      </c>
      <c r="P782" s="48" t="s">
        <v>320</v>
      </c>
      <c r="Q782" s="48">
        <v>388567</v>
      </c>
      <c r="R782" s="48">
        <v>388730</v>
      </c>
      <c r="S782" s="48">
        <v>388899</v>
      </c>
      <c r="T782" s="48">
        <v>389073</v>
      </c>
      <c r="U782" s="48">
        <v>389224</v>
      </c>
      <c r="V782" s="48">
        <v>389371</v>
      </c>
      <c r="W782" s="48">
        <v>389532</v>
      </c>
      <c r="X782" s="48">
        <v>389668</v>
      </c>
      <c r="Y782" s="48">
        <v>389816</v>
      </c>
      <c r="Z782" s="48">
        <v>389978</v>
      </c>
      <c r="AA782" s="48">
        <v>390135</v>
      </c>
      <c r="AB782" s="48">
        <v>390284</v>
      </c>
      <c r="AC782" s="48">
        <v>390437</v>
      </c>
      <c r="AD782" s="48">
        <v>390595</v>
      </c>
      <c r="AE782" s="48">
        <v>390707</v>
      </c>
      <c r="AF782" s="48">
        <v>390881</v>
      </c>
      <c r="AG782" s="48">
        <v>391047</v>
      </c>
      <c r="AH782" s="48">
        <v>391219</v>
      </c>
      <c r="AI782" s="48">
        <v>391378</v>
      </c>
      <c r="AJ782" s="48">
        <v>391525</v>
      </c>
      <c r="AK782" s="48">
        <v>391667</v>
      </c>
      <c r="AL782" s="48" t="s">
        <v>320</v>
      </c>
    </row>
    <row r="783" spans="1:45" hidden="1" x14ac:dyDescent="0.25">
      <c r="A783">
        <v>782</v>
      </c>
      <c r="B783">
        <v>2025</v>
      </c>
      <c r="C783">
        <v>11</v>
      </c>
      <c r="D783" t="s">
        <v>155</v>
      </c>
      <c r="E783">
        <v>31</v>
      </c>
      <c r="F783">
        <v>10</v>
      </c>
      <c r="G783" t="s">
        <v>433</v>
      </c>
      <c r="H783" s="48">
        <v>387515</v>
      </c>
      <c r="I783" s="48">
        <v>387637</v>
      </c>
      <c r="J783" s="48">
        <v>387785</v>
      </c>
      <c r="K783" s="48">
        <v>387948</v>
      </c>
      <c r="L783" s="48">
        <v>388100</v>
      </c>
      <c r="M783" s="48">
        <v>388246</v>
      </c>
      <c r="N783" s="48">
        <v>388413</v>
      </c>
      <c r="O783" s="48">
        <v>388567</v>
      </c>
      <c r="P783" s="48" t="s">
        <v>320</v>
      </c>
      <c r="Q783" s="48">
        <v>388730</v>
      </c>
      <c r="R783" s="48">
        <v>388899</v>
      </c>
      <c r="S783" s="48">
        <v>389073</v>
      </c>
      <c r="T783" s="48">
        <v>389224</v>
      </c>
      <c r="U783" s="48">
        <v>389371</v>
      </c>
      <c r="V783" s="48">
        <v>389532</v>
      </c>
      <c r="W783" s="48">
        <v>389668</v>
      </c>
      <c r="X783" s="48">
        <v>389816</v>
      </c>
      <c r="Y783" s="48">
        <v>389978</v>
      </c>
      <c r="Z783" s="48">
        <v>390135</v>
      </c>
      <c r="AA783" s="48">
        <v>390284</v>
      </c>
      <c r="AB783" s="48">
        <v>390437</v>
      </c>
      <c r="AC783" s="48">
        <v>390595</v>
      </c>
      <c r="AD783" s="48">
        <v>390707</v>
      </c>
      <c r="AE783" s="48">
        <v>390881</v>
      </c>
      <c r="AF783" s="48">
        <v>391047</v>
      </c>
      <c r="AG783" s="48">
        <v>391219</v>
      </c>
      <c r="AH783" s="48">
        <v>391378</v>
      </c>
      <c r="AI783" s="48">
        <v>391525</v>
      </c>
      <c r="AJ783" s="48">
        <v>391667</v>
      </c>
      <c r="AK783" s="48">
        <v>391803</v>
      </c>
      <c r="AL783" s="48" t="s">
        <v>320</v>
      </c>
      <c r="AP783">
        <v>663.15</v>
      </c>
      <c r="AQ783">
        <v>15</v>
      </c>
      <c r="AS783">
        <v>4421</v>
      </c>
    </row>
    <row r="784" spans="1:45" hidden="1" x14ac:dyDescent="0.25">
      <c r="A784">
        <v>783</v>
      </c>
      <c r="B784">
        <v>2025</v>
      </c>
      <c r="C784">
        <v>11</v>
      </c>
      <c r="D784" t="s">
        <v>185</v>
      </c>
      <c r="E784">
        <v>31</v>
      </c>
      <c r="F784">
        <v>10</v>
      </c>
      <c r="G784" t="s">
        <v>432</v>
      </c>
      <c r="H784" s="48" t="s">
        <v>320</v>
      </c>
      <c r="I784" s="48" t="s">
        <v>320</v>
      </c>
      <c r="J784" s="48" t="s">
        <v>320</v>
      </c>
      <c r="K784" s="48" t="s">
        <v>320</v>
      </c>
      <c r="L784" s="48" t="s">
        <v>320</v>
      </c>
      <c r="M784" s="48" t="s">
        <v>320</v>
      </c>
      <c r="N784" s="48" t="s">
        <v>320</v>
      </c>
      <c r="O784" s="48" t="s">
        <v>320</v>
      </c>
      <c r="P784" s="48" t="s">
        <v>320</v>
      </c>
      <c r="Q784" s="48" t="s">
        <v>320</v>
      </c>
      <c r="R784" s="48" t="s">
        <v>320</v>
      </c>
      <c r="S784" s="48" t="s">
        <v>320</v>
      </c>
      <c r="T784" s="48" t="s">
        <v>320</v>
      </c>
      <c r="U784" s="48" t="s">
        <v>320</v>
      </c>
      <c r="V784" s="48" t="s">
        <v>320</v>
      </c>
      <c r="W784" s="48" t="s">
        <v>320</v>
      </c>
      <c r="X784" s="48" t="s">
        <v>320</v>
      </c>
      <c r="Y784" s="48" t="s">
        <v>320</v>
      </c>
      <c r="Z784" s="48" t="s">
        <v>320</v>
      </c>
      <c r="AA784" s="48" t="s">
        <v>320</v>
      </c>
      <c r="AB784" s="48" t="s">
        <v>320</v>
      </c>
      <c r="AC784" s="48" t="s">
        <v>320</v>
      </c>
      <c r="AD784" s="48" t="s">
        <v>320</v>
      </c>
      <c r="AE784" s="48" t="s">
        <v>320</v>
      </c>
      <c r="AF784" s="48">
        <v>537670</v>
      </c>
      <c r="AG784" s="48" t="s">
        <v>320</v>
      </c>
      <c r="AH784" s="48" t="s">
        <v>320</v>
      </c>
      <c r="AI784" s="48" t="s">
        <v>320</v>
      </c>
      <c r="AJ784" s="48" t="s">
        <v>320</v>
      </c>
      <c r="AK784" s="48" t="s">
        <v>320</v>
      </c>
      <c r="AL784" s="48" t="s">
        <v>320</v>
      </c>
    </row>
    <row r="785" spans="1:45" hidden="1" x14ac:dyDescent="0.25">
      <c r="A785">
        <v>784</v>
      </c>
      <c r="B785">
        <v>2025</v>
      </c>
      <c r="C785">
        <v>11</v>
      </c>
      <c r="D785" t="s">
        <v>185</v>
      </c>
      <c r="E785">
        <v>31</v>
      </c>
      <c r="F785">
        <v>10</v>
      </c>
      <c r="G785" t="s">
        <v>433</v>
      </c>
      <c r="H785" s="48" t="s">
        <v>320</v>
      </c>
      <c r="I785" s="48" t="s">
        <v>320</v>
      </c>
      <c r="J785" s="48" t="s">
        <v>320</v>
      </c>
      <c r="K785" s="48" t="s">
        <v>320</v>
      </c>
      <c r="L785" s="48" t="s">
        <v>320</v>
      </c>
      <c r="M785" s="48" t="s">
        <v>320</v>
      </c>
      <c r="N785" s="48" t="s">
        <v>320</v>
      </c>
      <c r="O785" s="48" t="s">
        <v>320</v>
      </c>
      <c r="P785" s="48" t="s">
        <v>320</v>
      </c>
      <c r="Q785" s="48" t="s">
        <v>320</v>
      </c>
      <c r="R785" s="48" t="s">
        <v>320</v>
      </c>
      <c r="S785" s="48" t="s">
        <v>320</v>
      </c>
      <c r="T785" s="48" t="s">
        <v>320</v>
      </c>
      <c r="U785" s="48" t="s">
        <v>320</v>
      </c>
      <c r="V785" s="48" t="s">
        <v>320</v>
      </c>
      <c r="W785" s="48" t="s">
        <v>320</v>
      </c>
      <c r="X785" s="48" t="s">
        <v>320</v>
      </c>
      <c r="Y785" s="48" t="s">
        <v>320</v>
      </c>
      <c r="Z785" s="48" t="s">
        <v>320</v>
      </c>
      <c r="AA785" s="48" t="s">
        <v>320</v>
      </c>
      <c r="AB785" s="48" t="s">
        <v>320</v>
      </c>
      <c r="AC785" s="48" t="s">
        <v>320</v>
      </c>
      <c r="AD785" s="48" t="s">
        <v>320</v>
      </c>
      <c r="AE785" s="48" t="s">
        <v>320</v>
      </c>
      <c r="AF785" s="48">
        <v>537800</v>
      </c>
      <c r="AG785" s="48" t="s">
        <v>320</v>
      </c>
      <c r="AH785" s="48" t="s">
        <v>320</v>
      </c>
      <c r="AI785" s="48" t="s">
        <v>320</v>
      </c>
      <c r="AJ785" s="48" t="s">
        <v>320</v>
      </c>
      <c r="AK785" s="48" t="s">
        <v>320</v>
      </c>
      <c r="AL785" s="48" t="s">
        <v>320</v>
      </c>
      <c r="AP785">
        <v>19.5</v>
      </c>
      <c r="AQ785">
        <v>15</v>
      </c>
      <c r="AS785">
        <v>130</v>
      </c>
    </row>
    <row r="786" spans="1:45" hidden="1" x14ac:dyDescent="0.25">
      <c r="A786">
        <v>785</v>
      </c>
      <c r="B786">
        <v>2025</v>
      </c>
      <c r="C786">
        <v>11</v>
      </c>
      <c r="D786" t="s">
        <v>180</v>
      </c>
      <c r="E786">
        <v>31</v>
      </c>
      <c r="F786">
        <v>10</v>
      </c>
      <c r="G786" t="s">
        <v>432</v>
      </c>
      <c r="H786" s="48" t="s">
        <v>320</v>
      </c>
      <c r="I786" s="48" t="s">
        <v>320</v>
      </c>
      <c r="J786" s="48" t="s">
        <v>320</v>
      </c>
      <c r="K786" s="48" t="s">
        <v>320</v>
      </c>
      <c r="L786" s="48" t="s">
        <v>320</v>
      </c>
      <c r="M786" s="48" t="s">
        <v>320</v>
      </c>
      <c r="N786" s="48" t="s">
        <v>320</v>
      </c>
      <c r="O786" s="48" t="s">
        <v>320</v>
      </c>
      <c r="P786" s="48" t="s">
        <v>320</v>
      </c>
      <c r="Q786" s="48" t="s">
        <v>320</v>
      </c>
      <c r="R786" s="48">
        <v>507907</v>
      </c>
      <c r="S786" s="48">
        <v>507926</v>
      </c>
      <c r="T786" s="48">
        <v>507961</v>
      </c>
      <c r="U786" s="48">
        <v>507985</v>
      </c>
      <c r="V786" s="48">
        <v>508031</v>
      </c>
      <c r="W786" s="48">
        <v>508131</v>
      </c>
      <c r="X786" s="48">
        <v>508256</v>
      </c>
      <c r="Y786" s="48" t="s">
        <v>320</v>
      </c>
      <c r="Z786" s="48">
        <v>508291</v>
      </c>
      <c r="AA786" s="48">
        <v>508321</v>
      </c>
      <c r="AB786" s="48">
        <v>508345</v>
      </c>
      <c r="AC786" s="48">
        <v>508363</v>
      </c>
      <c r="AD786" s="48" t="s">
        <v>320</v>
      </c>
      <c r="AE786" s="48">
        <v>508602</v>
      </c>
      <c r="AF786" s="48">
        <v>508629</v>
      </c>
      <c r="AG786" s="48">
        <v>508707</v>
      </c>
      <c r="AH786" s="48">
        <v>508892</v>
      </c>
      <c r="AI786" s="48">
        <v>508927</v>
      </c>
      <c r="AJ786" s="48">
        <v>509046</v>
      </c>
      <c r="AK786" s="48">
        <v>509100</v>
      </c>
      <c r="AL786" s="48" t="s">
        <v>320</v>
      </c>
    </row>
    <row r="787" spans="1:45" hidden="1" x14ac:dyDescent="0.25">
      <c r="A787">
        <v>786</v>
      </c>
      <c r="B787">
        <v>2025</v>
      </c>
      <c r="C787">
        <v>11</v>
      </c>
      <c r="D787" t="s">
        <v>180</v>
      </c>
      <c r="E787">
        <v>31</v>
      </c>
      <c r="F787">
        <v>10</v>
      </c>
      <c r="G787" t="s">
        <v>433</v>
      </c>
      <c r="H787" s="48" t="s">
        <v>320</v>
      </c>
      <c r="I787" s="48" t="s">
        <v>320</v>
      </c>
      <c r="J787" s="48" t="s">
        <v>320</v>
      </c>
      <c r="K787" s="48" t="s">
        <v>320</v>
      </c>
      <c r="L787" s="48" t="s">
        <v>320</v>
      </c>
      <c r="M787" s="48" t="s">
        <v>320</v>
      </c>
      <c r="N787" s="48" t="s">
        <v>320</v>
      </c>
      <c r="O787" s="48" t="s">
        <v>320</v>
      </c>
      <c r="P787" s="48" t="s">
        <v>320</v>
      </c>
      <c r="Q787" s="48" t="s">
        <v>320</v>
      </c>
      <c r="R787" s="48">
        <v>507926</v>
      </c>
      <c r="S787" s="48">
        <v>507961</v>
      </c>
      <c r="T787" s="48">
        <v>507984</v>
      </c>
      <c r="U787" s="48">
        <v>508031</v>
      </c>
      <c r="V787" s="48">
        <v>508131</v>
      </c>
      <c r="W787" s="48">
        <v>508256</v>
      </c>
      <c r="X787" s="48">
        <v>508286</v>
      </c>
      <c r="Y787" s="48" t="s">
        <v>320</v>
      </c>
      <c r="Z787" s="48">
        <v>508321</v>
      </c>
      <c r="AA787" s="48">
        <v>508345</v>
      </c>
      <c r="AB787" s="48">
        <v>508363</v>
      </c>
      <c r="AC787" s="48">
        <v>508417</v>
      </c>
      <c r="AD787" s="48" t="s">
        <v>320</v>
      </c>
      <c r="AE787" s="48">
        <v>508629</v>
      </c>
      <c r="AF787" s="48">
        <v>508707</v>
      </c>
      <c r="AG787" s="48">
        <v>508892</v>
      </c>
      <c r="AH787" s="48">
        <v>508927</v>
      </c>
      <c r="AI787" s="48">
        <v>509007</v>
      </c>
      <c r="AJ787" s="48">
        <v>509100</v>
      </c>
      <c r="AK787" s="48">
        <v>509133</v>
      </c>
      <c r="AL787" s="48" t="s">
        <v>320</v>
      </c>
      <c r="AP787">
        <v>149.4</v>
      </c>
      <c r="AQ787">
        <v>15</v>
      </c>
      <c r="AS787">
        <v>996</v>
      </c>
    </row>
    <row r="788" spans="1:45" hidden="1" x14ac:dyDescent="0.25">
      <c r="A788">
        <v>787</v>
      </c>
      <c r="B788">
        <v>2025</v>
      </c>
      <c r="C788">
        <v>11</v>
      </c>
      <c r="D788" t="s">
        <v>176</v>
      </c>
      <c r="E788">
        <v>31</v>
      </c>
      <c r="F788">
        <v>10</v>
      </c>
      <c r="G788" t="s">
        <v>432</v>
      </c>
      <c r="H788" s="48">
        <v>232502</v>
      </c>
      <c r="I788" s="48">
        <v>232677</v>
      </c>
      <c r="J788" s="48">
        <v>232850</v>
      </c>
      <c r="K788" s="48">
        <v>233020</v>
      </c>
      <c r="L788" s="48">
        <v>233120</v>
      </c>
      <c r="M788" s="48">
        <v>233290</v>
      </c>
      <c r="N788" s="48">
        <v>233459</v>
      </c>
      <c r="O788" s="48">
        <v>233635</v>
      </c>
      <c r="P788" s="48" t="s">
        <v>320</v>
      </c>
      <c r="Q788" s="48">
        <v>233810</v>
      </c>
      <c r="R788" s="48">
        <v>234037</v>
      </c>
      <c r="S788" s="48">
        <v>234289</v>
      </c>
      <c r="T788" s="48">
        <v>234468</v>
      </c>
      <c r="U788" s="48">
        <v>234640</v>
      </c>
      <c r="V788" s="48">
        <v>234771</v>
      </c>
      <c r="W788" s="48">
        <v>234865</v>
      </c>
      <c r="X788" s="48">
        <v>234959</v>
      </c>
      <c r="Y788" s="48">
        <v>235094</v>
      </c>
      <c r="Z788" s="48">
        <v>235392</v>
      </c>
      <c r="AA788" s="48">
        <v>235523</v>
      </c>
      <c r="AB788" s="48">
        <v>235616</v>
      </c>
      <c r="AC788" s="48">
        <v>235708</v>
      </c>
      <c r="AD788" s="48" t="s">
        <v>320</v>
      </c>
      <c r="AE788" s="48">
        <v>235801</v>
      </c>
      <c r="AF788" s="48">
        <v>235891</v>
      </c>
      <c r="AG788" s="48">
        <v>236024</v>
      </c>
      <c r="AH788" s="48">
        <v>236194</v>
      </c>
      <c r="AI788" s="48">
        <v>236366</v>
      </c>
      <c r="AJ788" s="48">
        <v>236565</v>
      </c>
      <c r="AK788" s="48">
        <v>236735</v>
      </c>
      <c r="AL788" s="48" t="s">
        <v>320</v>
      </c>
    </row>
    <row r="789" spans="1:45" hidden="1" x14ac:dyDescent="0.25">
      <c r="A789">
        <v>788</v>
      </c>
      <c r="B789">
        <v>2025</v>
      </c>
      <c r="C789">
        <v>11</v>
      </c>
      <c r="D789" t="s">
        <v>176</v>
      </c>
      <c r="E789">
        <v>31</v>
      </c>
      <c r="F789">
        <v>10</v>
      </c>
      <c r="G789" t="s">
        <v>433</v>
      </c>
      <c r="H789" s="48">
        <v>232677</v>
      </c>
      <c r="I789" s="48">
        <v>232850</v>
      </c>
      <c r="J789" s="48">
        <v>233020</v>
      </c>
      <c r="K789" s="48">
        <v>233120</v>
      </c>
      <c r="L789" s="48">
        <v>233290</v>
      </c>
      <c r="M789" s="48">
        <v>233459</v>
      </c>
      <c r="N789" s="48">
        <v>233635</v>
      </c>
      <c r="O789" s="48">
        <v>233810</v>
      </c>
      <c r="P789" s="48" t="s">
        <v>320</v>
      </c>
      <c r="Q789" s="48">
        <v>234037</v>
      </c>
      <c r="R789" s="48">
        <v>234289</v>
      </c>
      <c r="S789" s="48">
        <v>234468</v>
      </c>
      <c r="T789" s="48">
        <v>234640</v>
      </c>
      <c r="U789" s="48">
        <v>234771</v>
      </c>
      <c r="V789" s="48">
        <v>234865</v>
      </c>
      <c r="W789" s="48">
        <v>234959</v>
      </c>
      <c r="X789" s="48">
        <v>235094</v>
      </c>
      <c r="Y789" s="48">
        <v>235392</v>
      </c>
      <c r="Z789" s="48">
        <v>235523</v>
      </c>
      <c r="AA789" s="48">
        <v>235616</v>
      </c>
      <c r="AB789" s="48">
        <v>235708</v>
      </c>
      <c r="AC789" s="48">
        <v>235801</v>
      </c>
      <c r="AD789" s="48" t="s">
        <v>320</v>
      </c>
      <c r="AE789" s="48">
        <v>235891</v>
      </c>
      <c r="AF789" s="48">
        <v>236024</v>
      </c>
      <c r="AG789" s="48">
        <v>236194</v>
      </c>
      <c r="AH789" s="48">
        <v>236366</v>
      </c>
      <c r="AI789" s="48">
        <v>236565</v>
      </c>
      <c r="AJ789" s="48">
        <v>236735</v>
      </c>
      <c r="AK789" s="48">
        <v>236905</v>
      </c>
      <c r="AL789" s="48" t="s">
        <v>320</v>
      </c>
      <c r="AP789">
        <v>572.39</v>
      </c>
      <c r="AQ789">
        <v>13</v>
      </c>
      <c r="AS789">
        <v>4403</v>
      </c>
    </row>
    <row r="790" spans="1:45" hidden="1" x14ac:dyDescent="0.25">
      <c r="A790">
        <v>789</v>
      </c>
      <c r="B790">
        <v>2025</v>
      </c>
      <c r="C790">
        <v>11</v>
      </c>
      <c r="D790" t="s">
        <v>165</v>
      </c>
      <c r="E790">
        <v>31</v>
      </c>
      <c r="F790">
        <v>10</v>
      </c>
      <c r="G790" t="s">
        <v>432</v>
      </c>
      <c r="H790" s="48">
        <v>31280</v>
      </c>
      <c r="I790" s="48">
        <v>31486</v>
      </c>
      <c r="J790" s="48">
        <v>31698</v>
      </c>
      <c r="K790" s="48">
        <v>31712</v>
      </c>
      <c r="L790" s="48">
        <v>31729</v>
      </c>
      <c r="M790" s="48">
        <v>31758</v>
      </c>
      <c r="N790" s="48">
        <v>31785</v>
      </c>
      <c r="O790" s="48">
        <v>31816</v>
      </c>
      <c r="P790" s="48">
        <v>31880</v>
      </c>
      <c r="Q790" s="48">
        <v>31894</v>
      </c>
      <c r="R790" s="48">
        <v>31911</v>
      </c>
      <c r="S790" s="48">
        <v>31927</v>
      </c>
      <c r="T790" s="48" t="s">
        <v>320</v>
      </c>
      <c r="U790" s="48" t="s">
        <v>320</v>
      </c>
      <c r="V790" s="48" t="s">
        <v>320</v>
      </c>
      <c r="W790" s="48" t="s">
        <v>320</v>
      </c>
      <c r="X790" s="48" t="s">
        <v>320</v>
      </c>
      <c r="Y790" s="48" t="s">
        <v>320</v>
      </c>
      <c r="Z790" s="48" t="s">
        <v>320</v>
      </c>
      <c r="AA790" s="48" t="s">
        <v>320</v>
      </c>
      <c r="AB790" s="48" t="s">
        <v>320</v>
      </c>
      <c r="AC790" s="48" t="s">
        <v>320</v>
      </c>
      <c r="AD790" s="48" t="s">
        <v>320</v>
      </c>
      <c r="AE790" s="48" t="s">
        <v>320</v>
      </c>
      <c r="AF790" s="48" t="s">
        <v>320</v>
      </c>
      <c r="AG790" s="48" t="s">
        <v>320</v>
      </c>
      <c r="AH790" s="48" t="s">
        <v>320</v>
      </c>
      <c r="AI790" s="48" t="s">
        <v>320</v>
      </c>
      <c r="AJ790" s="48" t="s">
        <v>320</v>
      </c>
      <c r="AK790" s="48" t="s">
        <v>320</v>
      </c>
      <c r="AL790" s="48" t="s">
        <v>320</v>
      </c>
    </row>
    <row r="791" spans="1:45" hidden="1" x14ac:dyDescent="0.25">
      <c r="A791">
        <v>790</v>
      </c>
      <c r="B791">
        <v>2025</v>
      </c>
      <c r="C791">
        <v>11</v>
      </c>
      <c r="D791" t="s">
        <v>165</v>
      </c>
      <c r="E791">
        <v>31</v>
      </c>
      <c r="F791">
        <v>10</v>
      </c>
      <c r="G791" t="s">
        <v>433</v>
      </c>
      <c r="H791" s="48">
        <v>31486</v>
      </c>
      <c r="I791" s="48">
        <v>31698</v>
      </c>
      <c r="J791" s="48">
        <v>31712</v>
      </c>
      <c r="K791" s="48">
        <v>31729</v>
      </c>
      <c r="L791" s="48">
        <v>31758</v>
      </c>
      <c r="M791" s="48">
        <v>31785</v>
      </c>
      <c r="N791" s="48">
        <v>31816</v>
      </c>
      <c r="O791" s="48">
        <v>31880</v>
      </c>
      <c r="P791" s="48">
        <v>31894</v>
      </c>
      <c r="Q791" s="48">
        <v>31911</v>
      </c>
      <c r="R791" s="48">
        <v>31927</v>
      </c>
      <c r="S791" s="48">
        <v>31945</v>
      </c>
      <c r="T791" s="48" t="s">
        <v>320</v>
      </c>
      <c r="U791" s="48" t="s">
        <v>320</v>
      </c>
      <c r="V791" s="48" t="s">
        <v>320</v>
      </c>
      <c r="W791" s="48" t="s">
        <v>320</v>
      </c>
      <c r="X791" s="48" t="s">
        <v>320</v>
      </c>
      <c r="Y791" s="48" t="s">
        <v>320</v>
      </c>
      <c r="Z791" s="48" t="s">
        <v>320</v>
      </c>
      <c r="AA791" s="48" t="s">
        <v>320</v>
      </c>
      <c r="AB791" s="48" t="s">
        <v>320</v>
      </c>
      <c r="AC791" s="48" t="s">
        <v>320</v>
      </c>
      <c r="AD791" s="48" t="s">
        <v>320</v>
      </c>
      <c r="AE791" s="48" t="s">
        <v>320</v>
      </c>
      <c r="AF791" s="48" t="s">
        <v>320</v>
      </c>
      <c r="AG791" s="48" t="s">
        <v>320</v>
      </c>
      <c r="AH791" s="48" t="s">
        <v>320</v>
      </c>
      <c r="AI791" s="48" t="s">
        <v>320</v>
      </c>
      <c r="AJ791" s="48" t="s">
        <v>320</v>
      </c>
      <c r="AK791" s="48" t="s">
        <v>320</v>
      </c>
      <c r="AL791" s="48" t="s">
        <v>320</v>
      </c>
      <c r="AP791">
        <v>99.75</v>
      </c>
      <c r="AQ791">
        <v>15</v>
      </c>
      <c r="AS791">
        <v>665</v>
      </c>
    </row>
    <row r="792" spans="1:45" hidden="1" x14ac:dyDescent="0.25">
      <c r="A792">
        <v>791</v>
      </c>
      <c r="B792">
        <v>2025</v>
      </c>
      <c r="C792">
        <v>11</v>
      </c>
      <c r="D792" t="s">
        <v>162</v>
      </c>
      <c r="E792">
        <v>31</v>
      </c>
      <c r="F792">
        <v>10</v>
      </c>
      <c r="G792" t="s">
        <v>432</v>
      </c>
      <c r="H792" s="48">
        <v>16720</v>
      </c>
      <c r="I792" s="48">
        <v>16892</v>
      </c>
      <c r="J792" s="48">
        <v>17110</v>
      </c>
      <c r="K792" s="48">
        <v>17303</v>
      </c>
      <c r="L792" s="48">
        <v>17475</v>
      </c>
      <c r="M792" s="48">
        <v>17633</v>
      </c>
      <c r="N792" s="48">
        <v>17860</v>
      </c>
      <c r="O792" s="48">
        <v>18043</v>
      </c>
      <c r="P792" s="48" t="s">
        <v>320</v>
      </c>
      <c r="Q792" s="48">
        <v>18211</v>
      </c>
      <c r="R792" s="48">
        <v>18393</v>
      </c>
      <c r="S792" s="48">
        <v>18631</v>
      </c>
      <c r="T792" s="48">
        <v>18880</v>
      </c>
      <c r="U792" s="48">
        <v>19137</v>
      </c>
      <c r="V792" s="48">
        <v>19374</v>
      </c>
      <c r="W792" s="48">
        <v>19558</v>
      </c>
      <c r="X792" s="48">
        <v>19798</v>
      </c>
      <c r="Y792" s="48">
        <v>19995</v>
      </c>
      <c r="Z792" s="48">
        <v>20230</v>
      </c>
      <c r="AA792" s="48">
        <v>20473</v>
      </c>
      <c r="AB792" s="48">
        <v>20691</v>
      </c>
      <c r="AC792" s="48">
        <v>20877</v>
      </c>
      <c r="AD792" s="48">
        <v>21108</v>
      </c>
      <c r="AE792" s="48">
        <v>21243</v>
      </c>
      <c r="AF792" s="48">
        <v>21571</v>
      </c>
      <c r="AG792" s="48">
        <v>21787</v>
      </c>
      <c r="AH792" s="48">
        <v>21966</v>
      </c>
      <c r="AI792" s="48">
        <v>22141</v>
      </c>
      <c r="AJ792" s="48">
        <v>22327</v>
      </c>
      <c r="AK792" s="48">
        <v>22494</v>
      </c>
      <c r="AL792" s="48" t="s">
        <v>320</v>
      </c>
    </row>
    <row r="793" spans="1:45" hidden="1" x14ac:dyDescent="0.25">
      <c r="A793">
        <v>792</v>
      </c>
      <c r="B793">
        <v>2025</v>
      </c>
      <c r="C793">
        <v>11</v>
      </c>
      <c r="D793" t="s">
        <v>162</v>
      </c>
      <c r="E793">
        <v>31</v>
      </c>
      <c r="F793">
        <v>10</v>
      </c>
      <c r="G793" t="s">
        <v>433</v>
      </c>
      <c r="H793" s="48">
        <v>16892</v>
      </c>
      <c r="I793" s="48">
        <v>17110</v>
      </c>
      <c r="J793" s="48">
        <v>17303</v>
      </c>
      <c r="K793" s="48">
        <v>17475</v>
      </c>
      <c r="L793" s="48">
        <v>17633</v>
      </c>
      <c r="M793" s="48">
        <v>17860</v>
      </c>
      <c r="N793" s="48">
        <v>18043</v>
      </c>
      <c r="O793" s="48">
        <v>18211</v>
      </c>
      <c r="P793" s="48" t="s">
        <v>320</v>
      </c>
      <c r="Q793" s="48">
        <v>18393</v>
      </c>
      <c r="R793" s="48">
        <v>18631</v>
      </c>
      <c r="S793" s="48">
        <v>18880</v>
      </c>
      <c r="T793" s="48">
        <v>19137</v>
      </c>
      <c r="U793" s="48">
        <v>19374</v>
      </c>
      <c r="V793" s="48">
        <v>19558</v>
      </c>
      <c r="W793" s="48">
        <v>19798</v>
      </c>
      <c r="X793" s="48">
        <v>19995</v>
      </c>
      <c r="Y793" s="48">
        <v>20230</v>
      </c>
      <c r="Z793" s="48">
        <v>20473</v>
      </c>
      <c r="AA793" s="48">
        <v>20691</v>
      </c>
      <c r="AB793" s="48">
        <v>20877</v>
      </c>
      <c r="AC793" s="48">
        <v>21108</v>
      </c>
      <c r="AD793" s="48">
        <v>21343</v>
      </c>
      <c r="AE793" s="48">
        <v>21571</v>
      </c>
      <c r="AF793" s="48">
        <v>21787</v>
      </c>
      <c r="AG793" s="48">
        <v>21966</v>
      </c>
      <c r="AH793" s="48">
        <v>22141</v>
      </c>
      <c r="AI793" s="48">
        <v>22327</v>
      </c>
      <c r="AJ793" s="48">
        <v>22494</v>
      </c>
      <c r="AK793" s="48">
        <v>22731</v>
      </c>
      <c r="AL793" s="48" t="s">
        <v>320</v>
      </c>
      <c r="AP793">
        <v>916.64999999999986</v>
      </c>
      <c r="AQ793">
        <v>14.999999999999998</v>
      </c>
      <c r="AS793">
        <v>6111</v>
      </c>
    </row>
    <row r="794" spans="1:45" hidden="1" x14ac:dyDescent="0.25">
      <c r="A794">
        <v>793</v>
      </c>
      <c r="B794">
        <v>2025</v>
      </c>
      <c r="C794">
        <v>11</v>
      </c>
      <c r="D794" t="s">
        <v>171</v>
      </c>
      <c r="E794">
        <v>31</v>
      </c>
      <c r="F794">
        <v>10</v>
      </c>
      <c r="G794" t="s">
        <v>432</v>
      </c>
      <c r="H794" s="48">
        <v>202042</v>
      </c>
      <c r="I794" s="48">
        <v>202061</v>
      </c>
      <c r="J794" s="48">
        <v>202083</v>
      </c>
      <c r="K794" s="48">
        <v>202100</v>
      </c>
      <c r="L794" s="48">
        <v>202117</v>
      </c>
      <c r="M794" s="48">
        <v>202144</v>
      </c>
      <c r="N794" s="48">
        <v>202186</v>
      </c>
      <c r="O794" s="48">
        <v>202225</v>
      </c>
      <c r="P794" s="48" t="s">
        <v>320</v>
      </c>
      <c r="Q794" s="48">
        <v>202352</v>
      </c>
      <c r="R794" s="48">
        <v>202408</v>
      </c>
      <c r="S794" s="48">
        <v>202429</v>
      </c>
      <c r="T794" s="48">
        <v>202454</v>
      </c>
      <c r="U794" s="48">
        <v>202486</v>
      </c>
      <c r="V794" s="48">
        <v>202519</v>
      </c>
      <c r="W794" s="48">
        <v>202548</v>
      </c>
      <c r="X794" s="48">
        <v>202575</v>
      </c>
      <c r="Y794" s="48">
        <v>202603</v>
      </c>
      <c r="Z794" s="48">
        <v>202632</v>
      </c>
      <c r="AA794" s="48">
        <v>202685</v>
      </c>
      <c r="AB794" s="48">
        <v>202733</v>
      </c>
      <c r="AC794" s="48">
        <v>202776</v>
      </c>
      <c r="AD794" s="48" t="s">
        <v>320</v>
      </c>
      <c r="AE794" s="48">
        <v>202944</v>
      </c>
      <c r="AF794" s="48">
        <v>203026</v>
      </c>
      <c r="AG794" s="48">
        <v>203067</v>
      </c>
      <c r="AH794" s="48">
        <v>203098</v>
      </c>
      <c r="AI794" s="48">
        <v>203128</v>
      </c>
      <c r="AJ794" s="48">
        <v>203155</v>
      </c>
      <c r="AK794" s="48">
        <v>203200</v>
      </c>
      <c r="AL794" s="48" t="s">
        <v>320</v>
      </c>
    </row>
    <row r="795" spans="1:45" hidden="1" x14ac:dyDescent="0.25">
      <c r="A795">
        <v>794</v>
      </c>
      <c r="B795">
        <v>2025</v>
      </c>
      <c r="C795">
        <v>11</v>
      </c>
      <c r="D795" t="s">
        <v>171</v>
      </c>
      <c r="E795">
        <v>31</v>
      </c>
      <c r="F795">
        <v>10</v>
      </c>
      <c r="G795" t="s">
        <v>433</v>
      </c>
      <c r="H795" s="48">
        <v>202061</v>
      </c>
      <c r="I795" s="48">
        <v>202083</v>
      </c>
      <c r="J795" s="48">
        <v>202100</v>
      </c>
      <c r="K795" s="48">
        <v>202117</v>
      </c>
      <c r="L795" s="48">
        <v>202144</v>
      </c>
      <c r="M795" s="48">
        <v>202186</v>
      </c>
      <c r="N795" s="48">
        <v>202225</v>
      </c>
      <c r="O795" s="48">
        <v>202309</v>
      </c>
      <c r="P795" s="48" t="s">
        <v>320</v>
      </c>
      <c r="Q795" s="48">
        <v>202408</v>
      </c>
      <c r="R795" s="48">
        <v>202429</v>
      </c>
      <c r="S795" s="48">
        <v>202454</v>
      </c>
      <c r="T795" s="48">
        <v>202486</v>
      </c>
      <c r="U795" s="48">
        <v>202519</v>
      </c>
      <c r="V795" s="48">
        <v>202548</v>
      </c>
      <c r="W795" s="48">
        <v>202575</v>
      </c>
      <c r="X795" s="48">
        <v>202603</v>
      </c>
      <c r="Y795" s="48">
        <v>202632</v>
      </c>
      <c r="Z795" s="48">
        <v>202685</v>
      </c>
      <c r="AA795" s="48">
        <v>202733</v>
      </c>
      <c r="AB795" s="48">
        <v>202776</v>
      </c>
      <c r="AC795" s="48">
        <v>202863</v>
      </c>
      <c r="AD795" s="48" t="s">
        <v>320</v>
      </c>
      <c r="AE795" s="48">
        <v>203026</v>
      </c>
      <c r="AF795" s="48">
        <v>203067</v>
      </c>
      <c r="AG795" s="48">
        <v>203098</v>
      </c>
      <c r="AH795" s="48">
        <v>203128</v>
      </c>
      <c r="AI795" s="48">
        <v>203155</v>
      </c>
      <c r="AJ795" s="48">
        <v>203200</v>
      </c>
      <c r="AK795" s="48">
        <v>203236</v>
      </c>
      <c r="AL795" s="48" t="s">
        <v>320</v>
      </c>
      <c r="AP795">
        <v>160.5</v>
      </c>
      <c r="AQ795">
        <v>15</v>
      </c>
      <c r="AS795">
        <v>1070</v>
      </c>
    </row>
    <row r="796" spans="1:45" hidden="1" x14ac:dyDescent="0.25">
      <c r="A796">
        <v>795</v>
      </c>
      <c r="B796">
        <v>2025</v>
      </c>
      <c r="C796">
        <v>11</v>
      </c>
      <c r="D796" t="s">
        <v>178</v>
      </c>
      <c r="E796">
        <v>31</v>
      </c>
      <c r="F796">
        <v>10</v>
      </c>
      <c r="G796" t="s">
        <v>432</v>
      </c>
      <c r="H796" s="48">
        <v>923253</v>
      </c>
      <c r="I796" s="48">
        <v>923294</v>
      </c>
      <c r="J796" s="48">
        <v>923344</v>
      </c>
      <c r="K796" s="48">
        <v>923411</v>
      </c>
      <c r="L796" s="48">
        <v>923462</v>
      </c>
      <c r="M796" s="48">
        <v>923504</v>
      </c>
      <c r="N796" s="48">
        <v>923546</v>
      </c>
      <c r="O796" s="48">
        <v>923598</v>
      </c>
      <c r="P796" s="48" t="s">
        <v>320</v>
      </c>
      <c r="Q796" s="48">
        <v>923641</v>
      </c>
      <c r="R796" s="48">
        <v>923702</v>
      </c>
      <c r="S796" s="48">
        <v>923762</v>
      </c>
      <c r="T796" s="48">
        <v>923815</v>
      </c>
      <c r="U796" s="48">
        <v>923858</v>
      </c>
      <c r="V796" s="48">
        <v>923942</v>
      </c>
      <c r="W796" s="48">
        <v>924007</v>
      </c>
      <c r="X796" s="48">
        <v>924039</v>
      </c>
      <c r="Y796" s="48">
        <v>924092</v>
      </c>
      <c r="Z796" s="48">
        <v>924151</v>
      </c>
      <c r="AA796" s="48">
        <v>924196</v>
      </c>
      <c r="AB796" s="48">
        <v>924254</v>
      </c>
      <c r="AC796" s="48">
        <v>924298</v>
      </c>
      <c r="AD796" s="48" t="s">
        <v>320</v>
      </c>
      <c r="AE796" s="48">
        <v>924324</v>
      </c>
      <c r="AF796" s="48">
        <v>924355</v>
      </c>
      <c r="AG796" s="48">
        <v>924410</v>
      </c>
      <c r="AH796" s="48">
        <v>924485</v>
      </c>
      <c r="AI796" s="48">
        <v>924542</v>
      </c>
      <c r="AJ796" s="48">
        <v>924600</v>
      </c>
      <c r="AK796" s="48">
        <v>924650</v>
      </c>
      <c r="AL796" s="48" t="s">
        <v>320</v>
      </c>
    </row>
    <row r="797" spans="1:45" hidden="1" x14ac:dyDescent="0.25">
      <c r="A797">
        <v>796</v>
      </c>
      <c r="B797">
        <v>2025</v>
      </c>
      <c r="C797">
        <v>11</v>
      </c>
      <c r="D797" t="s">
        <v>178</v>
      </c>
      <c r="E797">
        <v>31</v>
      </c>
      <c r="F797">
        <v>10</v>
      </c>
      <c r="G797" t="s">
        <v>433</v>
      </c>
      <c r="H797" s="48">
        <v>923294</v>
      </c>
      <c r="I797" s="48">
        <v>923344</v>
      </c>
      <c r="J797" s="48">
        <v>923411</v>
      </c>
      <c r="K797" s="48">
        <v>923462</v>
      </c>
      <c r="L797" s="48">
        <v>923504</v>
      </c>
      <c r="M797" s="48">
        <v>923546</v>
      </c>
      <c r="N797" s="48">
        <v>923598</v>
      </c>
      <c r="O797" s="48">
        <v>923641</v>
      </c>
      <c r="P797" s="48" t="s">
        <v>320</v>
      </c>
      <c r="Q797" s="48">
        <v>923702</v>
      </c>
      <c r="R797" s="48">
        <v>923762</v>
      </c>
      <c r="S797" s="48">
        <v>923815</v>
      </c>
      <c r="T797" s="48">
        <v>923858</v>
      </c>
      <c r="U797" s="48">
        <v>923942</v>
      </c>
      <c r="V797" s="48">
        <v>924007</v>
      </c>
      <c r="W797" s="48">
        <v>924039</v>
      </c>
      <c r="X797" s="48">
        <v>924092</v>
      </c>
      <c r="Y797" s="48">
        <v>924151</v>
      </c>
      <c r="Z797" s="48">
        <v>924196</v>
      </c>
      <c r="AA797" s="48">
        <v>924254</v>
      </c>
      <c r="AB797" s="48">
        <v>924298</v>
      </c>
      <c r="AC797" s="48">
        <v>924324</v>
      </c>
      <c r="AD797" s="48" t="s">
        <v>320</v>
      </c>
      <c r="AE797" s="48">
        <v>924355</v>
      </c>
      <c r="AF797" s="48">
        <v>924410</v>
      </c>
      <c r="AG797" s="48">
        <v>924485</v>
      </c>
      <c r="AH797" s="48">
        <v>924542</v>
      </c>
      <c r="AI797" s="48">
        <v>924600</v>
      </c>
      <c r="AJ797" s="48">
        <v>924650</v>
      </c>
      <c r="AK797" s="48">
        <v>924661</v>
      </c>
      <c r="AL797" s="48" t="s">
        <v>320</v>
      </c>
      <c r="AP797">
        <v>211.2</v>
      </c>
      <c r="AQ797">
        <v>15</v>
      </c>
      <c r="AS797">
        <v>1408</v>
      </c>
    </row>
    <row r="798" spans="1:45" hidden="1" x14ac:dyDescent="0.25">
      <c r="A798">
        <v>797</v>
      </c>
      <c r="B798">
        <v>2025</v>
      </c>
      <c r="C798">
        <v>11</v>
      </c>
      <c r="D798" t="s">
        <v>181</v>
      </c>
      <c r="E798">
        <v>31</v>
      </c>
      <c r="F798">
        <v>10</v>
      </c>
      <c r="G798" t="s">
        <v>432</v>
      </c>
      <c r="H798" s="48">
        <v>127051</v>
      </c>
      <c r="I798" s="48">
        <v>127075</v>
      </c>
      <c r="J798" s="48">
        <v>127196</v>
      </c>
      <c r="K798" s="48">
        <v>127209</v>
      </c>
      <c r="L798" s="48">
        <v>127229</v>
      </c>
      <c r="M798" s="48">
        <v>127246</v>
      </c>
      <c r="N798" s="48">
        <v>127276</v>
      </c>
      <c r="O798" s="48">
        <v>127366</v>
      </c>
      <c r="P798" s="48">
        <v>127486</v>
      </c>
      <c r="Q798" s="48">
        <v>127557</v>
      </c>
      <c r="R798" s="48">
        <v>127617</v>
      </c>
      <c r="S798" s="48">
        <v>127687</v>
      </c>
      <c r="T798" s="48">
        <v>127938</v>
      </c>
      <c r="U798" s="48">
        <v>127968</v>
      </c>
      <c r="V798" s="48">
        <v>127983</v>
      </c>
      <c r="W798" s="48">
        <v>128076</v>
      </c>
      <c r="X798" s="48">
        <v>128182</v>
      </c>
      <c r="Y798" s="48">
        <v>128197</v>
      </c>
      <c r="Z798" s="48">
        <v>128348</v>
      </c>
      <c r="AA798" s="48">
        <v>128399</v>
      </c>
      <c r="AB798" s="48">
        <v>128455</v>
      </c>
      <c r="AC798" s="48">
        <v>128530</v>
      </c>
      <c r="AD798" s="48">
        <v>128586</v>
      </c>
      <c r="AE798" s="48">
        <v>128638</v>
      </c>
      <c r="AF798" s="48">
        <v>128730</v>
      </c>
      <c r="AG798" s="48">
        <v>128834</v>
      </c>
      <c r="AH798" s="48">
        <v>128898</v>
      </c>
      <c r="AI798" s="48">
        <v>128975</v>
      </c>
      <c r="AJ798" s="48">
        <v>129054</v>
      </c>
      <c r="AK798" s="48" t="s">
        <v>320</v>
      </c>
      <c r="AL798" s="48" t="s">
        <v>320</v>
      </c>
    </row>
    <row r="799" spans="1:45" hidden="1" x14ac:dyDescent="0.25">
      <c r="A799">
        <v>798</v>
      </c>
      <c r="B799">
        <v>2025</v>
      </c>
      <c r="C799">
        <v>11</v>
      </c>
      <c r="D799" t="s">
        <v>181</v>
      </c>
      <c r="E799">
        <v>31</v>
      </c>
      <c r="F799">
        <v>10</v>
      </c>
      <c r="G799" t="s">
        <v>433</v>
      </c>
      <c r="H799" s="48">
        <v>127075</v>
      </c>
      <c r="I799" s="48">
        <v>127147</v>
      </c>
      <c r="J799" s="48">
        <v>127209</v>
      </c>
      <c r="K799" s="48">
        <v>127229</v>
      </c>
      <c r="L799" s="48">
        <v>127246</v>
      </c>
      <c r="M799" s="48">
        <v>127276</v>
      </c>
      <c r="N799" s="48">
        <v>127366</v>
      </c>
      <c r="O799" s="48">
        <v>127486</v>
      </c>
      <c r="P799" s="48">
        <v>127557</v>
      </c>
      <c r="Q799" s="48">
        <v>127617</v>
      </c>
      <c r="R799" s="48">
        <v>127687</v>
      </c>
      <c r="S799" s="48">
        <v>127752</v>
      </c>
      <c r="T799" s="48">
        <v>127968</v>
      </c>
      <c r="U799" s="48">
        <v>127983</v>
      </c>
      <c r="V799" s="48">
        <v>128076</v>
      </c>
      <c r="W799" s="48">
        <v>128182</v>
      </c>
      <c r="X799" s="48">
        <v>128197</v>
      </c>
      <c r="Y799" s="48">
        <v>128348</v>
      </c>
      <c r="Z799" s="48">
        <v>128399</v>
      </c>
      <c r="AA799" s="48">
        <v>128455</v>
      </c>
      <c r="AB799" s="48">
        <v>128530</v>
      </c>
      <c r="AC799" s="48">
        <v>128586</v>
      </c>
      <c r="AD799" s="48">
        <v>128638</v>
      </c>
      <c r="AE799" s="48">
        <v>128730</v>
      </c>
      <c r="AF799" s="48">
        <v>128854</v>
      </c>
      <c r="AG799" s="48">
        <v>128898</v>
      </c>
      <c r="AH799" s="48">
        <v>128975</v>
      </c>
      <c r="AI799" s="48">
        <v>129054</v>
      </c>
      <c r="AJ799" s="48">
        <v>129113</v>
      </c>
      <c r="AK799" s="48" t="s">
        <v>320</v>
      </c>
      <c r="AL799" s="48" t="s">
        <v>320</v>
      </c>
      <c r="AP799">
        <v>277.05</v>
      </c>
      <c r="AQ799">
        <v>15</v>
      </c>
      <c r="AS799">
        <v>1847</v>
      </c>
    </row>
    <row r="800" spans="1:45" hidden="1" x14ac:dyDescent="0.25">
      <c r="A800">
        <v>799</v>
      </c>
      <c r="B800">
        <v>2025</v>
      </c>
      <c r="C800">
        <v>11</v>
      </c>
      <c r="D800" t="s">
        <v>161</v>
      </c>
      <c r="E800">
        <v>31</v>
      </c>
      <c r="F800">
        <v>10</v>
      </c>
      <c r="G800" t="s">
        <v>432</v>
      </c>
      <c r="H800" s="48">
        <v>823501</v>
      </c>
      <c r="I800" s="48">
        <v>823619</v>
      </c>
      <c r="J800" s="48">
        <v>823705</v>
      </c>
      <c r="K800" s="48">
        <v>823776</v>
      </c>
      <c r="L800" s="48">
        <v>823869</v>
      </c>
      <c r="M800" s="48">
        <v>823943</v>
      </c>
      <c r="N800" s="48">
        <v>824023</v>
      </c>
      <c r="O800" s="48">
        <v>824110</v>
      </c>
      <c r="P800" s="48" t="s">
        <v>320</v>
      </c>
      <c r="Q800" s="48">
        <v>824193</v>
      </c>
      <c r="R800" s="48">
        <v>824267</v>
      </c>
      <c r="S800" s="48">
        <v>824376</v>
      </c>
      <c r="T800" s="48">
        <v>824489</v>
      </c>
      <c r="U800" s="48">
        <v>824562</v>
      </c>
      <c r="V800" s="48">
        <v>824650</v>
      </c>
      <c r="W800" s="48">
        <v>824760</v>
      </c>
      <c r="X800" s="48">
        <v>824858</v>
      </c>
      <c r="Y800" s="48">
        <v>824949</v>
      </c>
      <c r="Z800" s="48">
        <v>825035</v>
      </c>
      <c r="AA800" s="48">
        <v>825131</v>
      </c>
      <c r="AB800" s="48">
        <v>825197</v>
      </c>
      <c r="AC800" s="48">
        <v>825295</v>
      </c>
      <c r="AD800" s="48">
        <v>825387</v>
      </c>
      <c r="AE800" s="48">
        <v>825466</v>
      </c>
      <c r="AF800" s="48">
        <v>825557</v>
      </c>
      <c r="AG800" s="48">
        <v>825675</v>
      </c>
      <c r="AH800" s="48">
        <v>825767</v>
      </c>
      <c r="AI800" s="48">
        <v>825873</v>
      </c>
      <c r="AJ800" s="48">
        <v>825970</v>
      </c>
      <c r="AK800" s="48">
        <v>826075</v>
      </c>
      <c r="AL800" s="48" t="s">
        <v>320</v>
      </c>
    </row>
    <row r="801" spans="1:45" hidden="1" x14ac:dyDescent="0.25">
      <c r="A801">
        <v>800</v>
      </c>
      <c r="B801">
        <v>2025</v>
      </c>
      <c r="C801">
        <v>11</v>
      </c>
      <c r="D801" t="s">
        <v>161</v>
      </c>
      <c r="E801">
        <v>31</v>
      </c>
      <c r="F801">
        <v>10</v>
      </c>
      <c r="G801" t="s">
        <v>433</v>
      </c>
      <c r="H801" s="48">
        <v>823619</v>
      </c>
      <c r="I801" s="48">
        <v>823705</v>
      </c>
      <c r="J801" s="48">
        <v>823776</v>
      </c>
      <c r="K801" s="48">
        <v>823869</v>
      </c>
      <c r="L801" s="48">
        <v>823943</v>
      </c>
      <c r="M801" s="48">
        <v>824023</v>
      </c>
      <c r="N801" s="48">
        <v>824110</v>
      </c>
      <c r="O801" s="48">
        <v>824193</v>
      </c>
      <c r="P801" s="48" t="s">
        <v>320</v>
      </c>
      <c r="Q801" s="48">
        <v>824267</v>
      </c>
      <c r="R801" s="48">
        <v>824376</v>
      </c>
      <c r="S801" s="48">
        <v>824489</v>
      </c>
      <c r="T801" s="48">
        <v>824562</v>
      </c>
      <c r="U801" s="48">
        <v>824650</v>
      </c>
      <c r="V801" s="48">
        <v>824760</v>
      </c>
      <c r="W801" s="48">
        <v>824858</v>
      </c>
      <c r="X801" s="48">
        <v>824949</v>
      </c>
      <c r="Y801" s="48">
        <v>825035</v>
      </c>
      <c r="Z801" s="48">
        <v>825131</v>
      </c>
      <c r="AA801" s="48">
        <v>825197</v>
      </c>
      <c r="AB801" s="48">
        <v>825295</v>
      </c>
      <c r="AC801" s="48">
        <v>825387</v>
      </c>
      <c r="AD801" s="48">
        <v>825466</v>
      </c>
      <c r="AE801" s="48">
        <v>825557</v>
      </c>
      <c r="AF801" s="48">
        <v>825675</v>
      </c>
      <c r="AG801" s="48">
        <v>825767</v>
      </c>
      <c r="AH801" s="48">
        <v>825873</v>
      </c>
      <c r="AI801" s="48">
        <v>825970</v>
      </c>
      <c r="AJ801" s="48">
        <v>826075</v>
      </c>
      <c r="AK801" s="48">
        <v>826164</v>
      </c>
      <c r="AL801" s="48" t="s">
        <v>320</v>
      </c>
      <c r="AP801">
        <v>319.56</v>
      </c>
      <c r="AQ801">
        <v>12</v>
      </c>
      <c r="AS801">
        <v>2663</v>
      </c>
    </row>
    <row r="802" spans="1:45" hidden="1" x14ac:dyDescent="0.25">
      <c r="A802">
        <v>801</v>
      </c>
      <c r="B802">
        <v>2025</v>
      </c>
      <c r="C802">
        <v>11</v>
      </c>
      <c r="D802" t="s">
        <v>352</v>
      </c>
      <c r="E802">
        <v>31</v>
      </c>
      <c r="F802">
        <v>10</v>
      </c>
      <c r="G802" t="s">
        <v>432</v>
      </c>
      <c r="H802" s="48" t="s">
        <v>320</v>
      </c>
      <c r="I802" s="48" t="s">
        <v>320</v>
      </c>
      <c r="J802" s="48" t="s">
        <v>320</v>
      </c>
      <c r="K802" s="48" t="s">
        <v>320</v>
      </c>
      <c r="L802" s="48" t="s">
        <v>320</v>
      </c>
      <c r="M802" s="48" t="s">
        <v>320</v>
      </c>
      <c r="N802" s="48" t="s">
        <v>320</v>
      </c>
      <c r="O802" s="48" t="s">
        <v>320</v>
      </c>
      <c r="P802" s="48" t="s">
        <v>320</v>
      </c>
      <c r="Q802" s="48" t="s">
        <v>320</v>
      </c>
      <c r="R802" s="48" t="s">
        <v>320</v>
      </c>
      <c r="S802" s="48" t="s">
        <v>320</v>
      </c>
      <c r="T802" s="48" t="s">
        <v>320</v>
      </c>
      <c r="U802" s="48" t="s">
        <v>320</v>
      </c>
      <c r="V802" s="48" t="s">
        <v>320</v>
      </c>
      <c r="W802" s="48" t="s">
        <v>320</v>
      </c>
      <c r="X802" s="48" t="s">
        <v>320</v>
      </c>
      <c r="Y802" s="48">
        <v>762049</v>
      </c>
      <c r="Z802" s="48">
        <v>762060</v>
      </c>
      <c r="AA802" s="48">
        <v>762076</v>
      </c>
      <c r="AB802" s="48">
        <v>762213</v>
      </c>
      <c r="AC802" s="48">
        <v>762255</v>
      </c>
      <c r="AD802" s="48">
        <v>762331</v>
      </c>
      <c r="AE802" s="48">
        <v>762440</v>
      </c>
      <c r="AF802" s="48">
        <v>762606</v>
      </c>
      <c r="AG802" s="48">
        <v>762692</v>
      </c>
      <c r="AH802" s="48">
        <v>762819</v>
      </c>
      <c r="AI802" s="48">
        <v>762918</v>
      </c>
      <c r="AJ802" s="48">
        <v>763031</v>
      </c>
      <c r="AK802" s="48">
        <v>763091</v>
      </c>
      <c r="AL802" s="48" t="s">
        <v>320</v>
      </c>
    </row>
    <row r="803" spans="1:45" hidden="1" x14ac:dyDescent="0.25">
      <c r="A803">
        <v>802</v>
      </c>
      <c r="B803">
        <v>2025</v>
      </c>
      <c r="C803">
        <v>11</v>
      </c>
      <c r="D803" t="s">
        <v>352</v>
      </c>
      <c r="E803">
        <v>31</v>
      </c>
      <c r="F803">
        <v>10</v>
      </c>
      <c r="G803" t="s">
        <v>433</v>
      </c>
      <c r="H803" s="48" t="s">
        <v>320</v>
      </c>
      <c r="I803" s="48" t="s">
        <v>320</v>
      </c>
      <c r="J803" s="48" t="s">
        <v>320</v>
      </c>
      <c r="K803" s="48" t="s">
        <v>320</v>
      </c>
      <c r="L803" s="48" t="s">
        <v>320</v>
      </c>
      <c r="M803" s="48" t="s">
        <v>320</v>
      </c>
      <c r="N803" s="48" t="s">
        <v>320</v>
      </c>
      <c r="O803" s="48" t="s">
        <v>320</v>
      </c>
      <c r="P803" s="48" t="s">
        <v>320</v>
      </c>
      <c r="Q803" s="48" t="s">
        <v>320</v>
      </c>
      <c r="R803" s="48" t="s">
        <v>320</v>
      </c>
      <c r="S803" s="48" t="s">
        <v>320</v>
      </c>
      <c r="T803" s="48" t="s">
        <v>320</v>
      </c>
      <c r="U803" s="48" t="s">
        <v>320</v>
      </c>
      <c r="V803" s="48" t="s">
        <v>320</v>
      </c>
      <c r="W803" s="48" t="s">
        <v>320</v>
      </c>
      <c r="X803" s="48" t="s">
        <v>320</v>
      </c>
      <c r="Y803" s="48">
        <v>762060</v>
      </c>
      <c r="Z803" s="48">
        <v>762076</v>
      </c>
      <c r="AA803" s="48">
        <v>762213</v>
      </c>
      <c r="AB803" s="48">
        <v>762255</v>
      </c>
      <c r="AC803" s="48">
        <v>762331</v>
      </c>
      <c r="AD803" s="48">
        <v>762440</v>
      </c>
      <c r="AE803" s="48">
        <v>762606</v>
      </c>
      <c r="AF803" s="48">
        <v>762692</v>
      </c>
      <c r="AG803" s="48">
        <v>762819</v>
      </c>
      <c r="AH803" s="48">
        <v>762918</v>
      </c>
      <c r="AI803" s="48">
        <v>763031</v>
      </c>
      <c r="AJ803" s="48">
        <v>763091</v>
      </c>
      <c r="AK803" s="48">
        <v>763157</v>
      </c>
      <c r="AL803" s="48" t="s">
        <v>320</v>
      </c>
      <c r="AP803">
        <v>166.2</v>
      </c>
      <c r="AQ803">
        <v>15</v>
      </c>
      <c r="AS803">
        <v>1108</v>
      </c>
    </row>
    <row r="804" spans="1:45" hidden="1" x14ac:dyDescent="0.25">
      <c r="A804">
        <v>803</v>
      </c>
      <c r="B804">
        <v>2025</v>
      </c>
      <c r="C804">
        <v>11</v>
      </c>
      <c r="D804" t="s">
        <v>151</v>
      </c>
      <c r="E804">
        <v>31</v>
      </c>
      <c r="F804">
        <v>10</v>
      </c>
      <c r="G804" t="s">
        <v>432</v>
      </c>
      <c r="H804" s="48">
        <v>278960</v>
      </c>
      <c r="I804" s="48">
        <v>279045</v>
      </c>
      <c r="J804" s="48">
        <v>279145</v>
      </c>
      <c r="K804" s="48">
        <v>279234</v>
      </c>
      <c r="L804" s="48">
        <v>279311</v>
      </c>
      <c r="M804" s="48">
        <v>279375</v>
      </c>
      <c r="N804" s="48">
        <v>279432</v>
      </c>
      <c r="O804" s="48">
        <v>279532</v>
      </c>
      <c r="P804" s="48">
        <v>279628</v>
      </c>
      <c r="Q804" s="48">
        <v>279837</v>
      </c>
      <c r="R804" s="48">
        <v>280035</v>
      </c>
      <c r="S804" s="48">
        <v>280103</v>
      </c>
      <c r="T804" s="48">
        <v>280194</v>
      </c>
      <c r="U804" s="48">
        <v>280312</v>
      </c>
      <c r="V804" s="48">
        <v>280397</v>
      </c>
      <c r="W804" s="48">
        <v>280473</v>
      </c>
      <c r="X804" s="48">
        <v>280498</v>
      </c>
      <c r="Y804" s="48">
        <v>280573</v>
      </c>
      <c r="Z804" s="48">
        <v>280648</v>
      </c>
      <c r="AA804" s="48">
        <v>280714</v>
      </c>
      <c r="AB804" s="48">
        <v>280812</v>
      </c>
      <c r="AC804" s="48">
        <v>280865</v>
      </c>
      <c r="AD804" s="48">
        <v>280923</v>
      </c>
      <c r="AE804" s="48">
        <v>281112</v>
      </c>
      <c r="AF804" s="48">
        <v>281245</v>
      </c>
      <c r="AG804" s="48">
        <v>281415</v>
      </c>
      <c r="AH804" s="48">
        <v>281587</v>
      </c>
      <c r="AI804" s="48">
        <v>281712</v>
      </c>
      <c r="AJ804" s="48">
        <v>281846</v>
      </c>
      <c r="AK804" s="48">
        <v>282035</v>
      </c>
      <c r="AL804" s="48" t="s">
        <v>320</v>
      </c>
    </row>
    <row r="805" spans="1:45" hidden="1" x14ac:dyDescent="0.25">
      <c r="A805">
        <v>804</v>
      </c>
      <c r="B805">
        <v>2025</v>
      </c>
      <c r="C805">
        <v>11</v>
      </c>
      <c r="D805" t="s">
        <v>151</v>
      </c>
      <c r="E805">
        <v>31</v>
      </c>
      <c r="F805">
        <v>10</v>
      </c>
      <c r="G805" t="s">
        <v>433</v>
      </c>
      <c r="H805" s="48">
        <v>279010</v>
      </c>
      <c r="I805" s="48">
        <v>279107</v>
      </c>
      <c r="J805" s="48">
        <v>279205</v>
      </c>
      <c r="K805" s="48">
        <v>279286</v>
      </c>
      <c r="L805" s="48">
        <v>279348</v>
      </c>
      <c r="M805" s="48">
        <v>279395</v>
      </c>
      <c r="N805" s="48">
        <v>279485</v>
      </c>
      <c r="O805" s="48">
        <v>279587</v>
      </c>
      <c r="P805" s="48">
        <v>279745</v>
      </c>
      <c r="Q805" s="48">
        <v>279986</v>
      </c>
      <c r="R805" s="48">
        <v>280072</v>
      </c>
      <c r="S805" s="48">
        <v>280157</v>
      </c>
      <c r="T805" s="48">
        <v>280265</v>
      </c>
      <c r="U805" s="48">
        <v>280362</v>
      </c>
      <c r="V805" s="48">
        <v>280442</v>
      </c>
      <c r="W805" s="48">
        <v>280487</v>
      </c>
      <c r="X805" s="48">
        <v>280542</v>
      </c>
      <c r="Y805" s="48">
        <v>280612</v>
      </c>
      <c r="Z805" s="48">
        <v>280681</v>
      </c>
      <c r="AA805" s="48">
        <v>280756</v>
      </c>
      <c r="AB805" s="48">
        <v>280846</v>
      </c>
      <c r="AC805" s="48">
        <v>280890</v>
      </c>
      <c r="AD805" s="48">
        <v>281045</v>
      </c>
      <c r="AE805" s="48">
        <v>281198</v>
      </c>
      <c r="AF805" s="48">
        <v>281342</v>
      </c>
      <c r="AG805" s="48">
        <v>281507</v>
      </c>
      <c r="AH805" s="48">
        <v>281647</v>
      </c>
      <c r="AI805" s="48">
        <v>281795</v>
      </c>
      <c r="AJ805" s="48">
        <v>281954</v>
      </c>
      <c r="AK805" s="48">
        <v>282102</v>
      </c>
      <c r="AL805" s="48" t="s">
        <v>320</v>
      </c>
      <c r="AP805">
        <v>222.96</v>
      </c>
      <c r="AQ805">
        <v>12</v>
      </c>
      <c r="AS805">
        <v>1858</v>
      </c>
    </row>
    <row r="806" spans="1:45" hidden="1" x14ac:dyDescent="0.25">
      <c r="A806">
        <v>805</v>
      </c>
      <c r="B806">
        <v>2025</v>
      </c>
      <c r="C806">
        <v>11</v>
      </c>
      <c r="D806" t="s">
        <v>173</v>
      </c>
      <c r="E806">
        <v>31</v>
      </c>
      <c r="F806">
        <v>10</v>
      </c>
      <c r="G806" t="s">
        <v>432</v>
      </c>
      <c r="H806" s="48">
        <v>356861</v>
      </c>
      <c r="I806" s="48" t="s">
        <v>320</v>
      </c>
      <c r="J806" s="48">
        <v>357074</v>
      </c>
      <c r="K806" s="48">
        <v>357299</v>
      </c>
      <c r="L806" s="48">
        <v>357520</v>
      </c>
      <c r="M806" s="48">
        <v>357759</v>
      </c>
      <c r="N806" s="48">
        <v>357983</v>
      </c>
      <c r="O806" s="48">
        <v>358236</v>
      </c>
      <c r="P806" s="48" t="s">
        <v>320</v>
      </c>
      <c r="Q806" s="48">
        <v>359215</v>
      </c>
      <c r="R806" s="48">
        <v>359409</v>
      </c>
      <c r="S806" s="48">
        <v>359613</v>
      </c>
      <c r="T806" s="48">
        <v>359835</v>
      </c>
      <c r="U806" s="48">
        <v>360075</v>
      </c>
      <c r="V806" s="48">
        <v>360297</v>
      </c>
      <c r="W806" s="48" t="s">
        <v>320</v>
      </c>
      <c r="X806" s="48">
        <v>360717</v>
      </c>
      <c r="Y806" s="48">
        <v>360954</v>
      </c>
      <c r="Z806" s="48">
        <v>361176</v>
      </c>
      <c r="AA806" s="48">
        <v>361414</v>
      </c>
      <c r="AB806" s="48">
        <v>361635</v>
      </c>
      <c r="AC806" s="48">
        <v>361872</v>
      </c>
      <c r="AD806" s="48">
        <v>362094</v>
      </c>
      <c r="AE806" s="48">
        <v>362294</v>
      </c>
      <c r="AF806" s="48">
        <v>362516</v>
      </c>
      <c r="AG806" s="48">
        <v>362750</v>
      </c>
      <c r="AH806" s="48">
        <v>362968</v>
      </c>
      <c r="AI806" s="48">
        <v>363202</v>
      </c>
      <c r="AJ806" s="48">
        <v>363420</v>
      </c>
      <c r="AK806" s="48">
        <v>363420</v>
      </c>
      <c r="AL806" s="48" t="s">
        <v>320</v>
      </c>
    </row>
    <row r="807" spans="1:45" hidden="1" x14ac:dyDescent="0.25">
      <c r="A807">
        <v>806</v>
      </c>
      <c r="B807">
        <v>2025</v>
      </c>
      <c r="C807">
        <v>11</v>
      </c>
      <c r="D807" t="s">
        <v>173</v>
      </c>
      <c r="E807">
        <v>31</v>
      </c>
      <c r="F807">
        <v>10</v>
      </c>
      <c r="G807" t="s">
        <v>433</v>
      </c>
      <c r="H807" s="48">
        <v>357074</v>
      </c>
      <c r="I807" s="48" t="s">
        <v>320</v>
      </c>
      <c r="J807" s="48">
        <v>357299</v>
      </c>
      <c r="K807" s="48">
        <v>357520</v>
      </c>
      <c r="L807" s="48">
        <v>357741</v>
      </c>
      <c r="M807" s="48">
        <v>357983</v>
      </c>
      <c r="N807" s="48">
        <v>358206</v>
      </c>
      <c r="O807" s="48">
        <v>358430</v>
      </c>
      <c r="P807" s="48" t="s">
        <v>320</v>
      </c>
      <c r="Q807" s="48">
        <v>359409</v>
      </c>
      <c r="R807" s="48">
        <v>359613</v>
      </c>
      <c r="S807" s="48">
        <v>359835</v>
      </c>
      <c r="T807" s="48">
        <v>360053</v>
      </c>
      <c r="U807" s="48">
        <v>360293</v>
      </c>
      <c r="V807" s="48">
        <v>360508</v>
      </c>
      <c r="W807" s="48" t="s">
        <v>320</v>
      </c>
      <c r="X807" s="48">
        <v>360937</v>
      </c>
      <c r="Y807" s="48">
        <v>361174</v>
      </c>
      <c r="Z807" s="48">
        <v>361399</v>
      </c>
      <c r="AA807" s="48">
        <v>361634</v>
      </c>
      <c r="AB807" s="48">
        <v>361853</v>
      </c>
      <c r="AC807" s="48">
        <v>362089</v>
      </c>
      <c r="AD807" s="48">
        <v>362294</v>
      </c>
      <c r="AE807" s="48">
        <v>362516</v>
      </c>
      <c r="AF807" s="48">
        <v>362746</v>
      </c>
      <c r="AG807" s="48">
        <v>362968</v>
      </c>
      <c r="AH807" s="48">
        <v>363184</v>
      </c>
      <c r="AI807" s="48">
        <v>363420</v>
      </c>
      <c r="AJ807" s="48">
        <v>363619</v>
      </c>
      <c r="AK807" s="48">
        <v>363429</v>
      </c>
      <c r="AL807" s="48" t="s">
        <v>320</v>
      </c>
      <c r="AP807">
        <v>1011.2399999999999</v>
      </c>
      <c r="AQ807">
        <v>17.999999999999996</v>
      </c>
      <c r="AS807">
        <v>5618</v>
      </c>
    </row>
    <row r="808" spans="1:45" hidden="1" x14ac:dyDescent="0.25">
      <c r="A808">
        <v>807</v>
      </c>
      <c r="B808">
        <v>2025</v>
      </c>
      <c r="C808">
        <v>11</v>
      </c>
      <c r="D808" t="s">
        <v>172</v>
      </c>
      <c r="E808">
        <v>31</v>
      </c>
      <c r="F808">
        <v>10</v>
      </c>
      <c r="G808" t="s">
        <v>432</v>
      </c>
      <c r="H808" s="48">
        <v>557189</v>
      </c>
      <c r="I808" s="48">
        <v>557229</v>
      </c>
      <c r="J808" s="48">
        <v>557253</v>
      </c>
      <c r="K808" s="48">
        <v>557334</v>
      </c>
      <c r="L808" s="48">
        <v>557402</v>
      </c>
      <c r="M808" s="48">
        <v>557456</v>
      </c>
      <c r="N808" s="48">
        <v>557510</v>
      </c>
      <c r="O808" s="48">
        <v>557570</v>
      </c>
      <c r="P808" s="48" t="s">
        <v>320</v>
      </c>
      <c r="Q808" s="48">
        <v>557602</v>
      </c>
      <c r="R808" s="48">
        <v>557644</v>
      </c>
      <c r="S808" s="48">
        <v>557671</v>
      </c>
      <c r="T808" s="48">
        <v>557841</v>
      </c>
      <c r="U808" s="48">
        <v>557981</v>
      </c>
      <c r="V808" s="48">
        <v>558035</v>
      </c>
      <c r="W808" s="48">
        <v>558074</v>
      </c>
      <c r="X808" s="48">
        <v>558130</v>
      </c>
      <c r="Y808" s="48">
        <v>558176</v>
      </c>
      <c r="Z808" s="48">
        <v>558227</v>
      </c>
      <c r="AA808" s="48">
        <v>558274</v>
      </c>
      <c r="AB808" s="48">
        <v>558343</v>
      </c>
      <c r="AC808" s="48">
        <v>558427</v>
      </c>
      <c r="AD808" s="48">
        <v>558507</v>
      </c>
      <c r="AE808" s="48">
        <v>558540</v>
      </c>
      <c r="AF808" s="48">
        <v>558603</v>
      </c>
      <c r="AG808" s="48">
        <v>558653</v>
      </c>
      <c r="AH808" s="48">
        <v>558792</v>
      </c>
      <c r="AI808" s="48">
        <v>559000</v>
      </c>
      <c r="AJ808" s="48">
        <v>559043</v>
      </c>
      <c r="AK808" s="48">
        <v>559102</v>
      </c>
      <c r="AL808" s="48" t="s">
        <v>320</v>
      </c>
    </row>
    <row r="809" spans="1:45" hidden="1" x14ac:dyDescent="0.25">
      <c r="A809">
        <v>808</v>
      </c>
      <c r="B809">
        <v>2025</v>
      </c>
      <c r="C809">
        <v>11</v>
      </c>
      <c r="D809" t="s">
        <v>172</v>
      </c>
      <c r="E809">
        <v>31</v>
      </c>
      <c r="F809">
        <v>10</v>
      </c>
      <c r="G809" t="s">
        <v>433</v>
      </c>
      <c r="H809" s="48">
        <v>557229</v>
      </c>
      <c r="I809" s="48">
        <v>557253</v>
      </c>
      <c r="J809" s="48">
        <v>557334</v>
      </c>
      <c r="K809" s="48">
        <v>557402</v>
      </c>
      <c r="L809" s="48">
        <v>557456</v>
      </c>
      <c r="M809" s="48">
        <v>557510</v>
      </c>
      <c r="N809" s="48">
        <v>557570</v>
      </c>
      <c r="O809" s="48">
        <v>557602</v>
      </c>
      <c r="P809" s="48" t="s">
        <v>320</v>
      </c>
      <c r="Q809" s="48">
        <v>557644</v>
      </c>
      <c r="R809" s="48">
        <v>557671</v>
      </c>
      <c r="S809" s="48">
        <v>557841</v>
      </c>
      <c r="T809" s="48">
        <v>557981</v>
      </c>
      <c r="U809" s="48">
        <v>558035</v>
      </c>
      <c r="V809" s="48">
        <v>558074</v>
      </c>
      <c r="W809" s="48">
        <v>558130</v>
      </c>
      <c r="X809" s="48">
        <v>558176</v>
      </c>
      <c r="Y809" s="48">
        <v>558227</v>
      </c>
      <c r="Z809" s="48">
        <v>558274</v>
      </c>
      <c r="AA809" s="48">
        <v>558343</v>
      </c>
      <c r="AB809" s="48">
        <v>558427</v>
      </c>
      <c r="AC809" s="48">
        <v>558507</v>
      </c>
      <c r="AD809" s="48">
        <v>558540</v>
      </c>
      <c r="AE809" s="48">
        <v>558603</v>
      </c>
      <c r="AF809" s="48">
        <v>558653</v>
      </c>
      <c r="AG809" s="48">
        <v>558792</v>
      </c>
      <c r="AH809" s="48">
        <v>559000</v>
      </c>
      <c r="AI809" s="48">
        <v>559043</v>
      </c>
      <c r="AJ809" s="48">
        <v>559102</v>
      </c>
      <c r="AK809" s="48">
        <v>559287</v>
      </c>
      <c r="AL809" s="48" t="s">
        <v>320</v>
      </c>
      <c r="AP809">
        <v>314.7</v>
      </c>
      <c r="AQ809">
        <v>15</v>
      </c>
      <c r="AS809">
        <v>2098</v>
      </c>
    </row>
    <row r="810" spans="1:45" hidden="1" x14ac:dyDescent="0.25">
      <c r="A810">
        <v>809</v>
      </c>
      <c r="B810">
        <v>2025</v>
      </c>
      <c r="C810">
        <v>11</v>
      </c>
      <c r="D810" t="s">
        <v>167</v>
      </c>
      <c r="E810">
        <v>31</v>
      </c>
      <c r="F810">
        <v>10</v>
      </c>
      <c r="G810" t="s">
        <v>432</v>
      </c>
      <c r="H810" s="48">
        <v>212585</v>
      </c>
      <c r="I810" s="48">
        <v>212690</v>
      </c>
      <c r="J810" s="48">
        <v>212817</v>
      </c>
      <c r="K810" s="48">
        <v>212922</v>
      </c>
      <c r="L810" s="48">
        <v>213056</v>
      </c>
      <c r="M810" s="48">
        <v>213164</v>
      </c>
      <c r="N810" s="48">
        <v>213281</v>
      </c>
      <c r="O810" s="48">
        <v>213412</v>
      </c>
      <c r="P810" s="48" t="s">
        <v>320</v>
      </c>
      <c r="Q810" s="48">
        <v>213780</v>
      </c>
      <c r="R810" s="48">
        <v>213883</v>
      </c>
      <c r="S810" s="48">
        <v>214010</v>
      </c>
      <c r="T810" s="48">
        <v>214156</v>
      </c>
      <c r="U810" s="48">
        <v>214351</v>
      </c>
      <c r="V810" s="48">
        <v>214495</v>
      </c>
      <c r="W810" s="48">
        <v>214699</v>
      </c>
      <c r="X810" s="48">
        <v>214782</v>
      </c>
      <c r="Y810" s="48">
        <v>214833</v>
      </c>
      <c r="Z810" s="48">
        <v>214907</v>
      </c>
      <c r="AA810" s="48">
        <v>214995</v>
      </c>
      <c r="AB810" s="48">
        <v>215065</v>
      </c>
      <c r="AC810" s="48">
        <v>215120</v>
      </c>
      <c r="AD810" s="48" t="s">
        <v>320</v>
      </c>
      <c r="AE810" s="48">
        <v>215173</v>
      </c>
      <c r="AF810" s="48">
        <v>215239</v>
      </c>
      <c r="AG810" s="48">
        <v>215303</v>
      </c>
      <c r="AH810" s="48">
        <v>215363</v>
      </c>
      <c r="AI810" s="48">
        <v>215421</v>
      </c>
      <c r="AJ810" s="48">
        <v>215489</v>
      </c>
      <c r="AK810" s="48">
        <v>215552</v>
      </c>
      <c r="AL810" s="48" t="s">
        <v>320</v>
      </c>
    </row>
    <row r="811" spans="1:45" hidden="1" x14ac:dyDescent="0.25">
      <c r="A811">
        <v>810</v>
      </c>
      <c r="B811">
        <v>2025</v>
      </c>
      <c r="C811">
        <v>11</v>
      </c>
      <c r="D811" t="s">
        <v>167</v>
      </c>
      <c r="E811">
        <v>31</v>
      </c>
      <c r="F811">
        <v>10</v>
      </c>
      <c r="G811" t="s">
        <v>433</v>
      </c>
      <c r="H811" s="48">
        <v>212690</v>
      </c>
      <c r="I811" s="48">
        <v>212817</v>
      </c>
      <c r="J811" s="48">
        <v>212922</v>
      </c>
      <c r="K811" s="48">
        <v>213028</v>
      </c>
      <c r="L811" s="48">
        <v>213164</v>
      </c>
      <c r="M811" s="48">
        <v>213281</v>
      </c>
      <c r="N811" s="48">
        <v>213405</v>
      </c>
      <c r="O811" s="48">
        <v>213558</v>
      </c>
      <c r="P811" s="48" t="s">
        <v>320</v>
      </c>
      <c r="Q811" s="48">
        <v>213883</v>
      </c>
      <c r="R811" s="48">
        <v>214010</v>
      </c>
      <c r="S811" s="48">
        <v>214141</v>
      </c>
      <c r="T811" s="48">
        <v>214270</v>
      </c>
      <c r="U811" s="48">
        <v>214482</v>
      </c>
      <c r="V811" s="48">
        <v>214660</v>
      </c>
      <c r="W811" s="48">
        <v>214782</v>
      </c>
      <c r="X811" s="48">
        <v>214833</v>
      </c>
      <c r="Y811" s="48">
        <v>214907</v>
      </c>
      <c r="Z811" s="48">
        <v>214995</v>
      </c>
      <c r="AA811" s="48">
        <v>215065</v>
      </c>
      <c r="AB811" s="48">
        <v>215120</v>
      </c>
      <c r="AC811" s="48">
        <v>215173</v>
      </c>
      <c r="AD811" s="48" t="s">
        <v>320</v>
      </c>
      <c r="AE811" s="48">
        <v>215239</v>
      </c>
      <c r="AF811" s="48">
        <v>215303</v>
      </c>
      <c r="AG811" s="48">
        <v>215363</v>
      </c>
      <c r="AH811" s="48">
        <v>215421</v>
      </c>
      <c r="AI811" s="48">
        <v>215489</v>
      </c>
      <c r="AJ811" s="48">
        <v>215552</v>
      </c>
      <c r="AK811" s="48">
        <v>215625</v>
      </c>
      <c r="AL811" s="48" t="s">
        <v>320</v>
      </c>
      <c r="AP811">
        <v>395.25</v>
      </c>
      <c r="AQ811">
        <v>15</v>
      </c>
      <c r="AS811">
        <v>2635</v>
      </c>
    </row>
    <row r="812" spans="1:45" hidden="1" x14ac:dyDescent="0.25">
      <c r="A812">
        <v>811</v>
      </c>
      <c r="B812">
        <v>2025</v>
      </c>
      <c r="C812">
        <v>11</v>
      </c>
      <c r="D812" t="s">
        <v>177</v>
      </c>
      <c r="E812">
        <v>31</v>
      </c>
      <c r="F812">
        <v>10</v>
      </c>
      <c r="G812" t="s">
        <v>432</v>
      </c>
      <c r="H812" s="48">
        <v>931890</v>
      </c>
      <c r="I812" s="48">
        <v>931985</v>
      </c>
      <c r="J812" s="48">
        <v>932024</v>
      </c>
      <c r="K812" s="48">
        <v>932125</v>
      </c>
      <c r="L812" s="48">
        <v>932210</v>
      </c>
      <c r="M812" s="48">
        <v>932290</v>
      </c>
      <c r="N812" s="48">
        <v>932380</v>
      </c>
      <c r="O812" s="48">
        <v>932424</v>
      </c>
      <c r="P812" s="48" t="s">
        <v>320</v>
      </c>
      <c r="Q812" s="48">
        <v>932690</v>
      </c>
      <c r="R812" s="48">
        <v>932785</v>
      </c>
      <c r="S812" s="48">
        <v>932814</v>
      </c>
      <c r="T812" s="48">
        <v>932849</v>
      </c>
      <c r="U812" s="48">
        <v>932952</v>
      </c>
      <c r="V812" s="48">
        <v>933057</v>
      </c>
      <c r="W812" s="48">
        <v>933097</v>
      </c>
      <c r="X812" s="48">
        <v>933196</v>
      </c>
      <c r="Y812" s="48">
        <v>933322</v>
      </c>
      <c r="Z812" s="48">
        <v>933388</v>
      </c>
      <c r="AA812" s="48">
        <v>933424</v>
      </c>
      <c r="AB812" s="48">
        <v>933494</v>
      </c>
      <c r="AC812" s="48">
        <v>933634</v>
      </c>
      <c r="AD812" s="48">
        <v>933739</v>
      </c>
      <c r="AE812" s="48">
        <v>933796</v>
      </c>
      <c r="AF812" s="48">
        <v>933910</v>
      </c>
      <c r="AG812" s="48">
        <v>933987</v>
      </c>
      <c r="AH812" s="48">
        <v>934103</v>
      </c>
      <c r="AI812" s="48">
        <v>934173</v>
      </c>
      <c r="AJ812" s="48">
        <v>934243</v>
      </c>
      <c r="AK812" s="48">
        <v>934312</v>
      </c>
      <c r="AL812" s="48" t="s">
        <v>320</v>
      </c>
    </row>
    <row r="813" spans="1:45" hidden="1" x14ac:dyDescent="0.25">
      <c r="A813">
        <v>812</v>
      </c>
      <c r="B813">
        <v>2025</v>
      </c>
      <c r="C813">
        <v>11</v>
      </c>
      <c r="D813" t="s">
        <v>177</v>
      </c>
      <c r="E813">
        <v>31</v>
      </c>
      <c r="F813">
        <v>10</v>
      </c>
      <c r="G813" t="s">
        <v>433</v>
      </c>
      <c r="H813" s="48">
        <v>931985</v>
      </c>
      <c r="I813" s="48">
        <v>932024</v>
      </c>
      <c r="J813" s="48">
        <v>932125</v>
      </c>
      <c r="K813" s="48">
        <v>932210</v>
      </c>
      <c r="L813" s="48">
        <v>932290</v>
      </c>
      <c r="M813" s="48">
        <v>932380</v>
      </c>
      <c r="N813" s="48">
        <v>932424</v>
      </c>
      <c r="O813" s="48">
        <v>932639</v>
      </c>
      <c r="P813" s="48" t="s">
        <v>320</v>
      </c>
      <c r="Q813" s="48">
        <v>932785</v>
      </c>
      <c r="R813" s="48">
        <v>932814</v>
      </c>
      <c r="S813" s="48">
        <v>932849</v>
      </c>
      <c r="T813" s="48">
        <v>932952</v>
      </c>
      <c r="U813" s="48">
        <v>933057</v>
      </c>
      <c r="V813" s="48">
        <v>933097</v>
      </c>
      <c r="W813" s="48">
        <v>933196</v>
      </c>
      <c r="X813" s="48">
        <v>933322</v>
      </c>
      <c r="Y813" s="48">
        <v>933388</v>
      </c>
      <c r="Z813" s="48">
        <v>933424</v>
      </c>
      <c r="AA813" s="48">
        <v>933494</v>
      </c>
      <c r="AB813" s="48">
        <v>933634</v>
      </c>
      <c r="AC813" s="48">
        <v>933739</v>
      </c>
      <c r="AD813" s="48">
        <v>933796</v>
      </c>
      <c r="AE813" s="48">
        <v>933910</v>
      </c>
      <c r="AF813" s="48">
        <v>933987</v>
      </c>
      <c r="AG813" s="48">
        <v>934103</v>
      </c>
      <c r="AH813" s="48">
        <v>934173</v>
      </c>
      <c r="AI813" s="48">
        <v>934243</v>
      </c>
      <c r="AJ813" s="48">
        <v>934312</v>
      </c>
      <c r="AK813" s="48">
        <v>934444</v>
      </c>
      <c r="AL813" s="48" t="s">
        <v>320</v>
      </c>
      <c r="AP813">
        <v>375.45</v>
      </c>
      <c r="AQ813">
        <v>15</v>
      </c>
      <c r="AS813">
        <v>2503</v>
      </c>
    </row>
    <row r="814" spans="1:45" hidden="1" x14ac:dyDescent="0.25">
      <c r="A814">
        <v>813</v>
      </c>
      <c r="B814">
        <v>2025</v>
      </c>
      <c r="C814">
        <v>11</v>
      </c>
      <c r="D814" t="s">
        <v>169</v>
      </c>
      <c r="E814">
        <v>31</v>
      </c>
      <c r="F814">
        <v>10</v>
      </c>
      <c r="G814" t="s">
        <v>432</v>
      </c>
      <c r="H814" s="48">
        <v>246740</v>
      </c>
      <c r="I814" s="48">
        <v>246773</v>
      </c>
      <c r="J814" s="48">
        <v>246901</v>
      </c>
      <c r="K814" s="48">
        <v>247051</v>
      </c>
      <c r="L814" s="48">
        <v>247182</v>
      </c>
      <c r="M814" s="48">
        <v>247325</v>
      </c>
      <c r="N814" s="48">
        <v>247358</v>
      </c>
      <c r="O814" s="48">
        <v>247517</v>
      </c>
      <c r="P814" s="48" t="s">
        <v>320</v>
      </c>
      <c r="Q814" s="48">
        <v>247535</v>
      </c>
      <c r="R814" s="48">
        <v>247691</v>
      </c>
      <c r="S814" s="48">
        <v>247725</v>
      </c>
      <c r="T814" s="48">
        <v>247774</v>
      </c>
      <c r="U814" s="48">
        <v>247798</v>
      </c>
      <c r="V814" s="48">
        <v>247949</v>
      </c>
      <c r="W814" s="48">
        <v>248102</v>
      </c>
      <c r="X814" s="48">
        <v>248282</v>
      </c>
      <c r="Y814" s="48">
        <v>248376</v>
      </c>
      <c r="Z814" s="48">
        <v>248517</v>
      </c>
      <c r="AA814" s="48">
        <v>248678</v>
      </c>
      <c r="AB814" s="48">
        <v>248832</v>
      </c>
      <c r="AC814" s="48">
        <v>248981</v>
      </c>
      <c r="AD814" s="48">
        <v>249135</v>
      </c>
      <c r="AE814" s="48">
        <v>249182</v>
      </c>
      <c r="AF814" s="48">
        <v>249321</v>
      </c>
      <c r="AG814" s="48">
        <v>249372</v>
      </c>
      <c r="AH814" s="48">
        <v>249411</v>
      </c>
      <c r="AI814" s="48">
        <v>249465</v>
      </c>
      <c r="AJ814" s="48">
        <v>249608</v>
      </c>
      <c r="AK814" s="48">
        <v>249750</v>
      </c>
      <c r="AL814" s="48" t="s">
        <v>320</v>
      </c>
    </row>
    <row r="815" spans="1:45" hidden="1" x14ac:dyDescent="0.25">
      <c r="A815">
        <v>814</v>
      </c>
      <c r="B815">
        <v>2025</v>
      </c>
      <c r="C815">
        <v>11</v>
      </c>
      <c r="D815" t="s">
        <v>169</v>
      </c>
      <c r="E815">
        <v>31</v>
      </c>
      <c r="F815">
        <v>10</v>
      </c>
      <c r="G815" t="s">
        <v>433</v>
      </c>
      <c r="H815" s="48">
        <v>246773</v>
      </c>
      <c r="I815" s="48">
        <v>246901</v>
      </c>
      <c r="J815" s="48">
        <v>247038</v>
      </c>
      <c r="K815" s="48">
        <v>247182</v>
      </c>
      <c r="L815" s="48">
        <v>247325</v>
      </c>
      <c r="M815" s="48">
        <v>247358</v>
      </c>
      <c r="N815" s="48">
        <v>247517</v>
      </c>
      <c r="O815" s="48">
        <v>247521</v>
      </c>
      <c r="P815" s="48" t="s">
        <v>320</v>
      </c>
      <c r="Q815" s="48">
        <v>247691</v>
      </c>
      <c r="R815" s="48">
        <v>247725</v>
      </c>
      <c r="S815" s="48">
        <v>247774</v>
      </c>
      <c r="T815" s="48">
        <v>247798</v>
      </c>
      <c r="U815" s="48">
        <v>247949</v>
      </c>
      <c r="V815" s="48">
        <v>248086</v>
      </c>
      <c r="W815" s="48">
        <v>248232</v>
      </c>
      <c r="X815" s="48">
        <v>248376</v>
      </c>
      <c r="Y815" s="48">
        <v>248517</v>
      </c>
      <c r="Z815" s="48">
        <v>248678</v>
      </c>
      <c r="AA815" s="48">
        <v>248832</v>
      </c>
      <c r="AB815" s="48">
        <v>248981</v>
      </c>
      <c r="AC815" s="48">
        <v>249135</v>
      </c>
      <c r="AD815" s="48">
        <v>249159</v>
      </c>
      <c r="AE815" s="48">
        <v>249321</v>
      </c>
      <c r="AF815" s="48">
        <v>249372</v>
      </c>
      <c r="AG815" s="48">
        <v>249411</v>
      </c>
      <c r="AH815" s="48">
        <v>249465</v>
      </c>
      <c r="AI815" s="48">
        <v>249608</v>
      </c>
      <c r="AJ815" s="48">
        <v>249750</v>
      </c>
      <c r="AK815" s="48">
        <v>249820</v>
      </c>
      <c r="AL815" s="48" t="s">
        <v>320</v>
      </c>
      <c r="AP815">
        <v>444.59999999999991</v>
      </c>
      <c r="AQ815">
        <v>14.999999999999998</v>
      </c>
      <c r="AS815">
        <v>2964</v>
      </c>
    </row>
    <row r="816" spans="1:45" hidden="1" x14ac:dyDescent="0.25">
      <c r="A816">
        <v>815</v>
      </c>
      <c r="B816">
        <v>2025</v>
      </c>
      <c r="C816">
        <v>11</v>
      </c>
      <c r="D816" t="s">
        <v>170</v>
      </c>
      <c r="E816">
        <v>31</v>
      </c>
      <c r="F816">
        <v>10</v>
      </c>
      <c r="G816" t="s">
        <v>432</v>
      </c>
      <c r="H816" s="48">
        <v>376252</v>
      </c>
      <c r="I816" s="48">
        <v>376389</v>
      </c>
      <c r="J816" s="48">
        <v>376526</v>
      </c>
      <c r="K816" s="48">
        <v>376664</v>
      </c>
      <c r="L816" s="48">
        <v>376800</v>
      </c>
      <c r="M816" s="48">
        <v>376938</v>
      </c>
      <c r="N816" s="48">
        <v>377075</v>
      </c>
      <c r="O816" s="48">
        <v>377212</v>
      </c>
      <c r="P816" s="48" t="s">
        <v>320</v>
      </c>
      <c r="Q816" s="48">
        <v>377424</v>
      </c>
      <c r="R816" s="48">
        <v>377562</v>
      </c>
      <c r="S816" s="48">
        <v>377699</v>
      </c>
      <c r="T816" s="48">
        <v>377836</v>
      </c>
      <c r="U816" s="48">
        <v>378094</v>
      </c>
      <c r="V816" s="48">
        <v>378231</v>
      </c>
      <c r="W816" s="48">
        <v>378370</v>
      </c>
      <c r="X816" s="48">
        <v>378507</v>
      </c>
      <c r="Y816" s="48">
        <v>378644</v>
      </c>
      <c r="Z816" s="48">
        <v>286037</v>
      </c>
      <c r="AA816" s="48">
        <v>286341</v>
      </c>
      <c r="AB816" s="48">
        <v>379096</v>
      </c>
      <c r="AC816" s="48">
        <v>379266</v>
      </c>
      <c r="AD816" s="48" t="s">
        <v>320</v>
      </c>
      <c r="AE816" s="48">
        <v>379437</v>
      </c>
      <c r="AF816" s="48">
        <v>379610</v>
      </c>
      <c r="AG816" s="48">
        <v>379747</v>
      </c>
      <c r="AH816" s="48">
        <v>379885</v>
      </c>
      <c r="AI816" s="48">
        <v>380023</v>
      </c>
      <c r="AJ816" s="48">
        <v>380194</v>
      </c>
      <c r="AK816" s="48" t="s">
        <v>320</v>
      </c>
      <c r="AL816" s="48" t="s">
        <v>320</v>
      </c>
    </row>
    <row r="817" spans="1:45" hidden="1" x14ac:dyDescent="0.25">
      <c r="A817">
        <v>816</v>
      </c>
      <c r="B817">
        <v>2025</v>
      </c>
      <c r="C817">
        <v>11</v>
      </c>
      <c r="D817" t="s">
        <v>170</v>
      </c>
      <c r="E817">
        <v>31</v>
      </c>
      <c r="F817">
        <v>10</v>
      </c>
      <c r="G817" t="s">
        <v>433</v>
      </c>
      <c r="H817" s="48">
        <v>376389</v>
      </c>
      <c r="I817" s="48">
        <v>376526</v>
      </c>
      <c r="J817" s="48">
        <v>376664</v>
      </c>
      <c r="K817" s="48">
        <v>376800</v>
      </c>
      <c r="L817" s="48">
        <v>376938</v>
      </c>
      <c r="M817" s="48">
        <v>377075</v>
      </c>
      <c r="N817" s="48">
        <v>377212</v>
      </c>
      <c r="O817" s="48">
        <v>377349</v>
      </c>
      <c r="P817" s="48" t="s">
        <v>320</v>
      </c>
      <c r="Q817" s="48">
        <v>377562</v>
      </c>
      <c r="R817" s="48">
        <v>377699</v>
      </c>
      <c r="S817" s="48">
        <v>377836</v>
      </c>
      <c r="T817" s="48">
        <v>378094</v>
      </c>
      <c r="U817" s="48">
        <v>378231</v>
      </c>
      <c r="V817" s="48">
        <v>378370</v>
      </c>
      <c r="W817" s="48">
        <v>378507</v>
      </c>
      <c r="X817" s="48">
        <v>378644</v>
      </c>
      <c r="Y817" s="48">
        <v>378782</v>
      </c>
      <c r="Z817" s="48">
        <v>286175</v>
      </c>
      <c r="AA817" s="48">
        <v>286512</v>
      </c>
      <c r="AB817" s="48">
        <v>379266</v>
      </c>
      <c r="AC817" s="48">
        <v>379437</v>
      </c>
      <c r="AD817" s="48" t="s">
        <v>320</v>
      </c>
      <c r="AE817" s="48">
        <v>379610</v>
      </c>
      <c r="AF817" s="48">
        <v>379747</v>
      </c>
      <c r="AG817" s="48">
        <v>379886</v>
      </c>
      <c r="AH817" s="48">
        <v>380023</v>
      </c>
      <c r="AI817" s="48">
        <v>380194</v>
      </c>
      <c r="AJ817" s="48">
        <v>380401</v>
      </c>
      <c r="AK817" s="48" t="s">
        <v>320</v>
      </c>
      <c r="AL817" s="48" t="s">
        <v>320</v>
      </c>
      <c r="AP817">
        <v>732.59999999999991</v>
      </c>
      <c r="AQ817">
        <v>17.999999999999996</v>
      </c>
      <c r="AS817">
        <v>4070</v>
      </c>
    </row>
    <row r="818" spans="1:45" hidden="1" x14ac:dyDescent="0.25">
      <c r="A818">
        <v>817</v>
      </c>
      <c r="B818">
        <v>2025</v>
      </c>
      <c r="C818">
        <v>11</v>
      </c>
      <c r="D818" t="s">
        <v>353</v>
      </c>
      <c r="E818">
        <v>31</v>
      </c>
      <c r="F818">
        <v>10</v>
      </c>
      <c r="G818" t="s">
        <v>432</v>
      </c>
      <c r="H818" s="48" t="s">
        <v>320</v>
      </c>
      <c r="I818" s="48" t="s">
        <v>320</v>
      </c>
      <c r="J818" s="48" t="s">
        <v>320</v>
      </c>
      <c r="K818" s="48" t="s">
        <v>320</v>
      </c>
      <c r="L818" s="48" t="s">
        <v>320</v>
      </c>
      <c r="M818" s="48" t="s">
        <v>320</v>
      </c>
      <c r="N818" s="48" t="s">
        <v>320</v>
      </c>
      <c r="O818" s="48" t="s">
        <v>320</v>
      </c>
      <c r="P818" s="48" t="s">
        <v>320</v>
      </c>
      <c r="Q818" s="48" t="s">
        <v>320</v>
      </c>
      <c r="R818" s="48" t="s">
        <v>320</v>
      </c>
      <c r="S818" s="48" t="s">
        <v>320</v>
      </c>
      <c r="T818" s="48" t="s">
        <v>320</v>
      </c>
      <c r="U818" s="48" t="s">
        <v>320</v>
      </c>
      <c r="V818" s="48" t="s">
        <v>320</v>
      </c>
      <c r="W818" s="48" t="s">
        <v>320</v>
      </c>
      <c r="X818" s="48" t="s">
        <v>320</v>
      </c>
      <c r="Y818" s="48" t="s">
        <v>320</v>
      </c>
      <c r="Z818" s="48" t="s">
        <v>320</v>
      </c>
      <c r="AA818" s="48" t="s">
        <v>320</v>
      </c>
      <c r="AB818" s="48" t="s">
        <v>320</v>
      </c>
      <c r="AC818" s="48" t="s">
        <v>320</v>
      </c>
      <c r="AD818" s="48" t="s">
        <v>320</v>
      </c>
      <c r="AE818" s="48" t="s">
        <v>320</v>
      </c>
      <c r="AF818" s="48" t="s">
        <v>320</v>
      </c>
      <c r="AG818" s="48" t="s">
        <v>320</v>
      </c>
      <c r="AH818" s="48">
        <v>316006</v>
      </c>
      <c r="AI818" s="48">
        <v>316025</v>
      </c>
      <c r="AJ818" s="48">
        <v>316052</v>
      </c>
      <c r="AK818" s="48">
        <v>316090</v>
      </c>
      <c r="AL818" s="48" t="s">
        <v>320</v>
      </c>
    </row>
    <row r="819" spans="1:45" hidden="1" x14ac:dyDescent="0.25">
      <c r="A819">
        <v>818</v>
      </c>
      <c r="B819">
        <v>2025</v>
      </c>
      <c r="C819">
        <v>11</v>
      </c>
      <c r="D819" t="s">
        <v>353</v>
      </c>
      <c r="E819">
        <v>31</v>
      </c>
      <c r="F819">
        <v>10</v>
      </c>
      <c r="G819" t="s">
        <v>433</v>
      </c>
      <c r="H819" s="48" t="s">
        <v>320</v>
      </c>
      <c r="I819" s="48" t="s">
        <v>320</v>
      </c>
      <c r="J819" s="48" t="s">
        <v>320</v>
      </c>
      <c r="K819" s="48" t="s">
        <v>320</v>
      </c>
      <c r="L819" s="48" t="s">
        <v>320</v>
      </c>
      <c r="M819" s="48" t="s">
        <v>320</v>
      </c>
      <c r="N819" s="48" t="s">
        <v>320</v>
      </c>
      <c r="O819" s="48" t="s">
        <v>320</v>
      </c>
      <c r="P819" s="48" t="s">
        <v>320</v>
      </c>
      <c r="Q819" s="48" t="s">
        <v>320</v>
      </c>
      <c r="R819" s="48" t="s">
        <v>320</v>
      </c>
      <c r="S819" s="48" t="s">
        <v>320</v>
      </c>
      <c r="T819" s="48" t="s">
        <v>320</v>
      </c>
      <c r="U819" s="48" t="s">
        <v>320</v>
      </c>
      <c r="V819" s="48" t="s">
        <v>320</v>
      </c>
      <c r="W819" s="48" t="s">
        <v>320</v>
      </c>
      <c r="X819" s="48" t="s">
        <v>320</v>
      </c>
      <c r="Y819" s="48" t="s">
        <v>320</v>
      </c>
      <c r="Z819" s="48" t="s">
        <v>320</v>
      </c>
      <c r="AA819" s="48" t="s">
        <v>320</v>
      </c>
      <c r="AB819" s="48" t="s">
        <v>320</v>
      </c>
      <c r="AC819" s="48" t="s">
        <v>320</v>
      </c>
      <c r="AD819" s="48" t="s">
        <v>320</v>
      </c>
      <c r="AE819" s="48" t="s">
        <v>320</v>
      </c>
      <c r="AF819" s="48" t="s">
        <v>320</v>
      </c>
      <c r="AG819" s="48" t="s">
        <v>320</v>
      </c>
      <c r="AH819" s="48">
        <v>316024</v>
      </c>
      <c r="AI819" s="48">
        <v>316051</v>
      </c>
      <c r="AJ819" s="48">
        <v>316090</v>
      </c>
      <c r="AK819" s="48">
        <v>316121</v>
      </c>
      <c r="AL819" s="48" t="s">
        <v>320</v>
      </c>
      <c r="AP819">
        <v>13.56</v>
      </c>
      <c r="AQ819">
        <v>12</v>
      </c>
      <c r="AR819" t="s">
        <v>364</v>
      </c>
      <c r="AS819">
        <v>113</v>
      </c>
    </row>
    <row r="820" spans="1:45" hidden="1" x14ac:dyDescent="0.25">
      <c r="A820">
        <v>819</v>
      </c>
      <c r="B820">
        <v>2025</v>
      </c>
      <c r="C820">
        <v>11</v>
      </c>
      <c r="D820" t="s">
        <v>354</v>
      </c>
      <c r="E820">
        <v>31</v>
      </c>
      <c r="F820">
        <v>10</v>
      </c>
      <c r="G820" t="s">
        <v>432</v>
      </c>
      <c r="H820" s="48" t="s">
        <v>320</v>
      </c>
      <c r="I820" s="48" t="s">
        <v>320</v>
      </c>
      <c r="J820" s="48" t="s">
        <v>320</v>
      </c>
      <c r="K820" s="48" t="s">
        <v>320</v>
      </c>
      <c r="L820" s="48" t="s">
        <v>320</v>
      </c>
      <c r="M820" s="48" t="s">
        <v>320</v>
      </c>
      <c r="N820" s="48" t="s">
        <v>320</v>
      </c>
      <c r="O820" s="48" t="s">
        <v>320</v>
      </c>
      <c r="P820" s="48" t="s">
        <v>320</v>
      </c>
      <c r="Q820" s="48" t="s">
        <v>320</v>
      </c>
      <c r="R820" s="48" t="s">
        <v>320</v>
      </c>
      <c r="S820" s="48" t="s">
        <v>320</v>
      </c>
      <c r="T820" s="48" t="s">
        <v>320</v>
      </c>
      <c r="U820" s="48" t="s">
        <v>320</v>
      </c>
      <c r="V820" s="48">
        <v>253408</v>
      </c>
      <c r="W820" s="48">
        <v>253498</v>
      </c>
      <c r="X820" s="48">
        <v>253575</v>
      </c>
      <c r="Y820" s="48">
        <v>253687</v>
      </c>
      <c r="Z820" s="48">
        <v>253740</v>
      </c>
      <c r="AA820" s="48">
        <v>253821</v>
      </c>
      <c r="AB820" s="48">
        <v>253916</v>
      </c>
      <c r="AC820" s="48">
        <v>254007</v>
      </c>
      <c r="AD820" s="48">
        <v>254061</v>
      </c>
      <c r="AE820" s="48">
        <v>254132</v>
      </c>
      <c r="AF820" s="48">
        <v>254214</v>
      </c>
      <c r="AG820" s="48">
        <v>254288</v>
      </c>
      <c r="AH820" s="48">
        <v>254382</v>
      </c>
      <c r="AI820" s="48">
        <v>254471</v>
      </c>
      <c r="AJ820" s="48">
        <v>254564</v>
      </c>
      <c r="AK820" s="48">
        <v>254643</v>
      </c>
      <c r="AL820" s="48" t="s">
        <v>320</v>
      </c>
    </row>
    <row r="821" spans="1:45" hidden="1" x14ac:dyDescent="0.25">
      <c r="A821">
        <v>820</v>
      </c>
      <c r="B821">
        <v>2025</v>
      </c>
      <c r="C821">
        <v>11</v>
      </c>
      <c r="D821" t="s">
        <v>354</v>
      </c>
      <c r="E821">
        <v>31</v>
      </c>
      <c r="F821">
        <v>10</v>
      </c>
      <c r="G821" t="s">
        <v>433</v>
      </c>
      <c r="H821" s="48" t="s">
        <v>320</v>
      </c>
      <c r="I821" s="48" t="s">
        <v>320</v>
      </c>
      <c r="J821" s="48" t="s">
        <v>320</v>
      </c>
      <c r="K821" s="48" t="s">
        <v>320</v>
      </c>
      <c r="L821" s="48" t="s">
        <v>320</v>
      </c>
      <c r="M821" s="48" t="s">
        <v>320</v>
      </c>
      <c r="N821" s="48" t="s">
        <v>320</v>
      </c>
      <c r="O821" s="48" t="s">
        <v>320</v>
      </c>
      <c r="P821" s="48" t="s">
        <v>320</v>
      </c>
      <c r="Q821" s="48" t="s">
        <v>320</v>
      </c>
      <c r="R821" s="48" t="s">
        <v>320</v>
      </c>
      <c r="S821" s="48" t="s">
        <v>320</v>
      </c>
      <c r="T821" s="48" t="s">
        <v>320</v>
      </c>
      <c r="U821" s="48" t="s">
        <v>320</v>
      </c>
      <c r="V821" s="48">
        <v>253498</v>
      </c>
      <c r="W821" s="48">
        <v>253575</v>
      </c>
      <c r="X821" s="48">
        <v>253687</v>
      </c>
      <c r="Y821" s="48">
        <v>253740</v>
      </c>
      <c r="Z821" s="48">
        <v>253821</v>
      </c>
      <c r="AA821" s="48">
        <v>253916</v>
      </c>
      <c r="AB821" s="48">
        <v>254007</v>
      </c>
      <c r="AC821" s="48">
        <v>254061</v>
      </c>
      <c r="AD821" s="48">
        <v>254132</v>
      </c>
      <c r="AE821" s="48">
        <v>254214</v>
      </c>
      <c r="AF821" s="48">
        <v>254288</v>
      </c>
      <c r="AG821" s="48">
        <v>254382</v>
      </c>
      <c r="AH821" s="48">
        <v>254471</v>
      </c>
      <c r="AI821" s="48">
        <v>254564</v>
      </c>
      <c r="AJ821" s="48">
        <v>254643</v>
      </c>
      <c r="AK821" s="48">
        <v>254716</v>
      </c>
      <c r="AL821" s="48" t="s">
        <v>320</v>
      </c>
      <c r="AP821">
        <v>196.2</v>
      </c>
      <c r="AQ821">
        <v>15</v>
      </c>
      <c r="AS821">
        <v>1308</v>
      </c>
    </row>
    <row r="822" spans="1:45" hidden="1" x14ac:dyDescent="0.25">
      <c r="A822">
        <v>821</v>
      </c>
      <c r="B822">
        <v>2025</v>
      </c>
      <c r="C822">
        <v>11</v>
      </c>
      <c r="D822" t="s">
        <v>166</v>
      </c>
      <c r="E822">
        <v>31</v>
      </c>
      <c r="F822">
        <v>10</v>
      </c>
      <c r="G822" t="s">
        <v>432</v>
      </c>
      <c r="H822" s="48">
        <v>276382</v>
      </c>
      <c r="I822" s="48">
        <v>276495</v>
      </c>
      <c r="J822" s="48">
        <v>276586</v>
      </c>
      <c r="K822" s="48">
        <v>276677</v>
      </c>
      <c r="L822" s="48">
        <v>276781</v>
      </c>
      <c r="M822" s="48">
        <v>276834</v>
      </c>
      <c r="N822" s="48">
        <v>276947</v>
      </c>
      <c r="O822" s="48">
        <v>277062</v>
      </c>
      <c r="P822" s="48" t="s">
        <v>320</v>
      </c>
      <c r="Q822" s="48">
        <v>277190</v>
      </c>
      <c r="R822" s="48">
        <v>277296</v>
      </c>
      <c r="S822" s="48">
        <v>277419</v>
      </c>
      <c r="T822" s="48">
        <v>277527</v>
      </c>
      <c r="U822" s="48">
        <v>277626</v>
      </c>
      <c r="V822" s="48" t="s">
        <v>320</v>
      </c>
      <c r="W822" s="48" t="s">
        <v>320</v>
      </c>
      <c r="X822" s="48" t="s">
        <v>320</v>
      </c>
      <c r="Y822" s="48" t="s">
        <v>320</v>
      </c>
      <c r="Z822" s="48" t="s">
        <v>320</v>
      </c>
      <c r="AA822" s="48" t="s">
        <v>320</v>
      </c>
      <c r="AB822" s="48" t="s">
        <v>320</v>
      </c>
      <c r="AC822" s="48" t="s">
        <v>320</v>
      </c>
      <c r="AD822" s="48" t="s">
        <v>320</v>
      </c>
      <c r="AE822" s="48" t="s">
        <v>320</v>
      </c>
      <c r="AF822" s="48" t="s">
        <v>320</v>
      </c>
      <c r="AG822" s="48" t="s">
        <v>320</v>
      </c>
      <c r="AH822" s="48" t="s">
        <v>320</v>
      </c>
      <c r="AI822" s="48" t="s">
        <v>320</v>
      </c>
      <c r="AJ822" s="48" t="s">
        <v>320</v>
      </c>
      <c r="AK822" s="48" t="s">
        <v>320</v>
      </c>
      <c r="AL822" s="48" t="s">
        <v>320</v>
      </c>
    </row>
    <row r="823" spans="1:45" hidden="1" x14ac:dyDescent="0.25">
      <c r="A823">
        <v>822</v>
      </c>
      <c r="B823">
        <v>2025</v>
      </c>
      <c r="C823">
        <v>11</v>
      </c>
      <c r="D823" t="s">
        <v>166</v>
      </c>
      <c r="E823">
        <v>31</v>
      </c>
      <c r="F823">
        <v>10</v>
      </c>
      <c r="G823" t="s">
        <v>433</v>
      </c>
      <c r="H823" s="48">
        <v>276495</v>
      </c>
      <c r="I823" s="48">
        <v>276586</v>
      </c>
      <c r="J823" s="48">
        <v>276677</v>
      </c>
      <c r="K823" s="48">
        <v>276781</v>
      </c>
      <c r="L823" s="48">
        <v>276834</v>
      </c>
      <c r="M823" s="48">
        <v>276947</v>
      </c>
      <c r="N823" s="48">
        <v>277062</v>
      </c>
      <c r="O823" s="48">
        <v>277190</v>
      </c>
      <c r="P823" s="48" t="s">
        <v>320</v>
      </c>
      <c r="Q823" s="48">
        <v>277296</v>
      </c>
      <c r="R823" s="48">
        <v>277419</v>
      </c>
      <c r="S823" s="48">
        <v>277527</v>
      </c>
      <c r="T823" s="48">
        <v>277626</v>
      </c>
      <c r="U823" s="48">
        <v>277721</v>
      </c>
      <c r="V823" s="48" t="s">
        <v>320</v>
      </c>
      <c r="W823" s="48" t="s">
        <v>320</v>
      </c>
      <c r="X823" s="48" t="s">
        <v>320</v>
      </c>
      <c r="Y823" s="48" t="s">
        <v>320</v>
      </c>
      <c r="Z823" s="48" t="s">
        <v>320</v>
      </c>
      <c r="AA823" s="48" t="s">
        <v>320</v>
      </c>
      <c r="AB823" s="48" t="s">
        <v>320</v>
      </c>
      <c r="AC823" s="48" t="s">
        <v>320</v>
      </c>
      <c r="AD823" s="48" t="s">
        <v>320</v>
      </c>
      <c r="AE823" s="48" t="s">
        <v>320</v>
      </c>
      <c r="AF823" s="48" t="s">
        <v>320</v>
      </c>
      <c r="AG823" s="48" t="s">
        <v>320</v>
      </c>
      <c r="AH823" s="48" t="s">
        <v>320</v>
      </c>
      <c r="AI823" s="48" t="s">
        <v>320</v>
      </c>
      <c r="AJ823" s="48" t="s">
        <v>320</v>
      </c>
      <c r="AK823" s="48" t="s">
        <v>320</v>
      </c>
      <c r="AL823" s="48" t="s">
        <v>320</v>
      </c>
      <c r="AP823">
        <v>200.85</v>
      </c>
      <c r="AQ823">
        <v>15</v>
      </c>
      <c r="AS823">
        <v>1339</v>
      </c>
    </row>
    <row r="824" spans="1:45" hidden="1" x14ac:dyDescent="0.25">
      <c r="A824">
        <v>823</v>
      </c>
      <c r="B824">
        <v>2025</v>
      </c>
      <c r="C824">
        <v>11</v>
      </c>
      <c r="D824" t="s">
        <v>144</v>
      </c>
      <c r="E824">
        <v>31</v>
      </c>
      <c r="F824">
        <v>10</v>
      </c>
      <c r="G824" t="s">
        <v>432</v>
      </c>
      <c r="H824" s="48">
        <v>378139</v>
      </c>
      <c r="I824" s="48">
        <v>378202</v>
      </c>
      <c r="J824" s="48">
        <v>378239</v>
      </c>
      <c r="K824" s="48">
        <v>378409</v>
      </c>
      <c r="L824" s="48">
        <v>378456</v>
      </c>
      <c r="M824" s="48">
        <v>378626</v>
      </c>
      <c r="N824" s="48">
        <v>378779</v>
      </c>
      <c r="O824" s="48">
        <v>378807</v>
      </c>
      <c r="P824" s="48" t="s">
        <v>320</v>
      </c>
      <c r="Q824" s="48">
        <v>379186</v>
      </c>
      <c r="R824" s="48">
        <v>379276</v>
      </c>
      <c r="S824" s="48">
        <v>379429</v>
      </c>
      <c r="T824" s="48">
        <v>379731</v>
      </c>
      <c r="U824" s="48">
        <v>380064</v>
      </c>
      <c r="V824" s="48">
        <v>380137</v>
      </c>
      <c r="W824" s="48">
        <v>380196</v>
      </c>
      <c r="X824" s="48">
        <v>380264</v>
      </c>
      <c r="Y824" s="48">
        <v>380425</v>
      </c>
      <c r="Z824" s="48">
        <v>380630</v>
      </c>
      <c r="AA824" s="48">
        <v>380706</v>
      </c>
      <c r="AB824" s="48">
        <v>380761</v>
      </c>
      <c r="AC824" s="48">
        <v>380841</v>
      </c>
      <c r="AD824" s="48">
        <v>381375</v>
      </c>
      <c r="AE824" s="48">
        <v>381709</v>
      </c>
      <c r="AF824" s="48">
        <v>381768</v>
      </c>
      <c r="AG824" s="48">
        <v>381823</v>
      </c>
      <c r="AH824" s="48">
        <v>381891</v>
      </c>
      <c r="AI824" s="48">
        <v>382119</v>
      </c>
      <c r="AJ824" s="48">
        <v>382306</v>
      </c>
      <c r="AK824" s="48">
        <v>382448</v>
      </c>
      <c r="AL824" s="48" t="s">
        <v>320</v>
      </c>
    </row>
    <row r="825" spans="1:45" hidden="1" x14ac:dyDescent="0.25">
      <c r="A825">
        <v>824</v>
      </c>
      <c r="B825">
        <v>2025</v>
      </c>
      <c r="C825">
        <v>11</v>
      </c>
      <c r="D825" t="s">
        <v>144</v>
      </c>
      <c r="E825">
        <v>31</v>
      </c>
      <c r="F825">
        <v>10</v>
      </c>
      <c r="G825" t="s">
        <v>433</v>
      </c>
      <c r="H825" s="48">
        <v>378202</v>
      </c>
      <c r="I825" s="48">
        <v>378239</v>
      </c>
      <c r="J825" s="48">
        <v>378287</v>
      </c>
      <c r="K825" s="48">
        <v>378456</v>
      </c>
      <c r="L825" s="48">
        <v>378600</v>
      </c>
      <c r="M825" s="48">
        <v>378779</v>
      </c>
      <c r="N825" s="48">
        <v>378807</v>
      </c>
      <c r="O825" s="48">
        <v>379000</v>
      </c>
      <c r="P825" s="48" t="s">
        <v>320</v>
      </c>
      <c r="Q825" s="48">
        <v>379276</v>
      </c>
      <c r="R825" s="48">
        <v>379332</v>
      </c>
      <c r="S825" s="48">
        <v>379602</v>
      </c>
      <c r="T825" s="48">
        <v>379887</v>
      </c>
      <c r="U825" s="48">
        <v>380122</v>
      </c>
      <c r="V825" s="48">
        <v>380196</v>
      </c>
      <c r="W825" s="48">
        <v>380264</v>
      </c>
      <c r="X825" s="48">
        <v>380401</v>
      </c>
      <c r="Y825" s="48">
        <v>380577</v>
      </c>
      <c r="Z825" s="48">
        <v>380706</v>
      </c>
      <c r="AA825" s="48">
        <v>380761</v>
      </c>
      <c r="AB825" s="48">
        <v>380800</v>
      </c>
      <c r="AC825" s="48">
        <v>380866</v>
      </c>
      <c r="AD825" s="48">
        <v>381507</v>
      </c>
      <c r="AE825" s="48">
        <v>381768</v>
      </c>
      <c r="AF825" s="48">
        <v>381823</v>
      </c>
      <c r="AG825" s="48">
        <v>381891</v>
      </c>
      <c r="AH825" s="48">
        <v>382049</v>
      </c>
      <c r="AI825" s="48">
        <v>382245</v>
      </c>
      <c r="AJ825" s="48">
        <v>382448</v>
      </c>
      <c r="AK825" s="48">
        <v>382512</v>
      </c>
      <c r="AL825" s="48" t="s">
        <v>320</v>
      </c>
      <c r="AP825">
        <v>399.15</v>
      </c>
      <c r="AQ825">
        <v>15</v>
      </c>
      <c r="AS825">
        <v>2661</v>
      </c>
    </row>
    <row r="826" spans="1:45" hidden="1" x14ac:dyDescent="0.25">
      <c r="A826">
        <v>825</v>
      </c>
      <c r="B826">
        <v>2025</v>
      </c>
      <c r="C826">
        <v>11</v>
      </c>
      <c r="D826" t="s">
        <v>129</v>
      </c>
      <c r="E826">
        <v>31</v>
      </c>
      <c r="F826">
        <v>10</v>
      </c>
      <c r="G826" t="s">
        <v>432</v>
      </c>
      <c r="H826" s="48">
        <v>493093</v>
      </c>
      <c r="I826" s="48">
        <v>493244</v>
      </c>
      <c r="J826" s="48">
        <v>493319</v>
      </c>
      <c r="K826" s="48">
        <v>493352</v>
      </c>
      <c r="L826" s="48">
        <v>493377</v>
      </c>
      <c r="M826" s="48">
        <v>493540</v>
      </c>
      <c r="N826" s="48">
        <v>493656</v>
      </c>
      <c r="O826" s="48">
        <v>493685</v>
      </c>
      <c r="P826" s="48" t="s">
        <v>320</v>
      </c>
      <c r="Q826" s="48">
        <v>493914</v>
      </c>
      <c r="R826" s="48">
        <v>494003</v>
      </c>
      <c r="S826" s="48">
        <v>494051</v>
      </c>
      <c r="T826" s="48">
        <v>494077</v>
      </c>
      <c r="U826" s="48">
        <v>494224</v>
      </c>
      <c r="V826" s="48">
        <v>494316</v>
      </c>
      <c r="W826" s="48">
        <v>494357</v>
      </c>
      <c r="X826" s="48">
        <v>494391</v>
      </c>
      <c r="Y826" s="48">
        <v>494548</v>
      </c>
      <c r="Z826" s="48">
        <v>494577</v>
      </c>
      <c r="AA826" s="48">
        <v>494598</v>
      </c>
      <c r="AB826" s="48">
        <v>494618</v>
      </c>
      <c r="AC826" s="48">
        <v>494646</v>
      </c>
      <c r="AD826" s="48">
        <v>494677</v>
      </c>
      <c r="AE826" s="48">
        <v>494686</v>
      </c>
      <c r="AF826" s="48">
        <v>494706</v>
      </c>
      <c r="AG826" s="48">
        <v>494745</v>
      </c>
      <c r="AH826" s="48">
        <v>494930</v>
      </c>
      <c r="AI826" s="48">
        <v>494959</v>
      </c>
      <c r="AJ826" s="48">
        <v>494977</v>
      </c>
      <c r="AK826" s="48">
        <v>495008</v>
      </c>
      <c r="AL826" s="48" t="s">
        <v>320</v>
      </c>
    </row>
    <row r="827" spans="1:45" hidden="1" x14ac:dyDescent="0.25">
      <c r="A827">
        <v>826</v>
      </c>
      <c r="B827">
        <v>2025</v>
      </c>
      <c r="C827">
        <v>11</v>
      </c>
      <c r="D827" t="s">
        <v>129</v>
      </c>
      <c r="E827">
        <v>31</v>
      </c>
      <c r="F827">
        <v>10</v>
      </c>
      <c r="G827" t="s">
        <v>433</v>
      </c>
      <c r="H827" s="48">
        <v>493165</v>
      </c>
      <c r="I827" s="48">
        <v>493319</v>
      </c>
      <c r="J827" s="48">
        <v>493352</v>
      </c>
      <c r="K827" s="48">
        <v>493377</v>
      </c>
      <c r="L827" s="48">
        <v>493466</v>
      </c>
      <c r="M827" s="48">
        <v>493656</v>
      </c>
      <c r="N827" s="48">
        <v>493685</v>
      </c>
      <c r="O827" s="48">
        <v>493782</v>
      </c>
      <c r="P827" s="48" t="s">
        <v>320</v>
      </c>
      <c r="Q827" s="48">
        <v>494003</v>
      </c>
      <c r="R827" s="48">
        <v>494051</v>
      </c>
      <c r="S827" s="48">
        <v>494077</v>
      </c>
      <c r="T827" s="48">
        <v>494121</v>
      </c>
      <c r="U827" s="48">
        <v>494316</v>
      </c>
      <c r="V827" s="48">
        <v>494357</v>
      </c>
      <c r="W827" s="48">
        <v>494391</v>
      </c>
      <c r="X827" s="48">
        <v>494548</v>
      </c>
      <c r="Y827" s="48">
        <v>494577</v>
      </c>
      <c r="Z827" s="48">
        <v>494598</v>
      </c>
      <c r="AA827" s="48">
        <v>494618</v>
      </c>
      <c r="AB827" s="48">
        <v>494646</v>
      </c>
      <c r="AC827" s="48">
        <v>494677</v>
      </c>
      <c r="AD827" s="48">
        <v>494686</v>
      </c>
      <c r="AE827" s="48">
        <v>494706</v>
      </c>
      <c r="AF827" s="48">
        <v>494745</v>
      </c>
      <c r="AG827" s="48">
        <v>494930</v>
      </c>
      <c r="AH827" s="48">
        <v>494959</v>
      </c>
      <c r="AI827" s="48">
        <v>494977</v>
      </c>
      <c r="AJ827" s="48">
        <v>495008</v>
      </c>
      <c r="AK827" s="48">
        <v>495120</v>
      </c>
      <c r="AL827" s="48" t="s">
        <v>320</v>
      </c>
      <c r="AP827">
        <v>245.85</v>
      </c>
      <c r="AQ827">
        <v>15</v>
      </c>
      <c r="AS827">
        <v>1639</v>
      </c>
    </row>
    <row r="828" spans="1:45" hidden="1" x14ac:dyDescent="0.25">
      <c r="A828">
        <v>827</v>
      </c>
      <c r="B828">
        <v>2025</v>
      </c>
      <c r="C828">
        <v>11</v>
      </c>
      <c r="D828" t="s">
        <v>355</v>
      </c>
      <c r="E828">
        <v>31</v>
      </c>
      <c r="F828">
        <v>10</v>
      </c>
      <c r="G828" t="s">
        <v>432</v>
      </c>
      <c r="H828" s="48" t="s">
        <v>320</v>
      </c>
      <c r="I828" s="48" t="s">
        <v>320</v>
      </c>
      <c r="J828" s="48" t="s">
        <v>320</v>
      </c>
      <c r="K828" s="48" t="s">
        <v>320</v>
      </c>
      <c r="L828" s="48" t="s">
        <v>320</v>
      </c>
      <c r="M828" s="48" t="s">
        <v>320</v>
      </c>
      <c r="N828" s="48" t="s">
        <v>320</v>
      </c>
      <c r="O828" s="48" t="s">
        <v>320</v>
      </c>
      <c r="P828" s="48" t="s">
        <v>320</v>
      </c>
      <c r="Q828" s="48">
        <v>261110</v>
      </c>
      <c r="R828" s="48">
        <v>261214</v>
      </c>
      <c r="S828" s="48">
        <v>261257</v>
      </c>
      <c r="T828" s="48">
        <v>261289</v>
      </c>
      <c r="U828" s="48">
        <v>261319</v>
      </c>
      <c r="V828" s="48">
        <v>261347</v>
      </c>
      <c r="W828" s="48">
        <v>261370</v>
      </c>
      <c r="X828" s="48">
        <v>261388</v>
      </c>
      <c r="Y828" s="48">
        <v>261408</v>
      </c>
      <c r="Z828" s="48">
        <v>261451</v>
      </c>
      <c r="AA828" s="48">
        <v>261479</v>
      </c>
      <c r="AB828" s="48">
        <v>261504</v>
      </c>
      <c r="AC828" s="48">
        <v>261529</v>
      </c>
      <c r="AD828" s="48">
        <v>261570</v>
      </c>
      <c r="AE828" s="48">
        <v>261792</v>
      </c>
      <c r="AF828" s="48">
        <v>261828</v>
      </c>
      <c r="AG828" s="48">
        <v>261862</v>
      </c>
      <c r="AH828" s="48">
        <v>261885</v>
      </c>
      <c r="AI828" s="48">
        <v>261912</v>
      </c>
      <c r="AJ828" s="48">
        <v>261932</v>
      </c>
      <c r="AK828" s="48">
        <v>261957</v>
      </c>
      <c r="AL828" s="48" t="s">
        <v>320</v>
      </c>
    </row>
    <row r="829" spans="1:45" hidden="1" x14ac:dyDescent="0.25">
      <c r="A829">
        <v>828</v>
      </c>
      <c r="B829">
        <v>2025</v>
      </c>
      <c r="C829">
        <v>11</v>
      </c>
      <c r="D829" t="s">
        <v>355</v>
      </c>
      <c r="E829">
        <v>31</v>
      </c>
      <c r="F829">
        <v>10</v>
      </c>
      <c r="G829" t="s">
        <v>433</v>
      </c>
      <c r="H829" s="48" t="s">
        <v>320</v>
      </c>
      <c r="I829" s="48" t="s">
        <v>320</v>
      </c>
      <c r="J829" s="48" t="s">
        <v>320</v>
      </c>
      <c r="K829" s="48" t="s">
        <v>320</v>
      </c>
      <c r="L829" s="48" t="s">
        <v>320</v>
      </c>
      <c r="M829" s="48" t="s">
        <v>320</v>
      </c>
      <c r="N829" s="48" t="s">
        <v>320</v>
      </c>
      <c r="O829" s="48" t="s">
        <v>320</v>
      </c>
      <c r="P829" s="48" t="s">
        <v>320</v>
      </c>
      <c r="Q829" s="48">
        <v>261214</v>
      </c>
      <c r="R829" s="48">
        <v>261257</v>
      </c>
      <c r="S829" s="48">
        <v>261286</v>
      </c>
      <c r="T829" s="48">
        <v>261316</v>
      </c>
      <c r="U829" s="48">
        <v>261347</v>
      </c>
      <c r="V829" s="48">
        <v>261370</v>
      </c>
      <c r="W829" s="48">
        <v>261388</v>
      </c>
      <c r="X829" s="48">
        <v>261407</v>
      </c>
      <c r="Y829" s="48">
        <v>261451</v>
      </c>
      <c r="Z829" s="48">
        <v>261479</v>
      </c>
      <c r="AA829" s="48">
        <v>261504</v>
      </c>
      <c r="AB829" s="48">
        <v>261529</v>
      </c>
      <c r="AC829" s="48">
        <v>261570</v>
      </c>
      <c r="AD829" s="48">
        <v>261644</v>
      </c>
      <c r="AE829" s="48">
        <v>261828</v>
      </c>
      <c r="AF829" s="48">
        <v>261862</v>
      </c>
      <c r="AG829" s="48">
        <v>261885</v>
      </c>
      <c r="AH829" s="48">
        <v>261912</v>
      </c>
      <c r="AI829" s="48">
        <v>261932</v>
      </c>
      <c r="AJ829" s="48">
        <v>261957</v>
      </c>
      <c r="AK829" s="48">
        <v>261980</v>
      </c>
      <c r="AL829" s="48" t="s">
        <v>320</v>
      </c>
      <c r="AP829">
        <v>128.69999999999999</v>
      </c>
      <c r="AQ829">
        <v>18</v>
      </c>
      <c r="AR829" t="s">
        <v>365</v>
      </c>
      <c r="AS829">
        <v>715</v>
      </c>
    </row>
    <row r="830" spans="1:45" hidden="1" x14ac:dyDescent="0.25">
      <c r="A830">
        <v>829</v>
      </c>
      <c r="B830">
        <v>2025</v>
      </c>
      <c r="C830">
        <v>11</v>
      </c>
      <c r="D830" t="s">
        <v>159</v>
      </c>
      <c r="E830">
        <v>31</v>
      </c>
      <c r="F830">
        <v>10</v>
      </c>
      <c r="G830" t="s">
        <v>432</v>
      </c>
      <c r="H830" s="48">
        <v>333465</v>
      </c>
      <c r="I830" s="48">
        <v>333515</v>
      </c>
      <c r="J830" s="48">
        <v>333602</v>
      </c>
      <c r="K830" s="48">
        <v>333681</v>
      </c>
      <c r="L830" s="48">
        <v>333749</v>
      </c>
      <c r="M830" s="48">
        <v>333811</v>
      </c>
      <c r="N830" s="48">
        <v>333870</v>
      </c>
      <c r="O830" s="48">
        <v>333971</v>
      </c>
      <c r="P830" s="48" t="s">
        <v>320</v>
      </c>
      <c r="Q830" s="48">
        <v>334202</v>
      </c>
      <c r="R830" s="48">
        <v>334262</v>
      </c>
      <c r="S830" s="48">
        <v>334310</v>
      </c>
      <c r="T830" s="48">
        <v>334370</v>
      </c>
      <c r="U830" s="48">
        <v>334414</v>
      </c>
      <c r="V830" s="48">
        <v>334481</v>
      </c>
      <c r="W830" s="48">
        <v>334549</v>
      </c>
      <c r="X830" s="48">
        <v>334618</v>
      </c>
      <c r="Y830" s="48" t="s">
        <v>320</v>
      </c>
      <c r="Z830" s="48">
        <v>334661</v>
      </c>
      <c r="AA830" s="48">
        <v>334754</v>
      </c>
      <c r="AB830" s="48">
        <v>334865</v>
      </c>
      <c r="AC830" s="48">
        <v>334948</v>
      </c>
      <c r="AD830" s="48" t="s">
        <v>320</v>
      </c>
      <c r="AE830" s="48">
        <v>335045</v>
      </c>
      <c r="AF830" s="48">
        <v>335155</v>
      </c>
      <c r="AG830" s="48">
        <v>335249</v>
      </c>
      <c r="AH830" s="48">
        <v>335354</v>
      </c>
      <c r="AI830" s="48">
        <v>335429</v>
      </c>
      <c r="AJ830" s="48">
        <v>335506</v>
      </c>
      <c r="AK830" s="48">
        <v>335560</v>
      </c>
      <c r="AL830" s="48" t="s">
        <v>320</v>
      </c>
    </row>
    <row r="831" spans="1:45" hidden="1" x14ac:dyDescent="0.25">
      <c r="A831">
        <v>830</v>
      </c>
      <c r="B831">
        <v>2025</v>
      </c>
      <c r="C831">
        <v>11</v>
      </c>
      <c r="D831" t="s">
        <v>159</v>
      </c>
      <c r="E831">
        <v>31</v>
      </c>
      <c r="F831">
        <v>10</v>
      </c>
      <c r="G831" t="s">
        <v>433</v>
      </c>
      <c r="H831" s="48">
        <v>333497</v>
      </c>
      <c r="I831" s="48">
        <v>333555</v>
      </c>
      <c r="J831" s="48">
        <v>333656</v>
      </c>
      <c r="K831" s="48">
        <v>333721</v>
      </c>
      <c r="L831" s="48">
        <v>333785</v>
      </c>
      <c r="M831" s="48">
        <v>333846</v>
      </c>
      <c r="N831" s="48">
        <v>333926</v>
      </c>
      <c r="O831" s="48">
        <v>334011</v>
      </c>
      <c r="P831" s="48" t="s">
        <v>320</v>
      </c>
      <c r="Q831" s="48">
        <v>334235</v>
      </c>
      <c r="R831" s="48">
        <v>334290</v>
      </c>
      <c r="S831" s="48">
        <v>334352</v>
      </c>
      <c r="T831" s="48">
        <v>334397</v>
      </c>
      <c r="U831" s="48">
        <v>334462</v>
      </c>
      <c r="V831" s="48">
        <v>334526</v>
      </c>
      <c r="W831" s="48">
        <v>334583</v>
      </c>
      <c r="X831" s="48">
        <v>334661</v>
      </c>
      <c r="Y831" s="48" t="s">
        <v>320</v>
      </c>
      <c r="Z831" s="48">
        <v>334702</v>
      </c>
      <c r="AA831" s="48">
        <v>334809</v>
      </c>
      <c r="AB831" s="48">
        <v>334916</v>
      </c>
      <c r="AC831" s="48">
        <v>335007</v>
      </c>
      <c r="AD831" s="48" t="s">
        <v>320</v>
      </c>
      <c r="AE831" s="48">
        <v>335114</v>
      </c>
      <c r="AF831" s="48">
        <v>335215</v>
      </c>
      <c r="AG831" s="48">
        <v>335312</v>
      </c>
      <c r="AH831" s="48">
        <v>335404</v>
      </c>
      <c r="AI831" s="48">
        <v>335463</v>
      </c>
      <c r="AJ831" s="48">
        <v>335536</v>
      </c>
      <c r="AK831" s="48">
        <v>335579</v>
      </c>
      <c r="AL831" s="48" t="s">
        <v>320</v>
      </c>
      <c r="AP831">
        <v>174.6</v>
      </c>
      <c r="AQ831">
        <v>15</v>
      </c>
      <c r="AS831">
        <v>1164</v>
      </c>
    </row>
    <row r="832" spans="1:45" hidden="1" x14ac:dyDescent="0.25">
      <c r="A832">
        <v>831</v>
      </c>
      <c r="B832">
        <v>2025</v>
      </c>
      <c r="C832">
        <v>11</v>
      </c>
      <c r="D832" t="s">
        <v>175</v>
      </c>
      <c r="E832">
        <v>31</v>
      </c>
      <c r="F832">
        <v>10</v>
      </c>
      <c r="G832" t="s">
        <v>432</v>
      </c>
      <c r="H832" s="48">
        <v>874131</v>
      </c>
      <c r="I832" s="48" t="s">
        <v>320</v>
      </c>
      <c r="J832" s="48">
        <v>874158</v>
      </c>
      <c r="K832" s="48">
        <v>874188</v>
      </c>
      <c r="L832" s="48">
        <v>874224</v>
      </c>
      <c r="M832" s="48">
        <v>874252</v>
      </c>
      <c r="N832" s="48">
        <v>874282</v>
      </c>
      <c r="O832" s="48">
        <v>874310</v>
      </c>
      <c r="P832" s="48" t="s">
        <v>320</v>
      </c>
      <c r="Q832" s="48">
        <v>874376</v>
      </c>
      <c r="R832" s="48">
        <v>874414</v>
      </c>
      <c r="S832" s="48">
        <v>874467</v>
      </c>
      <c r="T832" s="48">
        <v>874493</v>
      </c>
      <c r="U832" s="48">
        <v>874579</v>
      </c>
      <c r="V832" s="48">
        <v>874654</v>
      </c>
      <c r="W832" s="48">
        <v>874715</v>
      </c>
      <c r="X832" s="48">
        <v>874782</v>
      </c>
      <c r="Y832" s="48">
        <v>874838</v>
      </c>
      <c r="Z832" s="48">
        <v>874929</v>
      </c>
      <c r="AA832" s="48">
        <v>875006</v>
      </c>
      <c r="AB832" s="48">
        <v>875085</v>
      </c>
      <c r="AC832" s="48">
        <v>875174</v>
      </c>
      <c r="AD832" s="48">
        <v>875250</v>
      </c>
      <c r="AE832" s="48">
        <v>875289</v>
      </c>
      <c r="AF832" s="48">
        <v>875344</v>
      </c>
      <c r="AG832" s="48">
        <v>875390</v>
      </c>
      <c r="AH832" s="48">
        <v>875465</v>
      </c>
      <c r="AI832" s="48">
        <v>875553</v>
      </c>
      <c r="AJ832" s="48">
        <v>875642</v>
      </c>
      <c r="AK832" s="48">
        <v>875674</v>
      </c>
      <c r="AL832" s="48" t="s">
        <v>320</v>
      </c>
    </row>
    <row r="833" spans="1:45" hidden="1" x14ac:dyDescent="0.25">
      <c r="A833">
        <v>832</v>
      </c>
      <c r="B833">
        <v>2025</v>
      </c>
      <c r="C833">
        <v>11</v>
      </c>
      <c r="D833" t="s">
        <v>175</v>
      </c>
      <c r="E833">
        <v>31</v>
      </c>
      <c r="F833">
        <v>10</v>
      </c>
      <c r="G833" t="s">
        <v>433</v>
      </c>
      <c r="H833" s="48">
        <v>874158</v>
      </c>
      <c r="I833" s="48" t="s">
        <v>320</v>
      </c>
      <c r="J833" s="48">
        <v>874188</v>
      </c>
      <c r="K833" s="48">
        <v>874224</v>
      </c>
      <c r="L833" s="48">
        <v>874252</v>
      </c>
      <c r="M833" s="48">
        <v>874282</v>
      </c>
      <c r="N833" s="48">
        <v>874310</v>
      </c>
      <c r="O833" s="48">
        <v>874376</v>
      </c>
      <c r="P833" s="48" t="s">
        <v>320</v>
      </c>
      <c r="Q833" s="48">
        <v>874414</v>
      </c>
      <c r="R833" s="48">
        <v>874467</v>
      </c>
      <c r="S833" s="48">
        <v>874493</v>
      </c>
      <c r="T833" s="48">
        <v>874579</v>
      </c>
      <c r="U833" s="48">
        <v>874654</v>
      </c>
      <c r="V833" s="48">
        <v>874715</v>
      </c>
      <c r="W833" s="48">
        <v>874782</v>
      </c>
      <c r="X833" s="48">
        <v>874838</v>
      </c>
      <c r="Y833" s="48">
        <v>874929</v>
      </c>
      <c r="Z833" s="48">
        <v>875006</v>
      </c>
      <c r="AA833" s="48">
        <v>875085</v>
      </c>
      <c r="AB833" s="48">
        <v>875174</v>
      </c>
      <c r="AC833" s="48">
        <v>875250</v>
      </c>
      <c r="AD833" s="48">
        <v>875289</v>
      </c>
      <c r="AE833" s="48">
        <v>875344</v>
      </c>
      <c r="AF833" s="48">
        <v>875390</v>
      </c>
      <c r="AG833" s="48">
        <v>875465</v>
      </c>
      <c r="AH833" s="48">
        <v>875553</v>
      </c>
      <c r="AI833" s="48">
        <v>875642</v>
      </c>
      <c r="AJ833" s="48">
        <v>875674</v>
      </c>
      <c r="AK833" s="48">
        <v>875705</v>
      </c>
      <c r="AL833" s="48" t="s">
        <v>320</v>
      </c>
      <c r="AP833">
        <v>236.1</v>
      </c>
      <c r="AQ833">
        <v>15</v>
      </c>
      <c r="AS833">
        <v>1574</v>
      </c>
    </row>
    <row r="834" spans="1:45" hidden="1" x14ac:dyDescent="0.25">
      <c r="A834">
        <v>833</v>
      </c>
      <c r="B834">
        <v>2025</v>
      </c>
      <c r="C834">
        <v>11</v>
      </c>
      <c r="D834" t="s">
        <v>179</v>
      </c>
      <c r="E834">
        <v>31</v>
      </c>
      <c r="F834">
        <v>10</v>
      </c>
      <c r="G834" t="s">
        <v>432</v>
      </c>
      <c r="H834" s="48">
        <v>229966</v>
      </c>
      <c r="I834" s="48">
        <v>229997</v>
      </c>
      <c r="J834" s="48">
        <v>230016</v>
      </c>
      <c r="K834" s="48">
        <v>230050</v>
      </c>
      <c r="L834" s="48">
        <v>230156</v>
      </c>
      <c r="M834" s="48">
        <v>230297</v>
      </c>
      <c r="N834" s="48">
        <v>230431</v>
      </c>
      <c r="O834" s="48">
        <v>230470</v>
      </c>
      <c r="P834" s="48" t="s">
        <v>320</v>
      </c>
      <c r="Q834" s="48">
        <v>230648</v>
      </c>
      <c r="R834" s="48">
        <v>230739</v>
      </c>
      <c r="S834" s="48">
        <v>230827</v>
      </c>
      <c r="T834" s="48">
        <v>230865</v>
      </c>
      <c r="U834" s="48">
        <v>230970</v>
      </c>
      <c r="V834" s="48">
        <v>231050</v>
      </c>
      <c r="W834" s="48">
        <v>231287</v>
      </c>
      <c r="X834" s="48">
        <v>231551</v>
      </c>
      <c r="Y834" s="48">
        <v>231657</v>
      </c>
      <c r="Z834" s="48">
        <v>231692</v>
      </c>
      <c r="AA834" s="48">
        <v>231823</v>
      </c>
      <c r="AB834" s="48">
        <v>231926</v>
      </c>
      <c r="AC834" s="48">
        <v>231957</v>
      </c>
      <c r="AD834" s="48">
        <v>231993</v>
      </c>
      <c r="AE834" s="48">
        <v>232018</v>
      </c>
      <c r="AF834" s="48">
        <v>232177</v>
      </c>
      <c r="AG834" s="48">
        <v>232291</v>
      </c>
      <c r="AH834" s="48">
        <v>232384</v>
      </c>
      <c r="AI834" s="48">
        <v>232417</v>
      </c>
      <c r="AJ834" s="48">
        <v>232564</v>
      </c>
      <c r="AK834" s="48">
        <v>232676</v>
      </c>
      <c r="AL834" s="48" t="s">
        <v>320</v>
      </c>
    </row>
    <row r="835" spans="1:45" hidden="1" x14ac:dyDescent="0.25">
      <c r="A835">
        <v>834</v>
      </c>
      <c r="B835">
        <v>2025</v>
      </c>
      <c r="C835">
        <v>11</v>
      </c>
      <c r="D835" t="s">
        <v>179</v>
      </c>
      <c r="E835">
        <v>31</v>
      </c>
      <c r="F835">
        <v>10</v>
      </c>
      <c r="G835" t="s">
        <v>433</v>
      </c>
      <c r="H835" s="48">
        <v>229997</v>
      </c>
      <c r="I835" s="48">
        <v>230016</v>
      </c>
      <c r="J835" s="48">
        <v>230050</v>
      </c>
      <c r="K835" s="48">
        <v>230156</v>
      </c>
      <c r="L835" s="48">
        <v>230220</v>
      </c>
      <c r="M835" s="48">
        <v>230431</v>
      </c>
      <c r="N835" s="48">
        <v>230470</v>
      </c>
      <c r="O835" s="48">
        <v>230567</v>
      </c>
      <c r="P835" s="48" t="s">
        <v>320</v>
      </c>
      <c r="Q835" s="48">
        <v>230739</v>
      </c>
      <c r="R835" s="48">
        <v>230827</v>
      </c>
      <c r="S835" s="48">
        <v>230865</v>
      </c>
      <c r="T835" s="48">
        <v>230970</v>
      </c>
      <c r="U835" s="48">
        <v>231050</v>
      </c>
      <c r="V835" s="48">
        <v>231182</v>
      </c>
      <c r="W835" s="48">
        <v>231551</v>
      </c>
      <c r="X835" s="48">
        <v>231657</v>
      </c>
      <c r="Y835" s="48">
        <v>231692</v>
      </c>
      <c r="Z835" s="48">
        <v>231823</v>
      </c>
      <c r="AA835" s="48">
        <v>231926</v>
      </c>
      <c r="AB835" s="48">
        <v>231957</v>
      </c>
      <c r="AC835" s="48">
        <v>231993</v>
      </c>
      <c r="AD835" s="48">
        <v>232018</v>
      </c>
      <c r="AE835" s="48">
        <v>232177</v>
      </c>
      <c r="AF835" s="48">
        <v>232291</v>
      </c>
      <c r="AG835" s="48">
        <v>232384</v>
      </c>
      <c r="AH835" s="48">
        <v>232417</v>
      </c>
      <c r="AI835" s="48">
        <v>232564</v>
      </c>
      <c r="AJ835" s="48">
        <v>232676</v>
      </c>
      <c r="AK835" s="48">
        <v>232769</v>
      </c>
      <c r="AL835" s="48" t="s">
        <v>320</v>
      </c>
      <c r="AP835">
        <v>381</v>
      </c>
      <c r="AQ835">
        <v>15</v>
      </c>
      <c r="AS835">
        <v>2540</v>
      </c>
    </row>
    <row r="836" spans="1:45" hidden="1" x14ac:dyDescent="0.25">
      <c r="A836">
        <v>835</v>
      </c>
      <c r="B836">
        <v>2025</v>
      </c>
      <c r="C836">
        <v>11</v>
      </c>
      <c r="D836" t="s">
        <v>156</v>
      </c>
      <c r="E836">
        <v>31</v>
      </c>
      <c r="F836">
        <v>10</v>
      </c>
      <c r="G836" t="s">
        <v>432</v>
      </c>
      <c r="H836" s="48">
        <v>814794</v>
      </c>
      <c r="I836" s="48">
        <v>814962</v>
      </c>
      <c r="J836" s="48">
        <v>815149</v>
      </c>
      <c r="K836" s="48">
        <v>815299</v>
      </c>
      <c r="L836" s="48">
        <v>815461</v>
      </c>
      <c r="M836" s="48">
        <v>815613</v>
      </c>
      <c r="N836" s="48">
        <v>815784</v>
      </c>
      <c r="O836" s="48">
        <v>815933</v>
      </c>
      <c r="P836" s="48" t="s">
        <v>320</v>
      </c>
      <c r="Q836" s="48">
        <v>816243</v>
      </c>
      <c r="R836" s="48">
        <v>816469</v>
      </c>
      <c r="S836" s="48">
        <v>816631</v>
      </c>
      <c r="T836" s="48">
        <v>816786</v>
      </c>
      <c r="U836" s="48">
        <v>816934</v>
      </c>
      <c r="V836" s="48">
        <v>817083</v>
      </c>
      <c r="W836" s="48">
        <v>817263</v>
      </c>
      <c r="X836" s="48">
        <v>817452</v>
      </c>
      <c r="Y836" s="48">
        <v>817588</v>
      </c>
      <c r="Z836" s="48">
        <v>817731</v>
      </c>
      <c r="AA836" s="48">
        <v>817867</v>
      </c>
      <c r="AB836" s="48">
        <v>818017</v>
      </c>
      <c r="AC836" s="48">
        <v>818153</v>
      </c>
      <c r="AD836" s="48">
        <v>818289</v>
      </c>
      <c r="AE836" s="48">
        <v>818435</v>
      </c>
      <c r="AF836" s="48" t="s">
        <v>320</v>
      </c>
      <c r="AG836" s="48">
        <v>818638</v>
      </c>
      <c r="AH836" s="48">
        <v>818776</v>
      </c>
      <c r="AI836" s="48">
        <v>818925</v>
      </c>
      <c r="AJ836" s="48">
        <v>819075</v>
      </c>
      <c r="AK836" s="48">
        <v>819213</v>
      </c>
      <c r="AL836" s="48" t="s">
        <v>320</v>
      </c>
    </row>
    <row r="837" spans="1:45" hidden="1" x14ac:dyDescent="0.25">
      <c r="A837">
        <v>836</v>
      </c>
      <c r="B837">
        <v>2025</v>
      </c>
      <c r="C837">
        <v>11</v>
      </c>
      <c r="D837" t="s">
        <v>156</v>
      </c>
      <c r="E837">
        <v>31</v>
      </c>
      <c r="F837">
        <v>10</v>
      </c>
      <c r="G837" t="s">
        <v>433</v>
      </c>
      <c r="H837" s="48">
        <v>814962</v>
      </c>
      <c r="I837" s="48">
        <v>815149</v>
      </c>
      <c r="J837" s="48">
        <v>815299</v>
      </c>
      <c r="K837" s="48">
        <v>815461</v>
      </c>
      <c r="L837" s="48">
        <v>815613</v>
      </c>
      <c r="M837" s="48">
        <v>815784</v>
      </c>
      <c r="N837" s="48">
        <v>815933</v>
      </c>
      <c r="O837" s="48">
        <v>816243</v>
      </c>
      <c r="P837" s="48" t="s">
        <v>320</v>
      </c>
      <c r="Q837" s="48">
        <v>816469</v>
      </c>
      <c r="R837" s="48">
        <v>816631</v>
      </c>
      <c r="S837" s="48">
        <v>816786</v>
      </c>
      <c r="T837" s="48">
        <v>816934</v>
      </c>
      <c r="U837" s="48">
        <v>817083</v>
      </c>
      <c r="V837" s="48">
        <v>817263</v>
      </c>
      <c r="W837" s="48">
        <v>817452</v>
      </c>
      <c r="X837" s="48">
        <v>817588</v>
      </c>
      <c r="Y837" s="48">
        <v>817731</v>
      </c>
      <c r="Z837" s="48">
        <v>817867</v>
      </c>
      <c r="AA837" s="48">
        <v>818017</v>
      </c>
      <c r="AB837" s="48">
        <v>818153</v>
      </c>
      <c r="AC837" s="48">
        <v>818289</v>
      </c>
      <c r="AD837" s="48">
        <v>818435</v>
      </c>
      <c r="AE837" s="48">
        <v>818572</v>
      </c>
      <c r="AF837" s="48" t="s">
        <v>320</v>
      </c>
      <c r="AG837" s="48">
        <v>818776</v>
      </c>
      <c r="AH837" s="48">
        <v>818925</v>
      </c>
      <c r="AI837" s="48">
        <v>819075</v>
      </c>
      <c r="AJ837" s="48">
        <v>819213</v>
      </c>
      <c r="AK837" s="48">
        <v>819334</v>
      </c>
      <c r="AL837" s="48" t="s">
        <v>320</v>
      </c>
      <c r="AP837">
        <v>805.32</v>
      </c>
      <c r="AQ837">
        <v>18</v>
      </c>
      <c r="AS837">
        <v>4474</v>
      </c>
    </row>
    <row r="838" spans="1:45" hidden="1" x14ac:dyDescent="0.25">
      <c r="A838">
        <v>837</v>
      </c>
      <c r="B838">
        <v>2025</v>
      </c>
      <c r="C838">
        <v>11</v>
      </c>
      <c r="D838" t="s">
        <v>168</v>
      </c>
      <c r="E838">
        <v>31</v>
      </c>
      <c r="F838">
        <v>10</v>
      </c>
      <c r="G838" t="s">
        <v>432</v>
      </c>
      <c r="H838" s="48">
        <v>285374</v>
      </c>
      <c r="I838" s="48">
        <v>285401</v>
      </c>
      <c r="J838" s="48">
        <v>285499</v>
      </c>
      <c r="K838" s="48">
        <v>285607</v>
      </c>
      <c r="L838" s="48">
        <v>285625</v>
      </c>
      <c r="M838" s="48">
        <v>285662</v>
      </c>
      <c r="N838" s="48">
        <v>285706</v>
      </c>
      <c r="O838" s="48">
        <v>285754</v>
      </c>
      <c r="P838" s="48" t="s">
        <v>320</v>
      </c>
      <c r="Q838" s="48">
        <v>285865</v>
      </c>
      <c r="R838" s="48">
        <v>286009</v>
      </c>
      <c r="S838" s="48">
        <v>286069</v>
      </c>
      <c r="T838" s="48">
        <v>286123</v>
      </c>
      <c r="U838" s="48">
        <v>286154</v>
      </c>
      <c r="V838" s="48">
        <v>286186</v>
      </c>
      <c r="W838" s="48">
        <v>286221</v>
      </c>
      <c r="X838" s="48">
        <v>286252</v>
      </c>
      <c r="Y838" s="48">
        <v>286290</v>
      </c>
      <c r="Z838" s="48">
        <v>286403</v>
      </c>
      <c r="AA838" s="48">
        <v>286426</v>
      </c>
      <c r="AB838" s="48">
        <v>286529</v>
      </c>
      <c r="AC838" s="48">
        <v>286558</v>
      </c>
      <c r="AD838" s="48">
        <v>286667</v>
      </c>
      <c r="AE838" s="48">
        <v>286771</v>
      </c>
      <c r="AF838" s="48">
        <v>286797</v>
      </c>
      <c r="AG838" s="48">
        <v>286905</v>
      </c>
      <c r="AH838" s="48">
        <v>287018</v>
      </c>
      <c r="AI838" s="48">
        <v>287038</v>
      </c>
      <c r="AJ838" s="48">
        <v>287137</v>
      </c>
      <c r="AK838" s="48">
        <v>287249</v>
      </c>
      <c r="AL838" s="48" t="s">
        <v>320</v>
      </c>
    </row>
    <row r="839" spans="1:45" hidden="1" x14ac:dyDescent="0.25">
      <c r="A839">
        <v>838</v>
      </c>
      <c r="B839">
        <v>2025</v>
      </c>
      <c r="C839">
        <v>11</v>
      </c>
      <c r="D839" t="s">
        <v>168</v>
      </c>
      <c r="E839">
        <v>31</v>
      </c>
      <c r="F839">
        <v>10</v>
      </c>
      <c r="G839" t="s">
        <v>433</v>
      </c>
      <c r="H839" s="48">
        <v>285401</v>
      </c>
      <c r="I839" s="48">
        <v>285499</v>
      </c>
      <c r="J839" s="48">
        <v>285607</v>
      </c>
      <c r="K839" s="48">
        <v>285625</v>
      </c>
      <c r="L839" s="48">
        <v>285662</v>
      </c>
      <c r="M839" s="48">
        <v>285685</v>
      </c>
      <c r="N839" s="48">
        <v>285754</v>
      </c>
      <c r="O839" s="48">
        <v>285865</v>
      </c>
      <c r="P839" s="48" t="s">
        <v>320</v>
      </c>
      <c r="Q839" s="48">
        <v>286009</v>
      </c>
      <c r="R839" s="48">
        <v>286069</v>
      </c>
      <c r="S839" s="48">
        <v>286123</v>
      </c>
      <c r="T839" s="48">
        <v>286154</v>
      </c>
      <c r="U839" s="48">
        <v>286186</v>
      </c>
      <c r="V839" s="48">
        <v>286221</v>
      </c>
      <c r="W839" s="48">
        <v>286252</v>
      </c>
      <c r="X839" s="48">
        <v>286290</v>
      </c>
      <c r="Y839" s="48">
        <v>286403</v>
      </c>
      <c r="Z839" s="48">
        <v>286426</v>
      </c>
      <c r="AA839" s="48">
        <v>286529</v>
      </c>
      <c r="AB839" s="48">
        <v>286558</v>
      </c>
      <c r="AC839" s="48">
        <v>286667</v>
      </c>
      <c r="AD839" s="48">
        <v>286771</v>
      </c>
      <c r="AE839" s="48">
        <v>286797</v>
      </c>
      <c r="AF839" s="48">
        <v>286905</v>
      </c>
      <c r="AG839" s="48">
        <v>287018</v>
      </c>
      <c r="AH839" s="48">
        <v>287038</v>
      </c>
      <c r="AI839" s="48">
        <v>287137</v>
      </c>
      <c r="AJ839" s="48">
        <v>287249</v>
      </c>
      <c r="AK839" s="48">
        <v>287272</v>
      </c>
      <c r="AL839" s="48" t="s">
        <v>320</v>
      </c>
      <c r="AP839">
        <v>281.55</v>
      </c>
      <c r="AQ839">
        <v>15</v>
      </c>
      <c r="AS839">
        <v>1877</v>
      </c>
    </row>
    <row r="840" spans="1:45" hidden="1" x14ac:dyDescent="0.25">
      <c r="A840">
        <v>839</v>
      </c>
      <c r="B840">
        <v>2025</v>
      </c>
      <c r="C840">
        <v>11</v>
      </c>
      <c r="D840" t="s">
        <v>164</v>
      </c>
      <c r="E840">
        <v>31</v>
      </c>
      <c r="F840">
        <v>10</v>
      </c>
      <c r="G840" t="s">
        <v>432</v>
      </c>
      <c r="H840" s="48">
        <v>30410</v>
      </c>
      <c r="I840" s="48">
        <v>30430</v>
      </c>
      <c r="J840" s="48">
        <v>30457</v>
      </c>
      <c r="K840" s="48">
        <v>30485</v>
      </c>
      <c r="L840" s="48">
        <v>30506</v>
      </c>
      <c r="M840" s="48">
        <v>30541</v>
      </c>
      <c r="N840" s="48">
        <v>30570</v>
      </c>
      <c r="O840" s="48">
        <v>30601</v>
      </c>
      <c r="P840" s="48" t="s">
        <v>320</v>
      </c>
      <c r="Q840" s="48">
        <v>30644</v>
      </c>
      <c r="R840" s="48">
        <v>30660</v>
      </c>
      <c r="S840" s="48">
        <v>30697</v>
      </c>
      <c r="T840" s="48">
        <v>30749</v>
      </c>
      <c r="U840" s="48">
        <v>30815</v>
      </c>
      <c r="V840" s="48">
        <v>30880</v>
      </c>
      <c r="W840" s="48">
        <v>30903</v>
      </c>
      <c r="X840" s="48">
        <v>30941</v>
      </c>
      <c r="Y840" s="48">
        <v>30989</v>
      </c>
      <c r="Z840" s="48">
        <v>31040</v>
      </c>
      <c r="AA840" s="48">
        <v>31072</v>
      </c>
      <c r="AB840" s="48">
        <v>31104</v>
      </c>
      <c r="AC840" s="48">
        <v>31158</v>
      </c>
      <c r="AD840" s="48">
        <v>31183</v>
      </c>
      <c r="AE840" s="48">
        <v>31213</v>
      </c>
      <c r="AF840" s="48">
        <v>31271</v>
      </c>
      <c r="AG840" s="48">
        <v>31317</v>
      </c>
      <c r="AH840" s="48">
        <v>31391</v>
      </c>
      <c r="AI840" s="48">
        <v>31452</v>
      </c>
      <c r="AJ840" s="48">
        <v>31588</v>
      </c>
      <c r="AK840" s="48">
        <v>31596</v>
      </c>
      <c r="AL840" s="48" t="s">
        <v>320</v>
      </c>
    </row>
    <row r="841" spans="1:45" hidden="1" x14ac:dyDescent="0.25">
      <c r="A841">
        <v>840</v>
      </c>
      <c r="B841">
        <v>2025</v>
      </c>
      <c r="C841">
        <v>11</v>
      </c>
      <c r="D841" t="s">
        <v>164</v>
      </c>
      <c r="E841">
        <v>31</v>
      </c>
      <c r="F841">
        <v>10</v>
      </c>
      <c r="G841" t="s">
        <v>433</v>
      </c>
      <c r="H841" s="48">
        <v>30430</v>
      </c>
      <c r="I841" s="48">
        <v>30457</v>
      </c>
      <c r="J841" s="48">
        <v>30485</v>
      </c>
      <c r="K841" s="48">
        <v>30506</v>
      </c>
      <c r="L841" s="48">
        <v>30541</v>
      </c>
      <c r="M841" s="48">
        <v>30570</v>
      </c>
      <c r="N841" s="48">
        <v>30601</v>
      </c>
      <c r="O841" s="48">
        <v>30644</v>
      </c>
      <c r="P841" s="48" t="s">
        <v>320</v>
      </c>
      <c r="Q841" s="48">
        <v>30660</v>
      </c>
      <c r="R841" s="48">
        <v>30697</v>
      </c>
      <c r="S841" s="48">
        <v>30749</v>
      </c>
      <c r="T841" s="48">
        <v>30815</v>
      </c>
      <c r="U841" s="48">
        <v>30880</v>
      </c>
      <c r="V841" s="48">
        <v>30903</v>
      </c>
      <c r="W841" s="48">
        <v>30941</v>
      </c>
      <c r="X841" s="48">
        <v>30989</v>
      </c>
      <c r="Y841" s="48">
        <v>31040</v>
      </c>
      <c r="Z841" s="48">
        <v>31072</v>
      </c>
      <c r="AA841" s="48">
        <v>31104</v>
      </c>
      <c r="AB841" s="48">
        <v>31158</v>
      </c>
      <c r="AC841" s="48">
        <v>31183</v>
      </c>
      <c r="AD841" s="48">
        <v>31213</v>
      </c>
      <c r="AE841" s="48">
        <v>31271</v>
      </c>
      <c r="AF841" s="48">
        <v>31317</v>
      </c>
      <c r="AG841" s="48">
        <v>31391</v>
      </c>
      <c r="AH841" s="48">
        <v>31452</v>
      </c>
      <c r="AI841" s="48">
        <v>31588</v>
      </c>
      <c r="AJ841" s="48">
        <v>31596</v>
      </c>
      <c r="AK841" s="48">
        <v>31605</v>
      </c>
      <c r="AL841" s="48" t="s">
        <v>320</v>
      </c>
      <c r="AP841">
        <v>179.25</v>
      </c>
      <c r="AQ841">
        <v>15</v>
      </c>
      <c r="AS841">
        <v>1195</v>
      </c>
    </row>
    <row r="842" spans="1:45" hidden="1" x14ac:dyDescent="0.25">
      <c r="A842">
        <v>841</v>
      </c>
      <c r="B842">
        <v>2025</v>
      </c>
      <c r="C842">
        <v>11</v>
      </c>
      <c r="D842" t="s">
        <v>163</v>
      </c>
      <c r="E842">
        <v>31</v>
      </c>
      <c r="F842">
        <v>10</v>
      </c>
      <c r="G842" t="s">
        <v>432</v>
      </c>
      <c r="H842" s="48">
        <v>346725</v>
      </c>
      <c r="I842" s="48">
        <v>346945</v>
      </c>
      <c r="J842" s="48">
        <v>347248</v>
      </c>
      <c r="K842" s="48">
        <v>347435</v>
      </c>
      <c r="L842" s="48">
        <v>347659</v>
      </c>
      <c r="M842" s="48">
        <v>347909</v>
      </c>
      <c r="N842" s="48">
        <v>348188</v>
      </c>
      <c r="O842" s="48">
        <v>348457</v>
      </c>
      <c r="P842" s="48">
        <v>348690</v>
      </c>
      <c r="Q842" s="48">
        <v>348926</v>
      </c>
      <c r="R842" s="48">
        <v>349154</v>
      </c>
      <c r="S842" s="48">
        <v>349321</v>
      </c>
      <c r="T842" s="48">
        <v>349545</v>
      </c>
      <c r="U842" s="48">
        <v>349847</v>
      </c>
      <c r="V842" s="48">
        <v>350036</v>
      </c>
      <c r="W842" s="48" t="s">
        <v>320</v>
      </c>
      <c r="X842" s="48">
        <v>350537</v>
      </c>
      <c r="Y842" s="48">
        <v>350699</v>
      </c>
      <c r="Z842" s="48">
        <v>350866</v>
      </c>
      <c r="AA842" s="48">
        <v>351055</v>
      </c>
      <c r="AB842" s="48">
        <v>351300</v>
      </c>
      <c r="AC842" s="48">
        <v>351707</v>
      </c>
      <c r="AD842" s="48">
        <v>351906</v>
      </c>
      <c r="AE842" s="48">
        <v>352268</v>
      </c>
      <c r="AF842" s="48">
        <v>352511</v>
      </c>
      <c r="AG842" s="48">
        <v>352738</v>
      </c>
      <c r="AH842" s="48">
        <v>352916</v>
      </c>
      <c r="AI842" s="48">
        <v>353243</v>
      </c>
      <c r="AJ842" s="48">
        <v>353540</v>
      </c>
      <c r="AK842" s="48">
        <v>353724</v>
      </c>
      <c r="AL842" s="48" t="s">
        <v>320</v>
      </c>
    </row>
    <row r="843" spans="1:45" hidden="1" x14ac:dyDescent="0.25">
      <c r="A843">
        <v>842</v>
      </c>
      <c r="B843">
        <v>2025</v>
      </c>
      <c r="C843">
        <v>11</v>
      </c>
      <c r="D843" t="s">
        <v>163</v>
      </c>
      <c r="E843">
        <v>31</v>
      </c>
      <c r="F843">
        <v>10</v>
      </c>
      <c r="G843" t="s">
        <v>433</v>
      </c>
      <c r="H843" s="48">
        <v>346945</v>
      </c>
      <c r="I843" s="48">
        <v>347202</v>
      </c>
      <c r="J843" s="48">
        <v>347435</v>
      </c>
      <c r="K843" s="48">
        <v>347659</v>
      </c>
      <c r="L843" s="48">
        <v>347909</v>
      </c>
      <c r="M843" s="48">
        <v>348096</v>
      </c>
      <c r="N843" s="48">
        <v>348457</v>
      </c>
      <c r="O843" s="48">
        <v>348687</v>
      </c>
      <c r="P843" s="48">
        <v>348926</v>
      </c>
      <c r="Q843" s="48">
        <v>349154</v>
      </c>
      <c r="R843" s="48">
        <v>349321</v>
      </c>
      <c r="S843" s="48">
        <v>349545</v>
      </c>
      <c r="T843" s="48">
        <v>349787</v>
      </c>
      <c r="U843" s="48">
        <v>350036</v>
      </c>
      <c r="V843" s="48">
        <v>350310</v>
      </c>
      <c r="W843" s="48" t="s">
        <v>320</v>
      </c>
      <c r="X843" s="48">
        <v>350699</v>
      </c>
      <c r="Y843" s="48">
        <v>350866</v>
      </c>
      <c r="Z843" s="48">
        <v>351055</v>
      </c>
      <c r="AA843" s="48">
        <v>351300</v>
      </c>
      <c r="AB843" s="48">
        <v>351618</v>
      </c>
      <c r="AC843" s="48">
        <v>351906</v>
      </c>
      <c r="AD843" s="48">
        <v>352179</v>
      </c>
      <c r="AE843" s="48">
        <v>352511</v>
      </c>
      <c r="AF843" s="48">
        <v>352738</v>
      </c>
      <c r="AG843" s="48">
        <v>352916</v>
      </c>
      <c r="AH843" s="48">
        <v>353214</v>
      </c>
      <c r="AI843" s="48">
        <v>353540</v>
      </c>
      <c r="AJ843" s="48">
        <v>353724</v>
      </c>
      <c r="AK843" s="48">
        <v>354005</v>
      </c>
      <c r="AL843" s="48" t="s">
        <v>320</v>
      </c>
      <c r="AP843">
        <v>996.75</v>
      </c>
      <c r="AQ843">
        <v>15</v>
      </c>
      <c r="AS843">
        <v>6645</v>
      </c>
    </row>
    <row r="844" spans="1:45" hidden="1" x14ac:dyDescent="0.25">
      <c r="A844">
        <v>843</v>
      </c>
      <c r="B844">
        <v>2025</v>
      </c>
      <c r="C844">
        <v>11</v>
      </c>
      <c r="D844" t="s">
        <v>131</v>
      </c>
      <c r="E844">
        <v>31</v>
      </c>
      <c r="F844">
        <v>10</v>
      </c>
      <c r="G844" t="s">
        <v>432</v>
      </c>
      <c r="H844" s="48">
        <v>691861</v>
      </c>
      <c r="I844" s="48">
        <v>691934</v>
      </c>
      <c r="J844" s="48">
        <v>692136</v>
      </c>
      <c r="K844" s="48">
        <v>692143</v>
      </c>
      <c r="L844" s="48">
        <v>692187</v>
      </c>
      <c r="M844" s="48">
        <v>692284</v>
      </c>
      <c r="N844" s="48">
        <v>692332</v>
      </c>
      <c r="O844" s="48">
        <v>692360</v>
      </c>
      <c r="P844" s="48">
        <v>692399</v>
      </c>
      <c r="Q844" s="48">
        <v>692486</v>
      </c>
      <c r="R844" s="48">
        <v>692502</v>
      </c>
      <c r="S844" s="48">
        <v>692522</v>
      </c>
      <c r="T844" s="48">
        <v>692560</v>
      </c>
      <c r="U844" s="48">
        <v>692589</v>
      </c>
      <c r="V844" s="48">
        <v>692621</v>
      </c>
      <c r="W844" s="48">
        <v>692657</v>
      </c>
      <c r="X844" s="48">
        <v>692690</v>
      </c>
      <c r="Y844" s="48">
        <v>692716</v>
      </c>
      <c r="Z844" s="48">
        <v>692729</v>
      </c>
      <c r="AA844" s="48">
        <v>692925</v>
      </c>
      <c r="AB844" s="48">
        <v>692967</v>
      </c>
      <c r="AC844" s="48">
        <v>693000</v>
      </c>
      <c r="AD844" s="48" t="s">
        <v>320</v>
      </c>
      <c r="AE844" s="48">
        <v>693044</v>
      </c>
      <c r="AF844" s="48">
        <v>693082</v>
      </c>
      <c r="AG844" s="48">
        <v>693125</v>
      </c>
      <c r="AH844" s="48">
        <v>693323</v>
      </c>
      <c r="AI844" s="48">
        <v>693380</v>
      </c>
      <c r="AJ844" s="48">
        <v>693396</v>
      </c>
      <c r="AK844" s="48">
        <v>693456</v>
      </c>
      <c r="AL844" s="48" t="s">
        <v>320</v>
      </c>
    </row>
    <row r="845" spans="1:45" hidden="1" x14ac:dyDescent="0.25">
      <c r="A845">
        <v>844</v>
      </c>
      <c r="B845">
        <v>2025</v>
      </c>
      <c r="C845">
        <v>11</v>
      </c>
      <c r="D845" t="s">
        <v>131</v>
      </c>
      <c r="E845">
        <v>31</v>
      </c>
      <c r="F845">
        <v>10</v>
      </c>
      <c r="G845" t="s">
        <v>433</v>
      </c>
      <c r="H845" s="48">
        <v>691934</v>
      </c>
      <c r="I845" s="48">
        <v>692051</v>
      </c>
      <c r="J845" s="48">
        <v>692143</v>
      </c>
      <c r="K845" s="48">
        <v>692186</v>
      </c>
      <c r="L845" s="48">
        <v>692284</v>
      </c>
      <c r="M845" s="48">
        <v>692332</v>
      </c>
      <c r="N845" s="48">
        <v>692360</v>
      </c>
      <c r="O845" s="48">
        <v>692399</v>
      </c>
      <c r="P845" s="48">
        <v>692486</v>
      </c>
      <c r="Q845" s="48">
        <v>692502</v>
      </c>
      <c r="R845" s="48">
        <v>692522</v>
      </c>
      <c r="S845" s="48">
        <v>692560</v>
      </c>
      <c r="T845" s="48">
        <v>692589</v>
      </c>
      <c r="U845" s="48">
        <v>692621</v>
      </c>
      <c r="V845" s="48">
        <v>692657</v>
      </c>
      <c r="W845" s="48">
        <v>692690</v>
      </c>
      <c r="X845" s="48">
        <v>692716</v>
      </c>
      <c r="Y845" s="48">
        <v>692729</v>
      </c>
      <c r="Z845" s="48">
        <v>692782</v>
      </c>
      <c r="AA845" s="48">
        <v>692967</v>
      </c>
      <c r="AB845" s="48">
        <v>693000</v>
      </c>
      <c r="AC845" s="48">
        <v>693044</v>
      </c>
      <c r="AD845" s="48" t="s">
        <v>320</v>
      </c>
      <c r="AE845" s="48">
        <v>693082</v>
      </c>
      <c r="AF845" s="48">
        <v>693125</v>
      </c>
      <c r="AG845" s="48">
        <v>693186</v>
      </c>
      <c r="AH845" s="48">
        <v>693380</v>
      </c>
      <c r="AI845" s="48">
        <v>693396</v>
      </c>
      <c r="AJ845" s="48">
        <v>693456</v>
      </c>
      <c r="AK845" s="48">
        <v>693489</v>
      </c>
      <c r="AL845" s="48" t="s">
        <v>320</v>
      </c>
      <c r="AP845">
        <v>189.3</v>
      </c>
      <c r="AQ845">
        <v>15</v>
      </c>
      <c r="AS845">
        <v>1262</v>
      </c>
    </row>
    <row r="846" spans="1:45" hidden="1" x14ac:dyDescent="0.25">
      <c r="A846">
        <v>845</v>
      </c>
      <c r="B846">
        <v>2025</v>
      </c>
      <c r="C846">
        <v>11</v>
      </c>
      <c r="D846" t="s">
        <v>174</v>
      </c>
      <c r="E846">
        <v>31</v>
      </c>
      <c r="F846">
        <v>10</v>
      </c>
      <c r="G846" t="s">
        <v>432</v>
      </c>
      <c r="H846" s="48">
        <v>981226</v>
      </c>
      <c r="I846" s="48">
        <v>981595</v>
      </c>
      <c r="J846" s="48">
        <v>981980</v>
      </c>
      <c r="K846" s="48">
        <v>982120</v>
      </c>
      <c r="L846" s="48">
        <v>982625</v>
      </c>
      <c r="M846" s="48">
        <v>982970</v>
      </c>
      <c r="N846" s="48">
        <v>983219</v>
      </c>
      <c r="O846" s="48">
        <v>983920</v>
      </c>
      <c r="P846" s="48">
        <v>984105</v>
      </c>
      <c r="Q846" s="48">
        <v>984887</v>
      </c>
      <c r="R846" s="48">
        <v>985024</v>
      </c>
      <c r="S846" s="48">
        <v>985525</v>
      </c>
      <c r="T846" s="48">
        <v>985866</v>
      </c>
      <c r="U846" s="48">
        <v>986155</v>
      </c>
      <c r="V846" s="48">
        <v>986570</v>
      </c>
      <c r="W846" s="48">
        <v>986911</v>
      </c>
      <c r="X846" s="48">
        <v>987071</v>
      </c>
      <c r="Y846" s="48">
        <v>987508</v>
      </c>
      <c r="Z846" s="48">
        <v>987848</v>
      </c>
      <c r="AA846" s="48">
        <v>988438</v>
      </c>
      <c r="AB846" s="48">
        <v>988907</v>
      </c>
      <c r="AC846" s="48">
        <v>989057</v>
      </c>
      <c r="AD846" s="48">
        <v>989549</v>
      </c>
      <c r="AE846" s="48">
        <v>989818</v>
      </c>
      <c r="AF846" s="48">
        <v>990318</v>
      </c>
      <c r="AG846" s="48">
        <v>990625</v>
      </c>
      <c r="AH846" s="48">
        <v>990914</v>
      </c>
      <c r="AI846" s="48">
        <v>991448</v>
      </c>
      <c r="AJ846" s="48">
        <v>991805</v>
      </c>
      <c r="AK846" s="48">
        <v>992240</v>
      </c>
      <c r="AL846" s="48" t="s">
        <v>320</v>
      </c>
    </row>
    <row r="847" spans="1:45" hidden="1" x14ac:dyDescent="0.25">
      <c r="A847">
        <v>846</v>
      </c>
      <c r="B847">
        <v>2025</v>
      </c>
      <c r="C847">
        <v>11</v>
      </c>
      <c r="D847" t="s">
        <v>174</v>
      </c>
      <c r="E847">
        <v>31</v>
      </c>
      <c r="F847">
        <v>10</v>
      </c>
      <c r="G847" t="s">
        <v>433</v>
      </c>
      <c r="H847" s="48">
        <v>981591</v>
      </c>
      <c r="I847" s="48">
        <v>981844</v>
      </c>
      <c r="J847" s="48">
        <v>982120</v>
      </c>
      <c r="K847" s="48">
        <v>982623</v>
      </c>
      <c r="L847" s="48">
        <v>982965</v>
      </c>
      <c r="M847" s="48">
        <v>983219</v>
      </c>
      <c r="N847" s="48">
        <v>983814</v>
      </c>
      <c r="O847" s="48">
        <v>984105</v>
      </c>
      <c r="P847" s="48">
        <v>984887</v>
      </c>
      <c r="Q847" s="48">
        <v>985024</v>
      </c>
      <c r="R847" s="48">
        <v>985525</v>
      </c>
      <c r="S847" s="48">
        <v>985866</v>
      </c>
      <c r="T847" s="48">
        <v>986155</v>
      </c>
      <c r="U847" s="48">
        <v>986550</v>
      </c>
      <c r="V847" s="48">
        <v>986709</v>
      </c>
      <c r="W847" s="48">
        <v>987070</v>
      </c>
      <c r="X847" s="48">
        <v>987508</v>
      </c>
      <c r="Y847" s="48">
        <v>987848</v>
      </c>
      <c r="Z847" s="48">
        <v>988438</v>
      </c>
      <c r="AA847" s="48">
        <v>988773</v>
      </c>
      <c r="AB847" s="48">
        <v>989057</v>
      </c>
      <c r="AC847" s="48">
        <v>989549</v>
      </c>
      <c r="AD847" s="48">
        <v>989818</v>
      </c>
      <c r="AE847" s="48">
        <v>990318</v>
      </c>
      <c r="AF847" s="48">
        <v>990625</v>
      </c>
      <c r="AG847" s="48">
        <v>990914</v>
      </c>
      <c r="AH847" s="48">
        <v>991448</v>
      </c>
      <c r="AI847" s="48">
        <v>991805</v>
      </c>
      <c r="AJ847" s="48">
        <v>992239</v>
      </c>
      <c r="AK847" s="48">
        <v>992454</v>
      </c>
      <c r="AL847" s="48" t="s">
        <v>320</v>
      </c>
      <c r="AP847">
        <v>1114.8709977000001</v>
      </c>
      <c r="AQ847" s="58">
        <v>10.50081</v>
      </c>
      <c r="AS847">
        <v>10617</v>
      </c>
    </row>
    <row r="848" spans="1:45" hidden="1" x14ac:dyDescent="0.25">
      <c r="A848">
        <v>847</v>
      </c>
      <c r="B848">
        <v>2025</v>
      </c>
      <c r="C848">
        <v>11</v>
      </c>
      <c r="D848" t="s">
        <v>151</v>
      </c>
      <c r="E848">
        <v>31</v>
      </c>
      <c r="F848">
        <v>10</v>
      </c>
      <c r="G848" t="s">
        <v>439</v>
      </c>
      <c r="H848" s="48">
        <v>279010</v>
      </c>
      <c r="I848" s="48">
        <v>279107</v>
      </c>
      <c r="J848" s="48">
        <v>279205</v>
      </c>
      <c r="K848" s="48">
        <v>279286</v>
      </c>
      <c r="L848" s="48">
        <v>279348</v>
      </c>
      <c r="M848" s="48">
        <v>279395</v>
      </c>
      <c r="N848" s="48">
        <v>279485</v>
      </c>
      <c r="O848" s="48">
        <v>279587</v>
      </c>
      <c r="P848" s="48">
        <v>279745</v>
      </c>
      <c r="Q848" s="48">
        <v>279986</v>
      </c>
      <c r="R848" s="48">
        <v>280072</v>
      </c>
      <c r="S848" s="48">
        <v>280157</v>
      </c>
      <c r="T848" s="48">
        <v>280265</v>
      </c>
      <c r="U848" s="48">
        <v>280362</v>
      </c>
      <c r="V848" s="48">
        <v>280442</v>
      </c>
      <c r="W848" s="48">
        <v>280487</v>
      </c>
      <c r="X848" s="48">
        <v>280542</v>
      </c>
      <c r="Y848" s="48">
        <v>280612</v>
      </c>
      <c r="Z848" s="48">
        <v>280681</v>
      </c>
      <c r="AA848" s="48">
        <v>280756</v>
      </c>
      <c r="AB848" s="48">
        <v>280846</v>
      </c>
      <c r="AC848" s="48">
        <v>280890</v>
      </c>
      <c r="AD848" s="48">
        <v>281045</v>
      </c>
      <c r="AE848" s="48">
        <v>281198</v>
      </c>
      <c r="AF848" s="48">
        <v>281342</v>
      </c>
      <c r="AG848" s="48">
        <v>281507</v>
      </c>
      <c r="AH848" s="48">
        <v>281647</v>
      </c>
      <c r="AI848" s="48">
        <v>281795</v>
      </c>
      <c r="AJ848" s="48">
        <v>281954</v>
      </c>
      <c r="AK848" s="48">
        <v>282102</v>
      </c>
      <c r="AL848" s="48" t="s">
        <v>320</v>
      </c>
    </row>
    <row r="849" spans="1:45" hidden="1" x14ac:dyDescent="0.25">
      <c r="A849">
        <v>848</v>
      </c>
      <c r="B849">
        <v>2025</v>
      </c>
      <c r="C849">
        <v>11</v>
      </c>
      <c r="D849" t="s">
        <v>151</v>
      </c>
      <c r="E849">
        <v>31</v>
      </c>
      <c r="F849">
        <v>10</v>
      </c>
      <c r="G849" t="s">
        <v>440</v>
      </c>
      <c r="H849" s="48">
        <v>279045</v>
      </c>
      <c r="I849" s="48">
        <v>279145</v>
      </c>
      <c r="J849" s="48">
        <v>279234</v>
      </c>
      <c r="K849" s="48">
        <v>279311</v>
      </c>
      <c r="L849" s="48">
        <v>279375</v>
      </c>
      <c r="M849" s="48">
        <v>279432</v>
      </c>
      <c r="N849" s="48">
        <v>279532</v>
      </c>
      <c r="O849" s="48">
        <v>279628</v>
      </c>
      <c r="P849" s="48">
        <v>279837</v>
      </c>
      <c r="Q849" s="48">
        <v>280035</v>
      </c>
      <c r="R849" s="48">
        <v>280103</v>
      </c>
      <c r="S849" s="48">
        <v>280194</v>
      </c>
      <c r="T849" s="48">
        <v>280312</v>
      </c>
      <c r="U849" s="48">
        <v>280397</v>
      </c>
      <c r="V849" s="48">
        <v>280473</v>
      </c>
      <c r="W849" s="48">
        <v>280498</v>
      </c>
      <c r="X849" s="48">
        <v>280573</v>
      </c>
      <c r="Y849" s="48">
        <v>280648</v>
      </c>
      <c r="Z849" s="48">
        <v>280714</v>
      </c>
      <c r="AA849" s="48">
        <v>280812</v>
      </c>
      <c r="AB849" s="48">
        <v>280865</v>
      </c>
      <c r="AC849" s="48">
        <v>280923</v>
      </c>
      <c r="AD849" s="48">
        <v>281112</v>
      </c>
      <c r="AE849" s="48">
        <v>281245</v>
      </c>
      <c r="AF849" s="48">
        <v>281415</v>
      </c>
      <c r="AG849" s="48">
        <v>281587</v>
      </c>
      <c r="AH849" s="48">
        <v>281712</v>
      </c>
      <c r="AI849" s="48">
        <v>281846</v>
      </c>
      <c r="AJ849" s="48">
        <v>282035</v>
      </c>
      <c r="AK849" s="48">
        <v>282175</v>
      </c>
      <c r="AL849" s="48" t="s">
        <v>320</v>
      </c>
      <c r="AP849">
        <v>162.84</v>
      </c>
      <c r="AQ849">
        <v>12</v>
      </c>
      <c r="AS849">
        <v>1357</v>
      </c>
    </row>
    <row r="850" spans="1:45" hidden="1" x14ac:dyDescent="0.25">
      <c r="A850">
        <v>849</v>
      </c>
      <c r="B850">
        <v>2025</v>
      </c>
      <c r="C850">
        <v>11</v>
      </c>
      <c r="D850" t="s">
        <v>184</v>
      </c>
      <c r="E850">
        <v>31</v>
      </c>
      <c r="F850">
        <v>10</v>
      </c>
      <c r="G850" t="s">
        <v>430</v>
      </c>
      <c r="H850" s="48" t="s">
        <v>320</v>
      </c>
      <c r="I850" s="48" t="s">
        <v>320</v>
      </c>
      <c r="J850" s="48" t="s">
        <v>320</v>
      </c>
      <c r="K850" s="48" t="s">
        <v>320</v>
      </c>
      <c r="L850" s="48" t="s">
        <v>320</v>
      </c>
      <c r="M850" s="48" t="s">
        <v>320</v>
      </c>
      <c r="N850" s="48" t="s">
        <v>320</v>
      </c>
      <c r="O850" s="48" t="s">
        <v>320</v>
      </c>
      <c r="P850" s="48" t="s">
        <v>320</v>
      </c>
      <c r="Q850" s="48" t="s">
        <v>320</v>
      </c>
      <c r="R850" s="48" t="s">
        <v>320</v>
      </c>
      <c r="S850" s="48" t="s">
        <v>320</v>
      </c>
      <c r="T850" s="48" t="s">
        <v>320</v>
      </c>
      <c r="U850" s="48" t="s">
        <v>320</v>
      </c>
      <c r="V850" s="48" t="s">
        <v>375</v>
      </c>
      <c r="W850" s="48" t="s">
        <v>375</v>
      </c>
      <c r="X850" s="48" t="s">
        <v>375</v>
      </c>
      <c r="Y850" s="48" t="s">
        <v>375</v>
      </c>
      <c r="Z850" s="48" t="s">
        <v>375</v>
      </c>
      <c r="AA850" s="48" t="s">
        <v>375</v>
      </c>
      <c r="AB850" s="48" t="s">
        <v>375</v>
      </c>
      <c r="AC850" s="48" t="s">
        <v>375</v>
      </c>
      <c r="AD850" s="48" t="s">
        <v>375</v>
      </c>
      <c r="AE850" s="48" t="s">
        <v>375</v>
      </c>
      <c r="AF850" s="48" t="s">
        <v>375</v>
      </c>
      <c r="AG850" s="48" t="s">
        <v>375</v>
      </c>
      <c r="AH850" s="48" t="s">
        <v>375</v>
      </c>
      <c r="AI850" s="48" t="s">
        <v>375</v>
      </c>
      <c r="AJ850" s="48" t="s">
        <v>375</v>
      </c>
      <c r="AK850" s="48" t="s">
        <v>375</v>
      </c>
      <c r="AL850" s="48" t="s">
        <v>320</v>
      </c>
    </row>
    <row r="851" spans="1:45" hidden="1" x14ac:dyDescent="0.25">
      <c r="A851">
        <v>850</v>
      </c>
      <c r="B851">
        <v>2025</v>
      </c>
      <c r="C851">
        <v>11</v>
      </c>
      <c r="D851" t="s">
        <v>184</v>
      </c>
      <c r="E851">
        <v>31</v>
      </c>
      <c r="F851">
        <v>10</v>
      </c>
      <c r="G851" t="s">
        <v>431</v>
      </c>
      <c r="H851" s="48" t="s">
        <v>320</v>
      </c>
      <c r="I851" s="48" t="s">
        <v>320</v>
      </c>
      <c r="J851" s="48" t="s">
        <v>320</v>
      </c>
      <c r="K851" s="48" t="s">
        <v>320</v>
      </c>
      <c r="L851" s="48" t="s">
        <v>320</v>
      </c>
      <c r="M851" s="48" t="s">
        <v>320</v>
      </c>
      <c r="N851" s="48" t="s">
        <v>320</v>
      </c>
      <c r="O851" s="48" t="s">
        <v>320</v>
      </c>
      <c r="P851" s="48" t="s">
        <v>320</v>
      </c>
      <c r="Q851" s="48" t="s">
        <v>320</v>
      </c>
      <c r="R851" s="48" t="s">
        <v>320</v>
      </c>
      <c r="S851" s="48" t="s">
        <v>320</v>
      </c>
      <c r="T851" s="48" t="s">
        <v>320</v>
      </c>
      <c r="U851" s="48" t="s">
        <v>320</v>
      </c>
      <c r="V851" s="48" t="s">
        <v>376</v>
      </c>
      <c r="W851" s="48" t="s">
        <v>376</v>
      </c>
      <c r="X851" s="48" t="s">
        <v>376</v>
      </c>
      <c r="Y851" s="48" t="s">
        <v>376</v>
      </c>
      <c r="Z851" s="48" t="s">
        <v>376</v>
      </c>
      <c r="AA851" s="48" t="s">
        <v>376</v>
      </c>
      <c r="AB851" s="48" t="s">
        <v>388</v>
      </c>
      <c r="AC851" s="48" t="s">
        <v>376</v>
      </c>
      <c r="AD851" s="48" t="s">
        <v>376</v>
      </c>
      <c r="AE851" s="48" t="s">
        <v>376</v>
      </c>
      <c r="AF851" s="48" t="s">
        <v>389</v>
      </c>
      <c r="AG851" s="48" t="s">
        <v>376</v>
      </c>
      <c r="AH851" s="48" t="s">
        <v>376</v>
      </c>
      <c r="AI851" s="48" t="s">
        <v>376</v>
      </c>
      <c r="AJ851" s="48" t="s">
        <v>376</v>
      </c>
      <c r="AK851" s="48" t="s">
        <v>376</v>
      </c>
      <c r="AL851" s="48" t="s">
        <v>320</v>
      </c>
      <c r="AM851">
        <v>16</v>
      </c>
      <c r="AO851">
        <v>3</v>
      </c>
    </row>
    <row r="852" spans="1:45" hidden="1" x14ac:dyDescent="0.25">
      <c r="A852">
        <v>851</v>
      </c>
      <c r="B852">
        <v>2025</v>
      </c>
      <c r="C852">
        <v>11</v>
      </c>
      <c r="D852" t="s">
        <v>185</v>
      </c>
      <c r="E852">
        <v>31</v>
      </c>
      <c r="F852">
        <v>10</v>
      </c>
      <c r="G852" t="s">
        <v>430</v>
      </c>
      <c r="H852" s="48" t="s">
        <v>320</v>
      </c>
      <c r="I852" s="48" t="s">
        <v>320</v>
      </c>
      <c r="J852" s="48" t="s">
        <v>320</v>
      </c>
      <c r="K852" s="48" t="s">
        <v>320</v>
      </c>
      <c r="L852" s="48" t="s">
        <v>320</v>
      </c>
      <c r="M852" s="48" t="s">
        <v>320</v>
      </c>
      <c r="N852" s="48" t="s">
        <v>320</v>
      </c>
      <c r="O852" s="48" t="s">
        <v>320</v>
      </c>
      <c r="P852" s="48" t="s">
        <v>320</v>
      </c>
      <c r="Q852" s="48" t="s">
        <v>320</v>
      </c>
      <c r="R852" s="48" t="s">
        <v>320</v>
      </c>
      <c r="S852" s="48" t="s">
        <v>320</v>
      </c>
      <c r="T852" s="48" t="s">
        <v>320</v>
      </c>
      <c r="U852" s="48" t="s">
        <v>320</v>
      </c>
      <c r="V852" s="48" t="s">
        <v>320</v>
      </c>
      <c r="W852" s="48" t="s">
        <v>320</v>
      </c>
      <c r="X852" s="48" t="s">
        <v>320</v>
      </c>
      <c r="Y852" s="48" t="s">
        <v>320</v>
      </c>
      <c r="Z852" s="48" t="s">
        <v>320</v>
      </c>
      <c r="AA852" s="48" t="s">
        <v>320</v>
      </c>
      <c r="AB852" s="48" t="s">
        <v>320</v>
      </c>
      <c r="AC852" s="48" t="s">
        <v>320</v>
      </c>
      <c r="AD852" s="48" t="s">
        <v>320</v>
      </c>
      <c r="AE852" s="48" t="s">
        <v>320</v>
      </c>
      <c r="AF852" s="48" t="s">
        <v>375</v>
      </c>
      <c r="AG852" s="48" t="s">
        <v>320</v>
      </c>
      <c r="AH852" s="48" t="s">
        <v>320</v>
      </c>
      <c r="AI852" s="48" t="s">
        <v>320</v>
      </c>
      <c r="AJ852" s="48" t="s">
        <v>320</v>
      </c>
      <c r="AK852" s="48" t="s">
        <v>320</v>
      </c>
      <c r="AL852" s="48" t="s">
        <v>320</v>
      </c>
    </row>
    <row r="853" spans="1:45" hidden="1" x14ac:dyDescent="0.25">
      <c r="A853">
        <v>852</v>
      </c>
      <c r="B853">
        <v>2025</v>
      </c>
      <c r="C853">
        <v>11</v>
      </c>
      <c r="D853" t="s">
        <v>185</v>
      </c>
      <c r="E853">
        <v>31</v>
      </c>
      <c r="F853">
        <v>10</v>
      </c>
      <c r="G853" t="s">
        <v>431</v>
      </c>
      <c r="H853" s="48" t="s">
        <v>320</v>
      </c>
      <c r="I853" s="48" t="s">
        <v>320</v>
      </c>
      <c r="J853" s="48" t="s">
        <v>320</v>
      </c>
      <c r="K853" s="48" t="s">
        <v>320</v>
      </c>
      <c r="L853" s="48" t="s">
        <v>320</v>
      </c>
      <c r="M853" s="48" t="s">
        <v>320</v>
      </c>
      <c r="N853" s="48" t="s">
        <v>320</v>
      </c>
      <c r="O853" s="48" t="s">
        <v>320</v>
      </c>
      <c r="P853" s="48" t="s">
        <v>320</v>
      </c>
      <c r="Q853" s="48" t="s">
        <v>320</v>
      </c>
      <c r="R853" s="48" t="s">
        <v>320</v>
      </c>
      <c r="S853" s="48" t="s">
        <v>320</v>
      </c>
      <c r="T853" s="48" t="s">
        <v>320</v>
      </c>
      <c r="U853" s="48" t="s">
        <v>320</v>
      </c>
      <c r="V853" s="48" t="s">
        <v>320</v>
      </c>
      <c r="W853" s="48" t="s">
        <v>320</v>
      </c>
      <c r="X853" s="48" t="s">
        <v>320</v>
      </c>
      <c r="Y853" s="48" t="s">
        <v>320</v>
      </c>
      <c r="Z853" s="48" t="s">
        <v>320</v>
      </c>
      <c r="AA853" s="48" t="s">
        <v>320</v>
      </c>
      <c r="AB853" s="48" t="s">
        <v>320</v>
      </c>
      <c r="AC853" s="48" t="s">
        <v>320</v>
      </c>
      <c r="AD853" s="48" t="s">
        <v>320</v>
      </c>
      <c r="AE853" s="48" t="s">
        <v>320</v>
      </c>
      <c r="AF853" s="48" t="s">
        <v>389</v>
      </c>
      <c r="AG853" s="48" t="s">
        <v>320</v>
      </c>
      <c r="AH853" s="48" t="s">
        <v>320</v>
      </c>
      <c r="AI853" s="48" t="s">
        <v>320</v>
      </c>
      <c r="AJ853" s="48" t="s">
        <v>320</v>
      </c>
      <c r="AK853" s="48" t="s">
        <v>320</v>
      </c>
      <c r="AL853" s="48" t="s">
        <v>320</v>
      </c>
      <c r="AM853">
        <v>1</v>
      </c>
    </row>
    <row r="854" spans="1:45" hidden="1" x14ac:dyDescent="0.25">
      <c r="A854">
        <v>853</v>
      </c>
      <c r="B854">
        <v>2025</v>
      </c>
      <c r="C854">
        <v>11</v>
      </c>
      <c r="D854" t="s">
        <v>178</v>
      </c>
      <c r="E854">
        <v>31</v>
      </c>
      <c r="F854">
        <v>10</v>
      </c>
      <c r="G854" t="s">
        <v>430</v>
      </c>
      <c r="H854" s="48" t="s">
        <v>375</v>
      </c>
      <c r="I854" s="48" t="s">
        <v>375</v>
      </c>
      <c r="J854" s="48" t="s">
        <v>375</v>
      </c>
      <c r="K854" s="48" t="s">
        <v>375</v>
      </c>
      <c r="L854" s="48" t="s">
        <v>375</v>
      </c>
      <c r="M854" s="48" t="s">
        <v>375</v>
      </c>
      <c r="N854" s="48" t="s">
        <v>375</v>
      </c>
      <c r="O854" s="48" t="s">
        <v>375</v>
      </c>
      <c r="P854" s="48" t="s">
        <v>320</v>
      </c>
      <c r="Q854" s="48" t="s">
        <v>375</v>
      </c>
      <c r="R854" s="48" t="s">
        <v>375</v>
      </c>
      <c r="S854" s="48" t="s">
        <v>375</v>
      </c>
      <c r="T854" s="48" t="s">
        <v>375</v>
      </c>
      <c r="U854" s="48" t="s">
        <v>375</v>
      </c>
      <c r="V854" s="48" t="s">
        <v>375</v>
      </c>
      <c r="W854" s="48" t="s">
        <v>375</v>
      </c>
      <c r="X854" s="48" t="s">
        <v>375</v>
      </c>
      <c r="Y854" s="48" t="s">
        <v>375</v>
      </c>
      <c r="Z854" s="48" t="s">
        <v>375</v>
      </c>
      <c r="AA854" s="48" t="s">
        <v>375</v>
      </c>
      <c r="AB854" s="48" t="s">
        <v>375</v>
      </c>
      <c r="AC854" s="48" t="s">
        <v>375</v>
      </c>
      <c r="AD854" s="48" t="s">
        <v>320</v>
      </c>
      <c r="AE854" s="48" t="s">
        <v>375</v>
      </c>
      <c r="AF854" s="48" t="s">
        <v>375</v>
      </c>
      <c r="AG854" s="48" t="s">
        <v>375</v>
      </c>
      <c r="AH854" s="48" t="s">
        <v>375</v>
      </c>
      <c r="AI854" s="48" t="s">
        <v>375</v>
      </c>
      <c r="AJ854" s="48" t="s">
        <v>375</v>
      </c>
      <c r="AK854" s="48" t="s">
        <v>375</v>
      </c>
      <c r="AL854" s="48" t="s">
        <v>320</v>
      </c>
    </row>
    <row r="855" spans="1:45" hidden="1" x14ac:dyDescent="0.25">
      <c r="A855">
        <v>854</v>
      </c>
      <c r="B855">
        <v>2025</v>
      </c>
      <c r="C855">
        <v>11</v>
      </c>
      <c r="D855" t="s">
        <v>178</v>
      </c>
      <c r="E855">
        <v>31</v>
      </c>
      <c r="F855">
        <v>10</v>
      </c>
      <c r="G855" t="s">
        <v>431</v>
      </c>
      <c r="H855" s="48" t="s">
        <v>390</v>
      </c>
      <c r="I855" s="48" t="s">
        <v>390</v>
      </c>
      <c r="J855" s="48" t="s">
        <v>390</v>
      </c>
      <c r="K855" s="48" t="s">
        <v>390</v>
      </c>
      <c r="L855" s="48" t="s">
        <v>390</v>
      </c>
      <c r="M855" s="48" t="s">
        <v>390</v>
      </c>
      <c r="N855" s="48" t="s">
        <v>389</v>
      </c>
      <c r="O855" s="48" t="s">
        <v>390</v>
      </c>
      <c r="P855" s="48" t="s">
        <v>320</v>
      </c>
      <c r="Q855" s="48" t="s">
        <v>390</v>
      </c>
      <c r="R855" s="48" t="s">
        <v>389</v>
      </c>
      <c r="S855" s="48" t="s">
        <v>390</v>
      </c>
      <c r="T855" s="48" t="s">
        <v>389</v>
      </c>
      <c r="U855" s="48" t="s">
        <v>390</v>
      </c>
      <c r="V855" s="48" t="s">
        <v>390</v>
      </c>
      <c r="W855" s="48" t="s">
        <v>390</v>
      </c>
      <c r="X855" s="48" t="s">
        <v>390</v>
      </c>
      <c r="Y855" s="48" t="s">
        <v>390</v>
      </c>
      <c r="Z855" s="48" t="s">
        <v>411</v>
      </c>
      <c r="AA855" s="48" t="s">
        <v>389</v>
      </c>
      <c r="AB855" s="48" t="s">
        <v>389</v>
      </c>
      <c r="AC855" s="48" t="s">
        <v>411</v>
      </c>
      <c r="AD855" s="48" t="s">
        <v>320</v>
      </c>
      <c r="AE855" s="48" t="s">
        <v>390</v>
      </c>
      <c r="AF855" s="48" t="s">
        <v>390</v>
      </c>
      <c r="AG855" s="48" t="s">
        <v>389</v>
      </c>
      <c r="AH855" s="48" t="s">
        <v>389</v>
      </c>
      <c r="AI855" s="48" t="s">
        <v>411</v>
      </c>
      <c r="AJ855" s="48" t="s">
        <v>390</v>
      </c>
      <c r="AK855" s="48" t="s">
        <v>390</v>
      </c>
      <c r="AL855" s="48" t="s">
        <v>320</v>
      </c>
      <c r="AM855">
        <v>28</v>
      </c>
      <c r="AO855">
        <v>79.999999999999986</v>
      </c>
    </row>
    <row r="856" spans="1:45" hidden="1" x14ac:dyDescent="0.25">
      <c r="A856">
        <v>855</v>
      </c>
      <c r="B856">
        <v>2025</v>
      </c>
      <c r="C856">
        <v>11</v>
      </c>
      <c r="D856" t="s">
        <v>352</v>
      </c>
      <c r="E856">
        <v>31</v>
      </c>
      <c r="F856">
        <v>10</v>
      </c>
      <c r="G856" t="s">
        <v>430</v>
      </c>
      <c r="H856" s="48" t="s">
        <v>320</v>
      </c>
      <c r="I856" s="48" t="s">
        <v>320</v>
      </c>
      <c r="J856" s="48" t="s">
        <v>320</v>
      </c>
      <c r="K856" s="48" t="s">
        <v>320</v>
      </c>
      <c r="L856" s="48" t="s">
        <v>320</v>
      </c>
      <c r="M856" s="48" t="s">
        <v>320</v>
      </c>
      <c r="N856" s="48" t="s">
        <v>320</v>
      </c>
      <c r="O856" s="48" t="s">
        <v>320</v>
      </c>
      <c r="P856" s="48" t="s">
        <v>320</v>
      </c>
      <c r="Q856" s="48" t="s">
        <v>320</v>
      </c>
      <c r="R856" s="48" t="s">
        <v>320</v>
      </c>
      <c r="S856" s="48" t="s">
        <v>320</v>
      </c>
      <c r="T856" s="48" t="s">
        <v>320</v>
      </c>
      <c r="U856" s="48" t="s">
        <v>320</v>
      </c>
      <c r="V856" s="48" t="s">
        <v>320</v>
      </c>
      <c r="W856" s="48" t="s">
        <v>320</v>
      </c>
      <c r="X856" s="48" t="s">
        <v>320</v>
      </c>
      <c r="Y856" s="48" t="s">
        <v>375</v>
      </c>
      <c r="Z856" s="48" t="s">
        <v>375</v>
      </c>
      <c r="AA856" s="48" t="s">
        <v>375</v>
      </c>
      <c r="AB856" s="48" t="s">
        <v>375</v>
      </c>
      <c r="AC856" s="48" t="s">
        <v>375</v>
      </c>
      <c r="AD856" s="48" t="s">
        <v>375</v>
      </c>
      <c r="AE856" s="48" t="s">
        <v>375</v>
      </c>
      <c r="AF856" s="48" t="s">
        <v>375</v>
      </c>
      <c r="AG856" s="48" t="s">
        <v>375</v>
      </c>
      <c r="AH856" s="48" t="s">
        <v>375</v>
      </c>
      <c r="AI856" s="48" t="s">
        <v>375</v>
      </c>
      <c r="AJ856" s="48" t="s">
        <v>375</v>
      </c>
      <c r="AK856" s="48" t="s">
        <v>375</v>
      </c>
      <c r="AL856" s="48" t="s">
        <v>320</v>
      </c>
    </row>
    <row r="857" spans="1:45" hidden="1" x14ac:dyDescent="0.25">
      <c r="A857">
        <v>856</v>
      </c>
      <c r="B857">
        <v>2025</v>
      </c>
      <c r="C857">
        <v>11</v>
      </c>
      <c r="D857" t="s">
        <v>352</v>
      </c>
      <c r="E857">
        <v>31</v>
      </c>
      <c r="F857">
        <v>10</v>
      </c>
      <c r="G857" t="s">
        <v>431</v>
      </c>
      <c r="H857" s="48" t="s">
        <v>320</v>
      </c>
      <c r="I857" s="48" t="s">
        <v>320</v>
      </c>
      <c r="J857" s="48" t="s">
        <v>320</v>
      </c>
      <c r="K857" s="48" t="s">
        <v>320</v>
      </c>
      <c r="L857" s="48" t="s">
        <v>320</v>
      </c>
      <c r="M857" s="48" t="s">
        <v>320</v>
      </c>
      <c r="N857" s="48" t="s">
        <v>320</v>
      </c>
      <c r="O857" s="48" t="s">
        <v>320</v>
      </c>
      <c r="P857" s="48" t="s">
        <v>320</v>
      </c>
      <c r="Q857" s="48" t="s">
        <v>320</v>
      </c>
      <c r="R857" s="48" t="s">
        <v>320</v>
      </c>
      <c r="S857" s="48" t="s">
        <v>320</v>
      </c>
      <c r="T857" s="48" t="s">
        <v>320</v>
      </c>
      <c r="U857" s="48" t="s">
        <v>320</v>
      </c>
      <c r="V857" s="48" t="s">
        <v>320</v>
      </c>
      <c r="W857" s="48" t="s">
        <v>320</v>
      </c>
      <c r="X857" s="48" t="s">
        <v>320</v>
      </c>
      <c r="Y857" s="48" t="s">
        <v>376</v>
      </c>
      <c r="Z857" s="48" t="s">
        <v>376</v>
      </c>
      <c r="AA857" s="48" t="s">
        <v>411</v>
      </c>
      <c r="AB857" s="48" t="s">
        <v>390</v>
      </c>
      <c r="AC857" s="48" t="s">
        <v>376</v>
      </c>
      <c r="AD857" s="48" t="s">
        <v>390</v>
      </c>
      <c r="AE857" s="48" t="s">
        <v>389</v>
      </c>
      <c r="AF857" s="48" t="s">
        <v>376</v>
      </c>
      <c r="AG857" s="48" t="s">
        <v>390</v>
      </c>
      <c r="AH857" s="48" t="s">
        <v>376</v>
      </c>
      <c r="AI857" s="48" t="s">
        <v>390</v>
      </c>
      <c r="AJ857" s="48" t="s">
        <v>389</v>
      </c>
      <c r="AK857" s="48" t="s">
        <v>390</v>
      </c>
      <c r="AL857" s="48" t="s">
        <v>320</v>
      </c>
      <c r="AM857">
        <v>13</v>
      </c>
      <c r="AO857">
        <v>22.999999999999993</v>
      </c>
    </row>
    <row r="858" spans="1:45" hidden="1" x14ac:dyDescent="0.25">
      <c r="A858">
        <v>857</v>
      </c>
      <c r="B858">
        <v>2025</v>
      </c>
      <c r="C858">
        <v>11</v>
      </c>
      <c r="D858" t="s">
        <v>182</v>
      </c>
      <c r="E858">
        <v>31</v>
      </c>
      <c r="F858">
        <v>10</v>
      </c>
      <c r="G858" t="s">
        <v>430</v>
      </c>
      <c r="H858" s="48" t="s">
        <v>375</v>
      </c>
      <c r="I858" s="48" t="s">
        <v>375</v>
      </c>
      <c r="J858" s="48" t="s">
        <v>375</v>
      </c>
      <c r="K858" s="48" t="s">
        <v>375</v>
      </c>
      <c r="L858" s="48" t="s">
        <v>375</v>
      </c>
      <c r="M858" s="48" t="s">
        <v>375</v>
      </c>
      <c r="N858" s="48" t="s">
        <v>375</v>
      </c>
      <c r="O858" s="48" t="s">
        <v>375</v>
      </c>
      <c r="P858" s="48" t="s">
        <v>320</v>
      </c>
      <c r="Q858" s="48" t="s">
        <v>375</v>
      </c>
      <c r="R858" s="48" t="s">
        <v>375</v>
      </c>
      <c r="S858" s="48" t="s">
        <v>375</v>
      </c>
      <c r="T858" s="48" t="s">
        <v>375</v>
      </c>
      <c r="U858" s="48" t="s">
        <v>375</v>
      </c>
      <c r="V858" s="48" t="s">
        <v>375</v>
      </c>
      <c r="W858" s="48" t="s">
        <v>375</v>
      </c>
      <c r="X858" s="48" t="s">
        <v>375</v>
      </c>
      <c r="Y858" s="48" t="s">
        <v>375</v>
      </c>
      <c r="Z858" s="48" t="s">
        <v>375</v>
      </c>
      <c r="AA858" s="48" t="s">
        <v>375</v>
      </c>
      <c r="AB858" s="48" t="s">
        <v>375</v>
      </c>
      <c r="AC858" s="48" t="s">
        <v>375</v>
      </c>
      <c r="AD858" s="48" t="s">
        <v>375</v>
      </c>
      <c r="AE858" s="48" t="s">
        <v>375</v>
      </c>
      <c r="AF858" s="48" t="s">
        <v>375</v>
      </c>
      <c r="AG858" s="48" t="s">
        <v>375</v>
      </c>
      <c r="AH858" s="48" t="s">
        <v>375</v>
      </c>
      <c r="AI858" s="48" t="s">
        <v>375</v>
      </c>
      <c r="AJ858" s="48" t="s">
        <v>375</v>
      </c>
      <c r="AK858" s="48" t="s">
        <v>375</v>
      </c>
      <c r="AL858" s="48" t="s">
        <v>320</v>
      </c>
    </row>
    <row r="859" spans="1:45" hidden="1" x14ac:dyDescent="0.25">
      <c r="A859">
        <v>858</v>
      </c>
      <c r="B859">
        <v>2025</v>
      </c>
      <c r="C859">
        <v>11</v>
      </c>
      <c r="D859" t="s">
        <v>182</v>
      </c>
      <c r="E859">
        <v>31</v>
      </c>
      <c r="F859">
        <v>10</v>
      </c>
      <c r="G859" t="s">
        <v>431</v>
      </c>
      <c r="H859" s="48">
        <v>0.875</v>
      </c>
      <c r="I859" s="48">
        <v>0.875</v>
      </c>
      <c r="J859" s="48">
        <v>0.875</v>
      </c>
      <c r="K859" s="48">
        <v>0.875</v>
      </c>
      <c r="L859" s="48">
        <v>0.875</v>
      </c>
      <c r="M859" s="48">
        <v>0.875</v>
      </c>
      <c r="N859" s="48">
        <v>0.875</v>
      </c>
      <c r="O859" s="48">
        <v>0.875</v>
      </c>
      <c r="P859" s="48" t="s">
        <v>320</v>
      </c>
      <c r="Q859" s="48">
        <v>0.875</v>
      </c>
      <c r="R859" s="48">
        <v>0.875</v>
      </c>
      <c r="S859" s="48">
        <v>0.875</v>
      </c>
      <c r="T859" s="48">
        <v>0.875</v>
      </c>
      <c r="U859" s="48">
        <v>0.875</v>
      </c>
      <c r="V859" s="48">
        <v>0.875</v>
      </c>
      <c r="W859" s="48">
        <v>0.875</v>
      </c>
      <c r="X859" s="48">
        <v>0.875</v>
      </c>
      <c r="Y859" s="48">
        <v>0.875</v>
      </c>
      <c r="Z859" s="48">
        <v>0.875</v>
      </c>
      <c r="AA859" s="48">
        <v>0.875</v>
      </c>
      <c r="AB859" s="48">
        <v>0.875</v>
      </c>
      <c r="AC859" s="48">
        <v>0.875</v>
      </c>
      <c r="AD859" s="48">
        <v>0.875</v>
      </c>
      <c r="AE859" s="48">
        <v>0.875</v>
      </c>
      <c r="AF859" s="48">
        <v>0.91666666666666674</v>
      </c>
      <c r="AG859" s="48">
        <v>0.91666666666666674</v>
      </c>
      <c r="AH859" s="48">
        <v>0.95833333333333326</v>
      </c>
      <c r="AI859" s="48">
        <v>0.95833333333333326</v>
      </c>
      <c r="AJ859" s="48">
        <v>0.91666666666666674</v>
      </c>
      <c r="AK859" s="48">
        <v>0.91666666666666674</v>
      </c>
      <c r="AL859" s="48" t="s">
        <v>320</v>
      </c>
      <c r="AM859">
        <v>29</v>
      </c>
      <c r="AO859">
        <v>94.999999999999986</v>
      </c>
    </row>
    <row r="860" spans="1:45" hidden="1" x14ac:dyDescent="0.25">
      <c r="A860">
        <v>859</v>
      </c>
      <c r="B860">
        <v>2025</v>
      </c>
      <c r="C860">
        <v>11</v>
      </c>
      <c r="D860" t="s">
        <v>353</v>
      </c>
      <c r="E860">
        <v>31</v>
      </c>
      <c r="F860">
        <v>10</v>
      </c>
      <c r="G860" t="s">
        <v>430</v>
      </c>
      <c r="H860" s="48" t="s">
        <v>320</v>
      </c>
      <c r="I860" s="48" t="s">
        <v>320</v>
      </c>
      <c r="J860" s="48" t="s">
        <v>320</v>
      </c>
      <c r="K860" s="48" t="s">
        <v>320</v>
      </c>
      <c r="L860" s="48" t="s">
        <v>320</v>
      </c>
      <c r="M860" s="48" t="s">
        <v>320</v>
      </c>
      <c r="N860" s="48" t="s">
        <v>320</v>
      </c>
      <c r="O860" s="48" t="s">
        <v>320</v>
      </c>
      <c r="P860" s="48" t="s">
        <v>320</v>
      </c>
      <c r="Q860" s="48" t="s">
        <v>320</v>
      </c>
      <c r="R860" s="48" t="s">
        <v>320</v>
      </c>
      <c r="S860" s="48" t="s">
        <v>320</v>
      </c>
      <c r="T860" s="48" t="s">
        <v>320</v>
      </c>
      <c r="U860" s="48" t="s">
        <v>320</v>
      </c>
      <c r="V860" s="48" t="s">
        <v>320</v>
      </c>
      <c r="W860" s="48" t="s">
        <v>320</v>
      </c>
      <c r="X860" s="48" t="s">
        <v>320</v>
      </c>
      <c r="Y860" s="48" t="s">
        <v>320</v>
      </c>
      <c r="Z860" s="48" t="s">
        <v>320</v>
      </c>
      <c r="AA860" s="48" t="s">
        <v>320</v>
      </c>
      <c r="AB860" s="48" t="s">
        <v>320</v>
      </c>
      <c r="AC860" s="48" t="s">
        <v>320</v>
      </c>
      <c r="AD860" s="48" t="s">
        <v>320</v>
      </c>
      <c r="AE860" s="48" t="s">
        <v>320</v>
      </c>
      <c r="AF860" s="48" t="s">
        <v>320</v>
      </c>
      <c r="AG860" s="48" t="s">
        <v>320</v>
      </c>
      <c r="AH860" s="48" t="s">
        <v>375</v>
      </c>
      <c r="AI860" s="48" t="s">
        <v>375</v>
      </c>
      <c r="AJ860" s="48" t="s">
        <v>375</v>
      </c>
      <c r="AK860" s="48" t="s">
        <v>375</v>
      </c>
      <c r="AL860" s="48" t="s">
        <v>320</v>
      </c>
    </row>
    <row r="861" spans="1:45" hidden="1" x14ac:dyDescent="0.25">
      <c r="A861">
        <v>860</v>
      </c>
      <c r="B861">
        <v>2025</v>
      </c>
      <c r="C861">
        <v>11</v>
      </c>
      <c r="D861" t="s">
        <v>353</v>
      </c>
      <c r="E861">
        <v>31</v>
      </c>
      <c r="F861">
        <v>10</v>
      </c>
      <c r="G861" t="s">
        <v>431</v>
      </c>
      <c r="H861" s="48" t="s">
        <v>320</v>
      </c>
      <c r="I861" s="48" t="s">
        <v>320</v>
      </c>
      <c r="J861" s="48" t="s">
        <v>320</v>
      </c>
      <c r="K861" s="48" t="s">
        <v>320</v>
      </c>
      <c r="L861" s="48" t="s">
        <v>320</v>
      </c>
      <c r="M861" s="48" t="s">
        <v>320</v>
      </c>
      <c r="N861" s="48" t="s">
        <v>320</v>
      </c>
      <c r="O861" s="48" t="s">
        <v>320</v>
      </c>
      <c r="P861" s="48" t="s">
        <v>320</v>
      </c>
      <c r="Q861" s="48" t="s">
        <v>320</v>
      </c>
      <c r="R861" s="48" t="s">
        <v>320</v>
      </c>
      <c r="S861" s="48" t="s">
        <v>320</v>
      </c>
      <c r="T861" s="48" t="s">
        <v>320</v>
      </c>
      <c r="U861" s="48" t="s">
        <v>320</v>
      </c>
      <c r="V861" s="48" t="s">
        <v>320</v>
      </c>
      <c r="W861" s="48" t="s">
        <v>320</v>
      </c>
      <c r="X861" s="48" t="s">
        <v>320</v>
      </c>
      <c r="Y861" s="48" t="s">
        <v>320</v>
      </c>
      <c r="Z861" s="48" t="s">
        <v>320</v>
      </c>
      <c r="AA861" s="48" t="s">
        <v>320</v>
      </c>
      <c r="AB861" s="48" t="s">
        <v>320</v>
      </c>
      <c r="AC861" s="48" t="s">
        <v>320</v>
      </c>
      <c r="AD861" s="48" t="s">
        <v>320</v>
      </c>
      <c r="AE861" s="48" t="s">
        <v>320</v>
      </c>
      <c r="AF861" s="48" t="s">
        <v>320</v>
      </c>
      <c r="AG861" s="48" t="s">
        <v>320</v>
      </c>
      <c r="AH861" s="48" t="s">
        <v>376</v>
      </c>
      <c r="AI861" s="48" t="s">
        <v>376</v>
      </c>
      <c r="AJ861" s="48" t="s">
        <v>376</v>
      </c>
      <c r="AK861" s="48" t="s">
        <v>376</v>
      </c>
      <c r="AL861" s="48" t="s">
        <v>320</v>
      </c>
      <c r="AM861">
        <v>4</v>
      </c>
    </row>
    <row r="862" spans="1:45" hidden="1" x14ac:dyDescent="0.25">
      <c r="A862">
        <v>861</v>
      </c>
      <c r="B862">
        <v>2025</v>
      </c>
      <c r="C862">
        <v>11</v>
      </c>
      <c r="D862" t="s">
        <v>354</v>
      </c>
      <c r="E862">
        <v>31</v>
      </c>
      <c r="F862">
        <v>10</v>
      </c>
      <c r="G862" t="s">
        <v>430</v>
      </c>
      <c r="H862" s="48" t="s">
        <v>320</v>
      </c>
      <c r="I862" s="48" t="s">
        <v>320</v>
      </c>
      <c r="J862" s="48" t="s">
        <v>320</v>
      </c>
      <c r="K862" s="48" t="s">
        <v>320</v>
      </c>
      <c r="L862" s="48" t="s">
        <v>320</v>
      </c>
      <c r="M862" s="48" t="s">
        <v>320</v>
      </c>
      <c r="N862" s="48" t="s">
        <v>320</v>
      </c>
      <c r="O862" s="48" t="s">
        <v>320</v>
      </c>
      <c r="P862" s="48" t="s">
        <v>320</v>
      </c>
      <c r="Q862" s="48" t="s">
        <v>320</v>
      </c>
      <c r="R862" s="48" t="s">
        <v>320</v>
      </c>
      <c r="S862" s="48" t="s">
        <v>320</v>
      </c>
      <c r="T862" s="48" t="s">
        <v>320</v>
      </c>
      <c r="U862" s="48" t="s">
        <v>320</v>
      </c>
      <c r="V862" s="48" t="s">
        <v>375</v>
      </c>
      <c r="W862" s="48" t="s">
        <v>375</v>
      </c>
      <c r="X862" s="48" t="s">
        <v>375</v>
      </c>
      <c r="Y862" s="48" t="s">
        <v>375</v>
      </c>
      <c r="Z862" s="48" t="s">
        <v>375</v>
      </c>
      <c r="AA862" s="48" t="s">
        <v>375</v>
      </c>
      <c r="AB862" s="48" t="s">
        <v>375</v>
      </c>
      <c r="AC862" s="48" t="s">
        <v>375</v>
      </c>
      <c r="AD862" s="48" t="s">
        <v>375</v>
      </c>
      <c r="AE862" s="48" t="s">
        <v>375</v>
      </c>
      <c r="AF862" s="48" t="s">
        <v>375</v>
      </c>
      <c r="AG862" s="48" t="s">
        <v>375</v>
      </c>
      <c r="AH862" s="48" t="s">
        <v>375</v>
      </c>
      <c r="AI862" s="48" t="s">
        <v>375</v>
      </c>
      <c r="AJ862" s="48" t="s">
        <v>375</v>
      </c>
      <c r="AK862" s="48" t="s">
        <v>375</v>
      </c>
      <c r="AL862" s="48" t="s">
        <v>320</v>
      </c>
    </row>
    <row r="863" spans="1:45" hidden="1" x14ac:dyDescent="0.25">
      <c r="A863">
        <v>862</v>
      </c>
      <c r="B863">
        <v>2025</v>
      </c>
      <c r="C863">
        <v>11</v>
      </c>
      <c r="D863" t="s">
        <v>354</v>
      </c>
      <c r="E863">
        <v>31</v>
      </c>
      <c r="F863">
        <v>10</v>
      </c>
      <c r="G863" t="s">
        <v>431</v>
      </c>
      <c r="H863" s="48" t="s">
        <v>320</v>
      </c>
      <c r="I863" s="48" t="s">
        <v>320</v>
      </c>
      <c r="J863" s="48" t="s">
        <v>320</v>
      </c>
      <c r="K863" s="48" t="s">
        <v>320</v>
      </c>
      <c r="L863" s="48" t="s">
        <v>320</v>
      </c>
      <c r="M863" s="48" t="s">
        <v>320</v>
      </c>
      <c r="N863" s="48" t="s">
        <v>320</v>
      </c>
      <c r="O863" s="48" t="s">
        <v>320</v>
      </c>
      <c r="P863" s="48" t="s">
        <v>320</v>
      </c>
      <c r="Q863" s="48" t="s">
        <v>320</v>
      </c>
      <c r="R863" s="48" t="s">
        <v>320</v>
      </c>
      <c r="S863" s="48" t="s">
        <v>320</v>
      </c>
      <c r="T863" s="48" t="s">
        <v>320</v>
      </c>
      <c r="U863" s="48" t="s">
        <v>320</v>
      </c>
      <c r="V863" s="48">
        <v>0.75</v>
      </c>
      <c r="W863" s="48">
        <v>0.75</v>
      </c>
      <c r="X863" s="48">
        <v>0.83333333333333326</v>
      </c>
      <c r="Y863" s="48">
        <v>0.75</v>
      </c>
      <c r="Z863" s="48">
        <v>0.79166666666666674</v>
      </c>
      <c r="AA863" s="48">
        <v>0.83333333333333326</v>
      </c>
      <c r="AB863" s="48">
        <v>0.79166666666666674</v>
      </c>
      <c r="AC863" s="48">
        <v>0.75</v>
      </c>
      <c r="AD863" s="48">
        <v>0.75</v>
      </c>
      <c r="AE863" s="48">
        <v>0.75</v>
      </c>
      <c r="AF863" s="48">
        <v>0.75</v>
      </c>
      <c r="AG863" s="48">
        <v>1</v>
      </c>
      <c r="AH863" s="48">
        <v>0.75</v>
      </c>
      <c r="AI863" s="48">
        <v>0.95833333333333326</v>
      </c>
      <c r="AJ863" s="48">
        <v>0.95833333333333326</v>
      </c>
      <c r="AK863" s="48">
        <v>0.75</v>
      </c>
      <c r="AL863" s="48" t="s">
        <v>320</v>
      </c>
      <c r="AM863">
        <v>16</v>
      </c>
      <c r="AO863">
        <v>21.999999999999986</v>
      </c>
    </row>
    <row r="864" spans="1:45" hidden="1" x14ac:dyDescent="0.25">
      <c r="A864">
        <v>863</v>
      </c>
      <c r="B864">
        <v>2025</v>
      </c>
      <c r="C864">
        <v>11</v>
      </c>
      <c r="D864" t="s">
        <v>355</v>
      </c>
      <c r="E864">
        <v>31</v>
      </c>
      <c r="F864">
        <v>10</v>
      </c>
      <c r="G864" t="s">
        <v>430</v>
      </c>
      <c r="H864" s="48" t="s">
        <v>320</v>
      </c>
      <c r="I864" s="48" t="s">
        <v>320</v>
      </c>
      <c r="J864" s="48" t="s">
        <v>320</v>
      </c>
      <c r="K864" s="48" t="s">
        <v>320</v>
      </c>
      <c r="L864" s="48" t="s">
        <v>320</v>
      </c>
      <c r="M864" s="48" t="s">
        <v>320</v>
      </c>
      <c r="N864" s="48" t="s">
        <v>320</v>
      </c>
      <c r="O864" s="48" t="s">
        <v>320</v>
      </c>
      <c r="P864" s="48" t="s">
        <v>320</v>
      </c>
      <c r="Q864" s="48" t="s">
        <v>375</v>
      </c>
      <c r="R864" s="48" t="s">
        <v>375</v>
      </c>
      <c r="S864" s="48" t="s">
        <v>375</v>
      </c>
      <c r="T864" s="48" t="s">
        <v>375</v>
      </c>
      <c r="U864" s="48" t="s">
        <v>375</v>
      </c>
      <c r="V864" s="48" t="s">
        <v>375</v>
      </c>
      <c r="W864" s="48" t="s">
        <v>375</v>
      </c>
      <c r="X864" s="48" t="s">
        <v>375</v>
      </c>
      <c r="Y864" s="48" t="s">
        <v>375</v>
      </c>
      <c r="Z864" s="48" t="s">
        <v>375</v>
      </c>
      <c r="AA864" s="48" t="s">
        <v>375</v>
      </c>
      <c r="AB864" s="48" t="s">
        <v>375</v>
      </c>
      <c r="AC864" s="48" t="s">
        <v>375</v>
      </c>
      <c r="AD864" s="48" t="s">
        <v>375</v>
      </c>
      <c r="AE864" s="48" t="s">
        <v>375</v>
      </c>
      <c r="AF864" s="48" t="s">
        <v>375</v>
      </c>
      <c r="AG864" s="48" t="s">
        <v>375</v>
      </c>
      <c r="AH864" s="48" t="s">
        <v>375</v>
      </c>
      <c r="AI864" s="48" t="s">
        <v>375</v>
      </c>
      <c r="AJ864" s="48" t="s">
        <v>375</v>
      </c>
      <c r="AK864" s="48" t="s">
        <v>375</v>
      </c>
      <c r="AL864" s="48" t="s">
        <v>320</v>
      </c>
    </row>
    <row r="865" spans="1:41" hidden="1" x14ac:dyDescent="0.25">
      <c r="A865">
        <v>864</v>
      </c>
      <c r="B865">
        <v>2025</v>
      </c>
      <c r="C865">
        <v>11</v>
      </c>
      <c r="D865" t="s">
        <v>355</v>
      </c>
      <c r="E865">
        <v>31</v>
      </c>
      <c r="F865">
        <v>10</v>
      </c>
      <c r="G865" t="s">
        <v>431</v>
      </c>
      <c r="H865" s="48" t="s">
        <v>320</v>
      </c>
      <c r="I865" s="48" t="s">
        <v>320</v>
      </c>
      <c r="J865" s="48" t="s">
        <v>320</v>
      </c>
      <c r="K865" s="48" t="s">
        <v>320</v>
      </c>
      <c r="L865" s="48" t="s">
        <v>320</v>
      </c>
      <c r="M865" s="48" t="s">
        <v>320</v>
      </c>
      <c r="N865" s="48" t="s">
        <v>320</v>
      </c>
      <c r="O865" s="48" t="s">
        <v>320</v>
      </c>
      <c r="P865" s="48" t="s">
        <v>320</v>
      </c>
      <c r="Q865" s="48" t="s">
        <v>376</v>
      </c>
      <c r="R865" s="48" t="s">
        <v>376</v>
      </c>
      <c r="S865" s="48" t="s">
        <v>376</v>
      </c>
      <c r="T865" s="48" t="s">
        <v>376</v>
      </c>
      <c r="U865" s="48" t="s">
        <v>376</v>
      </c>
      <c r="V865" s="48" t="s">
        <v>376</v>
      </c>
      <c r="W865" s="48" t="s">
        <v>376</v>
      </c>
      <c r="X865" s="48" t="s">
        <v>376</v>
      </c>
      <c r="Y865" s="48" t="s">
        <v>420</v>
      </c>
      <c r="Z865" s="48" t="s">
        <v>390</v>
      </c>
      <c r="AA865" s="48" t="s">
        <v>376</v>
      </c>
      <c r="AB865" s="48" t="s">
        <v>376</v>
      </c>
      <c r="AC865" s="48" t="s">
        <v>376</v>
      </c>
      <c r="AD865" s="48" t="s">
        <v>376</v>
      </c>
      <c r="AE865" s="48" t="s">
        <v>376</v>
      </c>
      <c r="AF865" s="48" t="s">
        <v>376</v>
      </c>
      <c r="AG865" s="48" t="s">
        <v>376</v>
      </c>
      <c r="AH865" s="48" t="s">
        <v>376</v>
      </c>
      <c r="AI865" s="48" t="s">
        <v>376</v>
      </c>
      <c r="AJ865" s="48" t="s">
        <v>376</v>
      </c>
      <c r="AK865" s="48" t="s">
        <v>376</v>
      </c>
      <c r="AL865" s="48" t="s">
        <v>320</v>
      </c>
      <c r="AM865">
        <v>21</v>
      </c>
      <c r="AO865">
        <v>7.9999999999999982</v>
      </c>
    </row>
    <row r="866" spans="1:41" hidden="1" x14ac:dyDescent="0.25">
      <c r="A866">
        <v>865</v>
      </c>
      <c r="B866">
        <v>2025</v>
      </c>
      <c r="C866">
        <v>11</v>
      </c>
      <c r="D866" t="s">
        <v>157</v>
      </c>
      <c r="E866">
        <v>31</v>
      </c>
      <c r="F866">
        <v>10</v>
      </c>
      <c r="G866" t="s">
        <v>430</v>
      </c>
      <c r="H866" s="48">
        <v>0.29166666666666669</v>
      </c>
      <c r="I866" s="48">
        <v>0.29166666666666669</v>
      </c>
      <c r="J866" s="48">
        <v>0.29166666666666669</v>
      </c>
      <c r="K866" s="48">
        <v>0.29166666666666669</v>
      </c>
      <c r="L866" s="48">
        <v>0.29166666666666669</v>
      </c>
      <c r="M866" s="48">
        <v>0.29166666666666669</v>
      </c>
      <c r="N866" s="48">
        <v>0.29166666666666669</v>
      </c>
      <c r="O866" s="48">
        <v>0.29166666666666669</v>
      </c>
      <c r="P866" s="48">
        <v>0.29166666666666669</v>
      </c>
      <c r="Q866" s="48">
        <v>0.29166666666666669</v>
      </c>
      <c r="R866" s="48">
        <v>0.29166666666666669</v>
      </c>
      <c r="S866" s="48">
        <v>0.29166666666666669</v>
      </c>
      <c r="T866" s="48">
        <v>0.29166666666666669</v>
      </c>
      <c r="U866" s="48">
        <v>0.29166666666666669</v>
      </c>
      <c r="V866" s="48">
        <v>0.29166666666666669</v>
      </c>
      <c r="W866" s="48">
        <v>0.29166666666666669</v>
      </c>
      <c r="X866" s="48">
        <v>0.29166666666666669</v>
      </c>
      <c r="Y866" s="48">
        <v>0.29166666666666669</v>
      </c>
      <c r="Z866" s="48">
        <v>0.29166666666666669</v>
      </c>
      <c r="AA866" s="48">
        <v>0.29166666666666669</v>
      </c>
      <c r="AB866" s="48">
        <v>0.29166666666666669</v>
      </c>
      <c r="AC866" s="48">
        <v>0.29166666666666669</v>
      </c>
      <c r="AD866" s="48">
        <v>0.29166666666666669</v>
      </c>
      <c r="AE866" s="48">
        <v>0.29166666666666669</v>
      </c>
      <c r="AF866" s="48">
        <v>0.29166666666666669</v>
      </c>
      <c r="AG866" s="48">
        <v>0.29166666666666669</v>
      </c>
      <c r="AH866" s="48">
        <v>0.29166666666666669</v>
      </c>
      <c r="AI866" s="48">
        <v>0.29166666666666669</v>
      </c>
      <c r="AJ866" s="48">
        <v>0.29166666666666669</v>
      </c>
      <c r="AK866" s="48">
        <v>0.29166666666666669</v>
      </c>
      <c r="AL866" s="48" t="s">
        <v>320</v>
      </c>
    </row>
    <row r="867" spans="1:41" hidden="1" x14ac:dyDescent="0.25">
      <c r="A867">
        <v>866</v>
      </c>
      <c r="B867">
        <v>2025</v>
      </c>
      <c r="C867">
        <v>11</v>
      </c>
      <c r="D867" t="s">
        <v>157</v>
      </c>
      <c r="E867">
        <v>31</v>
      </c>
      <c r="F867">
        <v>10</v>
      </c>
      <c r="G867" t="s">
        <v>431</v>
      </c>
      <c r="H867" s="48">
        <v>0.75</v>
      </c>
      <c r="I867" s="48">
        <v>0.75</v>
      </c>
      <c r="J867" s="48">
        <v>0.75</v>
      </c>
      <c r="K867" s="48">
        <v>0.75</v>
      </c>
      <c r="L867" s="48">
        <v>0.75</v>
      </c>
      <c r="M867" s="48">
        <v>0.75</v>
      </c>
      <c r="N867" s="48">
        <v>0.75</v>
      </c>
      <c r="O867" s="48">
        <v>0.75</v>
      </c>
      <c r="P867" s="48">
        <v>0.75</v>
      </c>
      <c r="Q867" s="48">
        <v>0.75</v>
      </c>
      <c r="R867" s="48">
        <v>0.75</v>
      </c>
      <c r="S867" s="48">
        <v>0.75</v>
      </c>
      <c r="T867" s="48">
        <v>0.75</v>
      </c>
      <c r="U867" s="48">
        <v>0.75</v>
      </c>
      <c r="V867" s="48">
        <v>0.75</v>
      </c>
      <c r="W867" s="48">
        <v>0.75</v>
      </c>
      <c r="X867" s="48">
        <v>0.75</v>
      </c>
      <c r="Y867" s="48">
        <v>0.75</v>
      </c>
      <c r="Z867" s="48">
        <v>0.75</v>
      </c>
      <c r="AA867" s="48">
        <v>0.75</v>
      </c>
      <c r="AB867" s="48">
        <v>0.75</v>
      </c>
      <c r="AC867" s="48">
        <v>0.75</v>
      </c>
      <c r="AD867" s="48">
        <v>0.75</v>
      </c>
      <c r="AE867" s="48">
        <v>0.75</v>
      </c>
      <c r="AF867" s="48">
        <v>0.75</v>
      </c>
      <c r="AG867" s="48">
        <v>0.75</v>
      </c>
      <c r="AH867" s="48">
        <v>0.75</v>
      </c>
      <c r="AI867" s="48">
        <v>0.75</v>
      </c>
      <c r="AJ867" s="48">
        <v>0.75</v>
      </c>
      <c r="AK867" s="48">
        <v>0.75</v>
      </c>
      <c r="AL867" s="48" t="s">
        <v>320</v>
      </c>
      <c r="AM867">
        <v>30</v>
      </c>
    </row>
    <row r="868" spans="1:41" hidden="1" x14ac:dyDescent="0.25">
      <c r="A868">
        <v>867</v>
      </c>
      <c r="B868">
        <v>2025</v>
      </c>
      <c r="C868">
        <v>11</v>
      </c>
      <c r="D868" t="s">
        <v>158</v>
      </c>
      <c r="E868">
        <v>31</v>
      </c>
      <c r="F868">
        <v>10</v>
      </c>
      <c r="G868" t="s">
        <v>430</v>
      </c>
      <c r="H868" s="48">
        <v>0.29166666666666669</v>
      </c>
      <c r="I868" s="48">
        <v>0.29166666666666669</v>
      </c>
      <c r="J868" s="48">
        <v>0.29166666666666669</v>
      </c>
      <c r="K868" s="48">
        <v>0.29166666666666669</v>
      </c>
      <c r="L868" s="48">
        <v>0.29166666666666669</v>
      </c>
      <c r="M868" s="48">
        <v>0.29166666666666669</v>
      </c>
      <c r="N868" s="48">
        <v>0.29166666666666669</v>
      </c>
      <c r="O868" s="48">
        <v>0.29166666666666669</v>
      </c>
      <c r="P868" s="48">
        <v>0.29166666666666669</v>
      </c>
      <c r="Q868" s="48">
        <v>0.29166666666666669</v>
      </c>
      <c r="R868" s="48">
        <v>0.29166666666666669</v>
      </c>
      <c r="S868" s="48">
        <v>0.29166666666666669</v>
      </c>
      <c r="T868" s="48">
        <v>0.29166666666666669</v>
      </c>
      <c r="U868" s="48">
        <v>0.29166666666666669</v>
      </c>
      <c r="V868" s="48">
        <v>0.29166666666666669</v>
      </c>
      <c r="W868" s="48">
        <v>0.29166666666666669</v>
      </c>
      <c r="X868" s="48">
        <v>0.29166666666666669</v>
      </c>
      <c r="Y868" s="48">
        <v>0.29166666666666669</v>
      </c>
      <c r="Z868" s="48">
        <v>0.29166666666666669</v>
      </c>
      <c r="AA868" s="48">
        <v>0.29166666666666669</v>
      </c>
      <c r="AB868" s="48">
        <v>0.29166666666666669</v>
      </c>
      <c r="AC868" s="48">
        <v>0.29166666666666669</v>
      </c>
      <c r="AD868" s="48">
        <v>0.29166666666666669</v>
      </c>
      <c r="AE868" s="48">
        <v>0.29166666666666669</v>
      </c>
      <c r="AF868" s="48">
        <v>0.29166666666666669</v>
      </c>
      <c r="AG868" s="48">
        <v>0.29166666666666669</v>
      </c>
      <c r="AH868" s="48">
        <v>0.29166666666666669</v>
      </c>
      <c r="AI868" s="48">
        <v>0.29166666666666669</v>
      </c>
      <c r="AJ868" s="48">
        <v>0.29166666666666669</v>
      </c>
      <c r="AK868" s="48">
        <v>0.29166666666666669</v>
      </c>
      <c r="AL868" s="48" t="s">
        <v>320</v>
      </c>
    </row>
    <row r="869" spans="1:41" hidden="1" x14ac:dyDescent="0.25">
      <c r="A869">
        <v>868</v>
      </c>
      <c r="B869">
        <v>2025</v>
      </c>
      <c r="C869">
        <v>11</v>
      </c>
      <c r="D869" t="s">
        <v>158</v>
      </c>
      <c r="E869">
        <v>31</v>
      </c>
      <c r="F869">
        <v>10</v>
      </c>
      <c r="G869" t="s">
        <v>431</v>
      </c>
      <c r="H869" s="48">
        <v>0.75</v>
      </c>
      <c r="I869" s="48">
        <v>0.75</v>
      </c>
      <c r="J869" s="48">
        <v>0.75</v>
      </c>
      <c r="K869" s="48">
        <v>0.75</v>
      </c>
      <c r="L869" s="48">
        <v>0.75</v>
      </c>
      <c r="M869" s="48">
        <v>0.75</v>
      </c>
      <c r="N869" s="48">
        <v>0.75</v>
      </c>
      <c r="O869" s="48">
        <v>0.75</v>
      </c>
      <c r="P869" s="48">
        <v>0.75</v>
      </c>
      <c r="Q869" s="48">
        <v>0.75</v>
      </c>
      <c r="R869" s="48">
        <v>0.75</v>
      </c>
      <c r="S869" s="48">
        <v>0.75</v>
      </c>
      <c r="T869" s="48">
        <v>0.75</v>
      </c>
      <c r="U869" s="48">
        <v>0.75</v>
      </c>
      <c r="V869" s="48">
        <v>0.75</v>
      </c>
      <c r="W869" s="48">
        <v>0.75</v>
      </c>
      <c r="X869" s="48">
        <v>0.75</v>
      </c>
      <c r="Y869" s="48">
        <v>0.75</v>
      </c>
      <c r="Z869" s="48">
        <v>0.75</v>
      </c>
      <c r="AA869" s="48">
        <v>0.75</v>
      </c>
      <c r="AB869" s="48">
        <v>0.75</v>
      </c>
      <c r="AC869" s="48">
        <v>0.75</v>
      </c>
      <c r="AD869" s="48">
        <v>0.75</v>
      </c>
      <c r="AE869" s="48">
        <v>0.75</v>
      </c>
      <c r="AF869" s="48">
        <v>0.75</v>
      </c>
      <c r="AG869" s="48">
        <v>0.75</v>
      </c>
      <c r="AH869" s="48">
        <v>0.75</v>
      </c>
      <c r="AI869" s="48">
        <v>0.75</v>
      </c>
      <c r="AJ869" s="48">
        <v>0.75</v>
      </c>
      <c r="AK869" s="48">
        <v>0.75</v>
      </c>
      <c r="AL869" s="48" t="s">
        <v>320</v>
      </c>
      <c r="AM869">
        <v>30</v>
      </c>
    </row>
    <row r="870" spans="1:41" hidden="1" x14ac:dyDescent="0.25">
      <c r="A870">
        <v>869</v>
      </c>
      <c r="B870">
        <v>2025</v>
      </c>
      <c r="C870">
        <v>11</v>
      </c>
      <c r="D870" t="s">
        <v>156</v>
      </c>
      <c r="E870">
        <v>31</v>
      </c>
      <c r="F870">
        <v>10</v>
      </c>
      <c r="G870" t="s">
        <v>430</v>
      </c>
      <c r="H870" s="48" t="s">
        <v>382</v>
      </c>
      <c r="I870" s="48" t="s">
        <v>382</v>
      </c>
      <c r="J870" s="48" t="s">
        <v>382</v>
      </c>
      <c r="K870" s="48" t="s">
        <v>382</v>
      </c>
      <c r="L870" s="48" t="s">
        <v>382</v>
      </c>
      <c r="M870" s="48" t="s">
        <v>382</v>
      </c>
      <c r="N870" s="48" t="s">
        <v>382</v>
      </c>
      <c r="O870" s="48" t="s">
        <v>382</v>
      </c>
      <c r="P870" s="48" t="s">
        <v>320</v>
      </c>
      <c r="Q870" s="48" t="s">
        <v>382</v>
      </c>
      <c r="R870" s="48" t="s">
        <v>382</v>
      </c>
      <c r="S870" s="48" t="s">
        <v>382</v>
      </c>
      <c r="T870" s="48" t="s">
        <v>382</v>
      </c>
      <c r="U870" s="48" t="s">
        <v>382</v>
      </c>
      <c r="V870" s="48" t="s">
        <v>382</v>
      </c>
      <c r="W870" s="48" t="s">
        <v>382</v>
      </c>
      <c r="X870" s="48" t="s">
        <v>382</v>
      </c>
      <c r="Y870" s="48" t="s">
        <v>382</v>
      </c>
      <c r="Z870" s="48" t="s">
        <v>382</v>
      </c>
      <c r="AA870" s="48" t="s">
        <v>382</v>
      </c>
      <c r="AB870" s="48" t="s">
        <v>382</v>
      </c>
      <c r="AC870" s="48" t="s">
        <v>382</v>
      </c>
      <c r="AD870" s="48" t="s">
        <v>382</v>
      </c>
      <c r="AE870" s="48" t="s">
        <v>382</v>
      </c>
      <c r="AF870" s="48" t="s">
        <v>320</v>
      </c>
      <c r="AG870" s="48" t="s">
        <v>382</v>
      </c>
      <c r="AH870" s="48" t="s">
        <v>382</v>
      </c>
      <c r="AI870" s="48" t="s">
        <v>382</v>
      </c>
      <c r="AJ870" s="48" t="s">
        <v>382</v>
      </c>
      <c r="AK870" s="48" t="s">
        <v>382</v>
      </c>
      <c r="AL870" s="48" t="s">
        <v>320</v>
      </c>
    </row>
    <row r="871" spans="1:41" hidden="1" x14ac:dyDescent="0.25">
      <c r="A871">
        <v>870</v>
      </c>
      <c r="B871">
        <v>2025</v>
      </c>
      <c r="C871">
        <v>11</v>
      </c>
      <c r="D871" t="s">
        <v>156</v>
      </c>
      <c r="E871">
        <v>31</v>
      </c>
      <c r="F871">
        <v>10</v>
      </c>
      <c r="G871" t="s">
        <v>431</v>
      </c>
      <c r="H871" s="48">
        <v>0.79166666666666674</v>
      </c>
      <c r="I871" s="48">
        <v>0.79166666666666674</v>
      </c>
      <c r="J871" s="48">
        <v>0.79166666666666674</v>
      </c>
      <c r="K871" s="48">
        <v>0.79166666666666674</v>
      </c>
      <c r="L871" s="48">
        <v>0.79166666666666674</v>
      </c>
      <c r="M871" s="48">
        <v>0.79166666666666674</v>
      </c>
      <c r="N871" s="48">
        <v>0.79166666666666674</v>
      </c>
      <c r="O871" s="48">
        <v>0.79166666666666674</v>
      </c>
      <c r="P871" s="48" t="s">
        <v>320</v>
      </c>
      <c r="Q871" s="48">
        <v>0.79166666666666674</v>
      </c>
      <c r="R871" s="48">
        <v>0.79166666666666674</v>
      </c>
      <c r="S871" s="48">
        <v>0.79166666666666674</v>
      </c>
      <c r="T871" s="48">
        <v>0.79166666666666674</v>
      </c>
      <c r="U871" s="48">
        <v>0.79166666666666674</v>
      </c>
      <c r="V871" s="48">
        <v>0.79166666666666674</v>
      </c>
      <c r="W871" s="48">
        <v>0.79166666666666674</v>
      </c>
      <c r="X871" s="48">
        <v>0.79166666666666674</v>
      </c>
      <c r="Y871" s="48">
        <v>0.79166666666666674</v>
      </c>
      <c r="Z871" s="48">
        <v>0.79166666666666674</v>
      </c>
      <c r="AA871" s="48">
        <v>0.79166666666666674</v>
      </c>
      <c r="AB871" s="48">
        <v>0.79166666666666674</v>
      </c>
      <c r="AC871" s="48">
        <v>0.79166666666666674</v>
      </c>
      <c r="AD871" s="48">
        <v>0.79166666666666674</v>
      </c>
      <c r="AE871" s="48">
        <v>0.79166666666666674</v>
      </c>
      <c r="AF871" s="48" t="s">
        <v>320</v>
      </c>
      <c r="AG871" s="48">
        <v>0.79166666666666674</v>
      </c>
      <c r="AH871" s="48">
        <v>0.79166666666666674</v>
      </c>
      <c r="AI871" s="48">
        <v>0.79166666666666674</v>
      </c>
      <c r="AJ871" s="48">
        <v>0.79166666666666674</v>
      </c>
      <c r="AK871" s="48">
        <v>0.79166666666666674</v>
      </c>
      <c r="AL871" s="48" t="s">
        <v>320</v>
      </c>
      <c r="AM871">
        <v>30</v>
      </c>
      <c r="AO871">
        <v>84</v>
      </c>
    </row>
    <row r="872" spans="1:41" hidden="1" x14ac:dyDescent="0.25">
      <c r="A872">
        <v>871</v>
      </c>
      <c r="B872">
        <v>2025</v>
      </c>
      <c r="C872">
        <v>11</v>
      </c>
      <c r="D872" t="s">
        <v>181</v>
      </c>
      <c r="E872">
        <v>31</v>
      </c>
      <c r="F872">
        <v>10</v>
      </c>
      <c r="G872" t="s">
        <v>430</v>
      </c>
      <c r="H872" s="48" t="s">
        <v>375</v>
      </c>
      <c r="I872" s="48" t="s">
        <v>375</v>
      </c>
      <c r="J872" s="48" t="s">
        <v>375</v>
      </c>
      <c r="K872" s="48" t="s">
        <v>375</v>
      </c>
      <c r="L872" s="48" t="s">
        <v>375</v>
      </c>
      <c r="M872" s="48" t="s">
        <v>375</v>
      </c>
      <c r="N872" s="48" t="s">
        <v>375</v>
      </c>
      <c r="O872" s="48" t="s">
        <v>375</v>
      </c>
      <c r="P872" s="48" t="s">
        <v>375</v>
      </c>
      <c r="Q872" s="48" t="s">
        <v>375</v>
      </c>
      <c r="R872" s="48" t="s">
        <v>375</v>
      </c>
      <c r="S872" s="48" t="s">
        <v>375</v>
      </c>
      <c r="T872" s="48" t="s">
        <v>375</v>
      </c>
      <c r="U872" s="48" t="s">
        <v>375</v>
      </c>
      <c r="V872" s="48" t="s">
        <v>375</v>
      </c>
      <c r="W872" s="48" t="s">
        <v>375</v>
      </c>
      <c r="X872" s="48" t="s">
        <v>375</v>
      </c>
      <c r="Y872" s="48" t="s">
        <v>375</v>
      </c>
      <c r="Z872" s="48" t="s">
        <v>375</v>
      </c>
      <c r="AA872" s="48" t="s">
        <v>375</v>
      </c>
      <c r="AB872" s="48" t="s">
        <v>375</v>
      </c>
      <c r="AC872" s="48" t="s">
        <v>375</v>
      </c>
      <c r="AD872" s="48" t="s">
        <v>375</v>
      </c>
      <c r="AE872" s="48" t="s">
        <v>375</v>
      </c>
      <c r="AF872" s="48" t="s">
        <v>375</v>
      </c>
      <c r="AG872" s="48" t="s">
        <v>375</v>
      </c>
      <c r="AH872" s="48" t="s">
        <v>375</v>
      </c>
      <c r="AI872" s="48" t="s">
        <v>375</v>
      </c>
      <c r="AJ872" s="48" t="s">
        <v>375</v>
      </c>
      <c r="AK872" s="48" t="s">
        <v>320</v>
      </c>
      <c r="AL872" s="48" t="s">
        <v>320</v>
      </c>
    </row>
    <row r="873" spans="1:41" hidden="1" x14ac:dyDescent="0.25">
      <c r="A873">
        <v>872</v>
      </c>
      <c r="B873">
        <v>2025</v>
      </c>
      <c r="C873">
        <v>11</v>
      </c>
      <c r="D873" t="s">
        <v>181</v>
      </c>
      <c r="E873">
        <v>31</v>
      </c>
      <c r="F873">
        <v>10</v>
      </c>
      <c r="G873" t="s">
        <v>431</v>
      </c>
      <c r="H873" s="48">
        <v>0.75</v>
      </c>
      <c r="I873" s="48">
        <v>0.75</v>
      </c>
      <c r="J873" s="48">
        <v>0.75</v>
      </c>
      <c r="K873" s="48">
        <v>0.75</v>
      </c>
      <c r="L873" s="48">
        <v>0.95833333333333326</v>
      </c>
      <c r="M873" s="48">
        <v>0.75</v>
      </c>
      <c r="N873" s="48">
        <v>0.95833333333333326</v>
      </c>
      <c r="O873" s="48">
        <v>0.75</v>
      </c>
      <c r="P873" s="48">
        <v>0.75</v>
      </c>
      <c r="Q873" s="48">
        <v>0.75</v>
      </c>
      <c r="R873" s="48">
        <v>1</v>
      </c>
      <c r="S873" s="48">
        <v>0.75</v>
      </c>
      <c r="T873" s="48">
        <v>0.75</v>
      </c>
      <c r="U873" s="48">
        <v>0.95833333333333326</v>
      </c>
      <c r="V873" s="48">
        <v>0.75</v>
      </c>
      <c r="W873" s="48">
        <v>0.75</v>
      </c>
      <c r="X873" s="48">
        <v>0.95833333333333326</v>
      </c>
      <c r="Y873" s="48">
        <v>0.75</v>
      </c>
      <c r="Z873" s="48">
        <v>0.79166666666666674</v>
      </c>
      <c r="AA873" s="48">
        <v>0.95833333333333326</v>
      </c>
      <c r="AB873" s="48">
        <v>0.75</v>
      </c>
      <c r="AC873" s="48">
        <v>0.95833333333333326</v>
      </c>
      <c r="AD873" s="48">
        <v>0.75</v>
      </c>
      <c r="AE873" s="48">
        <v>0.75</v>
      </c>
      <c r="AF873" s="48">
        <v>0.75</v>
      </c>
      <c r="AG873" s="48">
        <v>0.75</v>
      </c>
      <c r="AH873" s="48">
        <v>0.79166666666666674</v>
      </c>
      <c r="AI873" s="48">
        <v>0.75</v>
      </c>
      <c r="AJ873" s="48">
        <v>0.75</v>
      </c>
      <c r="AK873" s="48" t="s">
        <v>320</v>
      </c>
      <c r="AL873" s="48" t="s">
        <v>320</v>
      </c>
      <c r="AM873">
        <v>29</v>
      </c>
      <c r="AO873">
        <v>37.999999999999979</v>
      </c>
    </row>
    <row r="874" spans="1:41" hidden="1" x14ac:dyDescent="0.25">
      <c r="A874">
        <v>873</v>
      </c>
      <c r="B874">
        <v>2025</v>
      </c>
      <c r="C874">
        <v>11</v>
      </c>
      <c r="D874" t="s">
        <v>180</v>
      </c>
      <c r="E874">
        <v>31</v>
      </c>
      <c r="F874">
        <v>10</v>
      </c>
      <c r="G874" t="s">
        <v>430</v>
      </c>
      <c r="H874" s="48" t="s">
        <v>320</v>
      </c>
      <c r="I874" s="48" t="s">
        <v>320</v>
      </c>
      <c r="J874" s="48" t="s">
        <v>320</v>
      </c>
      <c r="K874" s="48" t="s">
        <v>320</v>
      </c>
      <c r="L874" s="48" t="s">
        <v>320</v>
      </c>
      <c r="M874" s="48" t="s">
        <v>320</v>
      </c>
      <c r="N874" s="48" t="s">
        <v>320</v>
      </c>
      <c r="O874" s="48" t="s">
        <v>320</v>
      </c>
      <c r="P874" s="48" t="s">
        <v>320</v>
      </c>
      <c r="Q874" s="48" t="s">
        <v>320</v>
      </c>
      <c r="R874" s="48" t="s">
        <v>375</v>
      </c>
      <c r="S874" s="48" t="s">
        <v>375</v>
      </c>
      <c r="T874" s="48" t="s">
        <v>375</v>
      </c>
      <c r="U874" s="48" t="s">
        <v>375</v>
      </c>
      <c r="V874" s="48" t="s">
        <v>375</v>
      </c>
      <c r="W874" s="48" t="s">
        <v>375</v>
      </c>
      <c r="X874" s="48" t="s">
        <v>375</v>
      </c>
      <c r="Y874" s="48" t="s">
        <v>320</v>
      </c>
      <c r="Z874" s="48" t="s">
        <v>375</v>
      </c>
      <c r="AA874" s="48" t="s">
        <v>375</v>
      </c>
      <c r="AB874" s="48" t="s">
        <v>375</v>
      </c>
      <c r="AC874" s="48" t="s">
        <v>375</v>
      </c>
      <c r="AD874" s="48" t="s">
        <v>320</v>
      </c>
      <c r="AE874" s="48" t="s">
        <v>375</v>
      </c>
      <c r="AF874" s="48" t="s">
        <v>375</v>
      </c>
      <c r="AG874" s="48" t="s">
        <v>375</v>
      </c>
      <c r="AH874" s="48" t="s">
        <v>375</v>
      </c>
      <c r="AI874" s="48" t="s">
        <v>375</v>
      </c>
      <c r="AJ874" s="48" t="s">
        <v>375</v>
      </c>
      <c r="AK874" s="48" t="s">
        <v>375</v>
      </c>
      <c r="AL874" s="48" t="s">
        <v>320</v>
      </c>
    </row>
    <row r="875" spans="1:41" hidden="1" x14ac:dyDescent="0.25">
      <c r="A875">
        <v>874</v>
      </c>
      <c r="B875">
        <v>2025</v>
      </c>
      <c r="C875">
        <v>11</v>
      </c>
      <c r="D875" t="s">
        <v>180</v>
      </c>
      <c r="E875">
        <v>31</v>
      </c>
      <c r="F875">
        <v>10</v>
      </c>
      <c r="G875" t="s">
        <v>431</v>
      </c>
      <c r="H875" s="48" t="s">
        <v>320</v>
      </c>
      <c r="I875" s="48" t="s">
        <v>320</v>
      </c>
      <c r="J875" s="48" t="s">
        <v>320</v>
      </c>
      <c r="K875" s="48" t="s">
        <v>320</v>
      </c>
      <c r="L875" s="48" t="s">
        <v>320</v>
      </c>
      <c r="M875" s="48" t="s">
        <v>320</v>
      </c>
      <c r="N875" s="48" t="s">
        <v>320</v>
      </c>
      <c r="O875" s="48" t="s">
        <v>320</v>
      </c>
      <c r="P875" s="48" t="s">
        <v>320</v>
      </c>
      <c r="Q875" s="48" t="s">
        <v>320</v>
      </c>
      <c r="R875" s="48" t="s">
        <v>376</v>
      </c>
      <c r="S875" s="48" t="s">
        <v>376</v>
      </c>
      <c r="T875" s="48" t="s">
        <v>376</v>
      </c>
      <c r="U875" s="48" t="s">
        <v>376</v>
      </c>
      <c r="V875" s="48" t="s">
        <v>376</v>
      </c>
      <c r="W875" s="48" t="s">
        <v>376</v>
      </c>
      <c r="X875" s="48" t="s">
        <v>376</v>
      </c>
      <c r="Y875" s="48" t="s">
        <v>320</v>
      </c>
      <c r="Z875" s="48" t="s">
        <v>376</v>
      </c>
      <c r="AA875" s="48" t="s">
        <v>376</v>
      </c>
      <c r="AB875" s="48" t="s">
        <v>376</v>
      </c>
      <c r="AC875" s="48" t="s">
        <v>376</v>
      </c>
      <c r="AD875" s="48" t="s">
        <v>320</v>
      </c>
      <c r="AE875" s="48" t="s">
        <v>376</v>
      </c>
      <c r="AF875" s="48" t="s">
        <v>376</v>
      </c>
      <c r="AG875" s="48" t="s">
        <v>376</v>
      </c>
      <c r="AH875" s="48" t="s">
        <v>376</v>
      </c>
      <c r="AI875" s="48" t="s">
        <v>376</v>
      </c>
      <c r="AJ875" s="48" t="s">
        <v>376</v>
      </c>
      <c r="AK875" s="48" t="s">
        <v>376</v>
      </c>
      <c r="AL875" s="48" t="s">
        <v>320</v>
      </c>
      <c r="AM875">
        <v>18</v>
      </c>
    </row>
    <row r="876" spans="1:41" hidden="1" x14ac:dyDescent="0.25">
      <c r="A876">
        <v>875</v>
      </c>
      <c r="B876">
        <v>2025</v>
      </c>
      <c r="C876">
        <v>11</v>
      </c>
      <c r="D876" t="s">
        <v>179</v>
      </c>
      <c r="E876">
        <v>31</v>
      </c>
      <c r="F876">
        <v>10</v>
      </c>
      <c r="G876" t="s">
        <v>430</v>
      </c>
      <c r="H876" s="48" t="s">
        <v>375</v>
      </c>
      <c r="I876" s="48" t="s">
        <v>375</v>
      </c>
      <c r="J876" s="48" t="s">
        <v>375</v>
      </c>
      <c r="K876" s="48" t="s">
        <v>375</v>
      </c>
      <c r="L876" s="48" t="s">
        <v>375</v>
      </c>
      <c r="M876" s="48" t="s">
        <v>375</v>
      </c>
      <c r="N876" s="48" t="s">
        <v>375</v>
      </c>
      <c r="O876" s="48" t="s">
        <v>375</v>
      </c>
      <c r="P876" s="48" t="s">
        <v>320</v>
      </c>
      <c r="Q876" s="48" t="s">
        <v>375</v>
      </c>
      <c r="R876" s="48" t="s">
        <v>375</v>
      </c>
      <c r="S876" s="48" t="s">
        <v>375</v>
      </c>
      <c r="T876" s="48" t="s">
        <v>375</v>
      </c>
      <c r="U876" s="48" t="s">
        <v>375</v>
      </c>
      <c r="V876" s="48" t="s">
        <v>375</v>
      </c>
      <c r="W876" s="48" t="s">
        <v>375</v>
      </c>
      <c r="X876" s="48" t="s">
        <v>375</v>
      </c>
      <c r="Y876" s="48" t="s">
        <v>375</v>
      </c>
      <c r="Z876" s="48" t="s">
        <v>375</v>
      </c>
      <c r="AA876" s="48" t="s">
        <v>375</v>
      </c>
      <c r="AB876" s="48" t="s">
        <v>375</v>
      </c>
      <c r="AC876" s="48" t="s">
        <v>375</v>
      </c>
      <c r="AD876" s="48" t="s">
        <v>375</v>
      </c>
      <c r="AE876" s="48" t="s">
        <v>375</v>
      </c>
      <c r="AF876" s="48" t="s">
        <v>375</v>
      </c>
      <c r="AG876" s="48" t="s">
        <v>375</v>
      </c>
      <c r="AH876" s="48" t="s">
        <v>375</v>
      </c>
      <c r="AI876" s="48" t="s">
        <v>375</v>
      </c>
      <c r="AJ876" s="48" t="s">
        <v>375</v>
      </c>
      <c r="AK876" s="48" t="s">
        <v>375</v>
      </c>
      <c r="AL876" s="48" t="s">
        <v>320</v>
      </c>
    </row>
    <row r="877" spans="1:41" hidden="1" x14ac:dyDescent="0.25">
      <c r="A877">
        <v>876</v>
      </c>
      <c r="B877">
        <v>2025</v>
      </c>
      <c r="C877">
        <v>11</v>
      </c>
      <c r="D877" t="s">
        <v>179</v>
      </c>
      <c r="E877">
        <v>31</v>
      </c>
      <c r="F877">
        <v>10</v>
      </c>
      <c r="G877" t="s">
        <v>431</v>
      </c>
      <c r="H877" s="48" t="s">
        <v>376</v>
      </c>
      <c r="I877" s="48" t="s">
        <v>376</v>
      </c>
      <c r="J877" s="48" t="s">
        <v>376</v>
      </c>
      <c r="K877" s="48" t="s">
        <v>389</v>
      </c>
      <c r="L877" s="48" t="s">
        <v>376</v>
      </c>
      <c r="M877" s="48" t="s">
        <v>389</v>
      </c>
      <c r="N877" s="48" t="s">
        <v>376</v>
      </c>
      <c r="O877" s="48" t="s">
        <v>376</v>
      </c>
      <c r="P877" s="48" t="s">
        <v>320</v>
      </c>
      <c r="Q877" s="48" t="s">
        <v>376</v>
      </c>
      <c r="R877" s="48" t="s">
        <v>390</v>
      </c>
      <c r="S877" s="48" t="s">
        <v>376</v>
      </c>
      <c r="T877" s="48" t="s">
        <v>390</v>
      </c>
      <c r="U877" s="48" t="s">
        <v>376</v>
      </c>
      <c r="V877" s="48" t="s">
        <v>376</v>
      </c>
      <c r="W877" s="48" t="s">
        <v>420</v>
      </c>
      <c r="X877" s="48" t="s">
        <v>376</v>
      </c>
      <c r="Y877" s="48" t="s">
        <v>376</v>
      </c>
      <c r="Z877" s="48" t="s">
        <v>376</v>
      </c>
      <c r="AA877" s="48" t="s">
        <v>376</v>
      </c>
      <c r="AB877" s="48" t="s">
        <v>376</v>
      </c>
      <c r="AC877" s="48" t="s">
        <v>376</v>
      </c>
      <c r="AD877" s="48" t="s">
        <v>376</v>
      </c>
      <c r="AE877" s="48" t="s">
        <v>389</v>
      </c>
      <c r="AF877" s="48" t="s">
        <v>376</v>
      </c>
      <c r="AG877" s="48" t="s">
        <v>376</v>
      </c>
      <c r="AH877" s="48" t="s">
        <v>376</v>
      </c>
      <c r="AI877" s="48" t="s">
        <v>390</v>
      </c>
      <c r="AJ877" s="48" t="s">
        <v>376</v>
      </c>
      <c r="AK877" s="48" t="s">
        <v>376</v>
      </c>
      <c r="AL877" s="48" t="s">
        <v>320</v>
      </c>
      <c r="AM877">
        <v>29</v>
      </c>
      <c r="AO877">
        <v>20</v>
      </c>
    </row>
    <row r="878" spans="1:41" hidden="1" x14ac:dyDescent="0.25">
      <c r="A878">
        <v>877</v>
      </c>
      <c r="B878">
        <v>2025</v>
      </c>
      <c r="C878">
        <v>11</v>
      </c>
      <c r="D878" t="s">
        <v>183</v>
      </c>
      <c r="E878">
        <v>31</v>
      </c>
      <c r="F878">
        <v>10</v>
      </c>
      <c r="G878" t="s">
        <v>430</v>
      </c>
      <c r="H878" s="48" t="s">
        <v>375</v>
      </c>
      <c r="I878" s="48" t="s">
        <v>375</v>
      </c>
      <c r="J878" s="48" t="s">
        <v>375</v>
      </c>
      <c r="K878" s="48" t="s">
        <v>375</v>
      </c>
      <c r="L878" s="48" t="s">
        <v>375</v>
      </c>
      <c r="M878" s="48" t="s">
        <v>375</v>
      </c>
      <c r="N878" s="48" t="s">
        <v>375</v>
      </c>
      <c r="O878" s="48" t="s">
        <v>375</v>
      </c>
      <c r="P878" s="48" t="s">
        <v>375</v>
      </c>
      <c r="Q878" s="48" t="s">
        <v>375</v>
      </c>
      <c r="R878" s="48" t="s">
        <v>375</v>
      </c>
      <c r="S878" s="48" t="s">
        <v>375</v>
      </c>
      <c r="T878" s="48" t="s">
        <v>375</v>
      </c>
      <c r="U878" s="48" t="s">
        <v>375</v>
      </c>
      <c r="V878" s="48" t="s">
        <v>375</v>
      </c>
      <c r="W878" s="48" t="s">
        <v>375</v>
      </c>
      <c r="X878" s="48" t="s">
        <v>375</v>
      </c>
      <c r="Y878" s="48" t="s">
        <v>375</v>
      </c>
      <c r="Z878" s="48" t="s">
        <v>375</v>
      </c>
      <c r="AA878" s="48" t="s">
        <v>375</v>
      </c>
      <c r="AB878" s="48" t="s">
        <v>375</v>
      </c>
      <c r="AC878" s="48" t="s">
        <v>375</v>
      </c>
      <c r="AD878" s="48" t="s">
        <v>375</v>
      </c>
      <c r="AE878" s="48" t="s">
        <v>375</v>
      </c>
      <c r="AF878" s="48" t="s">
        <v>375</v>
      </c>
      <c r="AG878" s="48" t="s">
        <v>375</v>
      </c>
      <c r="AH878" s="48" t="s">
        <v>375</v>
      </c>
      <c r="AI878" s="48" t="s">
        <v>375</v>
      </c>
      <c r="AJ878" s="48" t="s">
        <v>375</v>
      </c>
      <c r="AK878" s="48" t="s">
        <v>375</v>
      </c>
      <c r="AL878" s="48" t="s">
        <v>320</v>
      </c>
    </row>
    <row r="879" spans="1:41" hidden="1" x14ac:dyDescent="0.25">
      <c r="A879">
        <v>878</v>
      </c>
      <c r="B879">
        <v>2025</v>
      </c>
      <c r="C879">
        <v>11</v>
      </c>
      <c r="D879" t="s">
        <v>183</v>
      </c>
      <c r="E879">
        <v>31</v>
      </c>
      <c r="F879">
        <v>10</v>
      </c>
      <c r="G879" t="s">
        <v>431</v>
      </c>
      <c r="H879" s="48" t="s">
        <v>376</v>
      </c>
      <c r="I879" s="48" t="s">
        <v>376</v>
      </c>
      <c r="J879" s="48" t="s">
        <v>376</v>
      </c>
      <c r="K879" s="48" t="s">
        <v>376</v>
      </c>
      <c r="L879" s="48" t="s">
        <v>376</v>
      </c>
      <c r="M879" s="48" t="s">
        <v>376</v>
      </c>
      <c r="N879" s="48" t="s">
        <v>376</v>
      </c>
      <c r="O879" s="48" t="s">
        <v>376</v>
      </c>
      <c r="P879" s="48" t="s">
        <v>376</v>
      </c>
      <c r="Q879" s="48" t="s">
        <v>376</v>
      </c>
      <c r="R879" s="48" t="s">
        <v>376</v>
      </c>
      <c r="S879" s="48" t="s">
        <v>376</v>
      </c>
      <c r="T879" s="48" t="s">
        <v>376</v>
      </c>
      <c r="U879" s="48" t="s">
        <v>376</v>
      </c>
      <c r="V879" s="48" t="s">
        <v>376</v>
      </c>
      <c r="W879" s="48" t="s">
        <v>376</v>
      </c>
      <c r="X879" s="48" t="s">
        <v>376</v>
      </c>
      <c r="Y879" s="48" t="s">
        <v>376</v>
      </c>
      <c r="Z879" s="48" t="s">
        <v>376</v>
      </c>
      <c r="AA879" s="48" t="s">
        <v>376</v>
      </c>
      <c r="AB879" s="48" t="s">
        <v>376</v>
      </c>
      <c r="AC879" s="48" t="s">
        <v>376</v>
      </c>
      <c r="AD879" s="48" t="s">
        <v>376</v>
      </c>
      <c r="AE879" s="48" t="s">
        <v>376</v>
      </c>
      <c r="AF879" s="48" t="s">
        <v>376</v>
      </c>
      <c r="AG879" s="48" t="s">
        <v>376</v>
      </c>
      <c r="AH879" s="48" t="s">
        <v>376</v>
      </c>
      <c r="AI879" s="48" t="s">
        <v>376</v>
      </c>
      <c r="AJ879" s="48" t="s">
        <v>376</v>
      </c>
      <c r="AK879" s="48" t="s">
        <v>376</v>
      </c>
      <c r="AL879" s="48" t="s">
        <v>320</v>
      </c>
      <c r="AM879">
        <v>30</v>
      </c>
    </row>
    <row r="880" spans="1:41" hidden="1" x14ac:dyDescent="0.25">
      <c r="A880">
        <v>879</v>
      </c>
      <c r="B880">
        <v>2025</v>
      </c>
      <c r="C880">
        <v>5</v>
      </c>
      <c r="D880" t="s">
        <v>313</v>
      </c>
      <c r="E880">
        <v>46</v>
      </c>
      <c r="F880">
        <v>1</v>
      </c>
      <c r="G880" t="s">
        <v>430</v>
      </c>
      <c r="AE880" s="48">
        <v>0.29166666666666669</v>
      </c>
      <c r="AF880" s="48">
        <v>0.29166666666666669</v>
      </c>
      <c r="AG880" s="48">
        <v>0.29166666666666669</v>
      </c>
      <c r="AH880" s="48">
        <v>0.29166666666666669</v>
      </c>
      <c r="AI880" s="48">
        <v>0.29166666666666669</v>
      </c>
      <c r="AJ880" s="48">
        <v>0.29166666666666669</v>
      </c>
      <c r="AK880" s="48">
        <v>0.29166666666666669</v>
      </c>
      <c r="AL880" s="48">
        <v>0.29166666666666669</v>
      </c>
    </row>
    <row r="881" spans="1:40" hidden="1" x14ac:dyDescent="0.25">
      <c r="A881">
        <v>880</v>
      </c>
      <c r="B881">
        <v>2025</v>
      </c>
      <c r="C881">
        <v>5</v>
      </c>
      <c r="D881" t="s">
        <v>313</v>
      </c>
      <c r="E881">
        <v>46</v>
      </c>
      <c r="F881">
        <v>1</v>
      </c>
      <c r="G881" t="s">
        <v>431</v>
      </c>
      <c r="AE881" s="48">
        <v>0.75</v>
      </c>
      <c r="AF881" s="48">
        <v>0.75</v>
      </c>
      <c r="AG881" s="48">
        <v>0.75</v>
      </c>
      <c r="AH881" s="48">
        <v>0.75</v>
      </c>
      <c r="AI881" s="48">
        <v>0.75</v>
      </c>
      <c r="AJ881" s="48">
        <v>0.75</v>
      </c>
      <c r="AK881" s="48">
        <v>0.75</v>
      </c>
      <c r="AL881" s="48">
        <v>0.75</v>
      </c>
      <c r="AM881">
        <v>8</v>
      </c>
    </row>
    <row r="882" spans="1:40" hidden="1" x14ac:dyDescent="0.25">
      <c r="A882">
        <v>881</v>
      </c>
      <c r="B882">
        <v>2025</v>
      </c>
      <c r="C882">
        <v>6</v>
      </c>
      <c r="D882" t="s">
        <v>313</v>
      </c>
      <c r="E882">
        <v>46</v>
      </c>
      <c r="F882">
        <v>2</v>
      </c>
      <c r="G882" t="s">
        <v>430</v>
      </c>
      <c r="H882" s="48">
        <v>0.29166666666666669</v>
      </c>
      <c r="I882" s="48">
        <v>0.29166666666666669</v>
      </c>
      <c r="J882" s="48">
        <v>0.29166666666666669</v>
      </c>
      <c r="K882" s="48">
        <v>0.29166666666666669</v>
      </c>
      <c r="L882" s="48">
        <v>0.29166666666666669</v>
      </c>
      <c r="O882" s="48">
        <v>0.29166666666666669</v>
      </c>
      <c r="P882" s="48">
        <v>0.29166666666666669</v>
      </c>
      <c r="Q882" s="48">
        <v>0.29166666666666669</v>
      </c>
      <c r="R882" s="48">
        <v>0.29166666666666669</v>
      </c>
      <c r="S882" s="48">
        <v>0.29166666666666669</v>
      </c>
      <c r="T882" s="48">
        <v>0.29166666666666669</v>
      </c>
      <c r="U882" s="48">
        <v>0.29166666666666669</v>
      </c>
      <c r="V882" s="48">
        <v>0.29166666666666669</v>
      </c>
      <c r="W882" s="48">
        <v>0.29166666666666669</v>
      </c>
      <c r="X882" s="48">
        <v>0.29166666666666669</v>
      </c>
      <c r="Y882" s="48">
        <v>0.29166666666666669</v>
      </c>
      <c r="Z882" s="48">
        <v>0.29166666666666669</v>
      </c>
      <c r="AA882" s="48">
        <v>0.29166666666666669</v>
      </c>
      <c r="AB882" s="48">
        <v>0.29166666666666669</v>
      </c>
      <c r="AD882" s="48">
        <v>0.29166666666666669</v>
      </c>
      <c r="AE882" s="48">
        <v>0.29166666666666669</v>
      </c>
      <c r="AF882" s="48">
        <v>0.29166666666666669</v>
      </c>
      <c r="AG882" s="48">
        <v>0.29166666666666669</v>
      </c>
      <c r="AH882" s="48">
        <v>0.29166666666666669</v>
      </c>
      <c r="AI882" s="48">
        <v>0.29166666666666669</v>
      </c>
      <c r="AJ882" s="48">
        <v>0.29166666666666669</v>
      </c>
      <c r="AK882" s="48">
        <v>0.29166666666666669</v>
      </c>
    </row>
    <row r="883" spans="1:40" hidden="1" x14ac:dyDescent="0.25">
      <c r="A883">
        <v>882</v>
      </c>
      <c r="B883">
        <v>2025</v>
      </c>
      <c r="C883">
        <v>6</v>
      </c>
      <c r="D883" t="s">
        <v>313</v>
      </c>
      <c r="E883">
        <v>46</v>
      </c>
      <c r="F883">
        <v>2</v>
      </c>
      <c r="G883" t="s">
        <v>431</v>
      </c>
      <c r="H883" s="48">
        <v>0.75</v>
      </c>
      <c r="I883" s="48">
        <v>0.75</v>
      </c>
      <c r="J883" s="48">
        <v>0.75</v>
      </c>
      <c r="K883" s="48">
        <v>0.75</v>
      </c>
      <c r="L883" s="48">
        <v>0.75</v>
      </c>
      <c r="O883" s="48">
        <v>0.75</v>
      </c>
      <c r="P883" s="48">
        <v>0.75</v>
      </c>
      <c r="Q883" s="48">
        <v>0.75</v>
      </c>
      <c r="R883" s="48">
        <v>0.75</v>
      </c>
      <c r="S883" s="48">
        <v>0.75</v>
      </c>
      <c r="T883" s="48">
        <v>0.75</v>
      </c>
      <c r="U883" s="48">
        <v>0.75</v>
      </c>
      <c r="V883" s="48">
        <v>0.75</v>
      </c>
      <c r="W883" s="48">
        <v>0.75</v>
      </c>
      <c r="X883" s="48">
        <v>0.75</v>
      </c>
      <c r="Y883" s="48">
        <v>0.75</v>
      </c>
      <c r="Z883" s="48">
        <v>0.75</v>
      </c>
      <c r="AA883" s="48">
        <v>0.75</v>
      </c>
      <c r="AB883" s="48">
        <v>0.75</v>
      </c>
      <c r="AD883" s="48">
        <v>0.75</v>
      </c>
      <c r="AE883" s="48">
        <v>0.75</v>
      </c>
      <c r="AF883" s="48">
        <v>0.75</v>
      </c>
      <c r="AG883" s="48">
        <v>0.75</v>
      </c>
      <c r="AH883" s="48">
        <v>0.75</v>
      </c>
      <c r="AI883" s="48">
        <v>0.75</v>
      </c>
      <c r="AJ883" s="48">
        <v>0.75</v>
      </c>
      <c r="AK883" s="48">
        <v>0.75</v>
      </c>
      <c r="AM883">
        <v>27</v>
      </c>
    </row>
    <row r="884" spans="1:40" hidden="1" x14ac:dyDescent="0.25">
      <c r="A884">
        <v>883</v>
      </c>
      <c r="B884">
        <v>2025</v>
      </c>
      <c r="C884">
        <v>6</v>
      </c>
      <c r="D884" t="s">
        <v>457</v>
      </c>
      <c r="E884">
        <v>46</v>
      </c>
      <c r="F884">
        <v>2</v>
      </c>
      <c r="G884" t="s">
        <v>430</v>
      </c>
      <c r="H884" s="48">
        <v>0.29166666666666669</v>
      </c>
      <c r="I884" s="48">
        <v>0.29166666666666669</v>
      </c>
      <c r="J884" s="48">
        <v>0.29166666666666669</v>
      </c>
      <c r="K884" s="48">
        <v>0.29166666666666669</v>
      </c>
      <c r="L884" s="48">
        <v>0.29166666666666669</v>
      </c>
      <c r="O884" s="48">
        <v>0.29166666666666669</v>
      </c>
      <c r="P884" s="48">
        <v>0.29166666666666669</v>
      </c>
      <c r="Q884" s="48">
        <v>0.29166666666666669</v>
      </c>
      <c r="R884" s="48">
        <v>0.29166666666666669</v>
      </c>
      <c r="S884" s="48">
        <v>0.29166666666666669</v>
      </c>
      <c r="T884" s="48">
        <v>0.29166666666666669</v>
      </c>
      <c r="U884" s="48">
        <v>0.29166666666666669</v>
      </c>
      <c r="V884" s="48">
        <v>0.29166666666666669</v>
      </c>
      <c r="W884" s="48">
        <v>0.29166666666666669</v>
      </c>
      <c r="X884" s="48">
        <v>0.29166666666666669</v>
      </c>
      <c r="Y884" s="48">
        <v>0.29166666666666669</v>
      </c>
      <c r="Z884" s="48">
        <v>0.29166666666666669</v>
      </c>
      <c r="AA884" s="48">
        <v>0.29166666666666669</v>
      </c>
      <c r="AB884" s="48">
        <v>0.29166666666666669</v>
      </c>
      <c r="AD884" s="48">
        <v>0.29166666666666669</v>
      </c>
      <c r="AE884" s="48">
        <v>0.29166666666666669</v>
      </c>
      <c r="AF884" s="48">
        <v>0.29166666666666669</v>
      </c>
      <c r="AG884" s="48">
        <v>0.29166666666666669</v>
      </c>
      <c r="AH884" s="48">
        <v>0.29166666666666669</v>
      </c>
      <c r="AI884" s="48">
        <v>0.29166666666666669</v>
      </c>
      <c r="AJ884" s="48">
        <v>0.29166666666666669</v>
      </c>
      <c r="AK884" s="48">
        <v>0.29166666666666669</v>
      </c>
    </row>
    <row r="885" spans="1:40" hidden="1" x14ac:dyDescent="0.25">
      <c r="A885">
        <v>884</v>
      </c>
      <c r="B885">
        <v>2025</v>
      </c>
      <c r="C885">
        <v>6</v>
      </c>
      <c r="D885" t="s">
        <v>457</v>
      </c>
      <c r="E885">
        <v>46</v>
      </c>
      <c r="F885">
        <v>2</v>
      </c>
      <c r="G885" t="s">
        <v>431</v>
      </c>
      <c r="H885" s="48">
        <v>0.75</v>
      </c>
      <c r="I885" s="48">
        <v>0.75</v>
      </c>
      <c r="J885" s="48">
        <v>0.75</v>
      </c>
      <c r="K885" s="48">
        <v>0.75</v>
      </c>
      <c r="L885" s="48">
        <v>0.75</v>
      </c>
      <c r="O885" s="48">
        <v>0.75</v>
      </c>
      <c r="P885" s="48">
        <v>0.75</v>
      </c>
      <c r="Q885" s="48">
        <v>0.75</v>
      </c>
      <c r="R885" s="48">
        <v>0.75</v>
      </c>
      <c r="S885" s="48">
        <v>0.75</v>
      </c>
      <c r="T885" s="48">
        <v>0.75</v>
      </c>
      <c r="U885" s="48">
        <v>0.75</v>
      </c>
      <c r="V885" s="48">
        <v>0.75</v>
      </c>
      <c r="W885" s="48">
        <v>0.75</v>
      </c>
      <c r="X885" s="48">
        <v>0.75</v>
      </c>
      <c r="Y885" s="48">
        <v>0.75</v>
      </c>
      <c r="Z885" s="48">
        <v>0.75</v>
      </c>
      <c r="AA885" s="48">
        <v>0.75</v>
      </c>
      <c r="AB885" s="48">
        <v>0.75</v>
      </c>
      <c r="AD885" s="48">
        <v>0.75</v>
      </c>
      <c r="AE885" s="48">
        <v>0.75</v>
      </c>
      <c r="AF885" s="48">
        <v>0.75</v>
      </c>
      <c r="AG885" s="48">
        <v>0.75</v>
      </c>
      <c r="AH885" s="48">
        <v>0.75</v>
      </c>
      <c r="AI885" s="48">
        <v>0.75</v>
      </c>
      <c r="AJ885" s="48">
        <v>0.75</v>
      </c>
      <c r="AK885" s="48">
        <v>0.75</v>
      </c>
      <c r="AM885">
        <v>27</v>
      </c>
    </row>
    <row r="886" spans="1:40" hidden="1" x14ac:dyDescent="0.25">
      <c r="A886">
        <v>885</v>
      </c>
      <c r="B886">
        <v>2025</v>
      </c>
      <c r="C886">
        <v>7</v>
      </c>
      <c r="D886" t="s">
        <v>313</v>
      </c>
      <c r="E886">
        <v>46</v>
      </c>
      <c r="F886">
        <v>3</v>
      </c>
      <c r="G886" t="s">
        <v>430</v>
      </c>
      <c r="H886" s="48">
        <v>0.29166666666666669</v>
      </c>
      <c r="I886" s="48">
        <v>0.29166666666666669</v>
      </c>
      <c r="J886" s="48">
        <v>0.29166666666666669</v>
      </c>
      <c r="K886" s="48">
        <v>0.29166666666666669</v>
      </c>
      <c r="L886" s="48">
        <v>0.29166666666666669</v>
      </c>
      <c r="M886" s="48">
        <v>0</v>
      </c>
      <c r="N886" s="48">
        <v>0.29166666666666669</v>
      </c>
      <c r="O886" s="48">
        <v>0.29166666666666669</v>
      </c>
      <c r="P886" s="48">
        <v>0.29166666666666669</v>
      </c>
      <c r="Q886" s="48">
        <v>0.29166666666666669</v>
      </c>
      <c r="R886" s="48">
        <v>0.29166666666666669</v>
      </c>
      <c r="S886" s="48">
        <v>0.29166666666666669</v>
      </c>
      <c r="T886" s="48">
        <v>0.29166666666666669</v>
      </c>
      <c r="U886" s="48">
        <v>0.29166666666666669</v>
      </c>
      <c r="V886" s="48">
        <v>0.29166666666666669</v>
      </c>
      <c r="W886" s="48">
        <v>0.29166666666666669</v>
      </c>
      <c r="X886" s="48">
        <v>0.29166666666666669</v>
      </c>
      <c r="Y886" s="48">
        <v>0.29166666666666669</v>
      </c>
      <c r="Z886" s="48">
        <v>0.29166666666666669</v>
      </c>
      <c r="AA886" s="48">
        <v>0.29166666666666669</v>
      </c>
      <c r="AB886" s="48">
        <v>0</v>
      </c>
      <c r="AC886" s="48">
        <v>0.29166666666666669</v>
      </c>
      <c r="AD886" s="48">
        <v>0.29166666666666669</v>
      </c>
      <c r="AE886" s="48">
        <v>0.29166666666666669</v>
      </c>
      <c r="AF886" s="48">
        <v>0.29166666666666669</v>
      </c>
      <c r="AG886" s="48">
        <v>0.29166666666666669</v>
      </c>
      <c r="AH886" s="48">
        <v>0</v>
      </c>
      <c r="AI886" s="48">
        <v>0.29166666666666669</v>
      </c>
      <c r="AJ886" s="48">
        <v>0.29166666666666669</v>
      </c>
      <c r="AK886" s="48">
        <v>0.29166666666666669</v>
      </c>
      <c r="AL886" s="48">
        <v>0.29166666666666669</v>
      </c>
    </row>
    <row r="887" spans="1:40" hidden="1" x14ac:dyDescent="0.25">
      <c r="A887">
        <v>886</v>
      </c>
      <c r="B887">
        <v>2025</v>
      </c>
      <c r="C887">
        <v>7</v>
      </c>
      <c r="D887" t="s">
        <v>313</v>
      </c>
      <c r="E887">
        <v>46</v>
      </c>
      <c r="F887">
        <v>3</v>
      </c>
      <c r="G887" t="s">
        <v>431</v>
      </c>
      <c r="H887" s="48">
        <v>0.75</v>
      </c>
      <c r="I887" s="48">
        <v>0.75</v>
      </c>
      <c r="J887" s="48">
        <v>0.75</v>
      </c>
      <c r="K887" s="48">
        <v>0.75</v>
      </c>
      <c r="L887" s="48">
        <v>0.75</v>
      </c>
      <c r="M887" s="48">
        <v>0</v>
      </c>
      <c r="N887" s="48">
        <v>0.75</v>
      </c>
      <c r="O887" s="48">
        <v>0.75</v>
      </c>
      <c r="P887" s="48">
        <v>0.75</v>
      </c>
      <c r="Q887" s="48">
        <v>0.75</v>
      </c>
      <c r="R887" s="48">
        <v>0.75</v>
      </c>
      <c r="S887" s="48">
        <v>0.75</v>
      </c>
      <c r="T887" s="48">
        <v>0.75</v>
      </c>
      <c r="U887" s="48">
        <v>0.75</v>
      </c>
      <c r="V887" s="48">
        <v>0.75</v>
      </c>
      <c r="W887" s="48">
        <v>0.75</v>
      </c>
      <c r="X887" s="48">
        <v>0.75</v>
      </c>
      <c r="Y887" s="48">
        <v>0.75</v>
      </c>
      <c r="Z887" s="48">
        <v>0.75</v>
      </c>
      <c r="AA887" s="48">
        <v>0.75</v>
      </c>
      <c r="AB887" s="48">
        <v>0</v>
      </c>
      <c r="AC887" s="48">
        <v>0.43333333333333335</v>
      </c>
      <c r="AD887" s="48">
        <v>0.75</v>
      </c>
      <c r="AE887" s="48">
        <v>0.75</v>
      </c>
      <c r="AF887" s="48">
        <v>0.75</v>
      </c>
      <c r="AG887" s="48">
        <v>0.75</v>
      </c>
      <c r="AH887" s="48">
        <v>0</v>
      </c>
      <c r="AI887" s="48">
        <v>0.75</v>
      </c>
      <c r="AJ887" s="48">
        <v>0.75</v>
      </c>
      <c r="AK887" s="48">
        <v>0.75</v>
      </c>
      <c r="AL887" s="48">
        <v>0.75</v>
      </c>
      <c r="AM887">
        <v>27.34</v>
      </c>
    </row>
    <row r="888" spans="1:40" hidden="1" x14ac:dyDescent="0.25">
      <c r="A888">
        <v>887</v>
      </c>
      <c r="B888">
        <v>2025</v>
      </c>
      <c r="C888">
        <v>7</v>
      </c>
      <c r="D888" t="s">
        <v>314</v>
      </c>
      <c r="E888">
        <v>46</v>
      </c>
      <c r="F888">
        <v>3</v>
      </c>
      <c r="G888" t="s">
        <v>430</v>
      </c>
      <c r="H888" s="48">
        <v>0.29166666666666669</v>
      </c>
      <c r="I888" s="48">
        <v>0.29166666666666669</v>
      </c>
      <c r="J888" s="48">
        <v>0.29166666666666669</v>
      </c>
      <c r="K888" s="48">
        <v>0.29166666666666669</v>
      </c>
      <c r="L888" s="48">
        <v>0.29166666666666669</v>
      </c>
      <c r="M888" s="48">
        <v>0</v>
      </c>
      <c r="N888" s="48">
        <v>0.29166666666666669</v>
      </c>
      <c r="O888" s="48">
        <v>0.29166666666666669</v>
      </c>
      <c r="P888" s="48">
        <v>0.29166666666666669</v>
      </c>
      <c r="Q888" s="48">
        <v>0.29166666666666669</v>
      </c>
      <c r="R888" s="48">
        <v>0.29166666666666669</v>
      </c>
      <c r="S888" s="48">
        <v>0.29166666666666669</v>
      </c>
      <c r="T888" s="48">
        <v>0.29166666666666669</v>
      </c>
      <c r="U888" s="48">
        <v>0.29166666666666669</v>
      </c>
      <c r="V888" s="48">
        <v>0.29166666666666669</v>
      </c>
      <c r="W888" s="48">
        <v>0.29166666666666669</v>
      </c>
      <c r="X888" s="48">
        <v>0.29166666666666669</v>
      </c>
      <c r="Y888" s="48">
        <v>0.29166666666666669</v>
      </c>
      <c r="Z888" s="48">
        <v>0.29166666666666669</v>
      </c>
      <c r="AA888" s="48">
        <v>0.29166666666666669</v>
      </c>
      <c r="AB888" s="48">
        <v>0.29166666666666669</v>
      </c>
      <c r="AC888" s="48">
        <v>0.29166666666666669</v>
      </c>
      <c r="AD888" s="48">
        <v>0.29166666666666669</v>
      </c>
      <c r="AE888" s="48">
        <v>0.29166666666666669</v>
      </c>
      <c r="AF888" s="48">
        <v>0.29166666666666669</v>
      </c>
      <c r="AG888" s="48">
        <v>0.29166666666666669</v>
      </c>
      <c r="AH888" s="48">
        <v>0</v>
      </c>
      <c r="AI888" s="48">
        <v>0.29166666666666669</v>
      </c>
      <c r="AJ888" s="48">
        <v>0.29166666666666669</v>
      </c>
      <c r="AK888" s="48">
        <v>0.29166666666666669</v>
      </c>
      <c r="AL888" s="48">
        <v>0.29166666666666669</v>
      </c>
    </row>
    <row r="889" spans="1:40" hidden="1" x14ac:dyDescent="0.25">
      <c r="A889">
        <v>888</v>
      </c>
      <c r="B889">
        <v>2025</v>
      </c>
      <c r="C889">
        <v>7</v>
      </c>
      <c r="D889" t="s">
        <v>314</v>
      </c>
      <c r="E889">
        <v>46</v>
      </c>
      <c r="F889">
        <v>3</v>
      </c>
      <c r="G889" t="s">
        <v>431</v>
      </c>
      <c r="H889" s="48">
        <v>0.75</v>
      </c>
      <c r="I889" s="48">
        <v>0.75</v>
      </c>
      <c r="J889" s="48">
        <v>0.75</v>
      </c>
      <c r="K889" s="48">
        <v>0.75</v>
      </c>
      <c r="L889" s="48">
        <v>0.75</v>
      </c>
      <c r="M889" s="48">
        <v>0</v>
      </c>
      <c r="N889" s="48">
        <v>0.75</v>
      </c>
      <c r="O889" s="48">
        <v>0.75</v>
      </c>
      <c r="P889" s="48">
        <v>0.75</v>
      </c>
      <c r="Q889" s="48">
        <v>0.75</v>
      </c>
      <c r="R889" s="48">
        <v>0.75</v>
      </c>
      <c r="S889" s="48">
        <v>0.75</v>
      </c>
      <c r="T889" s="48">
        <v>0.75</v>
      </c>
      <c r="U889" s="48">
        <v>0.75</v>
      </c>
      <c r="V889" s="48">
        <v>0.75</v>
      </c>
      <c r="W889" s="48">
        <v>0.75</v>
      </c>
      <c r="X889" s="48">
        <v>0.75</v>
      </c>
      <c r="Y889" s="48">
        <v>0.75</v>
      </c>
      <c r="Z889" s="48">
        <v>0.75</v>
      </c>
      <c r="AA889" s="48">
        <v>0.75</v>
      </c>
      <c r="AB889" s="48">
        <v>0.75</v>
      </c>
      <c r="AC889" s="48">
        <v>0.75</v>
      </c>
      <c r="AD889" s="48">
        <v>0.75</v>
      </c>
      <c r="AE889" s="48">
        <v>0.75</v>
      </c>
      <c r="AF889" s="48">
        <v>0.75</v>
      </c>
      <c r="AG889" s="48">
        <v>0.75</v>
      </c>
      <c r="AH889" s="48">
        <v>0</v>
      </c>
      <c r="AI889" s="48">
        <v>0.75</v>
      </c>
      <c r="AJ889" s="48">
        <v>0.75</v>
      </c>
      <c r="AK889" s="48">
        <v>0.75</v>
      </c>
      <c r="AL889" s="48">
        <v>0.75</v>
      </c>
      <c r="AM889">
        <v>29</v>
      </c>
    </row>
    <row r="890" spans="1:40" hidden="1" x14ac:dyDescent="0.25">
      <c r="A890">
        <v>889</v>
      </c>
      <c r="B890">
        <v>2025</v>
      </c>
      <c r="C890">
        <v>7</v>
      </c>
      <c r="D890" t="s">
        <v>457</v>
      </c>
      <c r="E890">
        <v>46</v>
      </c>
      <c r="F890">
        <v>3</v>
      </c>
      <c r="G890" t="s">
        <v>430</v>
      </c>
      <c r="H890" s="48">
        <v>0.29166666666666669</v>
      </c>
      <c r="I890" s="48">
        <v>0.29166666666666669</v>
      </c>
      <c r="J890" s="48">
        <v>0.29166666666666669</v>
      </c>
      <c r="K890" s="48">
        <v>0.29166666666666669</v>
      </c>
      <c r="L890" s="48">
        <v>0.29166666666666669</v>
      </c>
      <c r="M890" s="48">
        <v>0</v>
      </c>
      <c r="N890" s="48">
        <v>0.29166666666666669</v>
      </c>
      <c r="O890" s="48">
        <v>0.29166666666666669</v>
      </c>
      <c r="P890" s="48">
        <v>0.29166666666666669</v>
      </c>
      <c r="Q890" s="48">
        <v>0.29166666666666669</v>
      </c>
      <c r="R890" s="48">
        <v>0.29166666666666669</v>
      </c>
      <c r="S890" s="48">
        <v>0.29166666666666669</v>
      </c>
      <c r="T890" s="48">
        <v>0.29166666666666669</v>
      </c>
      <c r="U890" s="48">
        <v>0.29166666666666669</v>
      </c>
      <c r="V890" s="48">
        <v>0.29166666666666669</v>
      </c>
      <c r="W890" s="48">
        <v>0.79166666666666663</v>
      </c>
      <c r="X890" s="48">
        <v>0.29166666666666669</v>
      </c>
      <c r="Y890" s="48">
        <v>0.29166666666666669</v>
      </c>
      <c r="Z890" s="48">
        <v>0.29166666666666669</v>
      </c>
      <c r="AA890" s="48">
        <v>0.29166666666666669</v>
      </c>
      <c r="AB890" s="48">
        <v>0.29166666666666669</v>
      </c>
      <c r="AC890" s="48">
        <v>0.79166666666666663</v>
      </c>
      <c r="AD890" s="48">
        <v>0.79166666666666663</v>
      </c>
      <c r="AE890" s="48">
        <v>0.79166666666666663</v>
      </c>
      <c r="AF890" s="48">
        <v>0.29166666666666669</v>
      </c>
      <c r="AG890" s="48">
        <v>0.29166666666666669</v>
      </c>
      <c r="AH890" s="48">
        <v>0</v>
      </c>
      <c r="AI890" s="48">
        <v>0.29166666666666669</v>
      </c>
      <c r="AJ890" s="48">
        <v>0.29166666666666669</v>
      </c>
      <c r="AK890" s="48">
        <v>0.29166666666666669</v>
      </c>
      <c r="AL890" s="48">
        <v>0.29166666666666669</v>
      </c>
    </row>
    <row r="891" spans="1:40" hidden="1" x14ac:dyDescent="0.25">
      <c r="A891">
        <v>890</v>
      </c>
      <c r="B891">
        <v>2025</v>
      </c>
      <c r="C891">
        <v>7</v>
      </c>
      <c r="D891" t="s">
        <v>457</v>
      </c>
      <c r="E891">
        <v>46</v>
      </c>
      <c r="F891">
        <v>3</v>
      </c>
      <c r="G891" t="s">
        <v>431</v>
      </c>
      <c r="H891" s="48">
        <v>0.75</v>
      </c>
      <c r="I891" s="48">
        <v>0.75</v>
      </c>
      <c r="J891" s="48">
        <v>0.75</v>
      </c>
      <c r="K891" s="48">
        <v>0.75</v>
      </c>
      <c r="L891" s="48">
        <v>0.75</v>
      </c>
      <c r="M891" s="48">
        <v>0</v>
      </c>
      <c r="N891" s="48">
        <v>0.75</v>
      </c>
      <c r="O891" s="48">
        <v>0.75</v>
      </c>
      <c r="P891" s="48">
        <v>0.75</v>
      </c>
      <c r="Q891" s="48">
        <v>0.75</v>
      </c>
      <c r="R891" s="48">
        <v>0.75</v>
      </c>
      <c r="S891" s="48">
        <v>0.75</v>
      </c>
      <c r="T891" s="48">
        <v>0.75</v>
      </c>
      <c r="U891" s="48">
        <v>0.25</v>
      </c>
      <c r="V891" s="48">
        <v>0.25</v>
      </c>
      <c r="W891" s="48">
        <v>0.25</v>
      </c>
      <c r="X891" s="48">
        <v>0.25</v>
      </c>
      <c r="Y891" s="48">
        <v>0.25</v>
      </c>
      <c r="Z891" s="48">
        <v>0.25</v>
      </c>
      <c r="AA891" s="48">
        <v>0.25</v>
      </c>
      <c r="AB891" s="48">
        <v>0.25</v>
      </c>
      <c r="AC891" s="48">
        <v>0.25</v>
      </c>
      <c r="AD891" s="48">
        <v>0.25</v>
      </c>
      <c r="AE891" s="48">
        <v>0.25</v>
      </c>
      <c r="AF891" s="48">
        <v>0.25</v>
      </c>
      <c r="AG891" s="48">
        <v>0.25</v>
      </c>
      <c r="AH891" s="48">
        <v>0</v>
      </c>
      <c r="AI891" s="48">
        <v>0.25</v>
      </c>
      <c r="AJ891" s="48">
        <v>0.25</v>
      </c>
      <c r="AK891" s="48">
        <v>0.25</v>
      </c>
      <c r="AL891" s="48">
        <v>0.25</v>
      </c>
      <c r="AM891">
        <v>16</v>
      </c>
      <c r="AN891">
        <v>13</v>
      </c>
    </row>
    <row r="892" spans="1:40" hidden="1" x14ac:dyDescent="0.25">
      <c r="A892">
        <v>891</v>
      </c>
      <c r="B892">
        <v>2025</v>
      </c>
      <c r="C892">
        <v>8</v>
      </c>
      <c r="D892" t="s">
        <v>313</v>
      </c>
      <c r="E892">
        <v>46</v>
      </c>
      <c r="F892">
        <v>4</v>
      </c>
      <c r="G892" t="s">
        <v>430</v>
      </c>
      <c r="H892" s="48">
        <v>0.29166666666666669</v>
      </c>
      <c r="I892" s="48">
        <v>0.29166666666666669</v>
      </c>
      <c r="J892" s="48">
        <v>0.29166666666666669</v>
      </c>
      <c r="K892" s="48">
        <v>0.29166666666666669</v>
      </c>
      <c r="L892" s="48">
        <v>0.29166666666666669</v>
      </c>
      <c r="M892" s="48">
        <v>0.29166666666666669</v>
      </c>
      <c r="N892" s="48">
        <v>0.29166666666666669</v>
      </c>
      <c r="O892" s="48">
        <v>0.29166666666666669</v>
      </c>
      <c r="P892" s="48">
        <v>0.29166666666666669</v>
      </c>
      <c r="Q892" s="48">
        <v>0</v>
      </c>
      <c r="R892" s="48">
        <v>0.29166666666666669</v>
      </c>
      <c r="S892" s="48">
        <v>0.29166666666666669</v>
      </c>
      <c r="T892" s="48">
        <v>0.29166666666666669</v>
      </c>
      <c r="U892" s="48">
        <v>0.29166666666666669</v>
      </c>
      <c r="V892" s="48">
        <v>0.29166666666666669</v>
      </c>
      <c r="W892" s="48">
        <v>0.29166666666666669</v>
      </c>
      <c r="X892" s="48">
        <v>0.29166666666666669</v>
      </c>
      <c r="Y892" s="48">
        <v>0.29166666666666669</v>
      </c>
      <c r="Z892" s="48">
        <v>0.29166666666666669</v>
      </c>
      <c r="AA892" s="48">
        <v>0.29166666666666669</v>
      </c>
      <c r="AB892" s="48">
        <v>0.29166666666666669</v>
      </c>
      <c r="AC892" s="48">
        <v>0.29166666666666669</v>
      </c>
      <c r="AD892" s="48">
        <v>0.29166666666666669</v>
      </c>
      <c r="AE892" s="48">
        <v>0</v>
      </c>
      <c r="AF892" s="48">
        <v>0.29166666666666669</v>
      </c>
      <c r="AG892" s="48">
        <v>0.29166666666666669</v>
      </c>
      <c r="AH892" s="48">
        <v>0.29166666666666669</v>
      </c>
      <c r="AI892" s="48">
        <v>0.29166666666666669</v>
      </c>
      <c r="AJ892" s="48">
        <v>0.29166666666666669</v>
      </c>
      <c r="AK892" s="48">
        <v>0.29166666666666669</v>
      </c>
      <c r="AL892" s="48">
        <v>0.29166666666666669</v>
      </c>
    </row>
    <row r="893" spans="1:40" hidden="1" x14ac:dyDescent="0.25">
      <c r="A893">
        <v>892</v>
      </c>
      <c r="B893">
        <v>2025</v>
      </c>
      <c r="C893">
        <v>8</v>
      </c>
      <c r="D893" t="s">
        <v>313</v>
      </c>
      <c r="E893">
        <v>46</v>
      </c>
      <c r="F893">
        <v>4</v>
      </c>
      <c r="G893" t="s">
        <v>431</v>
      </c>
      <c r="H893" s="48">
        <v>0.75</v>
      </c>
      <c r="I893" s="48">
        <v>0.75</v>
      </c>
      <c r="J893" s="48">
        <v>0.75</v>
      </c>
      <c r="K893" s="48">
        <v>0.75</v>
      </c>
      <c r="L893" s="48">
        <v>0.75</v>
      </c>
      <c r="M893" s="48">
        <v>0.75</v>
      </c>
      <c r="N893" s="48">
        <v>0.75</v>
      </c>
      <c r="O893" s="48">
        <v>0.75</v>
      </c>
      <c r="P893" s="48">
        <v>0.75</v>
      </c>
      <c r="Q893" s="48">
        <v>0</v>
      </c>
      <c r="R893" s="48">
        <v>0.75</v>
      </c>
      <c r="S893" s="48">
        <v>0.75</v>
      </c>
      <c r="T893" s="48">
        <v>0.75</v>
      </c>
      <c r="U893" s="48">
        <v>0.75</v>
      </c>
      <c r="V893" s="48">
        <v>0.75</v>
      </c>
      <c r="W893" s="48">
        <v>0.75</v>
      </c>
      <c r="X893" s="48">
        <v>0.75</v>
      </c>
      <c r="Y893" s="48">
        <v>0.75</v>
      </c>
      <c r="Z893" s="48">
        <v>0.75</v>
      </c>
      <c r="AA893" s="48">
        <v>0.75</v>
      </c>
      <c r="AB893" s="48">
        <v>0.75</v>
      </c>
      <c r="AC893" s="48">
        <v>0.75</v>
      </c>
      <c r="AD893" s="48">
        <v>0.75</v>
      </c>
      <c r="AE893" s="48">
        <v>0</v>
      </c>
      <c r="AF893" s="48">
        <v>0.75</v>
      </c>
      <c r="AG893" s="48">
        <v>0.75</v>
      </c>
      <c r="AH893" s="48">
        <v>0.75</v>
      </c>
      <c r="AI893" s="48">
        <v>0.75</v>
      </c>
      <c r="AJ893" s="48">
        <v>0.75</v>
      </c>
      <c r="AK893" s="48">
        <v>0.75</v>
      </c>
      <c r="AL893" s="48">
        <v>0.75</v>
      </c>
      <c r="AM893">
        <v>29</v>
      </c>
    </row>
    <row r="894" spans="1:40" hidden="1" x14ac:dyDescent="0.25">
      <c r="A894">
        <v>893</v>
      </c>
      <c r="B894">
        <v>2025</v>
      </c>
      <c r="C894">
        <v>8</v>
      </c>
      <c r="D894" t="s">
        <v>314</v>
      </c>
      <c r="E894">
        <v>46</v>
      </c>
      <c r="F894">
        <v>4</v>
      </c>
      <c r="G894" t="s">
        <v>430</v>
      </c>
      <c r="H894" s="48">
        <v>0.29166666666666669</v>
      </c>
      <c r="I894" s="48">
        <v>0.29166666666666669</v>
      </c>
      <c r="J894" s="48">
        <v>0.29166666666666669</v>
      </c>
      <c r="K894" s="48">
        <v>0.29166666666666669</v>
      </c>
      <c r="L894" s="48">
        <v>0.29166666666666669</v>
      </c>
      <c r="M894" s="48">
        <v>0.29166666666666669</v>
      </c>
      <c r="N894" s="48">
        <v>0.29166666666666669</v>
      </c>
      <c r="O894" s="48">
        <v>0.29166666666666669</v>
      </c>
      <c r="P894" s="48">
        <v>0.29166666666666669</v>
      </c>
      <c r="Q894" s="48">
        <v>0</v>
      </c>
      <c r="R894" s="48">
        <v>0.29166666666666669</v>
      </c>
      <c r="S894" s="48">
        <v>0.29166666666666669</v>
      </c>
      <c r="T894" s="48">
        <v>0.29166666666666669</v>
      </c>
      <c r="U894" s="48">
        <v>0.29166666666666669</v>
      </c>
      <c r="V894" s="48">
        <v>0.29166666666666669</v>
      </c>
      <c r="W894" s="48">
        <v>0.29166666666666669</v>
      </c>
      <c r="X894" s="48">
        <v>0.29166666666666669</v>
      </c>
      <c r="Y894" s="48">
        <v>0.29166666666666669</v>
      </c>
      <c r="Z894" s="48">
        <v>0.29166666666666669</v>
      </c>
      <c r="AA894" s="48">
        <v>0.29166666666666669</v>
      </c>
      <c r="AB894" s="48">
        <v>0.29166666666666669</v>
      </c>
      <c r="AC894" s="48">
        <v>0.29166666666666669</v>
      </c>
      <c r="AD894" s="48">
        <v>0.29166666666666669</v>
      </c>
      <c r="AE894" s="48">
        <v>0</v>
      </c>
      <c r="AF894" s="48">
        <v>0.29166666666666669</v>
      </c>
      <c r="AG894" s="48">
        <v>0.29166666666666669</v>
      </c>
      <c r="AH894" s="48">
        <v>0.29166666666666669</v>
      </c>
      <c r="AI894" s="48">
        <v>0.29166666666666669</v>
      </c>
      <c r="AJ894" s="48">
        <v>0.29166666666666669</v>
      </c>
      <c r="AK894" s="48">
        <v>0.29166666666666669</v>
      </c>
      <c r="AL894" s="48">
        <v>0.29166666666666669</v>
      </c>
    </row>
    <row r="895" spans="1:40" hidden="1" x14ac:dyDescent="0.25">
      <c r="A895">
        <v>894</v>
      </c>
      <c r="B895">
        <v>2025</v>
      </c>
      <c r="C895">
        <v>8</v>
      </c>
      <c r="D895" t="s">
        <v>314</v>
      </c>
      <c r="E895">
        <v>46</v>
      </c>
      <c r="F895">
        <v>4</v>
      </c>
      <c r="G895" t="s">
        <v>431</v>
      </c>
      <c r="H895" s="48">
        <v>0.25</v>
      </c>
      <c r="I895" s="48">
        <v>0.25</v>
      </c>
      <c r="J895" s="48">
        <v>0.25</v>
      </c>
      <c r="K895" s="48">
        <v>0.25</v>
      </c>
      <c r="L895" s="48">
        <v>0.25</v>
      </c>
      <c r="M895" s="48">
        <v>0.25</v>
      </c>
      <c r="N895" s="48">
        <v>0.25</v>
      </c>
      <c r="O895" s="48">
        <v>0.25</v>
      </c>
      <c r="P895" s="48">
        <v>0.25</v>
      </c>
      <c r="Q895" s="48">
        <v>0</v>
      </c>
      <c r="R895" s="48">
        <v>0.25</v>
      </c>
      <c r="S895" s="48">
        <v>0.25</v>
      </c>
      <c r="T895" s="48">
        <v>0.25</v>
      </c>
      <c r="U895" s="48">
        <v>0.25</v>
      </c>
      <c r="V895" s="48">
        <v>0.25</v>
      </c>
      <c r="W895" s="48">
        <v>0.25</v>
      </c>
      <c r="X895" s="48">
        <v>0.25</v>
      </c>
      <c r="Y895" s="48">
        <v>0.25</v>
      </c>
      <c r="Z895" s="48">
        <v>0.75</v>
      </c>
      <c r="AA895" s="48">
        <v>0.25</v>
      </c>
      <c r="AB895" s="48">
        <v>0.75</v>
      </c>
      <c r="AC895" s="48">
        <v>0.75</v>
      </c>
      <c r="AD895" s="48">
        <v>0.75</v>
      </c>
      <c r="AE895" s="48">
        <v>0</v>
      </c>
      <c r="AF895" s="48">
        <v>0.25</v>
      </c>
      <c r="AG895" s="48">
        <v>0.25</v>
      </c>
      <c r="AH895" s="48">
        <v>0.75</v>
      </c>
      <c r="AI895" s="48">
        <v>0.25</v>
      </c>
      <c r="AJ895" s="48">
        <v>0.25</v>
      </c>
      <c r="AK895" s="48">
        <v>0.75</v>
      </c>
      <c r="AL895" s="48">
        <v>0.25</v>
      </c>
      <c r="AM895">
        <v>6</v>
      </c>
      <c r="AN895">
        <v>23</v>
      </c>
    </row>
    <row r="896" spans="1:40" hidden="1" x14ac:dyDescent="0.25">
      <c r="A896">
        <v>895</v>
      </c>
      <c r="B896">
        <v>2025</v>
      </c>
      <c r="C896">
        <v>8</v>
      </c>
      <c r="D896" t="s">
        <v>457</v>
      </c>
      <c r="E896">
        <v>46</v>
      </c>
      <c r="F896">
        <v>4</v>
      </c>
      <c r="G896" t="s">
        <v>430</v>
      </c>
      <c r="H896" s="48">
        <v>0.29166666666666669</v>
      </c>
      <c r="I896" s="48">
        <v>0.29166666666666669</v>
      </c>
      <c r="J896" s="48">
        <v>0.29166666666666669</v>
      </c>
      <c r="K896" s="48">
        <v>0.29166666666666669</v>
      </c>
      <c r="L896" s="48">
        <v>0.29166666666666669</v>
      </c>
      <c r="M896" s="48">
        <v>0.29166666666666669</v>
      </c>
      <c r="N896" s="48">
        <v>0.29166666666666669</v>
      </c>
      <c r="O896" s="48">
        <v>0.29166666666666669</v>
      </c>
      <c r="P896" s="48">
        <v>0.29166666666666669</v>
      </c>
      <c r="Q896" s="48">
        <v>0</v>
      </c>
      <c r="R896" s="48">
        <v>0.29166666666666669</v>
      </c>
      <c r="S896" s="48">
        <v>0.29166666666666669</v>
      </c>
      <c r="T896" s="48">
        <v>0.29166666666666669</v>
      </c>
      <c r="U896" s="48">
        <v>0.29166666666666669</v>
      </c>
      <c r="V896" s="48">
        <v>0.29166666666666669</v>
      </c>
      <c r="W896" s="48">
        <v>0.29166666666666669</v>
      </c>
      <c r="X896" s="48">
        <v>0.29166666666666669</v>
      </c>
      <c r="Y896" s="48">
        <v>0.29166666666666669</v>
      </c>
      <c r="Z896" s="48">
        <v>0.29166666666666669</v>
      </c>
      <c r="AA896" s="48">
        <v>0.29166666666666669</v>
      </c>
      <c r="AB896" s="48">
        <v>0.29166666666666669</v>
      </c>
      <c r="AC896" s="48">
        <v>0.29166666666666669</v>
      </c>
      <c r="AD896" s="48">
        <v>0.29166666666666669</v>
      </c>
      <c r="AE896" s="48">
        <v>0</v>
      </c>
      <c r="AF896" s="48">
        <v>0.29166666666666669</v>
      </c>
      <c r="AG896" s="48">
        <v>0.29166666666666669</v>
      </c>
      <c r="AH896" s="48">
        <v>0.29166666666666669</v>
      </c>
      <c r="AI896" s="48">
        <v>0.29166666666666669</v>
      </c>
      <c r="AJ896" s="48">
        <v>0.29166666666666669</v>
      </c>
      <c r="AK896" s="48">
        <v>0.29166666666666669</v>
      </c>
      <c r="AL896" s="48">
        <v>0.29166666666666669</v>
      </c>
    </row>
    <row r="897" spans="1:40" hidden="1" x14ac:dyDescent="0.25">
      <c r="A897">
        <v>896</v>
      </c>
      <c r="B897">
        <v>2025</v>
      </c>
      <c r="C897">
        <v>8</v>
      </c>
      <c r="D897" t="s">
        <v>457</v>
      </c>
      <c r="E897">
        <v>46</v>
      </c>
      <c r="F897">
        <v>4</v>
      </c>
      <c r="G897" t="s">
        <v>431</v>
      </c>
      <c r="H897" s="48">
        <v>0.25</v>
      </c>
      <c r="I897" s="48">
        <v>0.25</v>
      </c>
      <c r="J897" s="48">
        <v>0.25</v>
      </c>
      <c r="K897" s="48">
        <v>0.25</v>
      </c>
      <c r="L897" s="48">
        <v>0.25</v>
      </c>
      <c r="M897" s="48">
        <v>0.25</v>
      </c>
      <c r="N897" s="48">
        <v>0.25</v>
      </c>
      <c r="O897" s="48">
        <v>0.25</v>
      </c>
      <c r="P897" s="48">
        <v>0.25</v>
      </c>
      <c r="Q897" s="48">
        <v>0</v>
      </c>
      <c r="R897" s="48">
        <v>0.25</v>
      </c>
      <c r="S897" s="48">
        <v>0.75</v>
      </c>
      <c r="T897" s="48">
        <v>0.75</v>
      </c>
      <c r="U897" s="48">
        <v>0.75</v>
      </c>
      <c r="V897" s="48">
        <v>0.75</v>
      </c>
      <c r="W897" s="48">
        <v>0.75</v>
      </c>
      <c r="X897" s="48">
        <v>0.75</v>
      </c>
      <c r="Y897" s="48">
        <v>0.75</v>
      </c>
      <c r="Z897" s="48">
        <v>0.75</v>
      </c>
      <c r="AA897" s="48">
        <v>0.75</v>
      </c>
      <c r="AB897" s="48">
        <v>0.75</v>
      </c>
      <c r="AC897" s="48">
        <v>0.75</v>
      </c>
      <c r="AD897" s="48">
        <v>0.75</v>
      </c>
      <c r="AE897" s="48">
        <v>0</v>
      </c>
      <c r="AF897" s="48">
        <v>0.75</v>
      </c>
      <c r="AG897" s="48">
        <v>0.75</v>
      </c>
      <c r="AH897" s="48">
        <v>0.75</v>
      </c>
      <c r="AI897" s="48">
        <v>0.75</v>
      </c>
      <c r="AJ897" s="48">
        <v>0.75</v>
      </c>
      <c r="AK897" s="48">
        <v>0.75</v>
      </c>
      <c r="AL897" s="48">
        <v>0.75</v>
      </c>
      <c r="AM897">
        <v>19</v>
      </c>
      <c r="AN897">
        <v>10</v>
      </c>
    </row>
    <row r="898" spans="1:40" hidden="1" x14ac:dyDescent="0.25">
      <c r="A898">
        <v>897</v>
      </c>
      <c r="B898">
        <v>2025</v>
      </c>
      <c r="C898">
        <v>8</v>
      </c>
      <c r="D898" t="s">
        <v>458</v>
      </c>
      <c r="E898">
        <v>46</v>
      </c>
      <c r="F898">
        <v>4</v>
      </c>
      <c r="G898" t="s">
        <v>430</v>
      </c>
      <c r="H898" s="48">
        <v>0.29166666666666669</v>
      </c>
      <c r="I898" s="48">
        <v>0.29166666666666669</v>
      </c>
      <c r="J898" s="48">
        <v>0.29166666666666669</v>
      </c>
      <c r="K898" s="48">
        <v>0.29166666666666669</v>
      </c>
      <c r="L898" s="48">
        <v>0.29166666666666669</v>
      </c>
      <c r="M898" s="48">
        <v>0.29166666666666669</v>
      </c>
      <c r="N898" s="48">
        <v>0.29166666666666669</v>
      </c>
      <c r="O898" s="48">
        <v>0.29166666666666669</v>
      </c>
      <c r="P898" s="48">
        <v>0.29166666666666669</v>
      </c>
      <c r="Q898" s="48">
        <v>0</v>
      </c>
      <c r="R898" s="48">
        <v>0.29166666666666669</v>
      </c>
      <c r="S898" s="48">
        <v>0.29166666666666669</v>
      </c>
      <c r="T898" s="48">
        <v>0</v>
      </c>
      <c r="U898" s="48">
        <v>0.29166666666666669</v>
      </c>
      <c r="V898" s="48">
        <v>0.29166666666666669</v>
      </c>
      <c r="W898" s="48">
        <v>0.29166666666666669</v>
      </c>
      <c r="X898" s="48">
        <v>0.29166666666666669</v>
      </c>
      <c r="Y898" s="48">
        <v>0.29166666666666669</v>
      </c>
      <c r="Z898" s="48">
        <v>0.29166666666666669</v>
      </c>
      <c r="AA898" s="48">
        <v>0</v>
      </c>
      <c r="AB898" s="48">
        <v>0.29166666666666669</v>
      </c>
      <c r="AC898" s="48">
        <v>0.29166666666666669</v>
      </c>
      <c r="AD898" s="48">
        <v>0.29166666666666669</v>
      </c>
      <c r="AE898" s="48">
        <v>0</v>
      </c>
      <c r="AF898" s="48">
        <v>0.29166666666666669</v>
      </c>
      <c r="AG898" s="48">
        <v>0.29166666666666669</v>
      </c>
      <c r="AH898" s="48">
        <v>0</v>
      </c>
      <c r="AI898" s="48">
        <v>0</v>
      </c>
      <c r="AJ898" s="48">
        <v>0.29166666666666669</v>
      </c>
      <c r="AK898" s="48">
        <v>0</v>
      </c>
      <c r="AL898" s="48">
        <v>0.29166666666666669</v>
      </c>
    </row>
    <row r="899" spans="1:40" hidden="1" x14ac:dyDescent="0.25">
      <c r="A899">
        <v>898</v>
      </c>
      <c r="B899">
        <v>2025</v>
      </c>
      <c r="C899">
        <v>8</v>
      </c>
      <c r="D899" t="s">
        <v>458</v>
      </c>
      <c r="E899">
        <v>46</v>
      </c>
      <c r="F899">
        <v>4</v>
      </c>
      <c r="G899" t="s">
        <v>431</v>
      </c>
      <c r="H899" s="48">
        <v>0.75</v>
      </c>
      <c r="I899" s="48">
        <v>0.75</v>
      </c>
      <c r="J899" s="48">
        <v>0.75</v>
      </c>
      <c r="K899" s="48">
        <v>0.75</v>
      </c>
      <c r="L899" s="48">
        <v>0.75</v>
      </c>
      <c r="M899" s="48">
        <v>0.75</v>
      </c>
      <c r="N899" s="48">
        <v>0.75</v>
      </c>
      <c r="O899" s="48">
        <v>0.75</v>
      </c>
      <c r="P899" s="48">
        <v>0.75</v>
      </c>
      <c r="Q899" s="48">
        <v>0</v>
      </c>
      <c r="R899" s="48">
        <v>0.75</v>
      </c>
      <c r="S899" s="48">
        <v>0.75</v>
      </c>
      <c r="T899" s="48">
        <v>0</v>
      </c>
      <c r="U899" s="48">
        <v>0.75</v>
      </c>
      <c r="V899" s="48">
        <v>0.75</v>
      </c>
      <c r="W899" s="48">
        <v>0.75</v>
      </c>
      <c r="X899" s="48">
        <v>0.75</v>
      </c>
      <c r="Y899" s="48">
        <v>0.75</v>
      </c>
      <c r="Z899" s="48">
        <v>0.75</v>
      </c>
      <c r="AA899" s="48">
        <v>0</v>
      </c>
      <c r="AB899" s="48">
        <v>0.75</v>
      </c>
      <c r="AC899" s="48">
        <v>0.75</v>
      </c>
      <c r="AD899" s="48">
        <v>0.75</v>
      </c>
      <c r="AE899" s="48">
        <v>0</v>
      </c>
      <c r="AF899" s="48">
        <v>0.75</v>
      </c>
      <c r="AG899" s="48">
        <v>0.75</v>
      </c>
      <c r="AH899" s="48">
        <v>0</v>
      </c>
      <c r="AI899" s="48">
        <v>0</v>
      </c>
      <c r="AJ899" s="48">
        <v>0.5</v>
      </c>
      <c r="AK899" s="48">
        <v>0</v>
      </c>
      <c r="AL899" s="48">
        <v>0.75</v>
      </c>
      <c r="AM899">
        <v>23.5</v>
      </c>
    </row>
    <row r="900" spans="1:40" hidden="1" x14ac:dyDescent="0.25">
      <c r="A900">
        <v>899</v>
      </c>
      <c r="B900">
        <v>2025</v>
      </c>
      <c r="C900">
        <v>9</v>
      </c>
      <c r="D900" t="s">
        <v>313</v>
      </c>
      <c r="E900">
        <v>46</v>
      </c>
      <c r="F900">
        <v>5</v>
      </c>
      <c r="G900" t="s">
        <v>430</v>
      </c>
      <c r="H900" s="48">
        <v>0.29166666666666669</v>
      </c>
      <c r="I900" s="48">
        <v>0.29166666666666669</v>
      </c>
      <c r="J900" s="48">
        <v>0.29166666666666669</v>
      </c>
      <c r="K900" s="48">
        <v>0.29166666666666669</v>
      </c>
      <c r="L900" s="48">
        <v>0.29166666666666669</v>
      </c>
      <c r="M900" s="48">
        <v>0.29166666666666669</v>
      </c>
      <c r="N900" s="48">
        <v>0</v>
      </c>
      <c r="O900" s="48">
        <v>0.29166666666666669</v>
      </c>
      <c r="P900" s="48">
        <v>0.29166666666666669</v>
      </c>
      <c r="Q900" s="48">
        <v>0.29166666666666669</v>
      </c>
      <c r="R900" s="48">
        <v>0.29166666666666669</v>
      </c>
      <c r="S900" s="48">
        <v>0.29166666666666669</v>
      </c>
      <c r="T900" s="48">
        <v>0.29166666666666669</v>
      </c>
      <c r="U900" s="48">
        <v>0</v>
      </c>
      <c r="V900" s="48">
        <v>0.29166666666666669</v>
      </c>
      <c r="W900" s="48">
        <v>0.29166666666666669</v>
      </c>
      <c r="X900" s="48">
        <v>0.29166666666666669</v>
      </c>
      <c r="Y900" s="48">
        <v>0.29166666666666669</v>
      </c>
      <c r="Z900" s="48">
        <v>0.29166666666666669</v>
      </c>
      <c r="AA900" s="48">
        <v>0.29166666666666669</v>
      </c>
      <c r="AB900" s="48">
        <v>0.29166666666666669</v>
      </c>
      <c r="AC900" s="48">
        <v>0.29166666666666669</v>
      </c>
      <c r="AD900" s="48">
        <v>0.29166666666666669</v>
      </c>
      <c r="AE900" s="48">
        <v>0.29166666666666669</v>
      </c>
      <c r="AF900" s="48">
        <v>0.29166666666666669</v>
      </c>
      <c r="AG900" s="48">
        <v>0.29166666666666669</v>
      </c>
      <c r="AH900" s="48">
        <v>0.29166666666666669</v>
      </c>
      <c r="AI900" s="48">
        <v>0</v>
      </c>
      <c r="AJ900" s="48">
        <v>0.29166666666666669</v>
      </c>
      <c r="AK900" s="48">
        <v>0.29166666666666669</v>
      </c>
      <c r="AL900" s="48">
        <v>0</v>
      </c>
    </row>
    <row r="901" spans="1:40" hidden="1" x14ac:dyDescent="0.25">
      <c r="A901">
        <v>900</v>
      </c>
      <c r="B901">
        <v>2025</v>
      </c>
      <c r="C901">
        <v>9</v>
      </c>
      <c r="D901" t="s">
        <v>313</v>
      </c>
      <c r="E901">
        <v>46</v>
      </c>
      <c r="F901">
        <v>5</v>
      </c>
      <c r="G901" t="s">
        <v>431</v>
      </c>
      <c r="H901" s="48">
        <v>0.75</v>
      </c>
      <c r="I901" s="48">
        <v>0.75</v>
      </c>
      <c r="J901" s="48">
        <v>0.75</v>
      </c>
      <c r="K901" s="48">
        <v>0.75</v>
      </c>
      <c r="L901" s="48">
        <v>0.75</v>
      </c>
      <c r="M901" s="48">
        <v>0.75</v>
      </c>
      <c r="N901" s="48">
        <v>0</v>
      </c>
      <c r="O901" s="48">
        <v>0.75</v>
      </c>
      <c r="P901" s="48">
        <v>0.75</v>
      </c>
      <c r="Q901" s="48">
        <v>0.75</v>
      </c>
      <c r="R901" s="48">
        <v>0.75</v>
      </c>
      <c r="S901" s="48">
        <v>0.75</v>
      </c>
      <c r="T901" s="48">
        <v>0.75</v>
      </c>
      <c r="U901" s="48">
        <v>0</v>
      </c>
      <c r="V901" s="48">
        <v>0.75</v>
      </c>
      <c r="W901" s="48">
        <v>0.75</v>
      </c>
      <c r="X901" s="48">
        <v>0.75</v>
      </c>
      <c r="Y901" s="48">
        <v>0.75</v>
      </c>
      <c r="Z901" s="48">
        <v>0.75</v>
      </c>
      <c r="AA901" s="48">
        <v>0.75</v>
      </c>
      <c r="AB901" s="48">
        <v>0.75</v>
      </c>
      <c r="AC901" s="48">
        <v>0.75</v>
      </c>
      <c r="AD901" s="48">
        <v>0.75</v>
      </c>
      <c r="AE901" s="48">
        <v>0.75</v>
      </c>
      <c r="AF901" s="48">
        <v>0.75</v>
      </c>
      <c r="AG901" s="48">
        <v>0.75</v>
      </c>
      <c r="AH901" s="48">
        <v>0.75</v>
      </c>
      <c r="AI901" s="48">
        <v>0</v>
      </c>
      <c r="AJ901" s="48">
        <v>0.75</v>
      </c>
      <c r="AK901" s="48">
        <v>0.75</v>
      </c>
      <c r="AL901" s="48">
        <v>0</v>
      </c>
      <c r="AM901">
        <v>27</v>
      </c>
    </row>
    <row r="902" spans="1:40" hidden="1" x14ac:dyDescent="0.25">
      <c r="A902">
        <v>901</v>
      </c>
      <c r="B902">
        <v>2025</v>
      </c>
      <c r="C902">
        <v>9</v>
      </c>
      <c r="D902" t="s">
        <v>314</v>
      </c>
      <c r="E902">
        <v>46</v>
      </c>
      <c r="F902">
        <v>5</v>
      </c>
      <c r="G902" t="s">
        <v>430</v>
      </c>
      <c r="H902" s="48">
        <v>0.29166666666666669</v>
      </c>
      <c r="I902" s="48">
        <v>0.29166666666666669</v>
      </c>
      <c r="J902" s="48">
        <v>0.29166666666666669</v>
      </c>
      <c r="K902" s="48">
        <v>0.29166666666666669</v>
      </c>
      <c r="L902" s="48">
        <v>0.29166666666666669</v>
      </c>
      <c r="M902" s="48">
        <v>0.29166666666666669</v>
      </c>
      <c r="N902" s="48">
        <v>0</v>
      </c>
      <c r="O902" s="48">
        <v>0.29166666666666669</v>
      </c>
      <c r="P902" s="48">
        <v>0.29166666666666669</v>
      </c>
      <c r="Q902" s="48">
        <v>0.29166666666666669</v>
      </c>
      <c r="R902" s="48">
        <v>0.29166666666666669</v>
      </c>
      <c r="S902" s="48">
        <v>0.29166666666666669</v>
      </c>
      <c r="T902" s="48">
        <v>0.29166666666666669</v>
      </c>
      <c r="U902" s="48">
        <v>0</v>
      </c>
      <c r="V902" s="48">
        <v>0.29166666666666669</v>
      </c>
      <c r="W902" s="48">
        <v>0.29166666666666669</v>
      </c>
      <c r="X902" s="48">
        <v>0.29166666666666669</v>
      </c>
      <c r="Y902" s="48">
        <v>0.29166666666666669</v>
      </c>
      <c r="Z902" s="48">
        <v>0.29166666666666669</v>
      </c>
      <c r="AA902" s="48">
        <v>0.29166666666666669</v>
      </c>
      <c r="AB902" s="48">
        <v>0.29166666666666669</v>
      </c>
      <c r="AC902" s="48">
        <v>0.29166666666666669</v>
      </c>
      <c r="AD902" s="48">
        <v>0.29166666666666669</v>
      </c>
      <c r="AE902" s="48">
        <v>0.29166666666666669</v>
      </c>
      <c r="AF902" s="48">
        <v>0.29166666666666669</v>
      </c>
      <c r="AG902" s="48">
        <v>0.29166666666666669</v>
      </c>
      <c r="AH902" s="48">
        <v>0.29166666666666669</v>
      </c>
      <c r="AI902" s="48">
        <v>0</v>
      </c>
      <c r="AJ902" s="48">
        <v>0.29166666666666669</v>
      </c>
      <c r="AK902" s="48">
        <v>0.29166666666666669</v>
      </c>
      <c r="AL902" s="48">
        <v>0</v>
      </c>
    </row>
    <row r="903" spans="1:40" hidden="1" x14ac:dyDescent="0.25">
      <c r="A903">
        <v>902</v>
      </c>
      <c r="B903">
        <v>2025</v>
      </c>
      <c r="C903">
        <v>9</v>
      </c>
      <c r="D903" t="s">
        <v>314</v>
      </c>
      <c r="E903">
        <v>46</v>
      </c>
      <c r="F903">
        <v>5</v>
      </c>
      <c r="G903" t="s">
        <v>431</v>
      </c>
      <c r="H903" s="48">
        <v>0.75</v>
      </c>
      <c r="I903" s="48">
        <v>0.75</v>
      </c>
      <c r="J903" s="48">
        <v>0.75</v>
      </c>
      <c r="K903" s="48">
        <v>0.75</v>
      </c>
      <c r="L903" s="48">
        <v>0.75</v>
      </c>
      <c r="M903" s="48">
        <v>0.75</v>
      </c>
      <c r="N903" s="48">
        <v>0</v>
      </c>
      <c r="O903" s="48">
        <v>0.75</v>
      </c>
      <c r="P903" s="48">
        <v>0.75</v>
      </c>
      <c r="Q903" s="48">
        <v>0.75</v>
      </c>
      <c r="R903" s="48">
        <v>0.75</v>
      </c>
      <c r="S903" s="48">
        <v>0.75</v>
      </c>
      <c r="T903" s="48">
        <v>0.75</v>
      </c>
      <c r="U903" s="48">
        <v>0</v>
      </c>
      <c r="V903" s="48">
        <v>0.75</v>
      </c>
      <c r="W903" s="48">
        <v>0.75</v>
      </c>
      <c r="X903" s="48">
        <v>0.75</v>
      </c>
      <c r="Y903" s="48">
        <v>0.75</v>
      </c>
      <c r="Z903" s="48">
        <v>0.75</v>
      </c>
      <c r="AA903" s="48">
        <v>0.75</v>
      </c>
      <c r="AB903" s="48">
        <v>0.75</v>
      </c>
      <c r="AC903" s="48">
        <v>0.75</v>
      </c>
      <c r="AD903" s="48">
        <v>0.25</v>
      </c>
      <c r="AE903" s="48">
        <v>0.25</v>
      </c>
      <c r="AF903" s="48">
        <v>0.25</v>
      </c>
      <c r="AG903" s="48">
        <v>0.25</v>
      </c>
      <c r="AH903" s="48">
        <v>0.25</v>
      </c>
      <c r="AI903" s="48">
        <v>0</v>
      </c>
      <c r="AJ903" s="48">
        <v>0.25</v>
      </c>
      <c r="AK903" s="48">
        <v>0.25</v>
      </c>
      <c r="AL903" s="48">
        <v>0</v>
      </c>
      <c r="AM903">
        <v>20</v>
      </c>
      <c r="AN903">
        <v>7</v>
      </c>
    </row>
    <row r="904" spans="1:40" hidden="1" x14ac:dyDescent="0.25">
      <c r="A904">
        <v>903</v>
      </c>
      <c r="B904">
        <v>2025</v>
      </c>
      <c r="C904">
        <v>9</v>
      </c>
      <c r="D904" t="s">
        <v>457</v>
      </c>
      <c r="E904">
        <v>46</v>
      </c>
      <c r="F904">
        <v>5</v>
      </c>
      <c r="G904" t="s">
        <v>430</v>
      </c>
      <c r="H904" s="48">
        <v>0.29166666666666669</v>
      </c>
      <c r="I904" s="48">
        <v>0.29166666666666669</v>
      </c>
      <c r="J904" s="48">
        <v>0.29166666666666669</v>
      </c>
      <c r="K904" s="48">
        <v>0.29166666666666669</v>
      </c>
      <c r="L904" s="48">
        <v>0.29166666666666669</v>
      </c>
      <c r="M904" s="48">
        <v>0.29166666666666669</v>
      </c>
      <c r="N904" s="48">
        <v>0</v>
      </c>
      <c r="O904" s="48">
        <v>0.29166666666666669</v>
      </c>
      <c r="P904" s="48">
        <v>0.29166666666666669</v>
      </c>
      <c r="Q904" s="48">
        <v>0</v>
      </c>
      <c r="R904" s="48">
        <v>0</v>
      </c>
      <c r="S904" s="48">
        <v>0</v>
      </c>
      <c r="T904" s="48">
        <v>0</v>
      </c>
      <c r="U904" s="48">
        <v>0</v>
      </c>
      <c r="V904" s="48">
        <v>0</v>
      </c>
      <c r="W904" s="48">
        <v>0</v>
      </c>
      <c r="X904" s="48">
        <v>0</v>
      </c>
      <c r="Y904" s="48">
        <v>0</v>
      </c>
      <c r="Z904" s="48">
        <v>0</v>
      </c>
      <c r="AA904" s="48">
        <v>0</v>
      </c>
      <c r="AB904" s="48">
        <v>0</v>
      </c>
      <c r="AC904" s="48">
        <v>0</v>
      </c>
      <c r="AD904" s="48">
        <v>0</v>
      </c>
      <c r="AE904" s="48">
        <v>0</v>
      </c>
      <c r="AF904" s="48">
        <v>0</v>
      </c>
      <c r="AG904" s="48">
        <v>0</v>
      </c>
      <c r="AH904" s="48">
        <v>0</v>
      </c>
      <c r="AI904" s="48">
        <v>0</v>
      </c>
      <c r="AJ904" s="48">
        <v>0</v>
      </c>
      <c r="AK904" s="48">
        <v>0</v>
      </c>
      <c r="AL904" s="48">
        <v>0</v>
      </c>
    </row>
    <row r="905" spans="1:40" hidden="1" x14ac:dyDescent="0.25">
      <c r="A905">
        <v>904</v>
      </c>
      <c r="B905">
        <v>2025</v>
      </c>
      <c r="C905">
        <v>9</v>
      </c>
      <c r="D905" t="s">
        <v>457</v>
      </c>
      <c r="E905">
        <v>46</v>
      </c>
      <c r="F905">
        <v>5</v>
      </c>
      <c r="G905" t="s">
        <v>431</v>
      </c>
      <c r="H905" s="48">
        <v>0.75</v>
      </c>
      <c r="I905" s="48">
        <v>0.75</v>
      </c>
      <c r="J905" s="48">
        <v>0.75</v>
      </c>
      <c r="K905" s="48">
        <v>0.75</v>
      </c>
      <c r="L905" s="48">
        <v>0.75</v>
      </c>
      <c r="M905" s="48">
        <v>0.75</v>
      </c>
      <c r="N905" s="48">
        <v>0</v>
      </c>
      <c r="O905" s="48">
        <v>0.75</v>
      </c>
      <c r="P905" s="48">
        <v>0.75</v>
      </c>
      <c r="Q905" s="48">
        <v>0</v>
      </c>
      <c r="R905" s="48">
        <v>0</v>
      </c>
      <c r="S905" s="48">
        <v>0</v>
      </c>
      <c r="T905" s="48">
        <v>0</v>
      </c>
      <c r="U905" s="48">
        <v>0</v>
      </c>
      <c r="V905" s="48">
        <v>0</v>
      </c>
      <c r="W905" s="48">
        <v>0</v>
      </c>
      <c r="X905" s="48">
        <v>0</v>
      </c>
      <c r="Y905" s="48">
        <v>0</v>
      </c>
      <c r="Z905" s="48">
        <v>0</v>
      </c>
      <c r="AA905" s="48">
        <v>0</v>
      </c>
      <c r="AB905" s="48">
        <v>0</v>
      </c>
      <c r="AC905" s="48">
        <v>0</v>
      </c>
      <c r="AD905" s="48">
        <v>0</v>
      </c>
      <c r="AE905" s="48">
        <v>0</v>
      </c>
      <c r="AF905" s="48">
        <v>0</v>
      </c>
      <c r="AG905" s="48">
        <v>0</v>
      </c>
      <c r="AH905" s="48">
        <v>0</v>
      </c>
      <c r="AI905" s="48">
        <v>0</v>
      </c>
      <c r="AJ905" s="48">
        <v>0</v>
      </c>
      <c r="AK905" s="48">
        <v>0</v>
      </c>
      <c r="AL905" s="48">
        <v>0</v>
      </c>
      <c r="AM905">
        <v>8</v>
      </c>
      <c r="AN905">
        <v>0</v>
      </c>
    </row>
    <row r="906" spans="1:40" hidden="1" x14ac:dyDescent="0.25">
      <c r="A906">
        <v>905</v>
      </c>
      <c r="B906">
        <v>2025</v>
      </c>
      <c r="C906">
        <v>9</v>
      </c>
      <c r="D906" t="s">
        <v>458</v>
      </c>
      <c r="E906">
        <v>46</v>
      </c>
      <c r="F906">
        <v>5</v>
      </c>
      <c r="G906" t="s">
        <v>430</v>
      </c>
      <c r="H906" s="48">
        <v>0.29166666666666669</v>
      </c>
      <c r="I906" s="48">
        <v>0.29166666666666669</v>
      </c>
      <c r="J906" s="48">
        <v>0.29166666666666669</v>
      </c>
      <c r="K906" s="48">
        <v>0.29166666666666669</v>
      </c>
      <c r="L906" s="48">
        <v>0.29166666666666669</v>
      </c>
      <c r="M906" s="48">
        <v>0.29166666666666669</v>
      </c>
      <c r="N906" s="48">
        <v>0</v>
      </c>
      <c r="O906" s="48">
        <v>0</v>
      </c>
      <c r="P906" s="48">
        <v>0</v>
      </c>
      <c r="Q906" s="48">
        <v>0</v>
      </c>
      <c r="R906" s="48">
        <v>0</v>
      </c>
      <c r="S906" s="48">
        <v>0</v>
      </c>
      <c r="T906" s="48">
        <v>0</v>
      </c>
      <c r="U906" s="48">
        <v>0</v>
      </c>
      <c r="V906" s="48">
        <v>0</v>
      </c>
      <c r="W906" s="48">
        <v>0</v>
      </c>
      <c r="X906" s="48">
        <v>0</v>
      </c>
      <c r="Y906" s="48">
        <v>0</v>
      </c>
      <c r="Z906" s="48">
        <v>0</v>
      </c>
      <c r="AA906" s="48">
        <v>0</v>
      </c>
      <c r="AB906" s="48">
        <v>0</v>
      </c>
      <c r="AC906" s="48">
        <v>0</v>
      </c>
      <c r="AD906" s="48">
        <v>0</v>
      </c>
      <c r="AE906" s="48">
        <v>0</v>
      </c>
      <c r="AF906" s="48">
        <v>0</v>
      </c>
      <c r="AG906" s="48">
        <v>0</v>
      </c>
      <c r="AH906" s="48">
        <v>0</v>
      </c>
      <c r="AI906" s="48">
        <v>0</v>
      </c>
      <c r="AJ906" s="48">
        <v>0</v>
      </c>
      <c r="AK906" s="48">
        <v>0</v>
      </c>
      <c r="AL906" s="48">
        <v>0</v>
      </c>
    </row>
    <row r="907" spans="1:40" hidden="1" x14ac:dyDescent="0.25">
      <c r="A907">
        <v>906</v>
      </c>
      <c r="B907">
        <v>2025</v>
      </c>
      <c r="C907">
        <v>9</v>
      </c>
      <c r="D907" t="s">
        <v>458</v>
      </c>
      <c r="E907">
        <v>46</v>
      </c>
      <c r="F907">
        <v>5</v>
      </c>
      <c r="G907" t="s">
        <v>431</v>
      </c>
      <c r="H907" s="48">
        <v>0.75</v>
      </c>
      <c r="I907" s="48">
        <v>0.75</v>
      </c>
      <c r="J907" s="48">
        <v>0.75</v>
      </c>
      <c r="K907" s="48">
        <v>0.75</v>
      </c>
      <c r="L907" s="48">
        <v>0.75</v>
      </c>
      <c r="M907" s="48">
        <v>0.75</v>
      </c>
      <c r="N907" s="48">
        <v>0</v>
      </c>
      <c r="O907" s="48">
        <v>0</v>
      </c>
      <c r="P907" s="48">
        <v>0</v>
      </c>
      <c r="Q907" s="48">
        <v>0</v>
      </c>
      <c r="R907" s="48">
        <v>0</v>
      </c>
      <c r="S907" s="48">
        <v>0</v>
      </c>
      <c r="T907" s="48">
        <v>0</v>
      </c>
      <c r="U907" s="48">
        <v>0</v>
      </c>
      <c r="V907" s="48">
        <v>0</v>
      </c>
      <c r="W907" s="48">
        <v>0</v>
      </c>
      <c r="X907" s="48">
        <v>0</v>
      </c>
      <c r="Y907" s="48">
        <v>0</v>
      </c>
      <c r="Z907" s="48">
        <v>0</v>
      </c>
      <c r="AA907" s="48">
        <v>0</v>
      </c>
      <c r="AB907" s="48">
        <v>0</v>
      </c>
      <c r="AC907" s="48">
        <v>0</v>
      </c>
      <c r="AD907" s="48">
        <v>0</v>
      </c>
      <c r="AE907" s="48">
        <v>0</v>
      </c>
      <c r="AF907" s="48">
        <v>0</v>
      </c>
      <c r="AG907" s="48">
        <v>0</v>
      </c>
      <c r="AH907" s="48">
        <v>0</v>
      </c>
      <c r="AI907" s="48">
        <v>0</v>
      </c>
      <c r="AJ907" s="48">
        <v>0</v>
      </c>
      <c r="AK907" s="48">
        <v>0</v>
      </c>
      <c r="AL907" s="48">
        <v>0</v>
      </c>
      <c r="AM907">
        <v>6</v>
      </c>
    </row>
    <row r="908" spans="1:40" hidden="1" x14ac:dyDescent="0.25">
      <c r="A908">
        <v>907</v>
      </c>
      <c r="B908">
        <v>2025</v>
      </c>
      <c r="C908">
        <v>10</v>
      </c>
      <c r="D908" t="s">
        <v>313</v>
      </c>
      <c r="E908">
        <v>46</v>
      </c>
      <c r="F908">
        <v>6</v>
      </c>
      <c r="G908" t="s">
        <v>430</v>
      </c>
      <c r="H908" s="48">
        <v>0.29166666666666669</v>
      </c>
      <c r="I908" s="48">
        <v>0.29166666666666669</v>
      </c>
      <c r="J908" s="48">
        <v>0.29166666666666669</v>
      </c>
      <c r="K908" s="48">
        <v>0.29166666666666669</v>
      </c>
      <c r="L908" s="48">
        <v>0.29166666666666669</v>
      </c>
      <c r="M908" s="48">
        <v>0.29166666666666669</v>
      </c>
      <c r="N908" s="48">
        <v>0.29166666666666669</v>
      </c>
      <c r="O908" s="48">
        <v>0.29166666666666669</v>
      </c>
      <c r="P908" s="48">
        <v>0.29166666666666669</v>
      </c>
      <c r="Q908" s="48">
        <v>0.29166666666666669</v>
      </c>
      <c r="R908" s="48">
        <v>0.29166666666666669</v>
      </c>
      <c r="S908" s="48">
        <v>0</v>
      </c>
      <c r="T908" s="48">
        <v>0.29166666666666669</v>
      </c>
      <c r="U908" s="48">
        <v>0.29166666666666669</v>
      </c>
      <c r="V908" s="48">
        <v>0.29166666666666669</v>
      </c>
      <c r="W908" s="48">
        <v>0.29166666666666669</v>
      </c>
      <c r="X908" s="48">
        <v>0.29166666666666669</v>
      </c>
      <c r="Y908" s="48">
        <v>0.29166666666666669</v>
      </c>
      <c r="Z908" s="48">
        <v>0.29166666666666669</v>
      </c>
      <c r="AA908" s="48">
        <v>0.29166666666666669</v>
      </c>
      <c r="AB908" s="48">
        <v>0.29166666666666669</v>
      </c>
      <c r="AC908" s="48">
        <v>0.29166666666666669</v>
      </c>
      <c r="AD908" s="48">
        <v>0.29166666666666669</v>
      </c>
      <c r="AE908" s="48">
        <v>0.29166666666666669</v>
      </c>
      <c r="AF908" s="48">
        <v>0.29166666666666669</v>
      </c>
      <c r="AG908" s="48">
        <v>0</v>
      </c>
      <c r="AH908" s="48">
        <v>0.29166666666666669</v>
      </c>
      <c r="AI908" s="48">
        <v>0.29166666666666669</v>
      </c>
      <c r="AJ908" s="48">
        <v>0.29166666666666669</v>
      </c>
      <c r="AK908" s="48">
        <v>0.29166666666666669</v>
      </c>
      <c r="AL908" s="48">
        <v>0.29166666666666669</v>
      </c>
    </row>
    <row r="909" spans="1:40" hidden="1" x14ac:dyDescent="0.25">
      <c r="A909">
        <v>908</v>
      </c>
      <c r="B909">
        <v>2025</v>
      </c>
      <c r="C909">
        <v>10</v>
      </c>
      <c r="D909" t="s">
        <v>313</v>
      </c>
      <c r="E909">
        <v>46</v>
      </c>
      <c r="F909">
        <v>6</v>
      </c>
      <c r="G909" t="s">
        <v>431</v>
      </c>
      <c r="H909" s="48">
        <v>0.25</v>
      </c>
      <c r="I909" s="48">
        <v>0.25</v>
      </c>
      <c r="J909" s="48">
        <v>0.25</v>
      </c>
      <c r="K909" s="48">
        <v>0.25</v>
      </c>
      <c r="L909" s="48">
        <v>0.25</v>
      </c>
      <c r="M909" s="48">
        <v>0.25</v>
      </c>
      <c r="N909" s="48">
        <v>0.25</v>
      </c>
      <c r="O909" s="48">
        <v>0.25</v>
      </c>
      <c r="P909" s="48">
        <v>0.25</v>
      </c>
      <c r="Q909" s="48">
        <v>0.25</v>
      </c>
      <c r="R909" s="48">
        <v>0.25</v>
      </c>
      <c r="S909" s="48">
        <v>0</v>
      </c>
      <c r="T909" s="48">
        <v>0.25</v>
      </c>
      <c r="U909" s="48">
        <v>0.25</v>
      </c>
      <c r="V909" s="48">
        <v>0.25</v>
      </c>
      <c r="W909" s="48">
        <v>0.25</v>
      </c>
      <c r="X909" s="48">
        <v>0.25</v>
      </c>
      <c r="Y909" s="48">
        <v>0.25</v>
      </c>
      <c r="Z909" s="48">
        <v>0.25</v>
      </c>
      <c r="AA909" s="48">
        <v>0.25</v>
      </c>
      <c r="AB909" s="48">
        <v>0.25</v>
      </c>
      <c r="AC909" s="48">
        <v>0.25</v>
      </c>
      <c r="AD909" s="48">
        <v>0.25</v>
      </c>
      <c r="AE909" s="48">
        <v>0.25</v>
      </c>
      <c r="AF909" s="48">
        <v>0.25</v>
      </c>
      <c r="AG909" s="48">
        <v>0</v>
      </c>
      <c r="AH909" s="48">
        <v>0.25</v>
      </c>
      <c r="AI909" s="48">
        <v>0.25</v>
      </c>
      <c r="AJ909" s="48">
        <v>0.25</v>
      </c>
      <c r="AK909" s="48">
        <v>0.25</v>
      </c>
      <c r="AL909" s="48">
        <v>0.25</v>
      </c>
      <c r="AM909">
        <v>0</v>
      </c>
      <c r="AN909">
        <v>29</v>
      </c>
    </row>
    <row r="910" spans="1:40" hidden="1" x14ac:dyDescent="0.25">
      <c r="A910">
        <v>909</v>
      </c>
      <c r="B910">
        <v>2025</v>
      </c>
      <c r="C910">
        <v>10</v>
      </c>
      <c r="D910" t="s">
        <v>314</v>
      </c>
      <c r="E910">
        <v>46</v>
      </c>
      <c r="F910">
        <v>6</v>
      </c>
      <c r="G910" t="s">
        <v>430</v>
      </c>
      <c r="H910" s="48">
        <v>0.29166666666666669</v>
      </c>
      <c r="I910" s="48">
        <v>0.29166666666666669</v>
      </c>
      <c r="J910" s="48">
        <v>0.29166666666666669</v>
      </c>
      <c r="K910" s="48">
        <v>0.29166666666666669</v>
      </c>
      <c r="L910" s="48">
        <v>0.29166666666666669</v>
      </c>
      <c r="M910" s="48">
        <v>0.29166666666666669</v>
      </c>
      <c r="N910" s="48">
        <v>0.29166666666666669</v>
      </c>
      <c r="O910" s="48">
        <v>0.29166666666666669</v>
      </c>
      <c r="P910" s="48">
        <v>0.29166666666666669</v>
      </c>
      <c r="Q910" s="48">
        <v>0.29166666666666669</v>
      </c>
      <c r="R910" s="48">
        <v>0.29166666666666669</v>
      </c>
      <c r="S910" s="48">
        <v>0.29166666666666669</v>
      </c>
      <c r="T910" s="48">
        <v>0.29166666666666669</v>
      </c>
      <c r="U910" s="48">
        <v>0.29166666666666669</v>
      </c>
      <c r="V910" s="48">
        <v>0.29166666666666669</v>
      </c>
      <c r="W910" s="48">
        <v>0.29166666666666669</v>
      </c>
      <c r="X910" s="48">
        <v>0.29166666666666669</v>
      </c>
      <c r="Y910" s="48">
        <v>0.29166666666666669</v>
      </c>
      <c r="Z910" s="48">
        <v>0.29166666666666669</v>
      </c>
      <c r="AA910" s="48">
        <v>0.29166666666666669</v>
      </c>
      <c r="AB910" s="48">
        <v>0.29166666666666669</v>
      </c>
      <c r="AC910" s="48">
        <v>0.29166666666666669</v>
      </c>
      <c r="AD910" s="48">
        <v>0.29166666666666669</v>
      </c>
      <c r="AE910" s="48">
        <v>0.29166666666666669</v>
      </c>
      <c r="AF910" s="48">
        <v>0.29166666666666669</v>
      </c>
      <c r="AG910" s="48">
        <v>0</v>
      </c>
      <c r="AH910" s="48">
        <v>0.29166666666666669</v>
      </c>
      <c r="AI910" s="48">
        <v>0.29166666666666669</v>
      </c>
      <c r="AJ910" s="48">
        <v>0.29166666666666669</v>
      </c>
      <c r="AK910" s="48">
        <v>0.29166666666666669</v>
      </c>
      <c r="AL910" s="48">
        <v>0.29166666666666669</v>
      </c>
    </row>
    <row r="911" spans="1:40" hidden="1" x14ac:dyDescent="0.25">
      <c r="A911">
        <v>910</v>
      </c>
      <c r="B911">
        <v>2025</v>
      </c>
      <c r="C911">
        <v>10</v>
      </c>
      <c r="D911" t="s">
        <v>314</v>
      </c>
      <c r="E911">
        <v>46</v>
      </c>
      <c r="F911">
        <v>6</v>
      </c>
      <c r="G911" t="s">
        <v>431</v>
      </c>
      <c r="H911" s="48">
        <v>0.75</v>
      </c>
      <c r="I911" s="48">
        <v>0.25</v>
      </c>
      <c r="J911" s="48">
        <v>0.25</v>
      </c>
      <c r="K911" s="48">
        <v>0.25</v>
      </c>
      <c r="L911" s="48">
        <v>0.25</v>
      </c>
      <c r="M911" s="48">
        <v>0.25</v>
      </c>
      <c r="N911" s="48">
        <v>0.25</v>
      </c>
      <c r="O911" s="48">
        <v>0.25</v>
      </c>
      <c r="P911" s="48">
        <v>0.25</v>
      </c>
      <c r="Q911" s="48">
        <v>0.25</v>
      </c>
      <c r="R911" s="48">
        <v>0.25</v>
      </c>
      <c r="S911" s="48">
        <v>0.25</v>
      </c>
      <c r="T911" s="48">
        <v>0.75</v>
      </c>
      <c r="U911" s="48">
        <v>0.75</v>
      </c>
      <c r="V911" s="48">
        <v>0.75</v>
      </c>
      <c r="W911" s="48">
        <v>0.75</v>
      </c>
      <c r="X911" s="48">
        <v>0.75</v>
      </c>
      <c r="Y911" s="48">
        <v>0.75</v>
      </c>
      <c r="Z911" s="48">
        <v>0.75</v>
      </c>
      <c r="AA911" s="48">
        <v>0.75</v>
      </c>
      <c r="AB911" s="48">
        <v>0.75</v>
      </c>
      <c r="AC911" s="48">
        <v>0.75</v>
      </c>
      <c r="AD911" s="48">
        <v>0.75</v>
      </c>
      <c r="AE911" s="48">
        <v>0.75</v>
      </c>
      <c r="AF911" s="48">
        <v>0.75</v>
      </c>
      <c r="AG911" s="48">
        <v>0</v>
      </c>
      <c r="AH911" s="48">
        <v>0.75</v>
      </c>
      <c r="AI911" s="48">
        <v>0.75</v>
      </c>
      <c r="AJ911" s="48">
        <v>0.75</v>
      </c>
      <c r="AK911" s="48">
        <v>0.75</v>
      </c>
      <c r="AL911" s="48">
        <v>0.75</v>
      </c>
      <c r="AM911">
        <v>19</v>
      </c>
      <c r="AN911">
        <v>11</v>
      </c>
    </row>
    <row r="912" spans="1:40" hidden="1" x14ac:dyDescent="0.25">
      <c r="A912">
        <v>911</v>
      </c>
      <c r="B912">
        <v>2025</v>
      </c>
      <c r="C912">
        <v>10</v>
      </c>
      <c r="D912" t="s">
        <v>457</v>
      </c>
      <c r="E912">
        <v>46</v>
      </c>
      <c r="F912">
        <v>6</v>
      </c>
      <c r="G912" t="s">
        <v>430</v>
      </c>
      <c r="H912" s="48">
        <v>0.29166666666666669</v>
      </c>
      <c r="I912" s="48">
        <v>0.29166666666666669</v>
      </c>
      <c r="J912" s="48">
        <v>0.29166666666666669</v>
      </c>
      <c r="K912" s="48">
        <v>0.29166666666666669</v>
      </c>
      <c r="L912" s="48">
        <v>0.29166666666666669</v>
      </c>
      <c r="M912" s="48">
        <v>0.29166666666666669</v>
      </c>
      <c r="N912" s="48">
        <v>0.29166666666666669</v>
      </c>
      <c r="O912" s="48">
        <v>0.29166666666666669</v>
      </c>
      <c r="P912" s="48">
        <v>0.29166666666666669</v>
      </c>
      <c r="Q912" s="48">
        <v>0.29166666666666669</v>
      </c>
      <c r="R912" s="48">
        <v>0.29166666666666669</v>
      </c>
      <c r="S912" s="48">
        <v>0</v>
      </c>
      <c r="T912" s="48">
        <v>0.29166666666666669</v>
      </c>
      <c r="U912" s="48">
        <v>0.29166666666666669</v>
      </c>
      <c r="V912" s="48">
        <v>0.29166666666666669</v>
      </c>
      <c r="W912" s="48">
        <v>0.29166666666666669</v>
      </c>
      <c r="X912" s="48">
        <v>0.29166666666666669</v>
      </c>
      <c r="Y912" s="48">
        <v>0.29166666666666669</v>
      </c>
      <c r="Z912" s="48">
        <v>0.29166666666666669</v>
      </c>
      <c r="AA912" s="48">
        <v>0.29166666666666669</v>
      </c>
      <c r="AB912" s="48">
        <v>0.29166666666666669</v>
      </c>
      <c r="AC912" s="48">
        <v>0.29166666666666669</v>
      </c>
      <c r="AD912" s="48">
        <v>0.29166666666666669</v>
      </c>
      <c r="AE912" s="48">
        <v>0.29166666666666669</v>
      </c>
      <c r="AF912" s="48">
        <v>0.29166666666666669</v>
      </c>
      <c r="AG912" s="48">
        <v>0</v>
      </c>
      <c r="AH912" s="48">
        <v>0.29166666666666669</v>
      </c>
      <c r="AI912" s="48">
        <v>0.29166666666666669</v>
      </c>
      <c r="AJ912" s="48">
        <v>0.29166666666666669</v>
      </c>
      <c r="AK912" s="48">
        <v>0.29166666666666669</v>
      </c>
      <c r="AL912" s="48">
        <v>0.29166666666666669</v>
      </c>
    </row>
    <row r="913" spans="1:40" hidden="1" x14ac:dyDescent="0.25">
      <c r="A913">
        <v>912</v>
      </c>
      <c r="B913">
        <v>2025</v>
      </c>
      <c r="C913">
        <v>10</v>
      </c>
      <c r="D913" t="s">
        <v>457</v>
      </c>
      <c r="E913">
        <v>46</v>
      </c>
      <c r="F913">
        <v>6</v>
      </c>
      <c r="G913" t="s">
        <v>431</v>
      </c>
      <c r="H913" s="48">
        <v>0.75</v>
      </c>
      <c r="I913" s="48">
        <v>0.25</v>
      </c>
      <c r="J913" s="48">
        <v>0.25</v>
      </c>
      <c r="K913" s="48">
        <v>0.25</v>
      </c>
      <c r="L913" s="48">
        <v>0.25</v>
      </c>
      <c r="M913" s="48">
        <v>0.25</v>
      </c>
      <c r="N913" s="48">
        <v>0.25</v>
      </c>
      <c r="O913" s="48">
        <v>0.25</v>
      </c>
      <c r="P913" s="48">
        <v>0.25</v>
      </c>
      <c r="Q913" s="48">
        <v>0.25</v>
      </c>
      <c r="R913" s="48">
        <v>0.25</v>
      </c>
      <c r="S913" s="48">
        <v>0</v>
      </c>
      <c r="T913" s="48">
        <v>0.25</v>
      </c>
      <c r="U913" s="48">
        <v>0.25</v>
      </c>
      <c r="V913" s="48">
        <v>0.25</v>
      </c>
      <c r="W913" s="48">
        <v>0.25</v>
      </c>
      <c r="X913" s="48">
        <v>0.25</v>
      </c>
      <c r="Y913" s="48">
        <v>0.25</v>
      </c>
      <c r="Z913" s="48">
        <v>0.25</v>
      </c>
      <c r="AA913" s="48">
        <v>0.25</v>
      </c>
      <c r="AB913" s="48">
        <v>0.25</v>
      </c>
      <c r="AC913" s="48">
        <v>0.25</v>
      </c>
      <c r="AD913" s="48">
        <v>0.25</v>
      </c>
      <c r="AE913" s="48">
        <v>0.25</v>
      </c>
      <c r="AF913" s="48">
        <v>0.25</v>
      </c>
      <c r="AG913" s="48">
        <v>0</v>
      </c>
      <c r="AH913" s="48">
        <v>0.25</v>
      </c>
      <c r="AI913" s="48">
        <v>0.25</v>
      </c>
      <c r="AJ913" s="48">
        <v>0.25</v>
      </c>
      <c r="AK913" s="48">
        <v>0.25</v>
      </c>
      <c r="AL913" s="48">
        <v>0.25</v>
      </c>
      <c r="AM913">
        <v>1</v>
      </c>
      <c r="AN913">
        <v>28</v>
      </c>
    </row>
    <row r="914" spans="1:40" hidden="1" x14ac:dyDescent="0.25">
      <c r="A914">
        <v>913</v>
      </c>
      <c r="B914">
        <v>2025</v>
      </c>
      <c r="C914">
        <v>11</v>
      </c>
      <c r="D914" t="s">
        <v>313</v>
      </c>
      <c r="E914">
        <v>46</v>
      </c>
      <c r="F914">
        <v>7</v>
      </c>
      <c r="G914" t="s">
        <v>430</v>
      </c>
      <c r="H914" s="48">
        <v>0.29166666666666669</v>
      </c>
      <c r="I914" s="48">
        <v>0.29166666666666669</v>
      </c>
      <c r="J914" s="48">
        <v>0.29166666666666669</v>
      </c>
      <c r="K914" s="48">
        <v>0.29166666666666669</v>
      </c>
      <c r="L914" s="48">
        <v>0.29166666666666669</v>
      </c>
      <c r="M914" s="48">
        <v>0.29166666666666669</v>
      </c>
      <c r="N914" s="48">
        <v>0.29166666666666669</v>
      </c>
      <c r="O914" s="48">
        <v>0.29166666666666669</v>
      </c>
      <c r="P914" s="48">
        <v>0</v>
      </c>
      <c r="Q914" s="48">
        <v>0.29166666666666669</v>
      </c>
      <c r="R914" s="48">
        <v>0.29166666666666669</v>
      </c>
      <c r="S914" s="48">
        <v>0.29166666666666669</v>
      </c>
      <c r="T914" s="48">
        <v>0.29166666666666669</v>
      </c>
      <c r="U914" s="48">
        <v>0.29166666666666669</v>
      </c>
      <c r="V914" s="48">
        <v>0.29166666666666669</v>
      </c>
      <c r="W914" s="48">
        <v>0.29166666666666669</v>
      </c>
      <c r="X914" s="48">
        <v>0.29166666666666669</v>
      </c>
      <c r="Y914" s="48">
        <v>0.29166666666666669</v>
      </c>
      <c r="Z914" s="48">
        <v>0.29166666666666669</v>
      </c>
      <c r="AA914" s="48">
        <v>0.29166666666666669</v>
      </c>
      <c r="AB914" s="48">
        <v>0.29166666666666669</v>
      </c>
      <c r="AC914" s="48">
        <v>0.29166666666666669</v>
      </c>
      <c r="AD914" s="48">
        <v>0</v>
      </c>
      <c r="AE914" s="48">
        <v>0.29166666666666669</v>
      </c>
      <c r="AF914" s="48">
        <v>0.29166666666666669</v>
      </c>
      <c r="AG914" s="48">
        <v>0.29166666666666669</v>
      </c>
      <c r="AH914" s="48">
        <v>0.29166666666666669</v>
      </c>
      <c r="AI914" s="48">
        <v>0.29166666666666669</v>
      </c>
      <c r="AJ914" s="48">
        <v>0.29166666666666669</v>
      </c>
      <c r="AK914" s="48">
        <v>0.29166666666666669</v>
      </c>
      <c r="AL914" s="48">
        <v>0</v>
      </c>
    </row>
    <row r="915" spans="1:40" hidden="1" x14ac:dyDescent="0.25">
      <c r="A915">
        <v>914</v>
      </c>
      <c r="B915">
        <v>2025</v>
      </c>
      <c r="C915">
        <v>11</v>
      </c>
      <c r="D915" t="s">
        <v>313</v>
      </c>
      <c r="E915">
        <v>46</v>
      </c>
      <c r="F915">
        <v>7</v>
      </c>
      <c r="G915" t="s">
        <v>431</v>
      </c>
      <c r="H915" s="48">
        <v>0.75</v>
      </c>
      <c r="I915" s="48">
        <v>0.75</v>
      </c>
      <c r="J915" s="48">
        <v>0.75</v>
      </c>
      <c r="K915" s="48">
        <v>0.75</v>
      </c>
      <c r="L915" s="48">
        <v>0.75</v>
      </c>
      <c r="M915" s="48">
        <v>0.75</v>
      </c>
      <c r="N915" s="48">
        <v>0.75</v>
      </c>
      <c r="O915" s="48">
        <v>0.75</v>
      </c>
      <c r="P915" s="48">
        <v>0</v>
      </c>
      <c r="Q915" s="48">
        <v>0.75</v>
      </c>
      <c r="R915" s="48">
        <v>0.75</v>
      </c>
      <c r="S915" s="48">
        <v>0.75</v>
      </c>
      <c r="T915" s="48">
        <v>0.75</v>
      </c>
      <c r="U915" s="48">
        <v>0.75</v>
      </c>
      <c r="V915" s="48">
        <v>0.75</v>
      </c>
      <c r="W915" s="48">
        <v>0.75</v>
      </c>
      <c r="X915" s="48">
        <v>0.75</v>
      </c>
      <c r="Y915" s="48">
        <v>0.75</v>
      </c>
      <c r="Z915" s="48">
        <v>0.75</v>
      </c>
      <c r="AA915" s="48">
        <v>0.75</v>
      </c>
      <c r="AB915" s="48">
        <v>0.75</v>
      </c>
      <c r="AC915" s="48">
        <v>0.75</v>
      </c>
      <c r="AD915" s="48">
        <v>0</v>
      </c>
      <c r="AE915" s="48">
        <v>0.75</v>
      </c>
      <c r="AF915" s="48">
        <v>0.75</v>
      </c>
      <c r="AG915" s="48">
        <v>0.75</v>
      </c>
      <c r="AH915" s="48">
        <v>0.75</v>
      </c>
      <c r="AI915" s="48">
        <v>0.75</v>
      </c>
      <c r="AJ915" s="48">
        <v>0.75</v>
      </c>
      <c r="AK915" s="48">
        <v>0.75</v>
      </c>
      <c r="AL915" s="48">
        <v>0</v>
      </c>
      <c r="AM915">
        <v>28</v>
      </c>
    </row>
    <row r="916" spans="1:40" hidden="1" x14ac:dyDescent="0.25">
      <c r="A916">
        <v>915</v>
      </c>
      <c r="B916">
        <v>2025</v>
      </c>
      <c r="C916">
        <v>11</v>
      </c>
      <c r="D916" t="s">
        <v>457</v>
      </c>
      <c r="E916">
        <v>46</v>
      </c>
      <c r="F916">
        <v>7</v>
      </c>
      <c r="G916" t="s">
        <v>430</v>
      </c>
      <c r="H916" s="48">
        <v>0.29166666666666669</v>
      </c>
      <c r="I916" s="48">
        <v>0.29166666666666669</v>
      </c>
      <c r="J916" s="48">
        <v>0.29166666666666669</v>
      </c>
      <c r="K916" s="48">
        <v>0.29166666666666669</v>
      </c>
      <c r="L916" s="48">
        <v>0.29166666666666669</v>
      </c>
      <c r="M916" s="48">
        <v>0.29166666666666669</v>
      </c>
      <c r="N916" s="48">
        <v>0.29166666666666669</v>
      </c>
      <c r="O916" s="48">
        <v>0.29166666666666669</v>
      </c>
      <c r="P916" s="48">
        <v>0</v>
      </c>
      <c r="Q916" s="48">
        <v>0.29166666666666669</v>
      </c>
      <c r="R916" s="48">
        <v>0.29166666666666669</v>
      </c>
      <c r="S916" s="48">
        <v>0.29166666666666669</v>
      </c>
      <c r="T916" s="48">
        <v>0.29166666666666669</v>
      </c>
      <c r="U916" s="48">
        <v>0.29166666666666669</v>
      </c>
      <c r="V916" s="48">
        <v>0.29166666666666669</v>
      </c>
      <c r="W916" s="48">
        <v>0.29166666666666669</v>
      </c>
      <c r="X916" s="48">
        <v>0.29166666666666669</v>
      </c>
      <c r="Y916" s="48">
        <v>0.29166666666666669</v>
      </c>
      <c r="Z916" s="48">
        <v>0.29166666666666669</v>
      </c>
      <c r="AA916" s="48">
        <v>0.29166666666666669</v>
      </c>
      <c r="AB916" s="48">
        <v>0</v>
      </c>
      <c r="AC916" s="48">
        <v>0</v>
      </c>
      <c r="AD916" s="48">
        <v>0</v>
      </c>
      <c r="AE916" s="48">
        <v>0</v>
      </c>
      <c r="AF916" s="48">
        <v>0</v>
      </c>
      <c r="AG916" s="48">
        <v>0</v>
      </c>
      <c r="AH916" s="48">
        <v>0</v>
      </c>
      <c r="AI916" s="48">
        <v>0</v>
      </c>
      <c r="AJ916" s="48">
        <v>0</v>
      </c>
      <c r="AK916" s="48">
        <v>0</v>
      </c>
      <c r="AL916" s="48">
        <v>0</v>
      </c>
    </row>
    <row r="917" spans="1:40" hidden="1" x14ac:dyDescent="0.25">
      <c r="A917">
        <v>916</v>
      </c>
      <c r="B917">
        <v>2025</v>
      </c>
      <c r="C917">
        <v>11</v>
      </c>
      <c r="D917" t="s">
        <v>457</v>
      </c>
      <c r="E917">
        <v>46</v>
      </c>
      <c r="F917">
        <v>7</v>
      </c>
      <c r="G917" t="s">
        <v>431</v>
      </c>
      <c r="H917" s="48">
        <v>0.75</v>
      </c>
      <c r="I917" s="48">
        <v>0.75</v>
      </c>
      <c r="J917" s="48">
        <v>0.75</v>
      </c>
      <c r="K917" s="48">
        <v>0.75</v>
      </c>
      <c r="L917" s="48">
        <v>0.75</v>
      </c>
      <c r="M917" s="48">
        <v>0.75</v>
      </c>
      <c r="N917" s="48">
        <v>0.75</v>
      </c>
      <c r="O917" s="48">
        <v>0.75</v>
      </c>
      <c r="P917" s="48">
        <v>0</v>
      </c>
      <c r="Q917" s="48">
        <v>0.75</v>
      </c>
      <c r="R917" s="48">
        <v>0.75</v>
      </c>
      <c r="S917" s="48">
        <v>0.75</v>
      </c>
      <c r="T917" s="48">
        <v>0.75</v>
      </c>
      <c r="U917" s="48">
        <v>0.75</v>
      </c>
      <c r="V917" s="48">
        <v>0.75</v>
      </c>
      <c r="W917" s="48">
        <v>0.75</v>
      </c>
      <c r="X917" s="48">
        <v>0.75</v>
      </c>
      <c r="Y917" s="48">
        <v>0.75</v>
      </c>
      <c r="Z917" s="48">
        <v>0.75</v>
      </c>
      <c r="AA917" s="48">
        <v>0.75</v>
      </c>
      <c r="AB917" s="48">
        <v>0</v>
      </c>
      <c r="AC917" s="48">
        <v>0</v>
      </c>
      <c r="AD917" s="48">
        <v>0</v>
      </c>
      <c r="AE917" s="48">
        <v>0</v>
      </c>
      <c r="AF917" s="48">
        <v>0</v>
      </c>
      <c r="AG917" s="48">
        <v>0</v>
      </c>
      <c r="AH917" s="48">
        <v>0</v>
      </c>
      <c r="AI917" s="48">
        <v>0</v>
      </c>
      <c r="AJ917" s="48">
        <v>0</v>
      </c>
      <c r="AK917" s="48">
        <v>0</v>
      </c>
      <c r="AL917" s="48">
        <v>0</v>
      </c>
      <c r="AM917">
        <v>19</v>
      </c>
    </row>
    <row r="918" spans="1:40" hidden="1" x14ac:dyDescent="0.25">
      <c r="A918">
        <v>917</v>
      </c>
      <c r="B918">
        <v>2025</v>
      </c>
      <c r="C918">
        <v>6</v>
      </c>
      <c r="D918" t="s">
        <v>460</v>
      </c>
      <c r="E918">
        <v>50</v>
      </c>
      <c r="F918">
        <v>1</v>
      </c>
      <c r="G918" t="s">
        <v>430</v>
      </c>
      <c r="J918" s="48">
        <v>0.29166666666666669</v>
      </c>
      <c r="K918" s="48">
        <v>0.29166666666666669</v>
      </c>
      <c r="L918" s="48">
        <v>0.29166666666666669</v>
      </c>
      <c r="O918" s="48">
        <v>0.29166666666666669</v>
      </c>
      <c r="P918" s="48">
        <v>0.29166666666666669</v>
      </c>
      <c r="Q918" s="48">
        <v>0.29166666666666669</v>
      </c>
      <c r="R918" s="48">
        <v>0.29166666666666669</v>
      </c>
      <c r="S918" s="48">
        <v>0.29166666666666669</v>
      </c>
      <c r="T918" s="48">
        <v>0.29166666666666669</v>
      </c>
      <c r="U918" s="48">
        <v>0.29166666666666669</v>
      </c>
      <c r="V918" s="48">
        <v>0.29166666666666669</v>
      </c>
      <c r="W918" s="48">
        <v>0.29166666666666669</v>
      </c>
      <c r="X918" s="48">
        <v>0.29166666666666669</v>
      </c>
      <c r="Y918" s="48">
        <v>0.29166666666666669</v>
      </c>
      <c r="Z918" s="48">
        <v>0.29166666666666669</v>
      </c>
      <c r="AA918" s="48">
        <v>0.29166666666666669</v>
      </c>
      <c r="AB918" s="48">
        <v>0.29166666666666669</v>
      </c>
      <c r="AD918" s="48">
        <v>0.29166666666666669</v>
      </c>
      <c r="AE918" s="48">
        <v>0.29166666666666669</v>
      </c>
      <c r="AF918" s="48">
        <v>0.29166666666666669</v>
      </c>
      <c r="AG918" s="48">
        <v>0.29166666666666669</v>
      </c>
      <c r="AH918" s="48">
        <v>0.29166666666666669</v>
      </c>
      <c r="AI918" s="48">
        <v>0.29166666666666669</v>
      </c>
      <c r="AJ918" s="48">
        <v>0.29166666666666669</v>
      </c>
      <c r="AK918" s="48">
        <v>0.29166666666666669</v>
      </c>
    </row>
    <row r="919" spans="1:40" hidden="1" x14ac:dyDescent="0.25">
      <c r="A919">
        <v>918</v>
      </c>
      <c r="B919">
        <v>2025</v>
      </c>
      <c r="C919">
        <v>6</v>
      </c>
      <c r="D919" t="s">
        <v>460</v>
      </c>
      <c r="E919">
        <v>50</v>
      </c>
      <c r="F919">
        <v>1</v>
      </c>
      <c r="G919" t="s">
        <v>431</v>
      </c>
      <c r="J919" s="48">
        <v>0.75</v>
      </c>
      <c r="K919" s="48">
        <v>0.75</v>
      </c>
      <c r="L919" s="48">
        <v>0.75</v>
      </c>
      <c r="O919" s="48">
        <v>0.75</v>
      </c>
      <c r="P919" s="48">
        <v>0.75</v>
      </c>
      <c r="Q919" s="48">
        <v>0.75</v>
      </c>
      <c r="R919" s="48">
        <v>0.5</v>
      </c>
      <c r="S919" s="48">
        <v>0.75</v>
      </c>
      <c r="T919" s="48">
        <v>0.75</v>
      </c>
      <c r="U919" s="48">
        <v>0.75</v>
      </c>
      <c r="V919" s="48">
        <v>0.75</v>
      </c>
      <c r="W919" s="48">
        <v>0.75</v>
      </c>
      <c r="X919" s="48">
        <v>0.75</v>
      </c>
      <c r="Y919" s="48">
        <v>0.75</v>
      </c>
      <c r="Z919" s="48">
        <v>0.75</v>
      </c>
      <c r="AA919" s="48">
        <v>0.75</v>
      </c>
      <c r="AB919" s="48">
        <v>0.75</v>
      </c>
      <c r="AD919" s="48">
        <v>0.75</v>
      </c>
      <c r="AE919" s="48">
        <v>0.75</v>
      </c>
      <c r="AF919" s="48">
        <v>0.75</v>
      </c>
      <c r="AG919" s="48">
        <v>0.75</v>
      </c>
      <c r="AH919" s="48">
        <v>0.75</v>
      </c>
      <c r="AI919" s="48">
        <v>0.75</v>
      </c>
      <c r="AJ919" s="48">
        <v>0.75</v>
      </c>
      <c r="AK919" s="48">
        <v>0.75</v>
      </c>
      <c r="AM919">
        <v>24.5</v>
      </c>
    </row>
    <row r="920" spans="1:40" hidden="1" x14ac:dyDescent="0.25">
      <c r="A920">
        <v>919</v>
      </c>
      <c r="B920">
        <v>2025</v>
      </c>
      <c r="C920">
        <v>7</v>
      </c>
      <c r="D920" t="s">
        <v>460</v>
      </c>
      <c r="E920">
        <v>50</v>
      </c>
      <c r="F920">
        <v>2</v>
      </c>
      <c r="G920" t="s">
        <v>430</v>
      </c>
      <c r="H920" s="48">
        <v>0.29166666666666669</v>
      </c>
      <c r="I920" s="48">
        <v>0.29166666666666669</v>
      </c>
      <c r="J920" s="48">
        <v>0.29166666666666669</v>
      </c>
      <c r="K920" s="48">
        <v>0.29166666666666669</v>
      </c>
      <c r="L920" s="48">
        <v>0.29166666666666669</v>
      </c>
      <c r="N920" s="48">
        <v>0.29166666666666669</v>
      </c>
      <c r="O920" s="48">
        <v>0.29166666666666669</v>
      </c>
      <c r="P920" s="48">
        <v>0.29166666666666669</v>
      </c>
      <c r="Q920" s="48">
        <v>0.29166666666666669</v>
      </c>
      <c r="R920" s="48">
        <v>0.29166666666666669</v>
      </c>
      <c r="S920" s="48">
        <v>0.29166666666666669</v>
      </c>
      <c r="T920" s="48">
        <v>0.29166666666666669</v>
      </c>
      <c r="U920" s="48">
        <v>0.29166666666666669</v>
      </c>
      <c r="V920" s="48">
        <v>0.29166666666666669</v>
      </c>
      <c r="W920" s="48">
        <v>0.29166666666666669</v>
      </c>
      <c r="X920" s="48">
        <v>0.29166666666666669</v>
      </c>
      <c r="Y920" s="48">
        <v>0.29166666666666669</v>
      </c>
      <c r="Z920" s="48">
        <v>0.29166666666666669</v>
      </c>
      <c r="AA920" s="48">
        <v>0.29166666666666669</v>
      </c>
      <c r="AB920" s="48">
        <v>0.29166666666666669</v>
      </c>
      <c r="AC920" s="48">
        <v>0.29166666666666669</v>
      </c>
      <c r="AD920" s="48">
        <v>0.29166666666666669</v>
      </c>
      <c r="AE920" s="48">
        <v>0.29166666666666669</v>
      </c>
      <c r="AF920" s="48">
        <v>0.29166666666666669</v>
      </c>
      <c r="AG920" s="48">
        <v>0.29166666666666669</v>
      </c>
      <c r="AI920" s="48">
        <v>0.29166666666666669</v>
      </c>
      <c r="AJ920" s="48">
        <v>0.29166666666666669</v>
      </c>
      <c r="AK920" s="48">
        <v>0.29166666666666669</v>
      </c>
      <c r="AL920" s="48">
        <v>0.29166666666666669</v>
      </c>
    </row>
    <row r="921" spans="1:40" hidden="1" x14ac:dyDescent="0.25">
      <c r="A921">
        <v>920</v>
      </c>
      <c r="B921">
        <v>2025</v>
      </c>
      <c r="C921">
        <v>7</v>
      </c>
      <c r="D921" t="s">
        <v>460</v>
      </c>
      <c r="E921">
        <v>50</v>
      </c>
      <c r="F921">
        <v>2</v>
      </c>
      <c r="G921" t="s">
        <v>431</v>
      </c>
      <c r="H921" s="48">
        <v>0.75</v>
      </c>
      <c r="I921" s="48">
        <v>0.75</v>
      </c>
      <c r="J921" s="48">
        <v>0.75</v>
      </c>
      <c r="K921" s="48">
        <v>0.75</v>
      </c>
      <c r="L921" s="48">
        <v>0.75</v>
      </c>
      <c r="N921" s="48">
        <v>0.75</v>
      </c>
      <c r="O921" s="48">
        <v>0.75</v>
      </c>
      <c r="P921" s="48">
        <v>0.75</v>
      </c>
      <c r="Q921" s="48">
        <v>0.75</v>
      </c>
      <c r="R921" s="48">
        <v>0.75</v>
      </c>
      <c r="S921" s="48">
        <v>0.75</v>
      </c>
      <c r="T921" s="48">
        <v>0.75</v>
      </c>
      <c r="U921" s="48">
        <v>0.75</v>
      </c>
      <c r="V921" s="48">
        <v>0.75</v>
      </c>
      <c r="W921" s="48">
        <v>0.75</v>
      </c>
      <c r="X921" s="48">
        <v>0.75</v>
      </c>
      <c r="Y921" s="48">
        <v>0.75</v>
      </c>
      <c r="Z921" s="48">
        <v>0.75</v>
      </c>
      <c r="AA921" s="48">
        <v>0.75</v>
      </c>
      <c r="AB921" s="48">
        <v>0.75</v>
      </c>
      <c r="AC921" s="48">
        <v>0.75</v>
      </c>
      <c r="AD921" s="48">
        <v>0.75</v>
      </c>
      <c r="AE921" s="48">
        <v>0.75</v>
      </c>
      <c r="AF921" s="48">
        <v>0.75</v>
      </c>
      <c r="AG921" s="48">
        <v>0.75</v>
      </c>
      <c r="AI921" s="48">
        <v>0.75</v>
      </c>
      <c r="AJ921" s="48">
        <v>0.75</v>
      </c>
      <c r="AK921" s="48">
        <v>0.75</v>
      </c>
      <c r="AL921" s="48">
        <v>0.75</v>
      </c>
      <c r="AM921">
        <v>29</v>
      </c>
    </row>
    <row r="922" spans="1:40" hidden="1" x14ac:dyDescent="0.25">
      <c r="A922">
        <v>921</v>
      </c>
      <c r="B922">
        <v>2025</v>
      </c>
      <c r="C922">
        <v>8</v>
      </c>
      <c r="D922" t="s">
        <v>460</v>
      </c>
      <c r="E922">
        <v>50</v>
      </c>
      <c r="F922">
        <v>3</v>
      </c>
      <c r="G922" t="s">
        <v>430</v>
      </c>
      <c r="H922" s="48">
        <v>0.29166666666666669</v>
      </c>
      <c r="I922" s="48">
        <v>0.29166666666666669</v>
      </c>
      <c r="J922" s="48">
        <v>0.29166666666666669</v>
      </c>
      <c r="K922" s="48">
        <v>0.29166666666666669</v>
      </c>
      <c r="L922" s="48">
        <v>0.29166666666666669</v>
      </c>
      <c r="M922" s="48">
        <v>0.29166666666666669</v>
      </c>
      <c r="N922" s="48">
        <v>0.29166666666666669</v>
      </c>
      <c r="O922" s="48">
        <v>0.29166666666666669</v>
      </c>
      <c r="P922" s="48">
        <v>0.29166666666666669</v>
      </c>
      <c r="Q922" s="48">
        <v>0.29166666666666669</v>
      </c>
      <c r="R922" s="48">
        <v>0.29166666666666669</v>
      </c>
      <c r="S922" s="48">
        <v>0.29166666666666669</v>
      </c>
      <c r="T922" s="48">
        <v>0.29166666666666669</v>
      </c>
      <c r="U922" s="48">
        <v>0.29166666666666669</v>
      </c>
      <c r="V922" s="48">
        <v>0.29166666666666669</v>
      </c>
      <c r="W922" s="48">
        <v>0.29166666666666669</v>
      </c>
      <c r="X922" s="48">
        <v>0.29166666666666669</v>
      </c>
      <c r="Y922" s="48">
        <v>0.29166666666666669</v>
      </c>
      <c r="Z922" s="48">
        <v>0.29166666666666669</v>
      </c>
      <c r="AB922" s="48">
        <v>0.29166666666666669</v>
      </c>
      <c r="AC922" s="48">
        <v>0.29166666666666669</v>
      </c>
      <c r="AD922" s="48">
        <v>0.29166666666666669</v>
      </c>
      <c r="AF922" s="48">
        <v>0.29166666666666669</v>
      </c>
      <c r="AG922" s="48">
        <v>0.29166666666666669</v>
      </c>
      <c r="AH922" s="48">
        <v>0.29166666666666669</v>
      </c>
      <c r="AI922" s="48">
        <v>0.29166666666666669</v>
      </c>
      <c r="AJ922" s="48">
        <v>0.29166666666666669</v>
      </c>
      <c r="AK922" s="48">
        <v>0.29166666666666669</v>
      </c>
      <c r="AL922" s="48">
        <v>0.29166666666666669</v>
      </c>
    </row>
    <row r="923" spans="1:40" hidden="1" x14ac:dyDescent="0.25">
      <c r="A923">
        <v>922</v>
      </c>
      <c r="B923">
        <v>2025</v>
      </c>
      <c r="C923">
        <v>8</v>
      </c>
      <c r="D923" t="s">
        <v>460</v>
      </c>
      <c r="E923">
        <v>50</v>
      </c>
      <c r="F923">
        <v>3</v>
      </c>
      <c r="G923" t="s">
        <v>431</v>
      </c>
      <c r="H923" s="48">
        <v>0.75</v>
      </c>
      <c r="I923" s="48">
        <v>0.75</v>
      </c>
      <c r="J923" s="48">
        <v>0.75</v>
      </c>
      <c r="K923" s="48">
        <v>0.75</v>
      </c>
      <c r="L923" s="48">
        <v>0.75</v>
      </c>
      <c r="M923" s="48">
        <v>0.75</v>
      </c>
      <c r="N923" s="48">
        <v>0.75</v>
      </c>
      <c r="O923" s="48">
        <v>0.75</v>
      </c>
      <c r="P923" s="48">
        <v>0.75</v>
      </c>
      <c r="Q923" s="48">
        <v>0.75</v>
      </c>
      <c r="R923" s="48">
        <v>0.75</v>
      </c>
      <c r="S923" s="48">
        <v>0.75</v>
      </c>
      <c r="T923" s="48">
        <v>0.75</v>
      </c>
      <c r="U923" s="48">
        <v>0.75</v>
      </c>
      <c r="V923" s="48">
        <v>0.75</v>
      </c>
      <c r="W923" s="48">
        <v>0.75</v>
      </c>
      <c r="X923" s="48">
        <v>0.75</v>
      </c>
      <c r="Y923" s="48">
        <v>0.75</v>
      </c>
      <c r="Z923" s="48">
        <v>0.75</v>
      </c>
      <c r="AB923" s="48">
        <v>0.75</v>
      </c>
      <c r="AC923" s="48">
        <v>0.75</v>
      </c>
      <c r="AD923" s="48">
        <v>0.75</v>
      </c>
      <c r="AF923" s="48">
        <v>0.75</v>
      </c>
      <c r="AG923" s="48">
        <v>0.75</v>
      </c>
      <c r="AH923" s="48">
        <v>0.75</v>
      </c>
      <c r="AI923" s="48">
        <v>0.75</v>
      </c>
      <c r="AJ923" s="48">
        <v>0.75</v>
      </c>
      <c r="AK923" s="48">
        <v>0.75</v>
      </c>
      <c r="AL923" s="48">
        <v>0.75</v>
      </c>
      <c r="AM923">
        <v>29</v>
      </c>
    </row>
    <row r="924" spans="1:40" hidden="1" x14ac:dyDescent="0.25">
      <c r="A924">
        <v>923</v>
      </c>
      <c r="B924">
        <v>2025</v>
      </c>
      <c r="C924">
        <v>9</v>
      </c>
      <c r="D924" t="s">
        <v>460</v>
      </c>
      <c r="E924">
        <v>50</v>
      </c>
      <c r="F924">
        <v>4</v>
      </c>
      <c r="G924" t="s">
        <v>430</v>
      </c>
      <c r="H924" s="48">
        <v>0.29166666666666669</v>
      </c>
      <c r="I924" s="48">
        <v>0.29166666666666669</v>
      </c>
      <c r="J924" s="48">
        <v>0.29166666666666669</v>
      </c>
      <c r="K924" s="48">
        <v>0.29166666666666669</v>
      </c>
      <c r="L924" s="48">
        <v>0.29166666666666669</v>
      </c>
      <c r="M924" s="48">
        <v>0.29166666666666669</v>
      </c>
      <c r="N924" s="48" t="s">
        <v>320</v>
      </c>
      <c r="O924" s="48">
        <v>0.29166666666666669</v>
      </c>
      <c r="P924" s="48">
        <v>0.29166666666666669</v>
      </c>
      <c r="Q924" s="48">
        <v>0.29166666666666669</v>
      </c>
      <c r="R924" s="48">
        <v>0.29166666666666669</v>
      </c>
      <c r="S924" s="48">
        <v>0.29166666666666669</v>
      </c>
      <c r="T924" s="48">
        <v>0.29166666666666669</v>
      </c>
      <c r="U924" s="48" t="s">
        <v>320</v>
      </c>
      <c r="V924" s="48">
        <v>0.29166666666666669</v>
      </c>
      <c r="W924" s="48">
        <v>0.29166666666666669</v>
      </c>
      <c r="X924" s="48">
        <v>0.29166666666666669</v>
      </c>
      <c r="Y924" s="48">
        <v>0.29166666666666669</v>
      </c>
      <c r="Z924" s="48">
        <v>0.29166666666666669</v>
      </c>
      <c r="AA924" s="48">
        <v>0.29166666666666669</v>
      </c>
      <c r="AB924" s="48">
        <v>0.29166666666666669</v>
      </c>
      <c r="AC924" s="48">
        <v>0.29166666666666669</v>
      </c>
      <c r="AD924" s="48">
        <v>0.29166666666666669</v>
      </c>
      <c r="AE924" s="48">
        <v>0.29166666666666669</v>
      </c>
      <c r="AF924" s="48">
        <v>0.29166666666666669</v>
      </c>
      <c r="AG924" s="48">
        <v>0.29166666666666669</v>
      </c>
      <c r="AH924" s="48">
        <v>0.29166666666666669</v>
      </c>
      <c r="AI924" s="48" t="s">
        <v>320</v>
      </c>
      <c r="AJ924" s="48">
        <v>0.29166666666666669</v>
      </c>
      <c r="AK924" s="48">
        <v>0.29166666666666669</v>
      </c>
      <c r="AL924" s="48" t="s">
        <v>320</v>
      </c>
    </row>
    <row r="925" spans="1:40" hidden="1" x14ac:dyDescent="0.25">
      <c r="A925">
        <v>924</v>
      </c>
      <c r="B925">
        <v>2025</v>
      </c>
      <c r="C925">
        <v>9</v>
      </c>
      <c r="D925" t="s">
        <v>460</v>
      </c>
      <c r="E925">
        <v>50</v>
      </c>
      <c r="F925">
        <v>4</v>
      </c>
      <c r="G925" t="s">
        <v>431</v>
      </c>
      <c r="H925" s="48">
        <v>0.75</v>
      </c>
      <c r="I925" s="48">
        <v>0.75</v>
      </c>
      <c r="J925" s="48">
        <v>0.75</v>
      </c>
      <c r="K925" s="48">
        <v>0.75</v>
      </c>
      <c r="L925" s="48">
        <v>0.75</v>
      </c>
      <c r="M925" s="48">
        <v>0.75</v>
      </c>
      <c r="N925" s="48" t="s">
        <v>320</v>
      </c>
      <c r="O925" s="48">
        <v>0.75</v>
      </c>
      <c r="P925" s="48">
        <v>0.75</v>
      </c>
      <c r="Q925" s="48">
        <v>0.75</v>
      </c>
      <c r="R925" s="48">
        <v>0.75</v>
      </c>
      <c r="S925" s="48">
        <v>0.75</v>
      </c>
      <c r="T925" s="48">
        <v>0.75</v>
      </c>
      <c r="U925" s="48" t="s">
        <v>320</v>
      </c>
      <c r="V925" s="48">
        <v>0.75</v>
      </c>
      <c r="W925" s="48">
        <v>0.75</v>
      </c>
      <c r="X925" s="48">
        <v>0.75</v>
      </c>
      <c r="Y925" s="48">
        <v>0.75</v>
      </c>
      <c r="Z925" s="48">
        <v>0.75</v>
      </c>
      <c r="AA925" s="48">
        <v>0.75</v>
      </c>
      <c r="AB925" s="48">
        <v>0.75</v>
      </c>
      <c r="AC925" s="48">
        <v>0.75</v>
      </c>
      <c r="AD925" s="48">
        <v>0.75</v>
      </c>
      <c r="AE925" s="48">
        <v>0.75</v>
      </c>
      <c r="AF925" s="48">
        <v>0.75</v>
      </c>
      <c r="AG925" s="48">
        <v>0.75</v>
      </c>
      <c r="AH925" s="48">
        <v>0.75</v>
      </c>
      <c r="AI925" s="48" t="s">
        <v>320</v>
      </c>
      <c r="AJ925" s="48">
        <v>0.75</v>
      </c>
      <c r="AK925" s="48">
        <v>0.75</v>
      </c>
      <c r="AL925" s="48" t="s">
        <v>320</v>
      </c>
      <c r="AM925">
        <v>27</v>
      </c>
    </row>
    <row r="926" spans="1:40" hidden="1" x14ac:dyDescent="0.25">
      <c r="A926">
        <v>925</v>
      </c>
      <c r="B926">
        <v>2025</v>
      </c>
      <c r="C926">
        <v>10</v>
      </c>
      <c r="D926" t="s">
        <v>460</v>
      </c>
      <c r="E926">
        <v>50</v>
      </c>
      <c r="F926">
        <v>5</v>
      </c>
      <c r="G926" t="s">
        <v>430</v>
      </c>
      <c r="H926" s="48">
        <v>0.29166666666666669</v>
      </c>
      <c r="I926" s="48">
        <v>0.29166666666666669</v>
      </c>
      <c r="J926" s="48">
        <v>0.29166666666666669</v>
      </c>
      <c r="K926" s="48">
        <v>0.29166666666666669</v>
      </c>
      <c r="L926" s="48">
        <v>0.29166666666666669</v>
      </c>
      <c r="M926" s="48">
        <v>0.29166666666666669</v>
      </c>
      <c r="N926" s="48">
        <v>0.29166666666666669</v>
      </c>
      <c r="O926" s="48">
        <v>0.29166666666666669</v>
      </c>
      <c r="P926" s="48">
        <v>0.29166666666666669</v>
      </c>
      <c r="Q926" s="48">
        <v>0.29166666666666669</v>
      </c>
      <c r="R926" s="48">
        <v>0.29166666666666669</v>
      </c>
      <c r="S926" s="48" t="s">
        <v>320</v>
      </c>
      <c r="T926" s="48">
        <v>0.29166666666666669</v>
      </c>
      <c r="U926" s="48">
        <v>0.29166666666666669</v>
      </c>
      <c r="V926" s="48" t="s">
        <v>320</v>
      </c>
      <c r="W926" s="48">
        <v>0.29166666666666669</v>
      </c>
      <c r="X926" s="48">
        <v>0.29166666666666669</v>
      </c>
      <c r="Y926" s="48">
        <v>0.29166666666666669</v>
      </c>
      <c r="Z926" s="48">
        <v>0.29166666666666669</v>
      </c>
      <c r="AA926" s="48">
        <v>0.29166666666666669</v>
      </c>
      <c r="AB926" s="48">
        <v>0.29166666666666669</v>
      </c>
      <c r="AC926" s="48">
        <v>0.29166666666666669</v>
      </c>
      <c r="AD926" s="48">
        <v>0.29166666666666669</v>
      </c>
      <c r="AE926" s="48">
        <v>0.29166666666666669</v>
      </c>
      <c r="AF926" s="48">
        <v>0.29166666666666669</v>
      </c>
      <c r="AG926" s="48" t="s">
        <v>320</v>
      </c>
      <c r="AH926" s="48">
        <v>0.29166666666666669</v>
      </c>
      <c r="AI926" s="48">
        <v>0.29166666666666669</v>
      </c>
      <c r="AJ926" s="48">
        <v>0.29166666666666669</v>
      </c>
      <c r="AK926" s="48">
        <v>0.29166666666666669</v>
      </c>
      <c r="AL926" s="48">
        <v>0.29166666666666669</v>
      </c>
    </row>
    <row r="927" spans="1:40" hidden="1" x14ac:dyDescent="0.25">
      <c r="A927">
        <v>926</v>
      </c>
      <c r="B927">
        <v>2025</v>
      </c>
      <c r="C927">
        <v>10</v>
      </c>
      <c r="D927" t="s">
        <v>460</v>
      </c>
      <c r="E927">
        <v>50</v>
      </c>
      <c r="F927">
        <v>5</v>
      </c>
      <c r="G927" t="s">
        <v>431</v>
      </c>
      <c r="H927" s="48">
        <v>0.75</v>
      </c>
      <c r="I927" s="48">
        <v>0.75</v>
      </c>
      <c r="J927" s="48">
        <v>0.75</v>
      </c>
      <c r="K927" s="48">
        <v>0.75</v>
      </c>
      <c r="L927" s="48">
        <v>0.75</v>
      </c>
      <c r="M927" s="48">
        <v>0.75</v>
      </c>
      <c r="N927" s="48">
        <v>0.75</v>
      </c>
      <c r="O927" s="48">
        <v>0.75</v>
      </c>
      <c r="P927" s="48">
        <v>0.75</v>
      </c>
      <c r="Q927" s="48">
        <v>0.75</v>
      </c>
      <c r="R927" s="48">
        <v>0.75</v>
      </c>
      <c r="S927" s="48" t="s">
        <v>320</v>
      </c>
      <c r="T927" s="48">
        <v>0.75</v>
      </c>
      <c r="U927" s="48">
        <v>0.75</v>
      </c>
      <c r="V927" s="48" t="s">
        <v>320</v>
      </c>
      <c r="W927" s="48">
        <v>0.75</v>
      </c>
      <c r="X927" s="48">
        <v>0.75</v>
      </c>
      <c r="Y927" s="48">
        <v>0.75</v>
      </c>
      <c r="Z927" s="48">
        <v>0.75</v>
      </c>
      <c r="AA927" s="48">
        <v>0.75</v>
      </c>
      <c r="AB927" s="48">
        <v>0.75</v>
      </c>
      <c r="AC927" s="48">
        <v>0.75</v>
      </c>
      <c r="AD927" s="48">
        <v>0.75</v>
      </c>
      <c r="AE927" s="48">
        <v>0.75</v>
      </c>
      <c r="AF927" s="48">
        <v>0.75</v>
      </c>
      <c r="AG927" s="48" t="s">
        <v>320</v>
      </c>
      <c r="AH927" s="48">
        <v>0.75</v>
      </c>
      <c r="AI927" s="48">
        <v>0.75</v>
      </c>
      <c r="AJ927" s="48">
        <v>0.75</v>
      </c>
      <c r="AK927" s="48">
        <v>0.75</v>
      </c>
      <c r="AL927" s="48">
        <v>0.75</v>
      </c>
      <c r="AM927">
        <v>28</v>
      </c>
    </row>
    <row r="928" spans="1:40" hidden="1" x14ac:dyDescent="0.25">
      <c r="A928">
        <v>927</v>
      </c>
      <c r="B928">
        <v>2025</v>
      </c>
      <c r="C928">
        <v>11</v>
      </c>
      <c r="D928" t="s">
        <v>460</v>
      </c>
      <c r="E928">
        <v>50</v>
      </c>
      <c r="F928">
        <v>6</v>
      </c>
      <c r="G928" t="s">
        <v>430</v>
      </c>
      <c r="H928" s="48">
        <v>0.29166666666666669</v>
      </c>
      <c r="I928" s="48">
        <v>0.29166666666666669</v>
      </c>
      <c r="J928" s="48">
        <v>0.29166666666666669</v>
      </c>
      <c r="K928" s="48">
        <v>0.29166666666666669</v>
      </c>
      <c r="L928" s="48">
        <v>0.29166666666666669</v>
      </c>
      <c r="M928" s="48">
        <v>0.29166666666666669</v>
      </c>
      <c r="N928" s="48">
        <v>0.29166666666666669</v>
      </c>
      <c r="O928" s="48">
        <v>0.29166666666666669</v>
      </c>
      <c r="P928" s="48" t="s">
        <v>320</v>
      </c>
      <c r="Q928" s="48">
        <v>0.29166666666666669</v>
      </c>
      <c r="R928" s="48">
        <v>0.29166666666666669</v>
      </c>
      <c r="S928" s="48">
        <v>0.29166666666666669</v>
      </c>
      <c r="T928" s="48">
        <v>0.29166666666666669</v>
      </c>
      <c r="U928" s="48">
        <v>0.29166666666666669</v>
      </c>
      <c r="V928" s="48">
        <v>0.29166666666666669</v>
      </c>
      <c r="W928" s="48">
        <v>0.29166666666666669</v>
      </c>
      <c r="X928" s="48">
        <v>0.29166666666666669</v>
      </c>
      <c r="Y928" s="48">
        <v>0.29166666666666669</v>
      </c>
      <c r="Z928" s="48">
        <v>0.29166666666666669</v>
      </c>
      <c r="AA928" s="48">
        <v>0.29166666666666669</v>
      </c>
      <c r="AB928" s="48">
        <v>0.29166666666666669</v>
      </c>
      <c r="AC928" s="48">
        <v>0.29166666666666669</v>
      </c>
      <c r="AD928" s="48" t="s">
        <v>320</v>
      </c>
      <c r="AE928" s="48">
        <v>0.29166666666666669</v>
      </c>
      <c r="AF928" s="48">
        <v>0.29166666666666669</v>
      </c>
      <c r="AG928" s="48">
        <v>0.29166666666666669</v>
      </c>
      <c r="AH928" s="48">
        <v>0.29166666666666669</v>
      </c>
      <c r="AI928" s="48">
        <v>0.29166666666666669</v>
      </c>
      <c r="AJ928" s="48">
        <v>0.29166666666666669</v>
      </c>
      <c r="AK928" s="48">
        <v>0.29166666666666669</v>
      </c>
      <c r="AL928" s="48" t="s">
        <v>320</v>
      </c>
    </row>
    <row r="929" spans="1:41" hidden="1" x14ac:dyDescent="0.25">
      <c r="A929">
        <v>928</v>
      </c>
      <c r="B929">
        <v>2025</v>
      </c>
      <c r="C929">
        <v>11</v>
      </c>
      <c r="D929" t="s">
        <v>460</v>
      </c>
      <c r="E929">
        <v>50</v>
      </c>
      <c r="F929">
        <v>6</v>
      </c>
      <c r="G929" t="s">
        <v>431</v>
      </c>
      <c r="H929" s="48">
        <v>0.75</v>
      </c>
      <c r="I929" s="48">
        <v>0.75</v>
      </c>
      <c r="J929" s="48">
        <v>0.75</v>
      </c>
      <c r="K929" s="48">
        <v>0.75</v>
      </c>
      <c r="L929" s="48">
        <v>0.75</v>
      </c>
      <c r="M929" s="48">
        <v>0.75</v>
      </c>
      <c r="N929" s="48">
        <v>0.75</v>
      </c>
      <c r="O929" s="48">
        <v>0.75</v>
      </c>
      <c r="P929" s="48" t="s">
        <v>320</v>
      </c>
      <c r="Q929" s="48">
        <v>0.75</v>
      </c>
      <c r="R929" s="48">
        <v>0.75</v>
      </c>
      <c r="S929" s="48">
        <v>0.75</v>
      </c>
      <c r="T929" s="48">
        <v>0.75</v>
      </c>
      <c r="U929" s="48">
        <v>0.75</v>
      </c>
      <c r="V929" s="48">
        <v>0.75</v>
      </c>
      <c r="W929" s="48">
        <v>0.75</v>
      </c>
      <c r="X929" s="48">
        <v>0.75</v>
      </c>
      <c r="Y929" s="48">
        <v>0.75</v>
      </c>
      <c r="Z929" s="48">
        <v>0.75</v>
      </c>
      <c r="AA929" s="48">
        <v>0.75</v>
      </c>
      <c r="AB929" s="48">
        <v>0.75</v>
      </c>
      <c r="AC929" s="48">
        <v>0.75</v>
      </c>
      <c r="AD929" s="48" t="s">
        <v>320</v>
      </c>
      <c r="AE929" s="48">
        <v>0.75</v>
      </c>
      <c r="AF929" s="48">
        <v>0.75</v>
      </c>
      <c r="AG929" s="48">
        <v>0.75</v>
      </c>
      <c r="AH929" s="48">
        <v>0.75</v>
      </c>
      <c r="AI929" s="48">
        <v>0.75</v>
      </c>
      <c r="AJ929" s="48">
        <v>0.75</v>
      </c>
      <c r="AK929" s="48">
        <v>0.75</v>
      </c>
      <c r="AL929" s="48" t="s">
        <v>320</v>
      </c>
      <c r="AM929">
        <v>28</v>
      </c>
    </row>
    <row r="930" spans="1:41" hidden="1" x14ac:dyDescent="0.25">
      <c r="A930">
        <v>929</v>
      </c>
      <c r="B930">
        <v>2025</v>
      </c>
      <c r="C930">
        <v>7</v>
      </c>
      <c r="D930" t="s">
        <v>465</v>
      </c>
      <c r="E930">
        <v>51</v>
      </c>
      <c r="F930">
        <v>1</v>
      </c>
      <c r="G930" t="s">
        <v>430</v>
      </c>
      <c r="H930" s="48" t="s">
        <v>320</v>
      </c>
      <c r="I930" s="48" t="s">
        <v>320</v>
      </c>
      <c r="J930" s="48" t="s">
        <v>320</v>
      </c>
      <c r="K930" s="48" t="s">
        <v>320</v>
      </c>
      <c r="L930" s="48" t="s">
        <v>320</v>
      </c>
      <c r="M930" s="48" t="s">
        <v>320</v>
      </c>
      <c r="N930" s="48" t="s">
        <v>320</v>
      </c>
      <c r="O930" s="48" t="s">
        <v>320</v>
      </c>
      <c r="P930" s="48" t="s">
        <v>320</v>
      </c>
      <c r="Q930" s="48" t="s">
        <v>320</v>
      </c>
      <c r="R930" s="48" t="s">
        <v>320</v>
      </c>
      <c r="S930" s="48" t="s">
        <v>320</v>
      </c>
      <c r="T930" s="48" t="s">
        <v>320</v>
      </c>
      <c r="U930" s="48" t="s">
        <v>320</v>
      </c>
      <c r="V930" s="48">
        <v>0.29166666666666669</v>
      </c>
      <c r="W930" s="48">
        <v>0.29166666666666669</v>
      </c>
      <c r="X930" s="48">
        <v>0.29166666666666669</v>
      </c>
      <c r="Y930" s="48">
        <v>0.29166666666666669</v>
      </c>
      <c r="Z930" s="48">
        <v>0.29166666666666669</v>
      </c>
      <c r="AA930" s="48">
        <v>0.29166666666666669</v>
      </c>
      <c r="AB930" s="48">
        <v>0.29166666666666669</v>
      </c>
      <c r="AC930" s="48">
        <v>0.29166666666666669</v>
      </c>
      <c r="AD930" s="48">
        <v>0.29166666666666669</v>
      </c>
      <c r="AE930" s="48">
        <v>0.29166666666666669</v>
      </c>
      <c r="AF930" s="48">
        <v>0.29166666666666669</v>
      </c>
      <c r="AG930" s="48">
        <v>0.29166666666666669</v>
      </c>
      <c r="AH930" s="48">
        <v>0.29166666666666669</v>
      </c>
      <c r="AI930" s="48">
        <v>0.29166666666666669</v>
      </c>
      <c r="AJ930" s="48">
        <v>0.29166666666666669</v>
      </c>
      <c r="AK930" s="48">
        <v>0.29166666666666669</v>
      </c>
      <c r="AL930" s="48" t="s">
        <v>320</v>
      </c>
    </row>
    <row r="931" spans="1:41" hidden="1" x14ac:dyDescent="0.25">
      <c r="A931">
        <v>930</v>
      </c>
      <c r="B931">
        <v>2025</v>
      </c>
      <c r="C931">
        <v>7</v>
      </c>
      <c r="D931" t="s">
        <v>465</v>
      </c>
      <c r="E931">
        <v>51</v>
      </c>
      <c r="F931">
        <v>1</v>
      </c>
      <c r="G931" t="s">
        <v>431</v>
      </c>
      <c r="H931" s="48" t="s">
        <v>320</v>
      </c>
      <c r="I931" s="48" t="s">
        <v>320</v>
      </c>
      <c r="J931" s="48" t="s">
        <v>320</v>
      </c>
      <c r="K931" s="48" t="s">
        <v>320</v>
      </c>
      <c r="L931" s="48" t="s">
        <v>320</v>
      </c>
      <c r="M931" s="48" t="s">
        <v>320</v>
      </c>
      <c r="N931" s="48" t="s">
        <v>320</v>
      </c>
      <c r="O931" s="48" t="s">
        <v>320</v>
      </c>
      <c r="P931" s="48" t="s">
        <v>320</v>
      </c>
      <c r="Q931" s="48" t="s">
        <v>320</v>
      </c>
      <c r="R931" s="48" t="s">
        <v>320</v>
      </c>
      <c r="S931" s="48" t="s">
        <v>320</v>
      </c>
      <c r="T931" s="48" t="s">
        <v>320</v>
      </c>
      <c r="U931" s="48" t="s">
        <v>320</v>
      </c>
      <c r="V931" s="48">
        <v>0.75</v>
      </c>
      <c r="W931" s="48">
        <v>0.75</v>
      </c>
      <c r="X931" s="48">
        <v>0.75</v>
      </c>
      <c r="Y931" s="48">
        <v>0.75</v>
      </c>
      <c r="Z931" s="48">
        <v>0.75</v>
      </c>
      <c r="AA931" s="48">
        <v>0.75</v>
      </c>
      <c r="AB931" s="48">
        <v>0.75</v>
      </c>
      <c r="AC931" s="48">
        <v>0.79166666666666663</v>
      </c>
      <c r="AD931" s="48">
        <v>0.79166666666666663</v>
      </c>
      <c r="AE931" s="48">
        <v>0.79166666666666663</v>
      </c>
      <c r="AF931" s="48">
        <v>0.79166666666666663</v>
      </c>
      <c r="AG931" s="48">
        <v>0.75</v>
      </c>
      <c r="AH931" s="48">
        <v>0.75</v>
      </c>
      <c r="AI931" s="48">
        <v>0.75</v>
      </c>
      <c r="AJ931" s="48">
        <v>0.75</v>
      </c>
      <c r="AK931" s="48">
        <v>0.75</v>
      </c>
      <c r="AL931" s="48" t="s">
        <v>320</v>
      </c>
      <c r="AM931">
        <v>16</v>
      </c>
      <c r="AO931">
        <v>3.9999999999999929</v>
      </c>
    </row>
    <row r="932" spans="1:41" hidden="1" x14ac:dyDescent="0.25">
      <c r="A932">
        <v>931</v>
      </c>
      <c r="B932">
        <v>2025</v>
      </c>
      <c r="C932">
        <v>8</v>
      </c>
      <c r="D932" t="s">
        <v>468</v>
      </c>
      <c r="E932">
        <v>51</v>
      </c>
      <c r="F932">
        <v>2</v>
      </c>
      <c r="G932" t="s">
        <v>430</v>
      </c>
      <c r="H932" s="48" t="s">
        <v>320</v>
      </c>
      <c r="I932" s="48" t="s">
        <v>320</v>
      </c>
      <c r="J932" s="48" t="s">
        <v>320</v>
      </c>
      <c r="K932" s="48" t="s">
        <v>320</v>
      </c>
      <c r="L932" s="48" t="s">
        <v>320</v>
      </c>
      <c r="M932" s="48" t="s">
        <v>320</v>
      </c>
      <c r="N932" s="48" t="s">
        <v>320</v>
      </c>
      <c r="O932" s="48" t="s">
        <v>320</v>
      </c>
      <c r="P932" s="48" t="s">
        <v>320</v>
      </c>
      <c r="Q932" s="48" t="s">
        <v>320</v>
      </c>
      <c r="R932" s="48" t="s">
        <v>320</v>
      </c>
      <c r="S932" s="48" t="s">
        <v>320</v>
      </c>
      <c r="T932" s="48" t="s">
        <v>320</v>
      </c>
      <c r="U932" s="48" t="s">
        <v>320</v>
      </c>
      <c r="V932" s="48" t="s">
        <v>320</v>
      </c>
      <c r="W932" s="48" t="s">
        <v>320</v>
      </c>
      <c r="X932" s="48" t="s">
        <v>320</v>
      </c>
      <c r="Y932" s="48" t="s">
        <v>320</v>
      </c>
      <c r="Z932" s="48">
        <v>0.29166666666666669</v>
      </c>
      <c r="AA932" s="48">
        <v>0.29166666666666669</v>
      </c>
      <c r="AB932" s="48">
        <v>0.29166666666666669</v>
      </c>
      <c r="AC932" s="48">
        <v>0.29166666666666669</v>
      </c>
      <c r="AD932" s="48">
        <v>0.29166666666666669</v>
      </c>
      <c r="AE932" s="48">
        <v>0.29166666666666669</v>
      </c>
      <c r="AF932" s="48">
        <v>0.29166666666666669</v>
      </c>
      <c r="AG932" s="48">
        <v>0.29166666666666669</v>
      </c>
      <c r="AH932" s="48">
        <v>0.29166666666666669</v>
      </c>
      <c r="AI932" s="48">
        <v>0.29166666666666669</v>
      </c>
      <c r="AJ932" s="48">
        <v>0.29166666666666669</v>
      </c>
      <c r="AK932" s="48">
        <v>0.29166666666666669</v>
      </c>
      <c r="AL932" s="48">
        <v>0.29166666666666669</v>
      </c>
    </row>
    <row r="933" spans="1:41" hidden="1" x14ac:dyDescent="0.25">
      <c r="A933">
        <v>932</v>
      </c>
      <c r="B933">
        <v>2025</v>
      </c>
      <c r="C933">
        <v>8</v>
      </c>
      <c r="D933" t="s">
        <v>468</v>
      </c>
      <c r="E933">
        <v>51</v>
      </c>
      <c r="F933">
        <v>2</v>
      </c>
      <c r="G933" t="s">
        <v>431</v>
      </c>
      <c r="H933" s="48" t="s">
        <v>320</v>
      </c>
      <c r="I933" s="48" t="s">
        <v>320</v>
      </c>
      <c r="J933" s="48" t="s">
        <v>320</v>
      </c>
      <c r="K933" s="48" t="s">
        <v>320</v>
      </c>
      <c r="L933" s="48" t="s">
        <v>320</v>
      </c>
      <c r="M933" s="48" t="s">
        <v>320</v>
      </c>
      <c r="N933" s="48" t="s">
        <v>320</v>
      </c>
      <c r="O933" s="48" t="s">
        <v>320</v>
      </c>
      <c r="P933" s="48" t="s">
        <v>320</v>
      </c>
      <c r="Q933" s="48" t="s">
        <v>320</v>
      </c>
      <c r="R933" s="48" t="s">
        <v>320</v>
      </c>
      <c r="S933" s="48" t="s">
        <v>320</v>
      </c>
      <c r="T933" s="48" t="s">
        <v>320</v>
      </c>
      <c r="U933" s="48" t="s">
        <v>320</v>
      </c>
      <c r="V933" s="48" t="s">
        <v>320</v>
      </c>
      <c r="W933" s="48" t="s">
        <v>320</v>
      </c>
      <c r="X933" s="48" t="s">
        <v>320</v>
      </c>
      <c r="Y933" s="48" t="s">
        <v>320</v>
      </c>
      <c r="Z933" s="48">
        <v>0.79166666666666663</v>
      </c>
      <c r="AA933" s="48">
        <v>0.875</v>
      </c>
      <c r="AB933" s="48">
        <v>0.79166666666666663</v>
      </c>
      <c r="AC933" s="48">
        <v>0.95833333333333337</v>
      </c>
      <c r="AD933" s="48">
        <v>0.79166666666666663</v>
      </c>
      <c r="AE933" s="48">
        <v>0.91666666666666663</v>
      </c>
      <c r="AF933" s="48">
        <v>0.875</v>
      </c>
      <c r="AG933" s="48">
        <v>0.79166666666666663</v>
      </c>
      <c r="AH933" s="48">
        <v>0.875</v>
      </c>
      <c r="AI933" s="48">
        <v>0.75</v>
      </c>
      <c r="AJ933" s="48">
        <v>0.83333333333333337</v>
      </c>
      <c r="AK933" s="48">
        <v>0.91666666666666663</v>
      </c>
      <c r="AL933" s="48">
        <v>0.83333333333333337</v>
      </c>
      <c r="AM933">
        <v>13</v>
      </c>
      <c r="AO933">
        <v>29.999999999999993</v>
      </c>
    </row>
    <row r="934" spans="1:41" hidden="1" x14ac:dyDescent="0.25">
      <c r="A934">
        <v>933</v>
      </c>
      <c r="B934">
        <v>2025</v>
      </c>
      <c r="C934">
        <v>9</v>
      </c>
      <c r="D934" t="s">
        <v>468</v>
      </c>
      <c r="E934">
        <v>51</v>
      </c>
      <c r="F934">
        <v>2</v>
      </c>
      <c r="G934" t="s">
        <v>430</v>
      </c>
      <c r="H934" s="48">
        <v>0.29166666666666669</v>
      </c>
      <c r="I934" s="48">
        <v>0.29166666666666669</v>
      </c>
      <c r="J934" s="48">
        <v>0.29166666666666669</v>
      </c>
      <c r="K934" s="48">
        <v>0.29166666666666669</v>
      </c>
      <c r="L934" s="48">
        <v>0.29166666666666669</v>
      </c>
      <c r="M934" s="48">
        <v>0.29166666666666669</v>
      </c>
      <c r="N934" s="48">
        <v>0.29166666666666669</v>
      </c>
      <c r="O934" s="48">
        <v>0.29166666666666669</v>
      </c>
      <c r="P934" s="48">
        <v>0.29166666666666669</v>
      </c>
      <c r="Q934" s="48">
        <v>0.29166666666666669</v>
      </c>
      <c r="R934" s="48">
        <v>0.29166666666666669</v>
      </c>
      <c r="S934" s="48">
        <v>0.29166666666666669</v>
      </c>
      <c r="T934" s="48">
        <v>0.29166666666666669</v>
      </c>
      <c r="U934" s="48">
        <v>0.29166666666666669</v>
      </c>
      <c r="V934" s="48">
        <v>0.29166666666666669</v>
      </c>
      <c r="W934" s="48">
        <v>0.29166666666666669</v>
      </c>
      <c r="X934" s="48" t="s">
        <v>320</v>
      </c>
      <c r="Y934" s="48" t="s">
        <v>320</v>
      </c>
      <c r="Z934" s="48">
        <v>0.29166666666666669</v>
      </c>
      <c r="AA934" s="48">
        <v>0.29166666666666669</v>
      </c>
      <c r="AB934" s="48">
        <v>0.29166666666666669</v>
      </c>
      <c r="AC934" s="48">
        <v>0.29166666666666669</v>
      </c>
      <c r="AD934" s="48">
        <v>0.29166666666666669</v>
      </c>
      <c r="AE934" s="48">
        <v>0.29166666666666669</v>
      </c>
      <c r="AF934" s="48">
        <v>0.29166666666666669</v>
      </c>
      <c r="AG934" s="48" t="s">
        <v>320</v>
      </c>
      <c r="AH934" s="48" t="s">
        <v>320</v>
      </c>
      <c r="AI934" s="48">
        <v>0.29166666666666669</v>
      </c>
      <c r="AJ934" s="48">
        <v>0.29166666666666669</v>
      </c>
      <c r="AK934" s="48" t="s">
        <v>320</v>
      </c>
      <c r="AL934" s="48" t="s">
        <v>320</v>
      </c>
    </row>
    <row r="935" spans="1:41" hidden="1" x14ac:dyDescent="0.25">
      <c r="A935">
        <v>934</v>
      </c>
      <c r="B935">
        <v>2025</v>
      </c>
      <c r="C935">
        <v>9</v>
      </c>
      <c r="D935" t="s">
        <v>468</v>
      </c>
      <c r="E935">
        <v>51</v>
      </c>
      <c r="F935">
        <v>2</v>
      </c>
      <c r="G935" t="s">
        <v>431</v>
      </c>
      <c r="H935" s="48">
        <v>0.75</v>
      </c>
      <c r="I935" s="48">
        <v>0.75</v>
      </c>
      <c r="J935" s="48">
        <v>0.75</v>
      </c>
      <c r="K935" s="48">
        <v>0.75</v>
      </c>
      <c r="L935" s="48">
        <v>0.75</v>
      </c>
      <c r="M935" s="48">
        <v>0.75</v>
      </c>
      <c r="N935" s="48">
        <v>0.75</v>
      </c>
      <c r="O935" s="48">
        <v>0.75</v>
      </c>
      <c r="P935" s="48">
        <v>0.75</v>
      </c>
      <c r="Q935" s="48">
        <v>0.75</v>
      </c>
      <c r="R935" s="48">
        <v>0.75</v>
      </c>
      <c r="S935" s="48">
        <v>0.75</v>
      </c>
      <c r="T935" s="48">
        <v>0.75</v>
      </c>
      <c r="U935" s="48">
        <v>0.75</v>
      </c>
      <c r="V935" s="48">
        <v>0.75</v>
      </c>
      <c r="W935" s="48">
        <v>0.75</v>
      </c>
      <c r="X935" s="48" t="s">
        <v>320</v>
      </c>
      <c r="Y935" s="48" t="s">
        <v>320</v>
      </c>
      <c r="Z935" s="48">
        <v>0.75</v>
      </c>
      <c r="AA935" s="48">
        <v>0.75</v>
      </c>
      <c r="AB935" s="48">
        <v>0.75</v>
      </c>
      <c r="AC935" s="48">
        <v>0.75</v>
      </c>
      <c r="AD935" s="48">
        <v>0.83333333333333337</v>
      </c>
      <c r="AE935" s="48">
        <v>0.75</v>
      </c>
      <c r="AF935" s="48">
        <v>0.95833333333333337</v>
      </c>
      <c r="AG935" s="48" t="s">
        <v>320</v>
      </c>
      <c r="AH935" s="48" t="s">
        <v>320</v>
      </c>
      <c r="AI935" s="48">
        <v>0.875</v>
      </c>
      <c r="AJ935" s="48">
        <v>0.75</v>
      </c>
      <c r="AK935" s="48" t="s">
        <v>320</v>
      </c>
      <c r="AL935" s="48" t="s">
        <v>320</v>
      </c>
      <c r="AM935">
        <v>25</v>
      </c>
      <c r="AO935">
        <v>10</v>
      </c>
    </row>
    <row r="936" spans="1:41" hidden="1" x14ac:dyDescent="0.25">
      <c r="A936">
        <v>935</v>
      </c>
      <c r="B936">
        <v>2025</v>
      </c>
      <c r="C936">
        <v>10</v>
      </c>
      <c r="D936" t="s">
        <v>468</v>
      </c>
      <c r="E936">
        <v>51</v>
      </c>
      <c r="F936">
        <v>3</v>
      </c>
      <c r="G936" t="s">
        <v>430</v>
      </c>
      <c r="H936" s="48">
        <v>0.29166666666666669</v>
      </c>
      <c r="I936" s="48">
        <v>0.29166666666666669</v>
      </c>
      <c r="J936" s="48">
        <v>0.29166666666666669</v>
      </c>
      <c r="K936" s="48">
        <v>0.29166666666666669</v>
      </c>
      <c r="L936" s="48">
        <v>0.29166666666666669</v>
      </c>
      <c r="M936" s="48">
        <v>0.29166666666666669</v>
      </c>
      <c r="N936" s="48">
        <v>0.29166666666666669</v>
      </c>
      <c r="O936" s="48">
        <v>0.29166666666666669</v>
      </c>
      <c r="P936" s="48">
        <v>0.29166666666666669</v>
      </c>
      <c r="Q936" s="48">
        <v>0.29166666666666669</v>
      </c>
      <c r="R936" s="48">
        <v>0.29166666666666669</v>
      </c>
      <c r="S936" s="48">
        <v>0.29166666666666669</v>
      </c>
      <c r="T936" s="48">
        <v>0.29166666666666669</v>
      </c>
      <c r="U936" s="48">
        <v>0.29166666666666669</v>
      </c>
      <c r="V936" s="48">
        <v>0.29166666666666669</v>
      </c>
      <c r="W936" s="48">
        <v>0.29166666666666669</v>
      </c>
      <c r="X936" s="48">
        <v>0.29166666666666669</v>
      </c>
      <c r="Y936" s="48">
        <v>0.29166666666666669</v>
      </c>
      <c r="Z936" s="48">
        <v>0.29166666666666669</v>
      </c>
      <c r="AA936" s="48">
        <v>0.29166666666666669</v>
      </c>
      <c r="AB936" s="48">
        <v>0.29166666666666669</v>
      </c>
      <c r="AC936" s="48">
        <v>0.29166666666666669</v>
      </c>
      <c r="AD936" s="48">
        <v>0.29166666666666669</v>
      </c>
      <c r="AE936" s="48">
        <v>0.29166666666666669</v>
      </c>
      <c r="AF936" s="48">
        <v>0.29166666666666669</v>
      </c>
      <c r="AG936" s="48">
        <v>0.29166666666666669</v>
      </c>
      <c r="AH936" s="48">
        <v>0.29166666666666669</v>
      </c>
      <c r="AI936" s="48">
        <v>0.29166666666666669</v>
      </c>
      <c r="AJ936" s="48">
        <v>0.29166666666666669</v>
      </c>
      <c r="AK936" s="48">
        <v>0.29166666666666669</v>
      </c>
      <c r="AL936" s="48">
        <v>0.29166666666666669</v>
      </c>
    </row>
    <row r="937" spans="1:41" hidden="1" x14ac:dyDescent="0.25">
      <c r="A937">
        <v>936</v>
      </c>
      <c r="B937">
        <v>2025</v>
      </c>
      <c r="C937">
        <v>10</v>
      </c>
      <c r="D937" t="s">
        <v>468</v>
      </c>
      <c r="E937">
        <v>51</v>
      </c>
      <c r="F937">
        <v>3</v>
      </c>
      <c r="G937" t="s">
        <v>431</v>
      </c>
      <c r="H937" s="48">
        <v>0.75</v>
      </c>
      <c r="I937" s="48">
        <v>0.75</v>
      </c>
      <c r="J937" s="48">
        <v>0.75</v>
      </c>
      <c r="K937" s="48">
        <v>0.95833333333333326</v>
      </c>
      <c r="L937" s="48">
        <v>0.75</v>
      </c>
      <c r="M937" s="48">
        <v>0.83333333333333326</v>
      </c>
      <c r="N937" s="48">
        <v>0.95833333333333326</v>
      </c>
      <c r="O937" s="48">
        <v>0.75</v>
      </c>
      <c r="P937" s="48">
        <v>0.83333333333333326</v>
      </c>
      <c r="Q937" s="48">
        <v>0.75</v>
      </c>
      <c r="R937" s="48">
        <v>0.875</v>
      </c>
      <c r="S937" s="48">
        <v>0.83333333333333326</v>
      </c>
      <c r="T937" s="48">
        <v>0.75</v>
      </c>
      <c r="U937" s="48">
        <v>0.75</v>
      </c>
      <c r="V937" s="48">
        <v>0.75</v>
      </c>
      <c r="W937" s="48">
        <v>0.91666666666666674</v>
      </c>
      <c r="X937" s="48">
        <v>0.75</v>
      </c>
      <c r="Y937" s="48">
        <v>0.83333333333333326</v>
      </c>
      <c r="Z937" s="48">
        <v>0.75</v>
      </c>
      <c r="AA937" s="48">
        <v>0.91666666666666674</v>
      </c>
      <c r="AB937" s="48">
        <v>0.75</v>
      </c>
      <c r="AC937" s="48">
        <v>0.875</v>
      </c>
      <c r="AD937" s="48">
        <v>0.75</v>
      </c>
      <c r="AE937" s="48">
        <v>0.95833333333333326</v>
      </c>
      <c r="AF937" s="48">
        <v>0.75</v>
      </c>
      <c r="AG937" s="48">
        <v>0.75</v>
      </c>
      <c r="AH937" s="48">
        <v>0.75</v>
      </c>
      <c r="AI937" s="48">
        <v>0.75</v>
      </c>
      <c r="AJ937" s="48">
        <v>0.95833333333333326</v>
      </c>
      <c r="AK937" s="48">
        <v>0.83333333333333326</v>
      </c>
      <c r="AL937" s="48">
        <v>0.83333333333333326</v>
      </c>
      <c r="AM937">
        <v>31</v>
      </c>
      <c r="AO937">
        <v>45.999999999999972</v>
      </c>
    </row>
    <row r="938" spans="1:41" hidden="1" x14ac:dyDescent="0.25">
      <c r="A938">
        <v>937</v>
      </c>
      <c r="B938">
        <v>2025</v>
      </c>
      <c r="C938">
        <v>11</v>
      </c>
      <c r="D938" t="s">
        <v>468</v>
      </c>
      <c r="E938">
        <v>51</v>
      </c>
      <c r="F938">
        <v>4</v>
      </c>
      <c r="G938" t="s">
        <v>430</v>
      </c>
      <c r="H938" s="48">
        <v>0.29166666666666669</v>
      </c>
      <c r="I938" s="48">
        <v>0.29166666666666669</v>
      </c>
      <c r="J938" s="48">
        <v>0.29166666666666669</v>
      </c>
      <c r="K938" s="48">
        <v>0.29166666666666669</v>
      </c>
      <c r="L938" s="48">
        <v>0.29166666666666669</v>
      </c>
      <c r="M938" s="48">
        <v>0.29166666666666669</v>
      </c>
      <c r="N938" s="48">
        <v>0.29166666666666669</v>
      </c>
      <c r="O938" s="48">
        <v>0.29166666666666669</v>
      </c>
      <c r="P938" s="48" t="s">
        <v>320</v>
      </c>
      <c r="Q938" s="48">
        <v>0.29166666666666669</v>
      </c>
      <c r="R938" s="48">
        <v>0.29166666666666669</v>
      </c>
      <c r="S938" s="48">
        <v>0.29166666666666669</v>
      </c>
      <c r="T938" s="48">
        <v>0.29166666666666669</v>
      </c>
      <c r="U938" s="48">
        <v>0.29166666666666669</v>
      </c>
      <c r="V938" s="48">
        <v>0.29166666666666669</v>
      </c>
      <c r="W938" s="48">
        <v>0.29166666666666669</v>
      </c>
      <c r="X938" s="48">
        <v>0.29166666666666669</v>
      </c>
      <c r="Y938" s="48">
        <v>0.29166666666666669</v>
      </c>
      <c r="Z938" s="48">
        <v>0.29166666666666669</v>
      </c>
      <c r="AA938" s="48">
        <v>0.29166666666666669</v>
      </c>
      <c r="AB938" s="48">
        <v>0.29166666666666669</v>
      </c>
      <c r="AC938" s="48">
        <v>0.29166666666666669</v>
      </c>
      <c r="AD938" s="48">
        <v>0.29166666666666669</v>
      </c>
      <c r="AE938" s="48">
        <v>0.29166666666666669</v>
      </c>
      <c r="AF938" s="48">
        <v>0.29166666666666669</v>
      </c>
      <c r="AG938" s="48">
        <v>0.29166666666666669</v>
      </c>
      <c r="AH938" s="48">
        <v>0.29166666666666669</v>
      </c>
      <c r="AI938" s="48">
        <v>0.29166666666666669</v>
      </c>
      <c r="AJ938" s="48">
        <v>0.29166666666666669</v>
      </c>
      <c r="AK938" s="48">
        <v>0.29166666666666669</v>
      </c>
      <c r="AL938" s="48" t="s">
        <v>320</v>
      </c>
    </row>
    <row r="939" spans="1:41" hidden="1" x14ac:dyDescent="0.25">
      <c r="A939">
        <v>938</v>
      </c>
      <c r="B939">
        <v>2025</v>
      </c>
      <c r="C939">
        <v>11</v>
      </c>
      <c r="D939" t="s">
        <v>468</v>
      </c>
      <c r="E939">
        <v>51</v>
      </c>
      <c r="F939">
        <v>4</v>
      </c>
      <c r="G939" t="s">
        <v>431</v>
      </c>
      <c r="H939" s="48">
        <v>0.83333333333333326</v>
      </c>
      <c r="I939" s="48">
        <v>0.75</v>
      </c>
      <c r="J939" s="48">
        <v>0.875</v>
      </c>
      <c r="K939" s="48">
        <v>0.83333333333333326</v>
      </c>
      <c r="L939" s="48">
        <v>0.875</v>
      </c>
      <c r="M939" s="48">
        <v>0.83333333333333326</v>
      </c>
      <c r="N939" s="48">
        <v>0.83333333333333326</v>
      </c>
      <c r="O939" s="48">
        <v>0.79166666666666674</v>
      </c>
      <c r="P939" s="48" t="s">
        <v>320</v>
      </c>
      <c r="Q939" s="48">
        <v>0.83333333333333326</v>
      </c>
      <c r="R939" s="48">
        <v>0.91666666666666674</v>
      </c>
      <c r="S939" s="48">
        <v>0.83333333333333326</v>
      </c>
      <c r="T939" s="48">
        <v>0.75</v>
      </c>
      <c r="U939" s="48">
        <v>0.79166666666666674</v>
      </c>
      <c r="V939" s="48">
        <v>0.83333333333333326</v>
      </c>
      <c r="W939" s="48">
        <v>0.75</v>
      </c>
      <c r="X939" s="48">
        <v>0.79166666666666674</v>
      </c>
      <c r="Y939" s="48">
        <v>0.875</v>
      </c>
      <c r="Z939" s="48">
        <v>0.875</v>
      </c>
      <c r="AA939" s="48">
        <v>0.75</v>
      </c>
      <c r="AB939" s="48">
        <v>0.79166666666666674</v>
      </c>
      <c r="AC939" s="48">
        <v>0.75</v>
      </c>
      <c r="AD939" s="48">
        <v>0.75</v>
      </c>
      <c r="AE939" s="48">
        <v>0.83333333333333326</v>
      </c>
      <c r="AF939" s="48">
        <v>0.75</v>
      </c>
      <c r="AG939" s="48">
        <v>0.875</v>
      </c>
      <c r="AH939" s="48">
        <v>0.83333333333333326</v>
      </c>
      <c r="AI939" s="48">
        <v>0.875</v>
      </c>
      <c r="AJ939" s="48">
        <v>0.875</v>
      </c>
      <c r="AK939" s="48">
        <v>0.75</v>
      </c>
      <c r="AL939" s="48" t="s">
        <v>320</v>
      </c>
      <c r="AM939">
        <v>29</v>
      </c>
      <c r="AO939">
        <v>46.999999999999972</v>
      </c>
    </row>
    <row r="940" spans="1:41" hidden="1" x14ac:dyDescent="0.25">
      <c r="A940">
        <v>939</v>
      </c>
      <c r="B940">
        <v>2025</v>
      </c>
      <c r="C940">
        <v>4</v>
      </c>
      <c r="D940" t="s">
        <v>471</v>
      </c>
      <c r="E940">
        <v>52</v>
      </c>
      <c r="F940">
        <v>1</v>
      </c>
      <c r="G940" t="s">
        <v>430</v>
      </c>
      <c r="H940" s="48" t="s">
        <v>320</v>
      </c>
      <c r="I940" s="48" t="s">
        <v>320</v>
      </c>
      <c r="J940" s="48" t="s">
        <v>320</v>
      </c>
      <c r="K940" s="48" t="s">
        <v>320</v>
      </c>
      <c r="L940" s="48" t="s">
        <v>320</v>
      </c>
      <c r="M940" s="48" t="s">
        <v>320</v>
      </c>
      <c r="N940" s="48" t="s">
        <v>320</v>
      </c>
      <c r="O940" s="48" t="s">
        <v>320</v>
      </c>
      <c r="P940" s="48" t="s">
        <v>320</v>
      </c>
      <c r="Q940" s="48" t="s">
        <v>320</v>
      </c>
      <c r="R940" s="48" t="s">
        <v>320</v>
      </c>
      <c r="S940" s="48" t="s">
        <v>320</v>
      </c>
      <c r="T940" s="48" t="s">
        <v>320</v>
      </c>
      <c r="U940" s="48" t="s">
        <v>320</v>
      </c>
      <c r="V940" s="48">
        <v>0.29166666666666669</v>
      </c>
      <c r="W940" s="48">
        <v>0.29166666666666669</v>
      </c>
      <c r="X940" s="48">
        <v>0.29166666666666669</v>
      </c>
      <c r="Y940" s="48">
        <v>0.29166666666666669</v>
      </c>
      <c r="Z940" s="48">
        <v>0.29166666666666669</v>
      </c>
      <c r="AA940" s="48">
        <v>0.29166666666666669</v>
      </c>
      <c r="AB940" s="48">
        <v>0.29166666666666669</v>
      </c>
      <c r="AC940" s="48">
        <v>0.29166666666666669</v>
      </c>
      <c r="AD940" s="48">
        <v>0.29166666666666669</v>
      </c>
      <c r="AE940" s="48">
        <v>0.29166666666666669</v>
      </c>
      <c r="AF940" s="48">
        <v>0.29166666666666669</v>
      </c>
      <c r="AG940" s="48">
        <v>0.29166666666666669</v>
      </c>
      <c r="AH940" s="48">
        <v>0.29166666666666669</v>
      </c>
      <c r="AI940" s="48">
        <v>0.29166666666666669</v>
      </c>
      <c r="AJ940" s="48">
        <v>0.29166666666666669</v>
      </c>
      <c r="AK940" s="48">
        <v>0.29166666666666669</v>
      </c>
      <c r="AL940" s="48" t="s">
        <v>320</v>
      </c>
    </row>
    <row r="941" spans="1:41" hidden="1" x14ac:dyDescent="0.25">
      <c r="A941">
        <v>940</v>
      </c>
      <c r="B941">
        <v>2025</v>
      </c>
      <c r="C941">
        <v>4</v>
      </c>
      <c r="D941" t="s">
        <v>471</v>
      </c>
      <c r="E941">
        <v>52</v>
      </c>
      <c r="F941">
        <v>1</v>
      </c>
      <c r="G941" t="s">
        <v>431</v>
      </c>
      <c r="H941" s="48" t="s">
        <v>320</v>
      </c>
      <c r="I941" s="48" t="s">
        <v>320</v>
      </c>
      <c r="J941" s="48" t="s">
        <v>320</v>
      </c>
      <c r="K941" s="48" t="s">
        <v>320</v>
      </c>
      <c r="L941" s="48" t="s">
        <v>320</v>
      </c>
      <c r="M941" s="48" t="s">
        <v>320</v>
      </c>
      <c r="N941" s="48" t="s">
        <v>320</v>
      </c>
      <c r="O941" s="48" t="s">
        <v>320</v>
      </c>
      <c r="P941" s="48" t="s">
        <v>320</v>
      </c>
      <c r="Q941" s="48" t="s">
        <v>320</v>
      </c>
      <c r="R941" s="48" t="s">
        <v>320</v>
      </c>
      <c r="S941" s="48" t="s">
        <v>320</v>
      </c>
      <c r="T941" s="48" t="s">
        <v>320</v>
      </c>
      <c r="U941" s="48" t="s">
        <v>320</v>
      </c>
      <c r="V941" s="48">
        <v>0.75</v>
      </c>
      <c r="W941" s="48">
        <v>0.75</v>
      </c>
      <c r="X941" s="48">
        <v>0.91666666666666674</v>
      </c>
      <c r="Y941" s="48">
        <v>0.75</v>
      </c>
      <c r="Z941" s="48">
        <v>0.75</v>
      </c>
      <c r="AA941" s="48">
        <v>0.75</v>
      </c>
      <c r="AB941" s="48">
        <v>0.75</v>
      </c>
      <c r="AC941" s="48">
        <v>0.75</v>
      </c>
      <c r="AD941" s="48">
        <v>0.875</v>
      </c>
      <c r="AE941" s="48">
        <v>0.75</v>
      </c>
      <c r="AF941" s="48">
        <v>0.75</v>
      </c>
      <c r="AG941" s="48">
        <v>0.75</v>
      </c>
      <c r="AH941" s="48">
        <v>0.75</v>
      </c>
      <c r="AI941" s="48">
        <v>0.75</v>
      </c>
      <c r="AJ941" s="48">
        <v>0.75</v>
      </c>
      <c r="AK941" s="48">
        <v>0.75</v>
      </c>
      <c r="AL941" s="48" t="s">
        <v>320</v>
      </c>
      <c r="AM941">
        <v>16</v>
      </c>
      <c r="AO941">
        <v>6.9999999999999982</v>
      </c>
    </row>
    <row r="942" spans="1:41" hidden="1" x14ac:dyDescent="0.25">
      <c r="A942">
        <v>941</v>
      </c>
      <c r="B942">
        <v>2025</v>
      </c>
      <c r="C942">
        <v>5</v>
      </c>
      <c r="D942" t="s">
        <v>471</v>
      </c>
      <c r="E942">
        <v>52</v>
      </c>
      <c r="F942">
        <v>2</v>
      </c>
      <c r="G942" t="s">
        <v>430</v>
      </c>
      <c r="H942" s="48">
        <v>0.29166666666666669</v>
      </c>
      <c r="I942" s="48">
        <v>0.29166666666666669</v>
      </c>
      <c r="J942" s="48">
        <v>0.29166666666666669</v>
      </c>
      <c r="K942" s="48">
        <v>0.29166666666666669</v>
      </c>
      <c r="L942" s="48">
        <v>0.29166666666666669</v>
      </c>
      <c r="M942" s="48">
        <v>0.29166666666666669</v>
      </c>
      <c r="N942" s="48">
        <v>0.29166666666666669</v>
      </c>
      <c r="O942" s="48">
        <v>0.29166666666666669</v>
      </c>
      <c r="P942" s="48">
        <v>0.29166666666666669</v>
      </c>
      <c r="Q942" s="48">
        <v>0.29166666666666669</v>
      </c>
      <c r="R942" s="48">
        <v>0.29166666666666669</v>
      </c>
      <c r="S942" s="48">
        <v>0.29166666666666669</v>
      </c>
      <c r="T942" s="48">
        <v>0.29166666666666669</v>
      </c>
      <c r="U942" s="48">
        <v>0.29166666666666669</v>
      </c>
      <c r="V942" s="48">
        <v>0.29166666666666669</v>
      </c>
      <c r="W942" s="48">
        <v>0.29166666666666669</v>
      </c>
      <c r="X942" s="48">
        <v>0.29166666666666669</v>
      </c>
      <c r="Y942" s="48" t="s">
        <v>320</v>
      </c>
      <c r="Z942" s="48">
        <v>0.29166666666666669</v>
      </c>
      <c r="AA942" s="48">
        <v>0.29166666666666669</v>
      </c>
      <c r="AB942" s="48">
        <v>0.29166666666666669</v>
      </c>
      <c r="AC942" s="48">
        <v>0.29166666666666669</v>
      </c>
      <c r="AD942" s="48">
        <v>0.29166666666666669</v>
      </c>
      <c r="AE942" s="48">
        <v>0.29166666666666669</v>
      </c>
      <c r="AF942" s="48">
        <v>0.29166666666666669</v>
      </c>
      <c r="AG942" s="48">
        <v>0.29166666666666669</v>
      </c>
      <c r="AH942" s="48">
        <v>0.29166666666666669</v>
      </c>
      <c r="AI942" s="48">
        <v>0.29166666666666669</v>
      </c>
      <c r="AJ942" s="48">
        <v>0.29166666666666669</v>
      </c>
      <c r="AK942" s="48">
        <v>0.29166666666666669</v>
      </c>
      <c r="AL942" s="48">
        <v>0.29166666666666669</v>
      </c>
    </row>
    <row r="943" spans="1:41" hidden="1" x14ac:dyDescent="0.25">
      <c r="A943">
        <v>942</v>
      </c>
      <c r="B943">
        <v>2025</v>
      </c>
      <c r="C943">
        <v>5</v>
      </c>
      <c r="D943" t="s">
        <v>471</v>
      </c>
      <c r="E943">
        <v>52</v>
      </c>
      <c r="F943">
        <v>2</v>
      </c>
      <c r="G943" t="s">
        <v>431</v>
      </c>
      <c r="H943" s="48">
        <v>0.75</v>
      </c>
      <c r="I943" s="48">
        <v>0.75</v>
      </c>
      <c r="J943" s="48">
        <v>0.75</v>
      </c>
      <c r="K943" s="48">
        <v>0.75</v>
      </c>
      <c r="L943" s="48">
        <v>0.75</v>
      </c>
      <c r="M943" s="48">
        <v>0.75</v>
      </c>
      <c r="N943" s="48">
        <v>0.75</v>
      </c>
      <c r="O943" s="48">
        <v>0.75</v>
      </c>
      <c r="P943" s="48">
        <v>0.75</v>
      </c>
      <c r="Q943" s="48">
        <v>0.75</v>
      </c>
      <c r="R943" s="48">
        <v>0.75</v>
      </c>
      <c r="S943" s="48">
        <v>0.75</v>
      </c>
      <c r="T943" s="48">
        <v>0.75</v>
      </c>
      <c r="U943" s="48">
        <v>0.75</v>
      </c>
      <c r="V943" s="48">
        <v>0.75</v>
      </c>
      <c r="W943" s="48">
        <v>0.75</v>
      </c>
      <c r="X943" s="48">
        <v>0.75</v>
      </c>
      <c r="Y943" s="48" t="s">
        <v>320</v>
      </c>
      <c r="Z943" s="48">
        <v>0.75</v>
      </c>
      <c r="AA943" s="48">
        <v>0.75</v>
      </c>
      <c r="AB943" s="48">
        <v>0.75</v>
      </c>
      <c r="AC943" s="48">
        <v>0.75</v>
      </c>
      <c r="AD943" s="48">
        <v>0.75</v>
      </c>
      <c r="AE943" s="48">
        <v>0.75</v>
      </c>
      <c r="AF943" s="48">
        <v>0.75</v>
      </c>
      <c r="AG943" s="48">
        <v>0.75</v>
      </c>
      <c r="AH943" s="48">
        <v>0.75</v>
      </c>
      <c r="AI943" s="48">
        <v>0.75</v>
      </c>
      <c r="AJ943" s="48">
        <v>0.75</v>
      </c>
      <c r="AK943" s="48">
        <v>0.75</v>
      </c>
      <c r="AL943" s="48">
        <v>0.75</v>
      </c>
      <c r="AM943">
        <v>30</v>
      </c>
    </row>
    <row r="944" spans="1:41" hidden="1" x14ac:dyDescent="0.25">
      <c r="A944">
        <v>943</v>
      </c>
      <c r="B944">
        <v>2025</v>
      </c>
      <c r="C944">
        <v>5</v>
      </c>
      <c r="D944" t="s">
        <v>474</v>
      </c>
      <c r="E944">
        <v>52</v>
      </c>
      <c r="F944">
        <v>2</v>
      </c>
      <c r="G944" t="s">
        <v>430</v>
      </c>
      <c r="H944" s="48" t="s">
        <v>320</v>
      </c>
      <c r="I944" s="48" t="s">
        <v>320</v>
      </c>
      <c r="J944" s="48" t="s">
        <v>320</v>
      </c>
      <c r="K944" s="48" t="s">
        <v>320</v>
      </c>
      <c r="L944" s="48" t="s">
        <v>320</v>
      </c>
      <c r="M944" s="48" t="s">
        <v>320</v>
      </c>
      <c r="N944" s="48" t="s">
        <v>320</v>
      </c>
      <c r="O944" s="48" t="s">
        <v>320</v>
      </c>
      <c r="P944" s="48" t="s">
        <v>320</v>
      </c>
      <c r="Q944" s="48" t="s">
        <v>320</v>
      </c>
      <c r="R944" s="48" t="s">
        <v>320</v>
      </c>
      <c r="S944" s="48" t="s">
        <v>320</v>
      </c>
      <c r="T944" s="48" t="s">
        <v>320</v>
      </c>
      <c r="U944" s="48" t="s">
        <v>320</v>
      </c>
      <c r="V944" s="48" t="s">
        <v>320</v>
      </c>
      <c r="W944" s="48" t="s">
        <v>320</v>
      </c>
      <c r="X944" s="48" t="s">
        <v>320</v>
      </c>
      <c r="Y944" s="48" t="s">
        <v>320</v>
      </c>
      <c r="Z944" s="48" t="s">
        <v>320</v>
      </c>
      <c r="AA944" s="48" t="s">
        <v>320</v>
      </c>
      <c r="AB944" s="48">
        <v>0.29166666666666669</v>
      </c>
      <c r="AC944" s="48">
        <v>0.29166666666666669</v>
      </c>
      <c r="AD944" s="48">
        <v>0.29166666666666669</v>
      </c>
      <c r="AE944" s="48">
        <v>0.29166666666666669</v>
      </c>
      <c r="AF944" s="48">
        <v>0.29166666666666669</v>
      </c>
      <c r="AG944" s="48">
        <v>0.29166666666666669</v>
      </c>
      <c r="AH944" s="48">
        <v>0.29166666666666669</v>
      </c>
      <c r="AI944" s="48">
        <v>0.29166666666666669</v>
      </c>
      <c r="AJ944" s="48">
        <v>0.29166666666666669</v>
      </c>
      <c r="AK944" s="48">
        <v>0.29166666666666669</v>
      </c>
      <c r="AL944" s="48">
        <v>0.29166666666666669</v>
      </c>
    </row>
    <row r="945" spans="1:39" hidden="1" x14ac:dyDescent="0.25">
      <c r="A945">
        <v>944</v>
      </c>
      <c r="B945">
        <v>2025</v>
      </c>
      <c r="C945">
        <v>5</v>
      </c>
      <c r="D945" t="s">
        <v>474</v>
      </c>
      <c r="E945">
        <v>52</v>
      </c>
      <c r="F945">
        <v>2</v>
      </c>
      <c r="G945" t="s">
        <v>431</v>
      </c>
      <c r="H945" s="48" t="s">
        <v>320</v>
      </c>
      <c r="I945" s="48" t="s">
        <v>320</v>
      </c>
      <c r="J945" s="48" t="s">
        <v>320</v>
      </c>
      <c r="K945" s="48" t="s">
        <v>320</v>
      </c>
      <c r="L945" s="48" t="s">
        <v>320</v>
      </c>
      <c r="M945" s="48" t="s">
        <v>320</v>
      </c>
      <c r="N945" s="48" t="s">
        <v>320</v>
      </c>
      <c r="O945" s="48" t="s">
        <v>320</v>
      </c>
      <c r="P945" s="48" t="s">
        <v>320</v>
      </c>
      <c r="Q945" s="48" t="s">
        <v>320</v>
      </c>
      <c r="R945" s="48" t="s">
        <v>320</v>
      </c>
      <c r="S945" s="48" t="s">
        <v>320</v>
      </c>
      <c r="T945" s="48" t="s">
        <v>320</v>
      </c>
      <c r="U945" s="48" t="s">
        <v>320</v>
      </c>
      <c r="V945" s="48" t="s">
        <v>320</v>
      </c>
      <c r="W945" s="48" t="s">
        <v>320</v>
      </c>
      <c r="X945" s="48" t="s">
        <v>320</v>
      </c>
      <c r="Y945" s="48" t="s">
        <v>320</v>
      </c>
      <c r="Z945" s="48" t="s">
        <v>320</v>
      </c>
      <c r="AA945" s="48" t="s">
        <v>320</v>
      </c>
      <c r="AB945" s="48">
        <v>0.75</v>
      </c>
      <c r="AC945" s="48">
        <v>0.75</v>
      </c>
      <c r="AD945" s="48">
        <v>0.75</v>
      </c>
      <c r="AE945" s="48">
        <v>0.75</v>
      </c>
      <c r="AF945" s="48">
        <v>0.75</v>
      </c>
      <c r="AG945" s="48">
        <v>0.75</v>
      </c>
      <c r="AH945" s="48">
        <v>0.75</v>
      </c>
      <c r="AI945" s="48">
        <v>0.75</v>
      </c>
      <c r="AJ945" s="48">
        <v>0.75</v>
      </c>
      <c r="AK945" s="48">
        <v>0.75</v>
      </c>
      <c r="AL945" s="48">
        <v>0.75</v>
      </c>
      <c r="AM945">
        <v>11</v>
      </c>
    </row>
    <row r="946" spans="1:39" hidden="1" x14ac:dyDescent="0.25">
      <c r="A946">
        <v>945</v>
      </c>
      <c r="B946">
        <v>2025</v>
      </c>
      <c r="C946">
        <v>6</v>
      </c>
      <c r="D946" t="s">
        <v>471</v>
      </c>
      <c r="E946">
        <v>52</v>
      </c>
      <c r="F946">
        <v>3</v>
      </c>
      <c r="G946" t="s">
        <v>430</v>
      </c>
      <c r="H946" s="48">
        <v>0.29166666666666669</v>
      </c>
      <c r="I946" s="48">
        <v>0.29166666666666669</v>
      </c>
      <c r="J946" s="48">
        <v>0.29166666666666669</v>
      </c>
      <c r="K946" s="48">
        <v>0.29166666666666669</v>
      </c>
      <c r="L946" s="48">
        <v>0.29166666666666669</v>
      </c>
      <c r="M946" s="48" t="s">
        <v>320</v>
      </c>
      <c r="N946" s="48" t="s">
        <v>320</v>
      </c>
      <c r="O946" s="48">
        <v>0.29166666666666669</v>
      </c>
      <c r="P946" s="48">
        <v>0.29166666666666669</v>
      </c>
      <c r="Q946" s="48">
        <v>0.29166666666666669</v>
      </c>
      <c r="R946" s="48">
        <v>0.29166666666666669</v>
      </c>
      <c r="S946" s="48">
        <v>0.29166666666666669</v>
      </c>
      <c r="T946" s="48">
        <v>0.29166666666666669</v>
      </c>
      <c r="U946" s="48">
        <v>0.29166666666666669</v>
      </c>
      <c r="V946" s="48">
        <v>0.29166666666666669</v>
      </c>
      <c r="W946" s="48" t="s">
        <v>320</v>
      </c>
      <c r="X946" s="48">
        <v>0.29166666666666669</v>
      </c>
      <c r="Y946" s="48">
        <v>0.29166666666666669</v>
      </c>
      <c r="Z946" s="48">
        <v>0.29166666666666669</v>
      </c>
      <c r="AA946" s="48">
        <v>0.29166666666666669</v>
      </c>
      <c r="AB946" s="48" t="s">
        <v>320</v>
      </c>
      <c r="AC946" s="48" t="s">
        <v>320</v>
      </c>
      <c r="AD946" s="48" t="s">
        <v>320</v>
      </c>
      <c r="AE946" s="48" t="s">
        <v>320</v>
      </c>
      <c r="AF946" s="48">
        <v>0.29166666666666669</v>
      </c>
      <c r="AG946" s="48">
        <v>0.29166666666666669</v>
      </c>
      <c r="AH946" s="48" t="s">
        <v>320</v>
      </c>
      <c r="AI946" s="48" t="s">
        <v>320</v>
      </c>
      <c r="AJ946" s="48" t="s">
        <v>320</v>
      </c>
      <c r="AK946" s="48">
        <v>0.29166666666666669</v>
      </c>
      <c r="AL946" s="48" t="s">
        <v>320</v>
      </c>
    </row>
    <row r="947" spans="1:39" hidden="1" x14ac:dyDescent="0.25">
      <c r="A947">
        <v>946</v>
      </c>
      <c r="B947">
        <v>2025</v>
      </c>
      <c r="C947">
        <v>6</v>
      </c>
      <c r="D947" t="s">
        <v>471</v>
      </c>
      <c r="E947">
        <v>52</v>
      </c>
      <c r="F947">
        <v>3</v>
      </c>
      <c r="G947" t="s">
        <v>431</v>
      </c>
      <c r="H947" s="48">
        <v>0.75</v>
      </c>
      <c r="I947" s="48">
        <v>0.75</v>
      </c>
      <c r="J947" s="48">
        <v>0.75</v>
      </c>
      <c r="K947" s="48">
        <v>0.75</v>
      </c>
      <c r="L947" s="48">
        <v>0.75</v>
      </c>
      <c r="M947" s="48" t="s">
        <v>320</v>
      </c>
      <c r="N947" s="48" t="s">
        <v>320</v>
      </c>
      <c r="O947" s="48">
        <v>0.75</v>
      </c>
      <c r="P947" s="48">
        <v>0.75</v>
      </c>
      <c r="Q947" s="48">
        <v>0.75</v>
      </c>
      <c r="R947" s="48">
        <v>0.75</v>
      </c>
      <c r="S947" s="48">
        <v>0.75</v>
      </c>
      <c r="T947" s="48">
        <v>0.75</v>
      </c>
      <c r="U947" s="48">
        <v>0.75</v>
      </c>
      <c r="V947" s="48">
        <v>0.75</v>
      </c>
      <c r="W947" s="48" t="s">
        <v>320</v>
      </c>
      <c r="X947" s="48">
        <v>0.75</v>
      </c>
      <c r="Y947" s="48">
        <v>0.75</v>
      </c>
      <c r="Z947" s="48">
        <v>0.75</v>
      </c>
      <c r="AA947" s="48">
        <v>0.5</v>
      </c>
      <c r="AB947" s="48" t="s">
        <v>320</v>
      </c>
      <c r="AC947" s="48" t="s">
        <v>320</v>
      </c>
      <c r="AD947" s="48" t="s">
        <v>320</v>
      </c>
      <c r="AE947" s="48" t="s">
        <v>320</v>
      </c>
      <c r="AF947" s="48">
        <v>0.5</v>
      </c>
      <c r="AG947" s="48">
        <v>0.5</v>
      </c>
      <c r="AH947" s="48" t="s">
        <v>320</v>
      </c>
      <c r="AI947" s="48" t="s">
        <v>320</v>
      </c>
      <c r="AJ947" s="48" t="s">
        <v>320</v>
      </c>
      <c r="AK947" s="48">
        <v>0.75</v>
      </c>
      <c r="AL947" s="48" t="s">
        <v>320</v>
      </c>
      <c r="AM947">
        <v>18.5</v>
      </c>
    </row>
    <row r="948" spans="1:39" hidden="1" x14ac:dyDescent="0.25">
      <c r="A948">
        <v>947</v>
      </c>
      <c r="B948">
        <v>2025</v>
      </c>
      <c r="C948">
        <v>5</v>
      </c>
      <c r="D948" t="s">
        <v>474</v>
      </c>
      <c r="E948">
        <v>52</v>
      </c>
      <c r="F948">
        <v>3</v>
      </c>
      <c r="G948" t="s">
        <v>430</v>
      </c>
      <c r="H948" s="48">
        <v>0.29166666666666669</v>
      </c>
      <c r="I948" s="48">
        <v>0.29166666666666669</v>
      </c>
      <c r="J948" s="48">
        <v>0.29166666666666669</v>
      </c>
      <c r="K948" s="48">
        <v>0.29166666666666669</v>
      </c>
      <c r="L948" s="48">
        <v>0.29166666666666669</v>
      </c>
      <c r="M948" s="48" t="s">
        <v>320</v>
      </c>
      <c r="N948" s="48" t="s">
        <v>320</v>
      </c>
      <c r="O948" s="48">
        <v>0.29166666666666669</v>
      </c>
      <c r="P948" s="48">
        <v>0.29166666666666669</v>
      </c>
      <c r="Q948" s="48">
        <v>0.29166666666666669</v>
      </c>
      <c r="R948" s="48">
        <v>0.29166666666666669</v>
      </c>
      <c r="S948" s="48">
        <v>0.29166666666666669</v>
      </c>
      <c r="T948" s="48">
        <v>0.29166666666666669</v>
      </c>
      <c r="U948" s="48">
        <v>0.29166666666666669</v>
      </c>
      <c r="V948" s="48">
        <v>0.29166666666666669</v>
      </c>
      <c r="W948" s="48">
        <v>0.29166666666666669</v>
      </c>
      <c r="X948" s="48">
        <v>0.29166666666666669</v>
      </c>
      <c r="Y948" s="48">
        <v>0.29166666666666669</v>
      </c>
      <c r="Z948" s="48">
        <v>0.29166666666666669</v>
      </c>
      <c r="AA948" s="48">
        <v>0.29166666666666669</v>
      </c>
      <c r="AB948" s="48">
        <v>0.29166666666666669</v>
      </c>
      <c r="AC948" s="48" t="s">
        <v>320</v>
      </c>
      <c r="AD948" s="48">
        <v>0.29166666666666669</v>
      </c>
      <c r="AE948" s="48">
        <v>0.29166666666666669</v>
      </c>
      <c r="AF948" s="48">
        <v>0.29166666666666669</v>
      </c>
      <c r="AG948" s="48">
        <v>0.29166666666666669</v>
      </c>
      <c r="AH948" s="48">
        <v>0.29166666666666669</v>
      </c>
      <c r="AI948" s="48">
        <v>0.29166666666666669</v>
      </c>
      <c r="AJ948" s="48">
        <v>0.29166666666666669</v>
      </c>
      <c r="AK948" s="48">
        <v>0.29166666666666669</v>
      </c>
      <c r="AL948" s="48" t="s">
        <v>320</v>
      </c>
    </row>
    <row r="949" spans="1:39" hidden="1" x14ac:dyDescent="0.25">
      <c r="A949">
        <v>948</v>
      </c>
      <c r="B949">
        <v>2025</v>
      </c>
      <c r="C949">
        <v>5</v>
      </c>
      <c r="D949" t="s">
        <v>474</v>
      </c>
      <c r="E949">
        <v>52</v>
      </c>
      <c r="F949">
        <v>3</v>
      </c>
      <c r="G949" t="s">
        <v>431</v>
      </c>
      <c r="H949" s="48">
        <v>0.75</v>
      </c>
      <c r="I949" s="48">
        <v>0.75</v>
      </c>
      <c r="J949" s="48">
        <v>0.75</v>
      </c>
      <c r="K949" s="48">
        <v>0.75</v>
      </c>
      <c r="L949" s="48">
        <v>0.75</v>
      </c>
      <c r="M949" s="48" t="s">
        <v>320</v>
      </c>
      <c r="N949" s="48" t="s">
        <v>320</v>
      </c>
      <c r="O949" s="48">
        <v>0.75</v>
      </c>
      <c r="P949" s="48">
        <v>0.75</v>
      </c>
      <c r="Q949" s="48">
        <v>0.75</v>
      </c>
      <c r="R949" s="48">
        <v>0.75</v>
      </c>
      <c r="S949" s="48">
        <v>0.75</v>
      </c>
      <c r="T949" s="48">
        <v>0.75</v>
      </c>
      <c r="U949" s="48">
        <v>0.75</v>
      </c>
      <c r="V949" s="48">
        <v>0.75</v>
      </c>
      <c r="W949" s="48">
        <v>0.75</v>
      </c>
      <c r="X949" s="48">
        <v>0.75</v>
      </c>
      <c r="Y949" s="48">
        <v>0.75</v>
      </c>
      <c r="Z949" s="48">
        <v>0.75</v>
      </c>
      <c r="AA949" s="48">
        <v>0.75</v>
      </c>
      <c r="AB949" s="48">
        <v>0.75</v>
      </c>
      <c r="AC949" s="48" t="s">
        <v>320</v>
      </c>
      <c r="AD949" s="48">
        <v>0.75</v>
      </c>
      <c r="AE949" s="48">
        <v>0.75</v>
      </c>
      <c r="AF949" s="48">
        <v>0.75</v>
      </c>
      <c r="AG949" s="48">
        <v>0.75</v>
      </c>
      <c r="AH949" s="48">
        <v>0.75</v>
      </c>
      <c r="AI949" s="48">
        <v>0.75</v>
      </c>
      <c r="AJ949" s="48">
        <v>0.75</v>
      </c>
      <c r="AK949" s="48">
        <v>0.75</v>
      </c>
      <c r="AL949" s="48" t="s">
        <v>320</v>
      </c>
      <c r="AM949">
        <v>27</v>
      </c>
    </row>
    <row r="950" spans="1:39" hidden="1" x14ac:dyDescent="0.25">
      <c r="A950">
        <v>949</v>
      </c>
      <c r="B950">
        <v>2025</v>
      </c>
      <c r="C950">
        <v>7</v>
      </c>
      <c r="D950" t="s">
        <v>471</v>
      </c>
      <c r="E950">
        <v>52</v>
      </c>
      <c r="F950">
        <v>4</v>
      </c>
      <c r="G950" t="s">
        <v>430</v>
      </c>
      <c r="H950" s="48">
        <v>0.29166666666666669</v>
      </c>
      <c r="I950" s="48">
        <v>0.29166666666666669</v>
      </c>
      <c r="J950" s="48">
        <v>0.29166666666666669</v>
      </c>
      <c r="K950" s="48">
        <v>0.29166666666666669</v>
      </c>
      <c r="L950" s="48">
        <v>0.29166666666666669</v>
      </c>
      <c r="M950" s="48" t="s">
        <v>320</v>
      </c>
      <c r="N950" s="48">
        <v>0.29166666666666669</v>
      </c>
      <c r="O950" s="48">
        <v>0.29166666666666669</v>
      </c>
      <c r="P950" s="48">
        <v>0.29166666666666669</v>
      </c>
      <c r="Q950" s="48">
        <v>0.29166666666666669</v>
      </c>
      <c r="R950" s="48">
        <v>0.29166666666666669</v>
      </c>
      <c r="S950" s="48">
        <v>0.29166666666666669</v>
      </c>
      <c r="T950" s="48">
        <v>0.29166666666666669</v>
      </c>
      <c r="U950" s="48">
        <v>0.29166666666666669</v>
      </c>
      <c r="V950" s="48">
        <v>0.29166666666666669</v>
      </c>
      <c r="W950" s="48">
        <v>0.29166666666666669</v>
      </c>
      <c r="X950" s="48">
        <v>0.29166666666666669</v>
      </c>
      <c r="Y950" s="48">
        <v>0.29166666666666669</v>
      </c>
      <c r="Z950" s="48">
        <v>0.29166666666666669</v>
      </c>
      <c r="AA950" s="48">
        <v>0.29166666666666669</v>
      </c>
      <c r="AB950" s="48">
        <v>0.29166666666666669</v>
      </c>
      <c r="AC950" s="48">
        <v>0.29166666666666669</v>
      </c>
      <c r="AD950" s="48">
        <v>0.29166666666666669</v>
      </c>
      <c r="AE950" s="48">
        <v>0.29166666666666669</v>
      </c>
      <c r="AF950" s="48">
        <v>0.29166666666666669</v>
      </c>
      <c r="AG950" s="48">
        <v>0.29166666666666669</v>
      </c>
      <c r="AH950" s="48" t="s">
        <v>320</v>
      </c>
      <c r="AI950" s="48">
        <v>0.29166666666666669</v>
      </c>
      <c r="AJ950" s="48">
        <v>0.29166666666666669</v>
      </c>
      <c r="AK950" s="48">
        <v>0.29166666666666669</v>
      </c>
      <c r="AL950" s="48">
        <v>0.29166666666666669</v>
      </c>
    </row>
    <row r="951" spans="1:39" hidden="1" x14ac:dyDescent="0.25">
      <c r="A951">
        <v>950</v>
      </c>
      <c r="B951">
        <v>2025</v>
      </c>
      <c r="C951">
        <v>7</v>
      </c>
      <c r="D951" t="s">
        <v>471</v>
      </c>
      <c r="E951">
        <v>52</v>
      </c>
      <c r="F951">
        <v>4</v>
      </c>
      <c r="G951" t="s">
        <v>431</v>
      </c>
      <c r="H951" s="48">
        <v>0.75</v>
      </c>
      <c r="I951" s="48">
        <v>0.75</v>
      </c>
      <c r="J951" s="48">
        <v>0.75</v>
      </c>
      <c r="K951" s="48">
        <v>0.75</v>
      </c>
      <c r="L951" s="48">
        <v>0.75</v>
      </c>
      <c r="M951" s="48" t="s">
        <v>320</v>
      </c>
      <c r="N951" s="48">
        <v>0.75</v>
      </c>
      <c r="O951" s="48">
        <v>0.75</v>
      </c>
      <c r="P951" s="48">
        <v>0.75</v>
      </c>
      <c r="Q951" s="48">
        <v>0.75</v>
      </c>
      <c r="R951" s="48">
        <v>0.75</v>
      </c>
      <c r="S951" s="48">
        <v>0.75</v>
      </c>
      <c r="T951" s="48">
        <v>0.75</v>
      </c>
      <c r="U951" s="48">
        <v>0.75</v>
      </c>
      <c r="V951" s="48">
        <v>0.75</v>
      </c>
      <c r="W951" s="48">
        <v>0.75</v>
      </c>
      <c r="X951" s="48">
        <v>0.75</v>
      </c>
      <c r="Y951" s="48">
        <v>0.75</v>
      </c>
      <c r="Z951" s="48">
        <v>0.75</v>
      </c>
      <c r="AA951" s="48">
        <v>0.75</v>
      </c>
      <c r="AB951" s="48">
        <v>0.75</v>
      </c>
      <c r="AC951" s="48">
        <v>0.75</v>
      </c>
      <c r="AD951" s="48">
        <v>0.75</v>
      </c>
      <c r="AE951" s="48">
        <v>0.75</v>
      </c>
      <c r="AF951" s="48">
        <v>0.75</v>
      </c>
      <c r="AG951" s="48">
        <v>0.75</v>
      </c>
      <c r="AH951" s="48" t="s">
        <v>320</v>
      </c>
      <c r="AI951" s="48">
        <v>0.75</v>
      </c>
      <c r="AJ951" s="48">
        <v>0.75</v>
      </c>
      <c r="AK951" s="48">
        <v>0.75</v>
      </c>
      <c r="AL951" s="48">
        <v>0.75</v>
      </c>
      <c r="AM951">
        <v>29</v>
      </c>
    </row>
    <row r="952" spans="1:39" hidden="1" x14ac:dyDescent="0.25">
      <c r="A952">
        <v>951</v>
      </c>
      <c r="B952">
        <v>2025</v>
      </c>
      <c r="C952">
        <v>5</v>
      </c>
      <c r="D952" t="s">
        <v>477</v>
      </c>
      <c r="E952">
        <v>65</v>
      </c>
      <c r="F952">
        <v>1</v>
      </c>
      <c r="G952" t="s">
        <v>430</v>
      </c>
      <c r="H952" s="48" t="s">
        <v>320</v>
      </c>
      <c r="I952" s="48" t="s">
        <v>320</v>
      </c>
      <c r="J952" s="48" t="s">
        <v>320</v>
      </c>
      <c r="K952" s="48" t="s">
        <v>320</v>
      </c>
      <c r="L952" s="48" t="s">
        <v>320</v>
      </c>
      <c r="M952" s="48">
        <v>0.29166666666666669</v>
      </c>
      <c r="N952" s="48">
        <v>0.29166666666666669</v>
      </c>
      <c r="O952" s="48">
        <v>0.29166666666666669</v>
      </c>
      <c r="P952" s="48">
        <v>0.29166666666666669</v>
      </c>
      <c r="Q952" s="48">
        <v>0.29166666666666669</v>
      </c>
      <c r="R952" s="48">
        <v>0.29166666666666669</v>
      </c>
      <c r="S952" s="48">
        <v>0.29166666666666669</v>
      </c>
      <c r="T952" s="48">
        <v>0.29166666666666669</v>
      </c>
      <c r="U952" s="48">
        <v>0.29166666666666669</v>
      </c>
      <c r="V952" s="48">
        <v>0.29166666666666669</v>
      </c>
      <c r="W952" s="48">
        <v>0.29166666666666669</v>
      </c>
      <c r="X952" s="48">
        <v>0.29166666666666669</v>
      </c>
      <c r="Y952" s="48" t="s">
        <v>320</v>
      </c>
      <c r="Z952" s="48">
        <v>0.29166666666666669</v>
      </c>
      <c r="AA952" s="48">
        <v>0.29166666666666669</v>
      </c>
      <c r="AB952" s="48">
        <v>0.29166666666666669</v>
      </c>
      <c r="AC952" s="48">
        <v>0.29166666666666669</v>
      </c>
      <c r="AD952" s="48">
        <v>0.29166666666666669</v>
      </c>
      <c r="AE952" s="48">
        <v>0.29166666666666669</v>
      </c>
      <c r="AF952" s="48">
        <v>0.29166666666666669</v>
      </c>
      <c r="AG952" s="48">
        <v>0.29166666666666669</v>
      </c>
      <c r="AH952" s="48">
        <v>0.29166666666666669</v>
      </c>
      <c r="AI952" s="48">
        <v>0.29166666666666669</v>
      </c>
      <c r="AJ952" s="48">
        <v>0.29166666666666669</v>
      </c>
      <c r="AK952" s="48">
        <v>0.29166666666666669</v>
      </c>
      <c r="AL952" s="48">
        <v>0.29166666666666669</v>
      </c>
    </row>
    <row r="953" spans="1:39" hidden="1" x14ac:dyDescent="0.25">
      <c r="A953">
        <v>952</v>
      </c>
      <c r="B953">
        <v>2025</v>
      </c>
      <c r="C953">
        <v>5</v>
      </c>
      <c r="D953" t="s">
        <v>477</v>
      </c>
      <c r="E953">
        <v>65</v>
      </c>
      <c r="F953">
        <v>1</v>
      </c>
      <c r="G953" t="s">
        <v>431</v>
      </c>
      <c r="H953" s="48" t="s">
        <v>320</v>
      </c>
      <c r="I953" s="48" t="s">
        <v>320</v>
      </c>
      <c r="J953" s="48" t="s">
        <v>320</v>
      </c>
      <c r="K953" s="48" t="s">
        <v>320</v>
      </c>
      <c r="L953" s="48" t="s">
        <v>320</v>
      </c>
      <c r="M953" s="48">
        <v>0.75</v>
      </c>
      <c r="N953" s="48">
        <v>0.75</v>
      </c>
      <c r="O953" s="48">
        <v>0.75</v>
      </c>
      <c r="P953" s="48">
        <v>0.75</v>
      </c>
      <c r="Q953" s="48">
        <v>0.75</v>
      </c>
      <c r="R953" s="48">
        <v>0.75</v>
      </c>
      <c r="S953" s="48">
        <v>0.75</v>
      </c>
      <c r="T953" s="48">
        <v>0.75</v>
      </c>
      <c r="U953" s="48">
        <v>0.75</v>
      </c>
      <c r="V953" s="48">
        <v>0.75</v>
      </c>
      <c r="W953" s="48">
        <v>0.75</v>
      </c>
      <c r="X953" s="48">
        <v>0.75</v>
      </c>
      <c r="Y953" s="48" t="s">
        <v>320</v>
      </c>
      <c r="Z953" s="48">
        <v>0.75</v>
      </c>
      <c r="AA953" s="48">
        <v>0.75</v>
      </c>
      <c r="AB953" s="48">
        <v>0.75</v>
      </c>
      <c r="AC953" s="48">
        <v>0.75</v>
      </c>
      <c r="AD953" s="48">
        <v>0.75</v>
      </c>
      <c r="AE953" s="48">
        <v>0.75</v>
      </c>
      <c r="AF953" s="48">
        <v>0.75</v>
      </c>
      <c r="AG953" s="48">
        <v>0.75</v>
      </c>
      <c r="AH953" s="48">
        <v>0.75</v>
      </c>
      <c r="AI953" s="48">
        <v>0.75</v>
      </c>
      <c r="AJ953" s="48">
        <v>0.75</v>
      </c>
      <c r="AK953" s="48">
        <v>0.75</v>
      </c>
      <c r="AL953" s="48">
        <v>0.75</v>
      </c>
      <c r="AM953">
        <v>25</v>
      </c>
    </row>
    <row r="954" spans="1:39" hidden="1" x14ac:dyDescent="0.25">
      <c r="A954">
        <v>953</v>
      </c>
      <c r="B954">
        <v>2025</v>
      </c>
      <c r="C954">
        <v>5</v>
      </c>
      <c r="D954" t="s">
        <v>478</v>
      </c>
      <c r="E954">
        <v>65</v>
      </c>
      <c r="F954">
        <f>+F953</f>
        <v>1</v>
      </c>
      <c r="G954" t="s">
        <v>430</v>
      </c>
      <c r="H954" s="48" t="s">
        <v>320</v>
      </c>
      <c r="I954" s="48" t="s">
        <v>320</v>
      </c>
      <c r="J954" s="48" t="s">
        <v>320</v>
      </c>
      <c r="K954" s="48" t="s">
        <v>320</v>
      </c>
      <c r="L954" s="48" t="s">
        <v>320</v>
      </c>
      <c r="M954" s="48" t="s">
        <v>320</v>
      </c>
      <c r="N954" s="48" t="s">
        <v>320</v>
      </c>
      <c r="O954" s="48" t="s">
        <v>320</v>
      </c>
      <c r="P954" s="48">
        <v>0.29166666666666669</v>
      </c>
      <c r="Q954" s="48">
        <v>0.29166666666666669</v>
      </c>
      <c r="R954" s="48">
        <v>0.29166666666666669</v>
      </c>
      <c r="S954" s="48">
        <v>0.29166666666666669</v>
      </c>
      <c r="T954" s="48">
        <v>0.29166666666666669</v>
      </c>
      <c r="U954" s="48">
        <v>0.29166666666666669</v>
      </c>
      <c r="V954" s="48">
        <v>0.29166666666666669</v>
      </c>
      <c r="W954" s="48">
        <v>0.29166666666666669</v>
      </c>
      <c r="X954" s="48">
        <v>0.29166666666666669</v>
      </c>
      <c r="Y954" s="48" t="s">
        <v>320</v>
      </c>
      <c r="Z954" s="48">
        <v>0.29166666666666669</v>
      </c>
      <c r="AA954" s="48">
        <v>0.29166666666666669</v>
      </c>
      <c r="AB954" s="48">
        <v>0.29166666666666669</v>
      </c>
      <c r="AC954" s="48">
        <v>0.29166666666666669</v>
      </c>
      <c r="AD954" s="48">
        <v>0.29166666666666669</v>
      </c>
      <c r="AE954" s="48">
        <v>0.29166666666666669</v>
      </c>
      <c r="AF954" s="48">
        <v>0.29166666666666669</v>
      </c>
      <c r="AG954" s="48">
        <v>0.29166666666666669</v>
      </c>
      <c r="AH954" s="48">
        <v>0.29166666666666669</v>
      </c>
      <c r="AI954" s="48">
        <v>0.29166666666666669</v>
      </c>
      <c r="AJ954" s="48">
        <v>0.29166666666666669</v>
      </c>
      <c r="AK954" s="48">
        <v>0.29166666666666669</v>
      </c>
      <c r="AL954" s="48">
        <v>0.29166666666666669</v>
      </c>
    </row>
    <row r="955" spans="1:39" hidden="1" x14ac:dyDescent="0.25">
      <c r="A955">
        <v>954</v>
      </c>
      <c r="B955">
        <v>2025</v>
      </c>
      <c r="C955">
        <v>5</v>
      </c>
      <c r="D955" t="s">
        <v>478</v>
      </c>
      <c r="E955">
        <v>65</v>
      </c>
      <c r="F955">
        <f>+F954</f>
        <v>1</v>
      </c>
      <c r="G955" t="s">
        <v>431</v>
      </c>
      <c r="H955" s="48" t="s">
        <v>320</v>
      </c>
      <c r="I955" s="48" t="s">
        <v>320</v>
      </c>
      <c r="J955" s="48" t="s">
        <v>320</v>
      </c>
      <c r="K955" s="48" t="s">
        <v>320</v>
      </c>
      <c r="L955" s="48" t="s">
        <v>320</v>
      </c>
      <c r="M955" s="48" t="s">
        <v>320</v>
      </c>
      <c r="N955" s="48" t="s">
        <v>320</v>
      </c>
      <c r="O955" s="48" t="s">
        <v>320</v>
      </c>
      <c r="P955" s="48">
        <v>0.75</v>
      </c>
      <c r="Q955" s="48">
        <v>0.75</v>
      </c>
      <c r="R955" s="48">
        <v>0.75</v>
      </c>
      <c r="S955" s="48">
        <v>0.75</v>
      </c>
      <c r="T955" s="48">
        <v>0.75</v>
      </c>
      <c r="U955" s="48">
        <v>0.75</v>
      </c>
      <c r="V955" s="48">
        <v>0.75</v>
      </c>
      <c r="W955" s="48">
        <v>0.75</v>
      </c>
      <c r="X955" s="48">
        <v>0.75</v>
      </c>
      <c r="Y955" s="48" t="s">
        <v>320</v>
      </c>
      <c r="Z955" s="48">
        <v>0.75</v>
      </c>
      <c r="AA955" s="48">
        <v>0.75</v>
      </c>
      <c r="AB955" s="48">
        <v>0.75</v>
      </c>
      <c r="AC955" s="48">
        <v>0.75</v>
      </c>
      <c r="AD955" s="48">
        <v>0.75</v>
      </c>
      <c r="AE955" s="48">
        <v>0.75</v>
      </c>
      <c r="AF955" s="48">
        <v>0.75</v>
      </c>
      <c r="AG955" s="48">
        <v>0.75</v>
      </c>
      <c r="AH955" s="48">
        <v>0.75</v>
      </c>
      <c r="AI955" s="48">
        <v>0.75</v>
      </c>
      <c r="AJ955" s="48">
        <v>0.75</v>
      </c>
      <c r="AK955" s="48">
        <v>0.75</v>
      </c>
      <c r="AL955" s="48">
        <v>0.75</v>
      </c>
      <c r="AM955">
        <v>22</v>
      </c>
    </row>
    <row r="956" spans="1:39" hidden="1" x14ac:dyDescent="0.25">
      <c r="A956">
        <v>955</v>
      </c>
      <c r="B956">
        <v>2025</v>
      </c>
      <c r="C956">
        <v>6</v>
      </c>
      <c r="D956" t="s">
        <v>477</v>
      </c>
      <c r="E956">
        <v>65</v>
      </c>
      <c r="F956">
        <v>2</v>
      </c>
      <c r="G956" t="s">
        <v>430</v>
      </c>
      <c r="H956" s="48">
        <v>0.29166666666666669</v>
      </c>
      <c r="I956" s="48">
        <v>0.29166666666666669</v>
      </c>
      <c r="J956" s="48">
        <v>0.29166666666666669</v>
      </c>
      <c r="K956" s="48" t="s">
        <v>320</v>
      </c>
      <c r="L956" s="48">
        <v>0.29166666666666669</v>
      </c>
      <c r="M956" s="48" t="s">
        <v>320</v>
      </c>
      <c r="N956" s="48" t="s">
        <v>320</v>
      </c>
      <c r="O956" s="48">
        <v>0.29166666666666669</v>
      </c>
      <c r="P956" s="48">
        <v>0.29166666666666669</v>
      </c>
      <c r="Q956" s="48">
        <v>0.29166666666666669</v>
      </c>
      <c r="R956" s="48">
        <v>0.29166666666666669</v>
      </c>
      <c r="S956" s="48">
        <v>0.29166666666666669</v>
      </c>
      <c r="T956" s="48">
        <v>0.29166666666666669</v>
      </c>
      <c r="U956" s="48">
        <v>0.29166666666666669</v>
      </c>
      <c r="V956" s="48">
        <v>0.29166666666666669</v>
      </c>
      <c r="W956" s="48">
        <v>0.29166666666666669</v>
      </c>
      <c r="X956" s="48" t="s">
        <v>320</v>
      </c>
      <c r="Y956" s="48">
        <v>0.29166666666666669</v>
      </c>
      <c r="Z956" s="48">
        <v>0.29166666666666669</v>
      </c>
      <c r="AA956" s="48">
        <v>0.29166666666666669</v>
      </c>
      <c r="AB956" s="48">
        <v>0.29166666666666669</v>
      </c>
      <c r="AC956" s="48" t="s">
        <v>320</v>
      </c>
      <c r="AD956" s="48">
        <v>0.29166666666666669</v>
      </c>
      <c r="AE956" s="48">
        <v>0.29166666666666669</v>
      </c>
      <c r="AF956" s="48">
        <v>0.29166666666666669</v>
      </c>
      <c r="AG956" s="48">
        <v>0.29166666666666669</v>
      </c>
      <c r="AH956" s="48">
        <v>0.29166666666666669</v>
      </c>
      <c r="AI956" s="48" t="s">
        <v>320</v>
      </c>
      <c r="AJ956" s="48">
        <v>0.29166666666666669</v>
      </c>
      <c r="AK956" s="48">
        <v>0.29166666666666669</v>
      </c>
      <c r="AL956" s="48" t="s">
        <v>320</v>
      </c>
    </row>
    <row r="957" spans="1:39" hidden="1" x14ac:dyDescent="0.25">
      <c r="A957">
        <v>956</v>
      </c>
      <c r="B957">
        <v>2025</v>
      </c>
      <c r="C957">
        <v>6</v>
      </c>
      <c r="D957" t="s">
        <v>477</v>
      </c>
      <c r="E957">
        <v>65</v>
      </c>
      <c r="F957">
        <v>2</v>
      </c>
      <c r="G957" t="s">
        <v>431</v>
      </c>
      <c r="H957" s="48">
        <v>0.75</v>
      </c>
      <c r="I957" s="48">
        <v>0.75</v>
      </c>
      <c r="J957" s="48">
        <v>0.75</v>
      </c>
      <c r="K957" s="48" t="s">
        <v>320</v>
      </c>
      <c r="L957" s="48">
        <v>0.75</v>
      </c>
      <c r="M957" s="48" t="s">
        <v>320</v>
      </c>
      <c r="N957" s="48" t="s">
        <v>320</v>
      </c>
      <c r="O957" s="48">
        <v>0.75</v>
      </c>
      <c r="P957" s="48">
        <v>0.75</v>
      </c>
      <c r="Q957" s="48">
        <v>0.75</v>
      </c>
      <c r="R957" s="48">
        <v>0.75</v>
      </c>
      <c r="S957" s="48">
        <v>0.75</v>
      </c>
      <c r="T957" s="48">
        <v>0.75</v>
      </c>
      <c r="U957" s="48">
        <v>0.75</v>
      </c>
      <c r="V957" s="48">
        <v>0.75</v>
      </c>
      <c r="W957" s="48">
        <v>0.75</v>
      </c>
      <c r="X957" s="48" t="s">
        <v>320</v>
      </c>
      <c r="Y957" s="48">
        <v>0.75</v>
      </c>
      <c r="Z957" s="48">
        <v>0.75</v>
      </c>
      <c r="AA957" s="48">
        <v>0.75</v>
      </c>
      <c r="AB957" s="48">
        <v>0.75</v>
      </c>
      <c r="AC957" s="48" t="s">
        <v>320</v>
      </c>
      <c r="AD957" s="48">
        <v>0.75</v>
      </c>
      <c r="AE957" s="48">
        <v>0.75</v>
      </c>
      <c r="AF957" s="48">
        <v>0.75</v>
      </c>
      <c r="AG957" s="48">
        <v>0.75</v>
      </c>
      <c r="AH957" s="48">
        <v>0.75</v>
      </c>
      <c r="AI957" s="48" t="s">
        <v>320</v>
      </c>
      <c r="AJ957" s="48">
        <v>0.5</v>
      </c>
      <c r="AK957" s="48">
        <v>0.75</v>
      </c>
      <c r="AL957" s="48" t="s">
        <v>320</v>
      </c>
      <c r="AM957">
        <v>23.5</v>
      </c>
    </row>
    <row r="958" spans="1:39" hidden="1" x14ac:dyDescent="0.25">
      <c r="A958">
        <v>957</v>
      </c>
      <c r="B958">
        <v>2025</v>
      </c>
      <c r="C958">
        <v>6</v>
      </c>
      <c r="D958" t="s">
        <v>478</v>
      </c>
      <c r="E958">
        <v>65</v>
      </c>
      <c r="F958">
        <v>2</v>
      </c>
      <c r="G958" t="s">
        <v>430</v>
      </c>
      <c r="H958" s="48">
        <v>0.29166666666666669</v>
      </c>
      <c r="I958" s="48">
        <v>0.29166666666666669</v>
      </c>
      <c r="J958" s="48">
        <v>0.29166666666666669</v>
      </c>
      <c r="K958" s="48">
        <v>0.29166666666666669</v>
      </c>
      <c r="L958" s="48">
        <v>0.29166666666666669</v>
      </c>
      <c r="M958" s="48" t="s">
        <v>320</v>
      </c>
      <c r="N958" s="48" t="s">
        <v>320</v>
      </c>
      <c r="O958" s="48">
        <v>0.29166666666666669</v>
      </c>
      <c r="P958" s="48">
        <v>0.29166666666666669</v>
      </c>
      <c r="Q958" s="48">
        <v>0.29166666666666669</v>
      </c>
      <c r="R958" s="48">
        <v>0.29166666666666669</v>
      </c>
      <c r="S958" s="48">
        <v>0.29166666666666669</v>
      </c>
      <c r="T958" s="48">
        <v>0.29166666666666669</v>
      </c>
      <c r="U958" s="48">
        <v>0.29166666666666669</v>
      </c>
      <c r="V958" s="48">
        <v>0.29166666666666669</v>
      </c>
      <c r="W958" s="48">
        <v>0.29166666666666669</v>
      </c>
      <c r="X958" s="48">
        <v>0.29166666666666669</v>
      </c>
      <c r="Y958" s="48">
        <v>0.29166666666666669</v>
      </c>
      <c r="Z958" s="48">
        <v>0.29166666666666669</v>
      </c>
      <c r="AA958" s="48">
        <v>0.29166666666666669</v>
      </c>
      <c r="AB958" s="48">
        <v>0.29166666666666669</v>
      </c>
      <c r="AC958" s="48" t="s">
        <v>320</v>
      </c>
      <c r="AD958" s="48">
        <v>0.29166666666666669</v>
      </c>
      <c r="AE958" s="48">
        <v>0.29166666666666669</v>
      </c>
      <c r="AF958" s="48">
        <v>0.29166666666666669</v>
      </c>
      <c r="AG958" s="48">
        <v>0.29166666666666669</v>
      </c>
      <c r="AH958" s="48">
        <v>0.29166666666666669</v>
      </c>
      <c r="AI958" s="48">
        <v>0.29166666666666669</v>
      </c>
      <c r="AJ958" s="48">
        <v>0.29166666666666669</v>
      </c>
      <c r="AK958" s="48">
        <v>0.29166666666666669</v>
      </c>
      <c r="AL958" s="48" t="s">
        <v>320</v>
      </c>
    </row>
    <row r="959" spans="1:39" hidden="1" x14ac:dyDescent="0.25">
      <c r="A959">
        <v>958</v>
      </c>
      <c r="B959">
        <v>2025</v>
      </c>
      <c r="C959">
        <v>6</v>
      </c>
      <c r="D959" t="s">
        <v>478</v>
      </c>
      <c r="E959">
        <v>65</v>
      </c>
      <c r="F959">
        <v>2</v>
      </c>
      <c r="G959" t="s">
        <v>431</v>
      </c>
      <c r="H959" s="48">
        <v>0.75</v>
      </c>
      <c r="I959" s="48">
        <v>0.75</v>
      </c>
      <c r="J959" s="48">
        <v>0.75</v>
      </c>
      <c r="K959" s="48">
        <v>0.75</v>
      </c>
      <c r="L959" s="48">
        <v>0.75</v>
      </c>
      <c r="M959" s="48" t="s">
        <v>320</v>
      </c>
      <c r="N959" s="48" t="s">
        <v>320</v>
      </c>
      <c r="O959" s="48">
        <v>0.75</v>
      </c>
      <c r="P959" s="48">
        <v>0.75</v>
      </c>
      <c r="Q959" s="48">
        <v>0.75</v>
      </c>
      <c r="R959" s="48">
        <v>0.75</v>
      </c>
      <c r="S959" s="48">
        <v>0.75</v>
      </c>
      <c r="T959" s="48">
        <v>0.75</v>
      </c>
      <c r="U959" s="48">
        <v>0.75</v>
      </c>
      <c r="V959" s="48">
        <v>0.75</v>
      </c>
      <c r="W959" s="48">
        <v>0.75</v>
      </c>
      <c r="X959" s="48">
        <v>0.75</v>
      </c>
      <c r="Y959" s="48">
        <v>0.75</v>
      </c>
      <c r="Z959" s="48">
        <v>0.75</v>
      </c>
      <c r="AA959" s="48">
        <v>0.75</v>
      </c>
      <c r="AB959" s="48">
        <v>0.75</v>
      </c>
      <c r="AC959" s="48" t="s">
        <v>320</v>
      </c>
      <c r="AD959" s="48">
        <v>0.75</v>
      </c>
      <c r="AE959" s="48">
        <v>0.75</v>
      </c>
      <c r="AF959" s="48">
        <v>0.75</v>
      </c>
      <c r="AG959" s="48">
        <v>0.75</v>
      </c>
      <c r="AH959" s="48">
        <v>0.75</v>
      </c>
      <c r="AI959" s="48">
        <v>0.75</v>
      </c>
      <c r="AJ959" s="48">
        <v>0.75</v>
      </c>
      <c r="AK959" s="48">
        <v>0.75</v>
      </c>
      <c r="AL959" s="48" t="s">
        <v>320</v>
      </c>
      <c r="AM959">
        <v>27</v>
      </c>
    </row>
    <row r="960" spans="1:39" hidden="1" x14ac:dyDescent="0.25">
      <c r="A960">
        <v>959</v>
      </c>
      <c r="B960">
        <v>2025</v>
      </c>
      <c r="C960">
        <v>7</v>
      </c>
      <c r="D960" t="s">
        <v>477</v>
      </c>
      <c r="E960">
        <v>65</v>
      </c>
      <c r="F960">
        <v>3</v>
      </c>
      <c r="G960" t="s">
        <v>430</v>
      </c>
      <c r="H960" s="48">
        <v>0.29166666666666669</v>
      </c>
      <c r="I960" s="48">
        <v>0.29166666666666669</v>
      </c>
      <c r="J960" s="48">
        <v>0.29166666666666669</v>
      </c>
      <c r="K960" s="48">
        <v>0.29166666666666669</v>
      </c>
      <c r="L960" s="48">
        <v>0.29166666666666669</v>
      </c>
      <c r="M960" s="48" t="s">
        <v>320</v>
      </c>
      <c r="N960" s="48">
        <v>0.29166666666666669</v>
      </c>
      <c r="O960" s="48">
        <v>0.29166666666666669</v>
      </c>
      <c r="P960" s="48">
        <v>0.29166666666666669</v>
      </c>
      <c r="Q960" s="48">
        <v>0.29166666666666669</v>
      </c>
      <c r="R960" s="48">
        <v>0.29166666666666669</v>
      </c>
      <c r="S960" s="48">
        <v>0.29166666666666669</v>
      </c>
      <c r="T960" s="48">
        <v>0.29166666666666669</v>
      </c>
      <c r="U960" s="48">
        <v>0.29166666666666669</v>
      </c>
      <c r="V960" s="48">
        <v>0.29166666666666669</v>
      </c>
      <c r="W960" s="48">
        <v>0.29166666666666669</v>
      </c>
      <c r="X960" s="48">
        <v>0.29166666666666669</v>
      </c>
      <c r="Y960" s="48">
        <v>0.29166666666666669</v>
      </c>
      <c r="Z960" s="48">
        <v>0.29166666666666669</v>
      </c>
      <c r="AA960" s="48">
        <v>0.29166666666666669</v>
      </c>
      <c r="AB960" s="48">
        <v>0.29166666666666669</v>
      </c>
      <c r="AC960" s="48">
        <v>0.29166666666666669</v>
      </c>
      <c r="AD960" s="48">
        <v>0.29166666666666669</v>
      </c>
      <c r="AE960" s="48">
        <v>0.29166666666666669</v>
      </c>
      <c r="AF960" s="48">
        <v>0.29166666666666669</v>
      </c>
      <c r="AG960" s="48">
        <v>0.29166666666666669</v>
      </c>
      <c r="AH960" s="48" t="s">
        <v>320</v>
      </c>
      <c r="AI960" s="48">
        <v>0.29166666666666669</v>
      </c>
      <c r="AJ960" s="48">
        <v>0.29166666666666669</v>
      </c>
      <c r="AK960" s="48">
        <v>0.29166666666666669</v>
      </c>
      <c r="AL960" s="48">
        <v>0.29166666666666669</v>
      </c>
    </row>
    <row r="961" spans="1:39" hidden="1" x14ac:dyDescent="0.25">
      <c r="A961">
        <v>960</v>
      </c>
      <c r="B961">
        <v>2025</v>
      </c>
      <c r="C961">
        <v>7</v>
      </c>
      <c r="D961" t="s">
        <v>477</v>
      </c>
      <c r="E961">
        <v>65</v>
      </c>
      <c r="F961">
        <v>3</v>
      </c>
      <c r="G961" t="s">
        <v>431</v>
      </c>
      <c r="H961" s="48">
        <v>0.75</v>
      </c>
      <c r="I961" s="48">
        <v>0.75</v>
      </c>
      <c r="J961" s="48">
        <v>0.75</v>
      </c>
      <c r="K961" s="48">
        <v>0.75</v>
      </c>
      <c r="L961" s="48">
        <v>0.75</v>
      </c>
      <c r="M961" s="48" t="s">
        <v>320</v>
      </c>
      <c r="N961" s="48">
        <v>0.75</v>
      </c>
      <c r="O961" s="48">
        <v>0.75</v>
      </c>
      <c r="P961" s="48">
        <v>0.75</v>
      </c>
      <c r="Q961" s="48">
        <v>0.75</v>
      </c>
      <c r="R961" s="48">
        <v>0.75</v>
      </c>
      <c r="S961" s="48">
        <v>0.75</v>
      </c>
      <c r="T961" s="48">
        <v>0.75</v>
      </c>
      <c r="U961" s="48">
        <v>0.75</v>
      </c>
      <c r="V961" s="48">
        <v>0.75</v>
      </c>
      <c r="W961" s="48">
        <v>0.75</v>
      </c>
      <c r="X961" s="48">
        <v>0.75</v>
      </c>
      <c r="Y961" s="48">
        <v>0.75</v>
      </c>
      <c r="Z961" s="48">
        <v>0.75</v>
      </c>
      <c r="AA961" s="48">
        <v>0.75</v>
      </c>
      <c r="AB961" s="48">
        <v>0.75</v>
      </c>
      <c r="AC961" s="48">
        <v>0.75</v>
      </c>
      <c r="AD961" s="48">
        <v>0.75</v>
      </c>
      <c r="AE961" s="48">
        <v>0.75</v>
      </c>
      <c r="AF961" s="48">
        <v>0.75</v>
      </c>
      <c r="AG961" s="48">
        <v>0.75</v>
      </c>
      <c r="AH961" s="48" t="s">
        <v>320</v>
      </c>
      <c r="AI961" s="48">
        <v>0.75</v>
      </c>
      <c r="AJ961" s="48">
        <v>0.75</v>
      </c>
      <c r="AK961" s="48">
        <v>0.75</v>
      </c>
      <c r="AL961" s="48">
        <v>0.75</v>
      </c>
      <c r="AM961">
        <v>29</v>
      </c>
    </row>
    <row r="962" spans="1:39" hidden="1" x14ac:dyDescent="0.25">
      <c r="A962">
        <v>961</v>
      </c>
      <c r="B962">
        <v>2025</v>
      </c>
      <c r="C962">
        <v>7</v>
      </c>
      <c r="D962" t="s">
        <v>478</v>
      </c>
      <c r="E962">
        <v>65</v>
      </c>
      <c r="F962">
        <v>3</v>
      </c>
      <c r="G962" t="s">
        <v>430</v>
      </c>
      <c r="H962" s="48">
        <v>0.29166666666666669</v>
      </c>
      <c r="I962" s="48">
        <v>0.29166666666666669</v>
      </c>
      <c r="J962" s="48">
        <v>0.29166666666666669</v>
      </c>
      <c r="K962" s="48">
        <v>0.29166666666666669</v>
      </c>
      <c r="L962" s="48">
        <v>0.29166666666666669</v>
      </c>
      <c r="M962" s="48" t="s">
        <v>320</v>
      </c>
      <c r="N962" s="48">
        <v>0.29166666666666669</v>
      </c>
      <c r="O962" s="48">
        <v>0.29166666666666669</v>
      </c>
      <c r="P962" s="48">
        <v>0.29166666666666669</v>
      </c>
      <c r="Q962" s="48">
        <v>0.29166666666666669</v>
      </c>
      <c r="R962" s="48">
        <v>0.29166666666666669</v>
      </c>
      <c r="S962" s="48">
        <v>0.29166666666666669</v>
      </c>
      <c r="T962" s="48">
        <v>0.29166666666666669</v>
      </c>
      <c r="U962" s="48">
        <v>0.29166666666666669</v>
      </c>
      <c r="V962" s="48">
        <v>0.29166666666666669</v>
      </c>
      <c r="W962" s="48">
        <v>0.29166666666666669</v>
      </c>
      <c r="X962" s="48">
        <v>0.29166666666666669</v>
      </c>
      <c r="Y962" s="48">
        <v>0.29166666666666669</v>
      </c>
      <c r="Z962" s="48">
        <v>0.29166666666666669</v>
      </c>
      <c r="AA962" s="48" t="s">
        <v>320</v>
      </c>
      <c r="AB962" s="48" t="s">
        <v>320</v>
      </c>
      <c r="AC962" s="48" t="s">
        <v>320</v>
      </c>
      <c r="AD962" s="48" t="s">
        <v>320</v>
      </c>
      <c r="AE962" s="48" t="s">
        <v>320</v>
      </c>
      <c r="AF962" s="48" t="s">
        <v>320</v>
      </c>
      <c r="AG962" s="48" t="s">
        <v>320</v>
      </c>
      <c r="AH962" s="48" t="s">
        <v>320</v>
      </c>
      <c r="AI962" s="48" t="s">
        <v>320</v>
      </c>
      <c r="AJ962" s="48" t="s">
        <v>320</v>
      </c>
      <c r="AK962" s="48" t="s">
        <v>320</v>
      </c>
      <c r="AL962" s="48" t="s">
        <v>320</v>
      </c>
    </row>
    <row r="963" spans="1:39" hidden="1" x14ac:dyDescent="0.25">
      <c r="A963">
        <v>962</v>
      </c>
      <c r="B963">
        <v>2025</v>
      </c>
      <c r="C963">
        <v>7</v>
      </c>
      <c r="D963" t="s">
        <v>478</v>
      </c>
      <c r="E963">
        <v>65</v>
      </c>
      <c r="F963">
        <v>3</v>
      </c>
      <c r="G963" t="s">
        <v>431</v>
      </c>
      <c r="H963" s="48">
        <v>0.75</v>
      </c>
      <c r="I963" s="48">
        <v>0.75</v>
      </c>
      <c r="J963" s="48">
        <v>0.75</v>
      </c>
      <c r="K963" s="48">
        <v>0.75</v>
      </c>
      <c r="L963" s="48">
        <v>0.75</v>
      </c>
      <c r="M963" s="48" t="s">
        <v>320</v>
      </c>
      <c r="N963" s="48">
        <v>0.75</v>
      </c>
      <c r="O963" s="48">
        <v>0.75</v>
      </c>
      <c r="P963" s="48">
        <v>0.75</v>
      </c>
      <c r="Q963" s="48">
        <v>0.75</v>
      </c>
      <c r="R963" s="48">
        <v>0.75</v>
      </c>
      <c r="S963" s="48">
        <v>0.75</v>
      </c>
      <c r="T963" s="48">
        <v>0.75</v>
      </c>
      <c r="U963" s="48">
        <v>0.75</v>
      </c>
      <c r="V963" s="48">
        <v>0.75</v>
      </c>
      <c r="W963" s="48">
        <v>0.75</v>
      </c>
      <c r="X963" s="48">
        <v>0.75</v>
      </c>
      <c r="Y963" s="48">
        <v>0.75</v>
      </c>
      <c r="Z963" s="48">
        <v>0.75</v>
      </c>
      <c r="AA963" s="48" t="s">
        <v>320</v>
      </c>
      <c r="AB963" s="48" t="s">
        <v>320</v>
      </c>
      <c r="AC963" s="48" t="s">
        <v>320</v>
      </c>
      <c r="AD963" s="48" t="s">
        <v>320</v>
      </c>
      <c r="AE963" s="48" t="s">
        <v>320</v>
      </c>
      <c r="AF963" s="48" t="s">
        <v>320</v>
      </c>
      <c r="AG963" s="48" t="s">
        <v>320</v>
      </c>
      <c r="AH963" s="48" t="s">
        <v>320</v>
      </c>
      <c r="AI963" s="48" t="s">
        <v>320</v>
      </c>
      <c r="AJ963" s="48" t="s">
        <v>320</v>
      </c>
      <c r="AK963" s="48" t="s">
        <v>320</v>
      </c>
      <c r="AL963" s="48" t="s">
        <v>320</v>
      </c>
      <c r="AM963">
        <v>18</v>
      </c>
    </row>
    <row r="964" spans="1:39" hidden="1" x14ac:dyDescent="0.25">
      <c r="A964">
        <v>963</v>
      </c>
      <c r="B964">
        <v>2025</v>
      </c>
      <c r="C964">
        <v>8</v>
      </c>
      <c r="D964" t="s">
        <v>477</v>
      </c>
      <c r="E964">
        <v>65</v>
      </c>
      <c r="F964">
        <v>4</v>
      </c>
      <c r="G964" t="s">
        <v>430</v>
      </c>
      <c r="H964" s="48">
        <v>0.29166666666666669</v>
      </c>
      <c r="I964" s="48">
        <v>0.29166666666666669</v>
      </c>
      <c r="J964" s="48">
        <v>0.29166666666666669</v>
      </c>
      <c r="K964" s="48">
        <v>0.29166666666666669</v>
      </c>
      <c r="L964" s="48">
        <v>0.29166666666666669</v>
      </c>
      <c r="M964" s="48">
        <v>0.29166666666666669</v>
      </c>
      <c r="N964" s="48">
        <v>0.29166666666666669</v>
      </c>
      <c r="O964" s="48">
        <v>0.29166666666666669</v>
      </c>
      <c r="P964" s="48">
        <v>0.29166666666666669</v>
      </c>
      <c r="Q964" s="48" t="s">
        <v>320</v>
      </c>
      <c r="R964" s="48">
        <v>0.29166666666666669</v>
      </c>
      <c r="S964" s="48">
        <v>0.29166666666666669</v>
      </c>
      <c r="T964" s="48">
        <v>0.29166666666666669</v>
      </c>
      <c r="U964" s="48">
        <v>0.29166666666666669</v>
      </c>
      <c r="V964" s="48">
        <v>0.29166666666666669</v>
      </c>
      <c r="W964" s="48">
        <v>0.29166666666666669</v>
      </c>
      <c r="X964" s="48">
        <v>0.29166666666666669</v>
      </c>
      <c r="Y964" s="48">
        <v>0.29166666666666669</v>
      </c>
      <c r="Z964" s="48">
        <v>0.29166666666666669</v>
      </c>
      <c r="AA964" s="48">
        <v>0.29166666666666669</v>
      </c>
      <c r="AB964" s="48">
        <v>0.29166666666666669</v>
      </c>
      <c r="AC964" s="48">
        <v>0.29166666666666669</v>
      </c>
      <c r="AD964" s="48">
        <v>0.29166666666666669</v>
      </c>
      <c r="AE964" s="48" t="s">
        <v>320</v>
      </c>
      <c r="AF964" s="48" t="s">
        <v>320</v>
      </c>
      <c r="AG964" s="48" t="s">
        <v>320</v>
      </c>
      <c r="AH964" s="48">
        <v>0.29166666666666669</v>
      </c>
      <c r="AI964" s="48">
        <v>0.29166666666666669</v>
      </c>
      <c r="AJ964" s="48">
        <v>0.29166666666666669</v>
      </c>
      <c r="AK964" s="48">
        <v>0.29166666666666669</v>
      </c>
      <c r="AL964" s="48">
        <v>0.29166666666666669</v>
      </c>
    </row>
    <row r="965" spans="1:39" hidden="1" x14ac:dyDescent="0.25">
      <c r="A965">
        <v>964</v>
      </c>
      <c r="B965">
        <v>2025</v>
      </c>
      <c r="C965">
        <v>8</v>
      </c>
      <c r="D965" t="s">
        <v>477</v>
      </c>
      <c r="E965">
        <v>65</v>
      </c>
      <c r="F965">
        <v>4</v>
      </c>
      <c r="G965" t="s">
        <v>431</v>
      </c>
      <c r="H965" s="48">
        <v>0.75</v>
      </c>
      <c r="I965" s="48">
        <v>0.75</v>
      </c>
      <c r="J965" s="48">
        <v>0.75</v>
      </c>
      <c r="K965" s="48">
        <v>0.75</v>
      </c>
      <c r="L965" s="48">
        <v>0.75</v>
      </c>
      <c r="M965" s="48">
        <v>0.75</v>
      </c>
      <c r="N965" s="48">
        <v>0.75</v>
      </c>
      <c r="O965" s="48">
        <v>0.75</v>
      </c>
      <c r="P965" s="48">
        <v>0.75</v>
      </c>
      <c r="Q965" s="48" t="s">
        <v>320</v>
      </c>
      <c r="R965" s="48">
        <v>0.75</v>
      </c>
      <c r="S965" s="48">
        <v>0.75</v>
      </c>
      <c r="T965" s="48">
        <v>0.75</v>
      </c>
      <c r="U965" s="48">
        <v>0.75</v>
      </c>
      <c r="V965" s="48">
        <v>0.75</v>
      </c>
      <c r="W965" s="48">
        <v>0.75</v>
      </c>
      <c r="X965" s="48">
        <v>0.75</v>
      </c>
      <c r="Y965" s="48">
        <v>0.75</v>
      </c>
      <c r="Z965" s="48">
        <v>0.75</v>
      </c>
      <c r="AA965" s="48">
        <v>0.75</v>
      </c>
      <c r="AB965" s="48">
        <v>0.75</v>
      </c>
      <c r="AC965" s="48">
        <v>0.75</v>
      </c>
      <c r="AD965" s="48">
        <v>0.75</v>
      </c>
      <c r="AE965" s="48" t="s">
        <v>320</v>
      </c>
      <c r="AF965" s="48" t="s">
        <v>320</v>
      </c>
      <c r="AG965" s="48" t="s">
        <v>320</v>
      </c>
      <c r="AH965" s="48">
        <v>0.75</v>
      </c>
      <c r="AI965" s="48">
        <v>0.75</v>
      </c>
      <c r="AJ965" s="48">
        <v>0.75</v>
      </c>
      <c r="AK965" s="48">
        <v>0.75</v>
      </c>
      <c r="AL965" s="48">
        <v>0.75</v>
      </c>
      <c r="AM965">
        <v>27</v>
      </c>
    </row>
    <row r="966" spans="1:39" hidden="1" x14ac:dyDescent="0.25">
      <c r="A966">
        <v>965</v>
      </c>
      <c r="B966">
        <v>2025</v>
      </c>
      <c r="C966">
        <v>8</v>
      </c>
      <c r="D966" t="s">
        <v>478</v>
      </c>
      <c r="E966">
        <v>65</v>
      </c>
      <c r="F966">
        <v>4</v>
      </c>
      <c r="G966" t="s">
        <v>430</v>
      </c>
      <c r="H966" s="48" t="s">
        <v>320</v>
      </c>
      <c r="I966" s="48" t="s">
        <v>320</v>
      </c>
      <c r="J966" s="48" t="s">
        <v>320</v>
      </c>
      <c r="K966" s="48">
        <v>0.29166666666666669</v>
      </c>
      <c r="L966" s="48">
        <v>0.29166666666666669</v>
      </c>
      <c r="M966" s="48">
        <v>0.29166666666666669</v>
      </c>
      <c r="N966" s="48">
        <v>0.29166666666666669</v>
      </c>
      <c r="O966" s="48">
        <v>0.29166666666666669</v>
      </c>
      <c r="P966" s="48">
        <v>0.29166666666666669</v>
      </c>
      <c r="Q966" s="48" t="s">
        <v>320</v>
      </c>
      <c r="R966" s="48">
        <v>0.29166666666666669</v>
      </c>
      <c r="S966" s="48">
        <v>0.29166666666666669</v>
      </c>
      <c r="T966" s="48">
        <v>0.29166666666666669</v>
      </c>
      <c r="U966" s="48">
        <v>0.29166666666666669</v>
      </c>
      <c r="V966" s="48" t="s">
        <v>320</v>
      </c>
      <c r="W966" s="48">
        <v>0.29166666666666669</v>
      </c>
      <c r="X966" s="48">
        <v>0.29166666666666669</v>
      </c>
      <c r="Y966" s="48">
        <v>0.29166666666666669</v>
      </c>
      <c r="Z966" s="48">
        <v>0.29166666666666669</v>
      </c>
      <c r="AA966" s="48">
        <v>0.29166666666666669</v>
      </c>
      <c r="AB966" s="48">
        <v>0.29166666666666669</v>
      </c>
      <c r="AC966" s="48">
        <v>0.29166666666666669</v>
      </c>
      <c r="AD966" s="48">
        <v>0.29166666666666669</v>
      </c>
      <c r="AE966" s="48" t="s">
        <v>320</v>
      </c>
      <c r="AF966" s="48">
        <v>0.29166666666666669</v>
      </c>
      <c r="AG966" s="48">
        <v>0.29166666666666669</v>
      </c>
      <c r="AH966" s="48">
        <v>0.29166666666666669</v>
      </c>
      <c r="AI966" s="48">
        <v>0.29166666666666669</v>
      </c>
      <c r="AJ966" s="48">
        <v>0.29166666666666669</v>
      </c>
      <c r="AK966" s="48">
        <v>0.29166666666666669</v>
      </c>
      <c r="AL966" s="48">
        <v>0.29166666666666669</v>
      </c>
    </row>
    <row r="967" spans="1:39" hidden="1" x14ac:dyDescent="0.25">
      <c r="A967">
        <v>966</v>
      </c>
      <c r="B967">
        <v>2025</v>
      </c>
      <c r="C967">
        <v>8</v>
      </c>
      <c r="D967" t="s">
        <v>478</v>
      </c>
      <c r="E967">
        <v>65</v>
      </c>
      <c r="F967">
        <v>4</v>
      </c>
      <c r="G967" t="s">
        <v>431</v>
      </c>
      <c r="H967" s="48" t="s">
        <v>320</v>
      </c>
      <c r="I967" s="48" t="s">
        <v>320</v>
      </c>
      <c r="J967" s="48" t="s">
        <v>320</v>
      </c>
      <c r="K967" s="48">
        <v>0.75</v>
      </c>
      <c r="L967" s="48">
        <v>0.75</v>
      </c>
      <c r="M967" s="48">
        <v>0.75</v>
      </c>
      <c r="N967" s="48">
        <v>0.75</v>
      </c>
      <c r="O967" s="48">
        <v>0.75</v>
      </c>
      <c r="P967" s="48">
        <v>0.75</v>
      </c>
      <c r="Q967" s="48" t="s">
        <v>320</v>
      </c>
      <c r="R967" s="48">
        <v>0.75</v>
      </c>
      <c r="S967" s="48">
        <v>0.75</v>
      </c>
      <c r="T967" s="48">
        <v>0.75</v>
      </c>
      <c r="U967" s="48">
        <v>0.75</v>
      </c>
      <c r="V967" s="48" t="s">
        <v>320</v>
      </c>
      <c r="W967" s="48">
        <v>0.75</v>
      </c>
      <c r="X967" s="48">
        <v>0.5</v>
      </c>
      <c r="Y967" s="48">
        <v>0.75</v>
      </c>
      <c r="Z967" s="48">
        <v>0.75</v>
      </c>
      <c r="AA967" s="48">
        <v>0.75</v>
      </c>
      <c r="AB967" s="48">
        <v>0.75</v>
      </c>
      <c r="AC967" s="48">
        <v>0.75</v>
      </c>
      <c r="AD967" s="48">
        <v>0.75</v>
      </c>
      <c r="AE967" s="48" t="s">
        <v>320</v>
      </c>
      <c r="AF967" s="48">
        <v>0.75</v>
      </c>
      <c r="AG967" s="48">
        <v>0.75</v>
      </c>
      <c r="AH967" s="48">
        <v>0.75</v>
      </c>
      <c r="AI967" s="48">
        <v>0.75</v>
      </c>
      <c r="AJ967" s="48">
        <v>0.75</v>
      </c>
      <c r="AK967" s="48">
        <v>0.75</v>
      </c>
      <c r="AL967" s="48">
        <v>0.75</v>
      </c>
      <c r="AM967">
        <v>24.5</v>
      </c>
    </row>
    <row r="968" spans="1:39" hidden="1" x14ac:dyDescent="0.25">
      <c r="A968">
        <v>967</v>
      </c>
      <c r="B968">
        <v>2025</v>
      </c>
      <c r="C968">
        <v>9</v>
      </c>
      <c r="D968" t="s">
        <v>477</v>
      </c>
      <c r="E968">
        <v>65</v>
      </c>
      <c r="F968">
        <v>5</v>
      </c>
      <c r="G968" t="s">
        <v>430</v>
      </c>
      <c r="H968" s="48">
        <v>0.29166666666666669</v>
      </c>
      <c r="I968" s="48">
        <v>0.29166666666666669</v>
      </c>
      <c r="J968" s="48">
        <v>0.29166666666666669</v>
      </c>
      <c r="K968" s="48">
        <v>0.29166666666666669</v>
      </c>
      <c r="L968" s="48">
        <v>0.29166666666666669</v>
      </c>
      <c r="M968" s="48">
        <v>0.29166666666666669</v>
      </c>
      <c r="N968" s="48" t="s">
        <v>320</v>
      </c>
      <c r="O968" s="48">
        <v>0.29166666666666669</v>
      </c>
      <c r="P968" s="48">
        <v>0.29166666666666669</v>
      </c>
      <c r="Q968" s="48">
        <v>0.29166666666666669</v>
      </c>
      <c r="R968" s="48">
        <v>0.29166666666666669</v>
      </c>
      <c r="S968" s="48">
        <v>0.29166666666666669</v>
      </c>
      <c r="T968" s="48">
        <v>0.29166666666666669</v>
      </c>
      <c r="U968" s="48" t="s">
        <v>320</v>
      </c>
      <c r="V968" s="48">
        <v>0.29166666666666669</v>
      </c>
      <c r="W968" s="48">
        <v>0.29166666666666669</v>
      </c>
      <c r="X968" s="48">
        <v>0.29166666666666669</v>
      </c>
      <c r="Y968" s="48">
        <v>0.29166666666666669</v>
      </c>
      <c r="Z968" s="48">
        <v>0.29166666666666669</v>
      </c>
      <c r="AA968" s="48">
        <v>0.29166666666666669</v>
      </c>
      <c r="AB968" s="48">
        <v>0.29166666666666669</v>
      </c>
      <c r="AC968" s="48">
        <v>0.29166666666666669</v>
      </c>
      <c r="AD968" s="48">
        <v>0.29166666666666669</v>
      </c>
      <c r="AE968" s="48">
        <v>0.29166666666666669</v>
      </c>
      <c r="AF968" s="48">
        <v>0.29166666666666669</v>
      </c>
      <c r="AG968" s="48">
        <v>0.29166666666666669</v>
      </c>
      <c r="AH968" s="48">
        <v>0.29166666666666669</v>
      </c>
      <c r="AI968" s="48" t="s">
        <v>320</v>
      </c>
      <c r="AJ968" s="48">
        <v>0.29166666666666669</v>
      </c>
      <c r="AK968" s="48">
        <v>0.29166666666666669</v>
      </c>
      <c r="AL968" s="48" t="s">
        <v>320</v>
      </c>
    </row>
    <row r="969" spans="1:39" hidden="1" x14ac:dyDescent="0.25">
      <c r="A969">
        <v>968</v>
      </c>
      <c r="B969">
        <v>2025</v>
      </c>
      <c r="C969">
        <v>9</v>
      </c>
      <c r="D969" t="s">
        <v>477</v>
      </c>
      <c r="E969">
        <v>65</v>
      </c>
      <c r="F969">
        <v>5</v>
      </c>
      <c r="G969" t="s">
        <v>431</v>
      </c>
      <c r="H969" s="48">
        <v>0.75</v>
      </c>
      <c r="I969" s="48">
        <v>0.75</v>
      </c>
      <c r="J969" s="48">
        <v>0.75</v>
      </c>
      <c r="K969" s="48">
        <v>0.75</v>
      </c>
      <c r="L969" s="48">
        <v>0.75</v>
      </c>
      <c r="M969" s="48">
        <v>0.75</v>
      </c>
      <c r="N969" s="48" t="s">
        <v>320</v>
      </c>
      <c r="O969" s="48">
        <v>0.75</v>
      </c>
      <c r="P969" s="48">
        <v>0.75</v>
      </c>
      <c r="Q969" s="48">
        <v>0.75</v>
      </c>
      <c r="R969" s="48">
        <v>0.75</v>
      </c>
      <c r="S969" s="48">
        <v>0.75</v>
      </c>
      <c r="T969" s="48">
        <v>0.75</v>
      </c>
      <c r="U969" s="48" t="s">
        <v>320</v>
      </c>
      <c r="V969" s="48">
        <v>0.75</v>
      </c>
      <c r="W969" s="48">
        <v>0.75</v>
      </c>
      <c r="X969" s="48">
        <v>0.75</v>
      </c>
      <c r="Y969" s="48">
        <v>0.75</v>
      </c>
      <c r="Z969" s="48">
        <v>0.75</v>
      </c>
      <c r="AA969" s="48">
        <v>0.75</v>
      </c>
      <c r="AB969" s="48">
        <v>0.75</v>
      </c>
      <c r="AC969" s="48">
        <v>0.75</v>
      </c>
      <c r="AD969" s="48">
        <v>0.75</v>
      </c>
      <c r="AE969" s="48">
        <v>0.75</v>
      </c>
      <c r="AF969" s="48">
        <v>0.75</v>
      </c>
      <c r="AG969" s="48">
        <v>0.75</v>
      </c>
      <c r="AH969" s="48">
        <v>0.75</v>
      </c>
      <c r="AI969" s="48" t="s">
        <v>320</v>
      </c>
      <c r="AJ969" s="48">
        <v>0.75</v>
      </c>
      <c r="AK969" s="48">
        <v>0.75</v>
      </c>
      <c r="AL969" s="48" t="s">
        <v>320</v>
      </c>
      <c r="AM969">
        <v>27</v>
      </c>
    </row>
    <row r="970" spans="1:39" hidden="1" x14ac:dyDescent="0.25">
      <c r="A970">
        <v>969</v>
      </c>
      <c r="B970">
        <v>2025</v>
      </c>
      <c r="C970">
        <v>9</v>
      </c>
      <c r="D970" t="s">
        <v>478</v>
      </c>
      <c r="E970">
        <v>65</v>
      </c>
      <c r="F970">
        <v>5</v>
      </c>
      <c r="G970" t="s">
        <v>430</v>
      </c>
      <c r="H970" s="48">
        <v>0.29166666666666669</v>
      </c>
      <c r="I970" s="48">
        <v>0.29166666666666669</v>
      </c>
      <c r="J970" s="48">
        <v>0.29166666666666669</v>
      </c>
      <c r="K970" s="48">
        <v>0.29166666666666669</v>
      </c>
      <c r="L970" s="48">
        <v>0.29166666666666669</v>
      </c>
      <c r="M970" s="48">
        <v>0.29166666666666669</v>
      </c>
      <c r="N970" s="48" t="s">
        <v>320</v>
      </c>
      <c r="O970" s="48">
        <v>0.29166666666666669</v>
      </c>
      <c r="P970" s="48">
        <v>0.29166666666666669</v>
      </c>
      <c r="Q970" s="48">
        <v>0.29166666666666669</v>
      </c>
      <c r="R970" s="48">
        <v>0.29166666666666669</v>
      </c>
      <c r="S970" s="48">
        <v>0.29166666666666669</v>
      </c>
      <c r="T970" s="48">
        <v>0.29166666666666669</v>
      </c>
      <c r="U970" s="48" t="s">
        <v>320</v>
      </c>
      <c r="V970" s="48">
        <v>0.29166666666666669</v>
      </c>
      <c r="W970" s="48">
        <v>0.29166666666666669</v>
      </c>
      <c r="X970" s="48">
        <v>0.29166666666666669</v>
      </c>
      <c r="Y970" s="48">
        <v>0.29166666666666669</v>
      </c>
      <c r="Z970" s="48">
        <v>0.29166666666666669</v>
      </c>
      <c r="AA970" s="48">
        <v>0.29166666666666669</v>
      </c>
      <c r="AB970" s="48">
        <v>0.29166666666666669</v>
      </c>
      <c r="AC970" s="48">
        <v>0.29166666666666669</v>
      </c>
      <c r="AD970" s="48">
        <v>0.29166666666666669</v>
      </c>
      <c r="AE970" s="48">
        <v>0.29166666666666669</v>
      </c>
      <c r="AF970" s="48">
        <v>0.29166666666666669</v>
      </c>
      <c r="AG970" s="48">
        <v>0.29166666666666669</v>
      </c>
      <c r="AH970" s="48">
        <v>0.29166666666666669</v>
      </c>
      <c r="AI970" s="48">
        <v>0.29166666666666669</v>
      </c>
      <c r="AJ970" s="48">
        <v>0.29166666666666669</v>
      </c>
      <c r="AK970" s="48">
        <v>0.29166666666666669</v>
      </c>
      <c r="AL970" s="48" t="s">
        <v>320</v>
      </c>
    </row>
    <row r="971" spans="1:39" hidden="1" x14ac:dyDescent="0.25">
      <c r="A971">
        <v>970</v>
      </c>
      <c r="B971">
        <v>2025</v>
      </c>
      <c r="C971">
        <v>9</v>
      </c>
      <c r="D971" t="s">
        <v>478</v>
      </c>
      <c r="E971">
        <v>65</v>
      </c>
      <c r="F971">
        <v>5</v>
      </c>
      <c r="G971" t="s">
        <v>431</v>
      </c>
      <c r="H971" s="48">
        <v>0.75</v>
      </c>
      <c r="I971" s="48">
        <v>0.75</v>
      </c>
      <c r="J971" s="48">
        <v>0.75</v>
      </c>
      <c r="K971" s="48">
        <v>0.75</v>
      </c>
      <c r="L971" s="48">
        <v>0.75</v>
      </c>
      <c r="M971" s="48">
        <v>0.75</v>
      </c>
      <c r="N971" s="48" t="s">
        <v>320</v>
      </c>
      <c r="O971" s="48">
        <v>0.75</v>
      </c>
      <c r="P971" s="48">
        <v>0.75</v>
      </c>
      <c r="Q971" s="48">
        <v>0.75</v>
      </c>
      <c r="R971" s="48">
        <v>0.75</v>
      </c>
      <c r="S971" s="48">
        <v>0.75</v>
      </c>
      <c r="T971" s="48">
        <v>0.75</v>
      </c>
      <c r="U971" s="48" t="s">
        <v>320</v>
      </c>
      <c r="V971" s="48">
        <v>0.75</v>
      </c>
      <c r="W971" s="48">
        <v>0.75</v>
      </c>
      <c r="X971" s="48">
        <v>0.75</v>
      </c>
      <c r="Y971" s="48">
        <v>0.75</v>
      </c>
      <c r="Z971" s="48">
        <v>0.75</v>
      </c>
      <c r="AA971" s="48">
        <v>0.75</v>
      </c>
      <c r="AB971" s="48">
        <v>0.75</v>
      </c>
      <c r="AC971" s="48">
        <v>0.75</v>
      </c>
      <c r="AD971" s="48">
        <v>0.75</v>
      </c>
      <c r="AE971" s="48">
        <v>0.75</v>
      </c>
      <c r="AF971" s="48">
        <v>0.75</v>
      </c>
      <c r="AG971" s="48">
        <v>0.75</v>
      </c>
      <c r="AH971" s="48">
        <v>0.75</v>
      </c>
      <c r="AI971" s="48">
        <v>0.75</v>
      </c>
      <c r="AJ971" s="48">
        <v>0.75</v>
      </c>
      <c r="AK971" s="48">
        <v>0.75</v>
      </c>
      <c r="AL971" s="48" t="s">
        <v>320</v>
      </c>
      <c r="AM971">
        <v>28</v>
      </c>
    </row>
    <row r="972" spans="1:39" hidden="1" x14ac:dyDescent="0.25">
      <c r="A972">
        <v>971</v>
      </c>
      <c r="B972">
        <v>2025</v>
      </c>
      <c r="C972">
        <v>10</v>
      </c>
      <c r="D972" t="s">
        <v>477</v>
      </c>
      <c r="E972">
        <v>65</v>
      </c>
      <c r="F972">
        <v>6</v>
      </c>
      <c r="G972" t="s">
        <v>430</v>
      </c>
      <c r="H972" s="48">
        <v>0.29166666666666669</v>
      </c>
      <c r="I972" s="48">
        <v>0.29166666666666669</v>
      </c>
      <c r="J972" s="48">
        <v>0.29166666666666669</v>
      </c>
      <c r="K972" s="48">
        <v>0.29166666666666669</v>
      </c>
      <c r="L972" s="48">
        <v>0.29166666666666669</v>
      </c>
      <c r="M972" s="48">
        <v>0.29166666666666669</v>
      </c>
      <c r="N972" s="48">
        <v>0.29166666666666669</v>
      </c>
      <c r="O972" s="48">
        <v>0.29166666666666669</v>
      </c>
      <c r="P972" s="48">
        <v>0.29166666666666669</v>
      </c>
      <c r="Q972" s="48" t="s">
        <v>320</v>
      </c>
      <c r="R972" s="48" t="s">
        <v>320</v>
      </c>
      <c r="S972" s="48" t="s">
        <v>320</v>
      </c>
      <c r="T972" s="48" t="s">
        <v>320</v>
      </c>
      <c r="U972" s="48" t="s">
        <v>320</v>
      </c>
      <c r="V972" s="48" t="s">
        <v>320</v>
      </c>
      <c r="W972" s="48" t="s">
        <v>320</v>
      </c>
      <c r="X972" s="48" t="s">
        <v>320</v>
      </c>
      <c r="Y972" s="48" t="s">
        <v>320</v>
      </c>
      <c r="Z972" s="48" t="s">
        <v>320</v>
      </c>
      <c r="AA972" s="48" t="s">
        <v>320</v>
      </c>
      <c r="AB972" s="48" t="s">
        <v>320</v>
      </c>
      <c r="AC972" s="48" t="s">
        <v>320</v>
      </c>
      <c r="AD972" s="48" t="s">
        <v>320</v>
      </c>
      <c r="AE972" s="48" t="s">
        <v>320</v>
      </c>
      <c r="AF972" s="48" t="s">
        <v>320</v>
      </c>
      <c r="AG972" s="48" t="s">
        <v>320</v>
      </c>
      <c r="AH972" s="48">
        <v>0.29166666666666669</v>
      </c>
      <c r="AI972" s="48">
        <v>0.29166666666666669</v>
      </c>
      <c r="AJ972" s="48">
        <v>0.29166666666666669</v>
      </c>
      <c r="AK972" s="48">
        <v>0.29166666666666669</v>
      </c>
      <c r="AL972" s="48">
        <v>0.29166666666666669</v>
      </c>
    </row>
    <row r="973" spans="1:39" hidden="1" x14ac:dyDescent="0.25">
      <c r="A973">
        <v>972</v>
      </c>
      <c r="B973">
        <v>2025</v>
      </c>
      <c r="C973">
        <v>10</v>
      </c>
      <c r="D973" t="s">
        <v>477</v>
      </c>
      <c r="E973">
        <v>65</v>
      </c>
      <c r="F973">
        <v>6</v>
      </c>
      <c r="G973" t="s">
        <v>431</v>
      </c>
      <c r="H973" s="48">
        <v>0.75</v>
      </c>
      <c r="I973" s="48">
        <v>0.75</v>
      </c>
      <c r="J973" s="48">
        <v>0.75</v>
      </c>
      <c r="K973" s="48">
        <v>0.75</v>
      </c>
      <c r="L973" s="48">
        <v>0.75</v>
      </c>
      <c r="M973" s="48">
        <v>0.75</v>
      </c>
      <c r="N973" s="48">
        <v>0.75</v>
      </c>
      <c r="O973" s="48">
        <v>0.75</v>
      </c>
      <c r="P973" s="48">
        <v>0.75</v>
      </c>
      <c r="Q973" s="48" t="s">
        <v>320</v>
      </c>
      <c r="R973" s="48" t="s">
        <v>320</v>
      </c>
      <c r="S973" s="48" t="s">
        <v>320</v>
      </c>
      <c r="T973" s="48" t="s">
        <v>320</v>
      </c>
      <c r="U973" s="48" t="s">
        <v>320</v>
      </c>
      <c r="V973" s="48" t="s">
        <v>320</v>
      </c>
      <c r="W973" s="48" t="s">
        <v>320</v>
      </c>
      <c r="X973" s="48" t="s">
        <v>320</v>
      </c>
      <c r="Y973" s="48" t="s">
        <v>320</v>
      </c>
      <c r="Z973" s="48" t="s">
        <v>320</v>
      </c>
      <c r="AA973" s="48" t="s">
        <v>320</v>
      </c>
      <c r="AB973" s="48" t="s">
        <v>320</v>
      </c>
      <c r="AC973" s="48" t="s">
        <v>320</v>
      </c>
      <c r="AD973" s="48" t="s">
        <v>320</v>
      </c>
      <c r="AE973" s="48" t="s">
        <v>320</v>
      </c>
      <c r="AF973" s="48" t="s">
        <v>320</v>
      </c>
      <c r="AG973" s="48" t="s">
        <v>320</v>
      </c>
      <c r="AH973" s="48">
        <v>0.75</v>
      </c>
      <c r="AI973" s="48">
        <v>0.75</v>
      </c>
      <c r="AJ973" s="48">
        <v>0.75</v>
      </c>
      <c r="AK973" s="48">
        <v>0.75</v>
      </c>
      <c r="AL973" s="48">
        <v>0.75</v>
      </c>
      <c r="AM973">
        <v>14</v>
      </c>
    </row>
    <row r="974" spans="1:39" hidden="1" x14ac:dyDescent="0.25">
      <c r="A974">
        <v>973</v>
      </c>
      <c r="B974">
        <v>2025</v>
      </c>
      <c r="C974">
        <v>10</v>
      </c>
      <c r="D974" t="s">
        <v>478</v>
      </c>
      <c r="E974">
        <v>65</v>
      </c>
      <c r="F974">
        <v>6</v>
      </c>
      <c r="G974" t="s">
        <v>430</v>
      </c>
      <c r="H974" s="48">
        <v>0.29166666666666669</v>
      </c>
      <c r="I974" s="48">
        <v>0.29166666666666669</v>
      </c>
      <c r="J974" s="48">
        <v>0.29166666666666669</v>
      </c>
      <c r="K974" s="48">
        <v>0.29166666666666669</v>
      </c>
      <c r="L974" s="48">
        <v>0.29166666666666669</v>
      </c>
      <c r="M974" s="48">
        <v>0.29166666666666669</v>
      </c>
      <c r="N974" s="48">
        <v>0.29166666666666669</v>
      </c>
      <c r="O974" s="48">
        <v>0.29166666666666669</v>
      </c>
      <c r="P974" s="48">
        <v>0.29166666666666669</v>
      </c>
      <c r="Q974" s="48">
        <v>0.29166666666666669</v>
      </c>
      <c r="R974" s="48">
        <v>0.29166666666666669</v>
      </c>
      <c r="S974" s="48" t="s">
        <v>320</v>
      </c>
      <c r="T974" s="48">
        <v>0.29166666666666669</v>
      </c>
      <c r="U974" s="48">
        <v>0.29166666666666669</v>
      </c>
      <c r="V974" s="48">
        <v>0.29166666666666669</v>
      </c>
      <c r="W974" s="48">
        <v>0.29166666666666669</v>
      </c>
      <c r="X974" s="48">
        <v>0.29166666666666669</v>
      </c>
      <c r="Y974" s="48">
        <v>0.29166666666666669</v>
      </c>
      <c r="Z974" s="48">
        <v>0.29166666666666669</v>
      </c>
      <c r="AA974" s="48">
        <v>0.29166666666666669</v>
      </c>
      <c r="AB974" s="48">
        <v>0.29166666666666669</v>
      </c>
      <c r="AC974" s="48">
        <v>0.29166666666666669</v>
      </c>
      <c r="AD974" s="48">
        <v>0.29166666666666669</v>
      </c>
      <c r="AE974" s="48">
        <v>0.29166666666666669</v>
      </c>
      <c r="AF974" s="48">
        <v>0.29166666666666669</v>
      </c>
      <c r="AG974" s="48" t="s">
        <v>320</v>
      </c>
      <c r="AH974" s="48">
        <v>0.29166666666666669</v>
      </c>
      <c r="AI974" s="48">
        <v>0.29166666666666669</v>
      </c>
      <c r="AJ974" s="48">
        <v>0.29166666666666669</v>
      </c>
      <c r="AK974" s="48">
        <v>0.29166666666666669</v>
      </c>
      <c r="AL974" s="48">
        <v>0.29166666666666669</v>
      </c>
    </row>
    <row r="975" spans="1:39" hidden="1" x14ac:dyDescent="0.25">
      <c r="A975">
        <v>974</v>
      </c>
      <c r="B975">
        <v>2025</v>
      </c>
      <c r="C975">
        <v>10</v>
      </c>
      <c r="D975" t="s">
        <v>478</v>
      </c>
      <c r="E975">
        <v>65</v>
      </c>
      <c r="F975">
        <v>6</v>
      </c>
      <c r="G975" t="s">
        <v>431</v>
      </c>
      <c r="H975" s="48">
        <v>0.75</v>
      </c>
      <c r="I975" s="48">
        <v>0.75</v>
      </c>
      <c r="J975" s="48">
        <v>0.75</v>
      </c>
      <c r="K975" s="48">
        <v>0.75</v>
      </c>
      <c r="L975" s="48">
        <v>0.75</v>
      </c>
      <c r="M975" s="48">
        <v>0.75</v>
      </c>
      <c r="N975" s="48">
        <v>0.75</v>
      </c>
      <c r="O975" s="48">
        <v>0.75</v>
      </c>
      <c r="P975" s="48">
        <v>0.75</v>
      </c>
      <c r="Q975" s="48">
        <v>0.75</v>
      </c>
      <c r="R975" s="48">
        <v>0.75</v>
      </c>
      <c r="S975" s="48" t="s">
        <v>320</v>
      </c>
      <c r="T975" s="48">
        <v>0.75</v>
      </c>
      <c r="U975" s="48">
        <v>0.75</v>
      </c>
      <c r="V975" s="48">
        <v>0.75</v>
      </c>
      <c r="W975" s="48">
        <v>0.75</v>
      </c>
      <c r="X975" s="48">
        <v>0.75</v>
      </c>
      <c r="Y975" s="48">
        <v>0.75</v>
      </c>
      <c r="Z975" s="48">
        <v>0.75</v>
      </c>
      <c r="AA975" s="48">
        <v>0.75</v>
      </c>
      <c r="AB975" s="48">
        <v>0.75</v>
      </c>
      <c r="AC975" s="48">
        <v>0.75</v>
      </c>
      <c r="AD975" s="48">
        <v>0.75</v>
      </c>
      <c r="AE975" s="48">
        <v>0.75</v>
      </c>
      <c r="AF975" s="48">
        <v>0.75</v>
      </c>
      <c r="AG975" s="48" t="s">
        <v>320</v>
      </c>
      <c r="AH975" s="48">
        <v>0.75</v>
      </c>
      <c r="AI975" s="48">
        <v>0.75</v>
      </c>
      <c r="AJ975" s="48">
        <v>0.75</v>
      </c>
      <c r="AK975" s="48">
        <v>0.75</v>
      </c>
      <c r="AL975" s="48">
        <v>0.75</v>
      </c>
      <c r="AM975">
        <v>29</v>
      </c>
    </row>
    <row r="976" spans="1:39" hidden="1" x14ac:dyDescent="0.25">
      <c r="A976">
        <v>975</v>
      </c>
      <c r="B976">
        <v>2025</v>
      </c>
      <c r="C976">
        <v>11</v>
      </c>
      <c r="D976" t="s">
        <v>477</v>
      </c>
      <c r="E976">
        <v>65</v>
      </c>
      <c r="F976">
        <v>7</v>
      </c>
      <c r="G976" t="s">
        <v>430</v>
      </c>
      <c r="H976" s="48">
        <v>0.29166666666666669</v>
      </c>
      <c r="I976" s="48">
        <v>0.29166666666666669</v>
      </c>
      <c r="J976" s="48">
        <v>0.29166666666666669</v>
      </c>
      <c r="K976" s="48">
        <v>0.29166666666666669</v>
      </c>
      <c r="L976" s="48">
        <v>0.29166666666666669</v>
      </c>
      <c r="M976" s="48">
        <v>0.29166666666666669</v>
      </c>
      <c r="N976" s="48">
        <v>0.29166666666666669</v>
      </c>
      <c r="O976" s="48">
        <v>0.29166666666666669</v>
      </c>
      <c r="P976" s="48" t="s">
        <v>320</v>
      </c>
      <c r="Q976" s="48">
        <v>0.29166666666666669</v>
      </c>
      <c r="R976" s="48">
        <v>0.29166666666666669</v>
      </c>
      <c r="S976" s="48">
        <v>0.29166666666666669</v>
      </c>
      <c r="T976" s="48">
        <v>0.29166666666666669</v>
      </c>
      <c r="U976" s="48">
        <v>0.29166666666666669</v>
      </c>
      <c r="V976" s="48">
        <v>0.29166666666666669</v>
      </c>
      <c r="W976" s="48">
        <v>0.29166666666666669</v>
      </c>
      <c r="X976" s="48">
        <v>0.29166666666666669</v>
      </c>
      <c r="Y976" s="48">
        <v>0.29166666666666669</v>
      </c>
      <c r="Z976" s="48">
        <v>0.29166666666666669</v>
      </c>
      <c r="AA976" s="48" t="s">
        <v>320</v>
      </c>
      <c r="AB976" s="48">
        <v>0.29166666666666669</v>
      </c>
      <c r="AC976" s="48">
        <v>0.29166666666666669</v>
      </c>
      <c r="AD976" s="48" t="s">
        <v>320</v>
      </c>
      <c r="AE976" s="48">
        <v>0.29166666666666669</v>
      </c>
      <c r="AF976" s="48">
        <v>0.29166666666666669</v>
      </c>
      <c r="AG976" s="48">
        <v>0.29166666666666669</v>
      </c>
      <c r="AH976" s="48">
        <v>0.29166666666666669</v>
      </c>
      <c r="AI976" s="48">
        <v>0.29166666666666669</v>
      </c>
      <c r="AJ976" s="48">
        <v>0.29166666666666669</v>
      </c>
      <c r="AK976" s="48">
        <v>0.29166666666666669</v>
      </c>
      <c r="AL976" s="48" t="s">
        <v>320</v>
      </c>
    </row>
    <row r="977" spans="1:41" hidden="1" x14ac:dyDescent="0.25">
      <c r="A977">
        <v>976</v>
      </c>
      <c r="B977">
        <v>2025</v>
      </c>
      <c r="C977">
        <v>11</v>
      </c>
      <c r="D977" t="s">
        <v>477</v>
      </c>
      <c r="E977">
        <v>65</v>
      </c>
      <c r="F977">
        <v>7</v>
      </c>
      <c r="G977" t="s">
        <v>431</v>
      </c>
      <c r="H977" s="48">
        <v>0.75</v>
      </c>
      <c r="I977" s="48">
        <v>0.75</v>
      </c>
      <c r="J977" s="48">
        <v>0.75</v>
      </c>
      <c r="K977" s="48">
        <v>0.75</v>
      </c>
      <c r="L977" s="48">
        <v>0.75</v>
      </c>
      <c r="M977" s="48">
        <v>0.75</v>
      </c>
      <c r="N977" s="48">
        <v>0.75</v>
      </c>
      <c r="O977" s="48">
        <v>0.75</v>
      </c>
      <c r="P977" s="48" t="s">
        <v>320</v>
      </c>
      <c r="Q977" s="48">
        <v>0.75</v>
      </c>
      <c r="R977" s="48">
        <v>0.75</v>
      </c>
      <c r="S977" s="48">
        <v>0.75</v>
      </c>
      <c r="T977" s="48">
        <v>0.75</v>
      </c>
      <c r="U977" s="48">
        <v>0.75</v>
      </c>
      <c r="V977" s="48">
        <v>0.75</v>
      </c>
      <c r="W977" s="48">
        <v>0.75</v>
      </c>
      <c r="X977" s="48">
        <v>0.75</v>
      </c>
      <c r="Y977" s="48">
        <v>0.75</v>
      </c>
      <c r="Z977" s="48">
        <v>0.75</v>
      </c>
      <c r="AA977" s="48" t="s">
        <v>320</v>
      </c>
      <c r="AB977" s="48">
        <v>0.75</v>
      </c>
      <c r="AC977" s="48">
        <v>0.75</v>
      </c>
      <c r="AD977" s="48" t="s">
        <v>320</v>
      </c>
      <c r="AE977" s="48">
        <v>0.75</v>
      </c>
      <c r="AF977" s="48">
        <v>0.75</v>
      </c>
      <c r="AG977" s="48">
        <v>0.75</v>
      </c>
      <c r="AH977" s="48">
        <v>0.75</v>
      </c>
      <c r="AI977" s="48">
        <v>0.75</v>
      </c>
      <c r="AJ977" s="48">
        <v>0.75</v>
      </c>
      <c r="AK977" s="48">
        <v>0.75</v>
      </c>
      <c r="AL977" s="48" t="s">
        <v>320</v>
      </c>
      <c r="AM977">
        <v>27</v>
      </c>
    </row>
    <row r="978" spans="1:41" hidden="1" x14ac:dyDescent="0.25">
      <c r="A978">
        <v>977</v>
      </c>
      <c r="B978">
        <v>2025</v>
      </c>
      <c r="C978">
        <v>11</v>
      </c>
      <c r="D978" t="s">
        <v>478</v>
      </c>
      <c r="E978">
        <v>65</v>
      </c>
      <c r="F978">
        <v>7</v>
      </c>
      <c r="G978" t="s">
        <v>430</v>
      </c>
      <c r="H978" s="48">
        <v>0.29166666666666669</v>
      </c>
      <c r="I978" s="48">
        <v>0.29166666666666669</v>
      </c>
      <c r="J978" s="48">
        <v>0.29166666666666669</v>
      </c>
      <c r="K978" s="48">
        <v>0.29166666666666669</v>
      </c>
      <c r="L978" s="48">
        <v>0.29166666666666669</v>
      </c>
      <c r="M978" s="48">
        <v>0.29166666666666669</v>
      </c>
      <c r="N978" s="48">
        <v>0.29166666666666669</v>
      </c>
      <c r="O978" s="48">
        <v>0.29166666666666669</v>
      </c>
      <c r="P978" s="48" t="s">
        <v>320</v>
      </c>
      <c r="Q978" s="48">
        <v>0.29166666666666669</v>
      </c>
      <c r="R978" s="48">
        <v>0.29166666666666669</v>
      </c>
      <c r="S978" s="48">
        <v>0.29166666666666669</v>
      </c>
      <c r="T978" s="48">
        <v>0.29166666666666669</v>
      </c>
      <c r="U978" s="48">
        <v>0.29166666666666669</v>
      </c>
      <c r="V978" s="48">
        <v>0.29166666666666669</v>
      </c>
      <c r="W978" s="48">
        <v>0.29166666666666669</v>
      </c>
      <c r="X978" s="48">
        <v>0.29166666666666669</v>
      </c>
      <c r="Y978" s="48">
        <v>0.29166666666666669</v>
      </c>
      <c r="Z978" s="48">
        <v>0.29166666666666669</v>
      </c>
      <c r="AA978" s="48">
        <v>0.29166666666666669</v>
      </c>
      <c r="AB978" s="48">
        <v>0.29166666666666669</v>
      </c>
      <c r="AC978" s="48">
        <v>0.29166666666666669</v>
      </c>
      <c r="AD978" s="48" t="s">
        <v>320</v>
      </c>
      <c r="AE978" s="48">
        <v>0.29166666666666669</v>
      </c>
      <c r="AF978" s="48">
        <v>0.29166666666666669</v>
      </c>
      <c r="AG978" s="48">
        <v>0.29166666666666669</v>
      </c>
      <c r="AH978" s="48">
        <v>0.29166666666666669</v>
      </c>
      <c r="AI978" s="48">
        <v>0.29166666666666669</v>
      </c>
      <c r="AJ978" s="48">
        <v>0.29166666666666669</v>
      </c>
      <c r="AK978" s="48">
        <v>0.29166666666666669</v>
      </c>
      <c r="AL978" s="48" t="s">
        <v>320</v>
      </c>
    </row>
    <row r="979" spans="1:41" hidden="1" x14ac:dyDescent="0.25">
      <c r="A979">
        <v>978</v>
      </c>
      <c r="B979">
        <v>2025</v>
      </c>
      <c r="C979">
        <v>11</v>
      </c>
      <c r="D979" t="s">
        <v>478</v>
      </c>
      <c r="E979">
        <v>65</v>
      </c>
      <c r="F979">
        <v>7</v>
      </c>
      <c r="G979" t="s">
        <v>431</v>
      </c>
      <c r="H979" s="48">
        <v>0.75</v>
      </c>
      <c r="I979" s="48">
        <v>0.75</v>
      </c>
      <c r="J979" s="48">
        <v>0.75</v>
      </c>
      <c r="K979" s="48">
        <v>0.75</v>
      </c>
      <c r="L979" s="48">
        <v>0.75</v>
      </c>
      <c r="M979" s="48">
        <v>0.75</v>
      </c>
      <c r="N979" s="48">
        <v>0.75</v>
      </c>
      <c r="O979" s="48">
        <v>0.75</v>
      </c>
      <c r="P979" s="48" t="s">
        <v>320</v>
      </c>
      <c r="Q979" s="48">
        <v>0.75</v>
      </c>
      <c r="R979" s="48">
        <v>0.75</v>
      </c>
      <c r="S979" s="48">
        <v>0.75</v>
      </c>
      <c r="T979" s="48">
        <v>0.75</v>
      </c>
      <c r="U979" s="48">
        <v>0.75</v>
      </c>
      <c r="V979" s="48">
        <v>0.75</v>
      </c>
      <c r="W979" s="48">
        <v>0.75</v>
      </c>
      <c r="X979" s="48">
        <v>0.75</v>
      </c>
      <c r="Y979" s="48">
        <v>0.75</v>
      </c>
      <c r="Z979" s="48">
        <v>0.75</v>
      </c>
      <c r="AA979" s="48">
        <v>0.75</v>
      </c>
      <c r="AB979" s="48">
        <v>0.75</v>
      </c>
      <c r="AC979" s="48">
        <v>0.75</v>
      </c>
      <c r="AD979" s="48" t="s">
        <v>320</v>
      </c>
      <c r="AE979" s="48">
        <v>0.75</v>
      </c>
      <c r="AF979" s="48">
        <v>0.75</v>
      </c>
      <c r="AG979" s="48">
        <v>0.75</v>
      </c>
      <c r="AH979" s="48">
        <v>0.75</v>
      </c>
      <c r="AI979" s="48">
        <v>0.75</v>
      </c>
      <c r="AJ979" s="48">
        <v>0.75</v>
      </c>
      <c r="AK979" s="48">
        <v>0.75</v>
      </c>
      <c r="AL979" s="48" t="s">
        <v>320</v>
      </c>
      <c r="AM979">
        <v>28</v>
      </c>
    </row>
    <row r="980" spans="1:41" hidden="1" x14ac:dyDescent="0.25">
      <c r="A980">
        <v>979</v>
      </c>
      <c r="B980">
        <v>2025</v>
      </c>
      <c r="C980">
        <v>6</v>
      </c>
      <c r="D980" t="s">
        <v>481</v>
      </c>
      <c r="E980">
        <v>85</v>
      </c>
      <c r="F980">
        <v>1</v>
      </c>
      <c r="G980" t="s">
        <v>430</v>
      </c>
      <c r="H980" s="48" t="s">
        <v>320</v>
      </c>
      <c r="I980" s="48" t="s">
        <v>320</v>
      </c>
      <c r="J980" s="48" t="s">
        <v>320</v>
      </c>
      <c r="K980" s="48" t="s">
        <v>320</v>
      </c>
      <c r="L980" s="48" t="s">
        <v>320</v>
      </c>
      <c r="M980" s="48" t="s">
        <v>320</v>
      </c>
      <c r="N980" s="48" t="s">
        <v>320</v>
      </c>
      <c r="O980" s="48" t="s">
        <v>320</v>
      </c>
      <c r="P980" s="48" t="s">
        <v>320</v>
      </c>
      <c r="Q980" s="48" t="s">
        <v>320</v>
      </c>
      <c r="R980" s="48" t="s">
        <v>320</v>
      </c>
      <c r="S980" s="48" t="s">
        <v>320</v>
      </c>
      <c r="T980" s="48" t="s">
        <v>320</v>
      </c>
      <c r="U980" s="48" t="s">
        <v>320</v>
      </c>
      <c r="V980" s="48" t="s">
        <v>320</v>
      </c>
      <c r="W980" s="48">
        <v>0.29166666666666669</v>
      </c>
      <c r="X980" s="48">
        <v>0.29166666666666669</v>
      </c>
      <c r="Y980" s="48">
        <v>0.29166666666666669</v>
      </c>
      <c r="Z980" s="48">
        <v>0.29166666666666669</v>
      </c>
      <c r="AA980" s="48">
        <v>0.29166666666666669</v>
      </c>
      <c r="AB980" s="48">
        <v>0.29166666666666669</v>
      </c>
      <c r="AC980" s="48">
        <v>0.29166666666666669</v>
      </c>
      <c r="AD980" s="48">
        <v>0.29166666666666669</v>
      </c>
      <c r="AE980" s="48">
        <v>0.29166666666666669</v>
      </c>
      <c r="AF980" s="48">
        <v>0.29166666666666669</v>
      </c>
      <c r="AG980" s="48">
        <v>0.29166666666666669</v>
      </c>
      <c r="AH980" s="48">
        <v>0.29166666666666669</v>
      </c>
      <c r="AI980" s="48">
        <v>0.29166666666666669</v>
      </c>
      <c r="AJ980" s="48">
        <v>0.29166666666666669</v>
      </c>
      <c r="AK980" s="48">
        <v>0.29166666666666669</v>
      </c>
      <c r="AL980" s="48" t="s">
        <v>320</v>
      </c>
    </row>
    <row r="981" spans="1:41" hidden="1" x14ac:dyDescent="0.25">
      <c r="A981">
        <v>980</v>
      </c>
      <c r="B981">
        <v>2025</v>
      </c>
      <c r="C981">
        <v>6</v>
      </c>
      <c r="D981" t="s">
        <v>481</v>
      </c>
      <c r="E981">
        <v>85</v>
      </c>
      <c r="F981">
        <v>1</v>
      </c>
      <c r="G981" t="s">
        <v>431</v>
      </c>
      <c r="H981" s="48" t="s">
        <v>320</v>
      </c>
      <c r="I981" s="48" t="s">
        <v>320</v>
      </c>
      <c r="J981" s="48" t="s">
        <v>320</v>
      </c>
      <c r="K981" s="48" t="s">
        <v>320</v>
      </c>
      <c r="L981" s="48" t="s">
        <v>320</v>
      </c>
      <c r="M981" s="48" t="s">
        <v>320</v>
      </c>
      <c r="N981" s="48" t="s">
        <v>320</v>
      </c>
      <c r="O981" s="48" t="s">
        <v>320</v>
      </c>
      <c r="P981" s="48" t="s">
        <v>320</v>
      </c>
      <c r="Q981" s="48" t="s">
        <v>320</v>
      </c>
      <c r="R981" s="48" t="s">
        <v>320</v>
      </c>
      <c r="S981" s="48" t="s">
        <v>320</v>
      </c>
      <c r="T981" s="48" t="s">
        <v>320</v>
      </c>
      <c r="U981" s="48" t="s">
        <v>320</v>
      </c>
      <c r="V981" s="48" t="s">
        <v>320</v>
      </c>
      <c r="W981" s="48">
        <v>0.79166666666666674</v>
      </c>
      <c r="X981" s="48">
        <v>0.75</v>
      </c>
      <c r="Y981" s="48">
        <v>0.91666666666666674</v>
      </c>
      <c r="Z981" s="48">
        <v>0.83333333333333326</v>
      </c>
      <c r="AA981" s="48">
        <v>0.75</v>
      </c>
      <c r="AB981" s="48">
        <v>0.91666666666666674</v>
      </c>
      <c r="AC981" s="48">
        <v>0.75</v>
      </c>
      <c r="AD981" s="48">
        <v>0.875</v>
      </c>
      <c r="AE981" s="48">
        <v>0.75</v>
      </c>
      <c r="AF981" s="48">
        <v>0.75</v>
      </c>
      <c r="AG981" s="48">
        <v>1</v>
      </c>
      <c r="AH981" s="48">
        <v>0.75</v>
      </c>
      <c r="AI981" s="48">
        <v>0.75</v>
      </c>
      <c r="AJ981" s="48">
        <v>1</v>
      </c>
      <c r="AK981" s="48">
        <v>0.75</v>
      </c>
      <c r="AL981" s="48" t="s">
        <v>320</v>
      </c>
      <c r="AM981">
        <v>15</v>
      </c>
      <c r="AO981">
        <v>25.999999999999993</v>
      </c>
    </row>
    <row r="982" spans="1:41" hidden="1" x14ac:dyDescent="0.25">
      <c r="A982">
        <v>981</v>
      </c>
      <c r="B982">
        <v>2025</v>
      </c>
      <c r="C982">
        <v>7</v>
      </c>
      <c r="D982" t="s">
        <v>481</v>
      </c>
      <c r="E982">
        <v>85</v>
      </c>
      <c r="F982">
        <v>2</v>
      </c>
      <c r="G982" t="s">
        <v>430</v>
      </c>
      <c r="H982" s="48">
        <v>0.29166666666666669</v>
      </c>
      <c r="I982" s="48">
        <v>0.29166666666666669</v>
      </c>
      <c r="J982" s="48">
        <v>0.29166666666666669</v>
      </c>
      <c r="K982" s="48">
        <v>0.29166666666666669</v>
      </c>
      <c r="L982" s="48">
        <v>0.29166666666666669</v>
      </c>
      <c r="M982" s="48" t="s">
        <v>320</v>
      </c>
      <c r="N982" s="48">
        <v>0.29166666666666669</v>
      </c>
      <c r="O982" s="48">
        <v>0.29166666666666669</v>
      </c>
      <c r="P982" s="48">
        <v>0.29166666666666669</v>
      </c>
      <c r="Q982" s="48">
        <v>0.29166666666666669</v>
      </c>
      <c r="R982" s="48">
        <v>0.29166666666666669</v>
      </c>
      <c r="S982" s="48">
        <v>0.29166666666666669</v>
      </c>
      <c r="T982" s="48">
        <v>0.29166666666666669</v>
      </c>
      <c r="U982" s="48">
        <v>0.29166666666666669</v>
      </c>
      <c r="V982" s="48">
        <v>0.29166666666666669</v>
      </c>
      <c r="W982" s="48">
        <v>0.29166666666666669</v>
      </c>
      <c r="X982" s="48">
        <v>0.29166666666666669</v>
      </c>
      <c r="Y982" s="48">
        <v>0.29166666666666669</v>
      </c>
      <c r="Z982" s="48">
        <v>0.29166666666666669</v>
      </c>
      <c r="AA982" s="48" t="s">
        <v>320</v>
      </c>
      <c r="AB982" s="48">
        <v>0.29166666666666669</v>
      </c>
      <c r="AC982" s="48">
        <v>0.29166666666666669</v>
      </c>
      <c r="AD982" s="48">
        <v>0.29166666666666669</v>
      </c>
      <c r="AE982" s="48">
        <v>0.29166666666666669</v>
      </c>
      <c r="AF982" s="48">
        <v>0.29166666666666669</v>
      </c>
      <c r="AG982" s="48">
        <v>0.29166666666666669</v>
      </c>
      <c r="AH982" s="48">
        <v>0.29166666666666669</v>
      </c>
      <c r="AI982" s="48">
        <v>0.29166666666666669</v>
      </c>
      <c r="AJ982" s="48">
        <v>0.29166666666666669</v>
      </c>
      <c r="AK982" s="48">
        <v>0.29166666666666669</v>
      </c>
      <c r="AL982" s="48">
        <v>0.29166666666666669</v>
      </c>
    </row>
    <row r="983" spans="1:41" hidden="1" x14ac:dyDescent="0.25">
      <c r="A983">
        <v>982</v>
      </c>
      <c r="B983">
        <v>2025</v>
      </c>
      <c r="C983">
        <v>7</v>
      </c>
      <c r="D983" t="s">
        <v>481</v>
      </c>
      <c r="E983">
        <v>85</v>
      </c>
      <c r="F983">
        <v>2</v>
      </c>
      <c r="G983" t="s">
        <v>431</v>
      </c>
      <c r="H983" s="48">
        <v>0.75</v>
      </c>
      <c r="I983" s="48">
        <v>0.79166666666666674</v>
      </c>
      <c r="J983" s="48">
        <v>0.83333333333333326</v>
      </c>
      <c r="K983" s="48">
        <v>0.875</v>
      </c>
      <c r="L983" s="48">
        <v>0.875</v>
      </c>
      <c r="M983" s="48" t="s">
        <v>320</v>
      </c>
      <c r="N983" s="48">
        <v>0.83333333333333326</v>
      </c>
      <c r="O983" s="48">
        <v>0.83333333333333326</v>
      </c>
      <c r="P983" s="48">
        <v>0.79166666666666674</v>
      </c>
      <c r="Q983" s="48">
        <v>0.83333333333333326</v>
      </c>
      <c r="R983" s="48">
        <v>0.83333333333333326</v>
      </c>
      <c r="S983" s="48">
        <v>0.91666666666666674</v>
      </c>
      <c r="T983" s="48">
        <v>0.83333333333333326</v>
      </c>
      <c r="U983" s="48">
        <v>0.79166666666666674</v>
      </c>
      <c r="V983" s="48">
        <v>0.83333333333333326</v>
      </c>
      <c r="W983" s="48">
        <v>0.91666666666666674</v>
      </c>
      <c r="X983" s="48">
        <v>0.75</v>
      </c>
      <c r="Y983" s="48">
        <v>0.79166666666666674</v>
      </c>
      <c r="Z983" s="48">
        <v>0.75</v>
      </c>
      <c r="AA983" s="48" t="s">
        <v>320</v>
      </c>
      <c r="AB983" s="48">
        <v>0.75</v>
      </c>
      <c r="AC983" s="48">
        <v>0.91666666666666674</v>
      </c>
      <c r="AD983" s="48">
        <v>0.875</v>
      </c>
      <c r="AE983" s="48">
        <v>0.79166666666666674</v>
      </c>
      <c r="AF983" s="48">
        <v>0.75</v>
      </c>
      <c r="AG983" s="48">
        <v>0.75</v>
      </c>
      <c r="AH983" s="48">
        <v>0.75</v>
      </c>
      <c r="AI983" s="48">
        <v>0.75</v>
      </c>
      <c r="AJ983" s="48">
        <v>0.75</v>
      </c>
      <c r="AK983" s="48">
        <v>0.75</v>
      </c>
      <c r="AL983" s="48">
        <v>0.75</v>
      </c>
      <c r="AM983">
        <v>29</v>
      </c>
      <c r="AO983">
        <v>39.999999999999972</v>
      </c>
    </row>
    <row r="984" spans="1:41" hidden="1" x14ac:dyDescent="0.25">
      <c r="A984">
        <v>983</v>
      </c>
      <c r="B984">
        <v>2025</v>
      </c>
      <c r="C984">
        <v>8</v>
      </c>
      <c r="D984" t="s">
        <v>481</v>
      </c>
      <c r="E984">
        <v>85</v>
      </c>
      <c r="F984">
        <v>3</v>
      </c>
      <c r="G984" t="s">
        <v>430</v>
      </c>
      <c r="H984" s="48">
        <v>0.29166666666666669</v>
      </c>
      <c r="I984" s="48">
        <v>0.29166666666666669</v>
      </c>
      <c r="J984" s="48">
        <v>0.29166666666666669</v>
      </c>
      <c r="K984" s="48">
        <v>0.29166666666666669</v>
      </c>
      <c r="L984" s="48">
        <v>0.29166666666666669</v>
      </c>
      <c r="M984" s="48">
        <v>0.29166666666666669</v>
      </c>
      <c r="N984" s="48">
        <v>0.29166666666666669</v>
      </c>
      <c r="O984" s="48">
        <v>0.29166666666666669</v>
      </c>
      <c r="P984" s="48">
        <v>0.29166666666666669</v>
      </c>
      <c r="Q984" s="48" t="s">
        <v>320</v>
      </c>
      <c r="R984" s="48">
        <v>0.29166666666666669</v>
      </c>
      <c r="S984" s="48">
        <v>0.29166666666666669</v>
      </c>
      <c r="T984" s="48">
        <v>0.29166666666666669</v>
      </c>
      <c r="U984" s="48">
        <v>0.29166666666666669</v>
      </c>
      <c r="V984" s="48">
        <v>0.29166666666666669</v>
      </c>
      <c r="W984" s="48">
        <v>0.29166666666666669</v>
      </c>
      <c r="X984" s="48" t="s">
        <v>320</v>
      </c>
      <c r="Y984" s="48">
        <v>0.29166666666666669</v>
      </c>
      <c r="Z984" s="48">
        <v>0.29166666666666669</v>
      </c>
      <c r="AA984" s="48">
        <v>0.29166666666666669</v>
      </c>
      <c r="AB984" s="48">
        <v>0.29166666666666669</v>
      </c>
      <c r="AC984" s="48">
        <v>0.29166666666666669</v>
      </c>
      <c r="AD984" s="48">
        <v>0.29166666666666669</v>
      </c>
      <c r="AE984" s="48">
        <v>0.29166666666666669</v>
      </c>
      <c r="AF984" s="48">
        <v>0.29166666666666669</v>
      </c>
      <c r="AG984" s="48">
        <v>0.29166666666666669</v>
      </c>
      <c r="AH984" s="48">
        <v>0.29166666666666669</v>
      </c>
      <c r="AI984" s="48">
        <v>0.29166666666666669</v>
      </c>
      <c r="AJ984" s="48">
        <v>0.29166666666666669</v>
      </c>
      <c r="AK984" s="48">
        <v>0.29166666666666669</v>
      </c>
      <c r="AL984" s="48">
        <v>0.29166666666666669</v>
      </c>
    </row>
    <row r="985" spans="1:41" hidden="1" x14ac:dyDescent="0.25">
      <c r="A985">
        <v>984</v>
      </c>
      <c r="B985">
        <v>2025</v>
      </c>
      <c r="C985">
        <v>8</v>
      </c>
      <c r="D985" t="s">
        <v>481</v>
      </c>
      <c r="E985">
        <v>85</v>
      </c>
      <c r="F985">
        <v>3</v>
      </c>
      <c r="G985" t="s">
        <v>431</v>
      </c>
      <c r="H985" s="48">
        <v>0.75</v>
      </c>
      <c r="I985" s="48">
        <v>1</v>
      </c>
      <c r="J985" s="48">
        <v>0.75</v>
      </c>
      <c r="K985" s="48">
        <v>0.79166666666666674</v>
      </c>
      <c r="L985" s="48">
        <v>0.83333333333333326</v>
      </c>
      <c r="M985" s="48">
        <v>0.75</v>
      </c>
      <c r="N985" s="48">
        <v>1</v>
      </c>
      <c r="O985" s="48">
        <v>0.75</v>
      </c>
      <c r="P985" s="48">
        <v>0.79166666666666674</v>
      </c>
      <c r="Q985" s="48" t="s">
        <v>320</v>
      </c>
      <c r="R985" s="48">
        <v>0.79166666666666674</v>
      </c>
      <c r="S985" s="48">
        <v>0.75</v>
      </c>
      <c r="T985" s="48">
        <v>0.79166666666666674</v>
      </c>
      <c r="U985" s="48">
        <v>0.75</v>
      </c>
      <c r="V985" s="48">
        <v>0.875</v>
      </c>
      <c r="W985" s="48">
        <v>0.79166666666666674</v>
      </c>
      <c r="X985" s="48" t="s">
        <v>320</v>
      </c>
      <c r="Y985" s="48">
        <v>0.79166666666666674</v>
      </c>
      <c r="Z985" s="48">
        <v>0.83333333333333326</v>
      </c>
      <c r="AA985" s="48">
        <v>0.75</v>
      </c>
      <c r="AB985" s="48">
        <v>0.79166666666666674</v>
      </c>
      <c r="AC985" s="48">
        <v>0.83333333333333326</v>
      </c>
      <c r="AD985" s="48">
        <v>0.79166666666666674</v>
      </c>
      <c r="AE985" s="48">
        <v>0.75</v>
      </c>
      <c r="AF985" s="48">
        <v>0.83333333333333326</v>
      </c>
      <c r="AG985" s="48">
        <v>0.75</v>
      </c>
      <c r="AH985" s="48">
        <v>0.79166666666666674</v>
      </c>
      <c r="AI985" s="48">
        <v>0.75</v>
      </c>
      <c r="AJ985" s="48">
        <v>0.95833333333333326</v>
      </c>
      <c r="AK985" s="48">
        <v>0.75</v>
      </c>
      <c r="AL985" s="48">
        <v>0.75</v>
      </c>
      <c r="AM985">
        <v>29</v>
      </c>
      <c r="AO985">
        <v>36.999999999999979</v>
      </c>
    </row>
    <row r="986" spans="1:41" hidden="1" x14ac:dyDescent="0.25">
      <c r="A986">
        <v>985</v>
      </c>
      <c r="B986">
        <v>2025</v>
      </c>
      <c r="C986">
        <v>9</v>
      </c>
      <c r="D986" t="s">
        <v>481</v>
      </c>
      <c r="E986">
        <v>85</v>
      </c>
      <c r="F986">
        <v>4</v>
      </c>
      <c r="G986" t="s">
        <v>430</v>
      </c>
      <c r="H986" s="48">
        <v>0.29166666666666669</v>
      </c>
      <c r="I986" s="48">
        <v>0.29166666666666669</v>
      </c>
      <c r="J986" s="48">
        <v>0.29166666666666669</v>
      </c>
      <c r="K986" s="48">
        <v>0.29166666666666669</v>
      </c>
      <c r="L986" s="48">
        <v>0.29166666666666669</v>
      </c>
      <c r="M986" s="48">
        <v>0.29166666666666669</v>
      </c>
      <c r="N986" s="48">
        <v>0.29166666666666669</v>
      </c>
      <c r="O986" s="48">
        <v>0.29166666666666669</v>
      </c>
      <c r="P986" s="48">
        <v>0.29166666666666669</v>
      </c>
      <c r="Q986" s="48">
        <v>0.29166666666666669</v>
      </c>
      <c r="R986" s="48">
        <v>0.29166666666666669</v>
      </c>
      <c r="S986" s="48">
        <v>0.29166666666666669</v>
      </c>
      <c r="T986" s="48">
        <v>0.29166666666666669</v>
      </c>
      <c r="U986" s="48" t="s">
        <v>320</v>
      </c>
      <c r="V986" s="48">
        <v>0.29166666666666669</v>
      </c>
      <c r="W986" s="48">
        <v>0.29166666666666669</v>
      </c>
      <c r="X986" s="48">
        <v>0.29166666666666669</v>
      </c>
      <c r="Y986" s="48">
        <v>0.29166666666666669</v>
      </c>
      <c r="Z986" s="48">
        <v>0.29166666666666669</v>
      </c>
      <c r="AA986" s="48">
        <v>0.29166666666666669</v>
      </c>
      <c r="AB986" s="48">
        <v>0.29166666666666669</v>
      </c>
      <c r="AC986" s="48">
        <v>0.29166666666666669</v>
      </c>
      <c r="AD986" s="48">
        <v>0.29166666666666669</v>
      </c>
      <c r="AE986" s="48">
        <v>0.29166666666666669</v>
      </c>
      <c r="AF986" s="48">
        <v>0.29166666666666669</v>
      </c>
      <c r="AG986" s="48">
        <v>0.29166666666666669</v>
      </c>
      <c r="AH986" s="48">
        <v>0.29166666666666669</v>
      </c>
      <c r="AI986" s="48" t="s">
        <v>320</v>
      </c>
      <c r="AJ986" s="48">
        <v>0.29166666666666669</v>
      </c>
      <c r="AK986" s="48">
        <v>0.29166666666666669</v>
      </c>
      <c r="AL986" s="48" t="s">
        <v>320</v>
      </c>
    </row>
    <row r="987" spans="1:41" hidden="1" x14ac:dyDescent="0.25">
      <c r="A987">
        <v>986</v>
      </c>
      <c r="B987">
        <v>2025</v>
      </c>
      <c r="C987">
        <v>9</v>
      </c>
      <c r="D987" t="s">
        <v>481</v>
      </c>
      <c r="E987">
        <v>85</v>
      </c>
      <c r="F987">
        <v>4</v>
      </c>
      <c r="G987" t="s">
        <v>431</v>
      </c>
      <c r="H987" s="48">
        <v>0.79166666666666674</v>
      </c>
      <c r="I987" s="48">
        <v>0.79166666666666674</v>
      </c>
      <c r="J987" s="48">
        <v>0.83333333333333326</v>
      </c>
      <c r="K987" s="48">
        <v>0.79166666666666674</v>
      </c>
      <c r="L987" s="48">
        <v>0.83333333333333326</v>
      </c>
      <c r="M987" s="48">
        <v>0.79166666666666674</v>
      </c>
      <c r="N987" s="48">
        <v>0.75</v>
      </c>
      <c r="O987" s="48">
        <v>0.83333333333333326</v>
      </c>
      <c r="P987" s="48">
        <v>0.79166666666666674</v>
      </c>
      <c r="Q987" s="48">
        <v>0.75</v>
      </c>
      <c r="R987" s="48">
        <v>0.79166666666666674</v>
      </c>
      <c r="S987" s="48">
        <v>0.875</v>
      </c>
      <c r="T987" s="48">
        <v>0.75</v>
      </c>
      <c r="U987" s="48" t="s">
        <v>320</v>
      </c>
      <c r="V987" s="48">
        <v>0.75</v>
      </c>
      <c r="W987" s="48">
        <v>0.91666666666666674</v>
      </c>
      <c r="X987" s="48">
        <v>0.75</v>
      </c>
      <c r="Y987" s="48">
        <v>0.79166666666666674</v>
      </c>
      <c r="Z987" s="48">
        <v>0.83333333333333326</v>
      </c>
      <c r="AA987" s="48">
        <v>0.75</v>
      </c>
      <c r="AB987" s="48">
        <v>0.79166666666666674</v>
      </c>
      <c r="AC987" s="48">
        <v>0.83333333333333326</v>
      </c>
      <c r="AD987" s="48">
        <v>0.79166666666666674</v>
      </c>
      <c r="AE987" s="48">
        <v>0.75</v>
      </c>
      <c r="AF987" s="48">
        <v>0.91666666666666674</v>
      </c>
      <c r="AG987" s="48">
        <v>0.75</v>
      </c>
      <c r="AH987" s="48">
        <v>0.79166666666666674</v>
      </c>
      <c r="AI987" s="48" t="s">
        <v>320</v>
      </c>
      <c r="AJ987" s="48">
        <v>0.75</v>
      </c>
      <c r="AK987" s="48">
        <v>0.75</v>
      </c>
      <c r="AL987" s="48" t="s">
        <v>320</v>
      </c>
      <c r="AM987">
        <v>28</v>
      </c>
      <c r="AO987">
        <v>30.999999999999979</v>
      </c>
    </row>
    <row r="988" spans="1:41" hidden="1" x14ac:dyDescent="0.25">
      <c r="A988">
        <v>987</v>
      </c>
      <c r="B988">
        <v>2025</v>
      </c>
      <c r="C988">
        <v>10</v>
      </c>
      <c r="D988" t="s">
        <v>481</v>
      </c>
      <c r="E988">
        <v>85</v>
      </c>
      <c r="F988">
        <v>5</v>
      </c>
      <c r="G988" t="s">
        <v>430</v>
      </c>
      <c r="H988" s="48">
        <v>0.29166666666666669</v>
      </c>
      <c r="I988" s="48">
        <v>0.29166666666666669</v>
      </c>
      <c r="J988" s="48">
        <v>0.29166666666666669</v>
      </c>
      <c r="K988" s="48">
        <v>0.29166666666666669</v>
      </c>
      <c r="L988" s="48">
        <v>0.29166666666666669</v>
      </c>
      <c r="M988" s="48">
        <v>0.29166666666666669</v>
      </c>
      <c r="N988" s="48">
        <v>0.29166666666666669</v>
      </c>
      <c r="O988" s="48">
        <v>0.29166666666666669</v>
      </c>
      <c r="P988" s="48">
        <v>0.29166666666666669</v>
      </c>
      <c r="Q988" s="48">
        <v>0.29166666666666669</v>
      </c>
      <c r="R988" s="48">
        <v>0.29166666666666669</v>
      </c>
      <c r="S988" s="48">
        <v>0.29166666666666669</v>
      </c>
      <c r="T988" s="48">
        <v>0.29166666666666669</v>
      </c>
      <c r="U988" s="48">
        <v>0.29166666666666669</v>
      </c>
      <c r="V988" s="48">
        <v>0.29166666666666669</v>
      </c>
      <c r="W988" s="48">
        <v>0.29166666666666669</v>
      </c>
      <c r="X988" s="48">
        <v>0.29166666666666669</v>
      </c>
      <c r="Y988" s="48">
        <v>0.29166666666666669</v>
      </c>
      <c r="Z988" s="48">
        <v>0.29166666666666669</v>
      </c>
      <c r="AA988" s="48" t="s">
        <v>320</v>
      </c>
      <c r="AB988" s="48" t="s">
        <v>320</v>
      </c>
      <c r="AC988" s="48">
        <v>0.29166666666666669</v>
      </c>
      <c r="AD988" s="48">
        <v>0.29166666666666669</v>
      </c>
      <c r="AE988" s="48">
        <v>0.29166666666666669</v>
      </c>
      <c r="AF988" s="48">
        <v>0.29166666666666669</v>
      </c>
      <c r="AG988" s="48">
        <v>0.29166666666666669</v>
      </c>
      <c r="AH988" s="48">
        <v>0.29166666666666669</v>
      </c>
      <c r="AI988" s="48">
        <v>0.29166666666666669</v>
      </c>
      <c r="AJ988" s="48">
        <v>0.29166666666666669</v>
      </c>
      <c r="AK988" s="48">
        <v>0.29166666666666669</v>
      </c>
      <c r="AL988" s="48">
        <v>0.29166666666666669</v>
      </c>
    </row>
    <row r="989" spans="1:41" hidden="1" x14ac:dyDescent="0.25">
      <c r="A989">
        <v>988</v>
      </c>
      <c r="B989">
        <v>2025</v>
      </c>
      <c r="C989">
        <v>10</v>
      </c>
      <c r="D989" t="s">
        <v>481</v>
      </c>
      <c r="E989">
        <v>85</v>
      </c>
      <c r="F989">
        <v>5</v>
      </c>
      <c r="G989" t="s">
        <v>431</v>
      </c>
      <c r="H989" s="48">
        <v>0.79166666666666674</v>
      </c>
      <c r="I989" s="48">
        <v>0.75</v>
      </c>
      <c r="J989" s="48">
        <v>0.91666666666666674</v>
      </c>
      <c r="K989" s="48">
        <v>0.75</v>
      </c>
      <c r="L989" s="48">
        <v>0.75</v>
      </c>
      <c r="M989" s="48">
        <v>0.75</v>
      </c>
      <c r="N989" s="48">
        <v>0.75</v>
      </c>
      <c r="O989" s="48">
        <v>0.79166666666666674</v>
      </c>
      <c r="P989" s="48">
        <v>0.75</v>
      </c>
      <c r="Q989" s="48">
        <v>0.75</v>
      </c>
      <c r="R989" s="48">
        <v>0.75</v>
      </c>
      <c r="S989" s="48">
        <v>0.75</v>
      </c>
      <c r="T989" s="48">
        <v>0.75</v>
      </c>
      <c r="U989" s="48">
        <v>0.75</v>
      </c>
      <c r="V989" s="48">
        <v>0.75</v>
      </c>
      <c r="W989" s="48">
        <v>0.75</v>
      </c>
      <c r="X989" s="48">
        <v>0.75</v>
      </c>
      <c r="Y989" s="48">
        <v>0.75</v>
      </c>
      <c r="Z989" s="48">
        <v>0.75</v>
      </c>
      <c r="AA989" s="48" t="s">
        <v>320</v>
      </c>
      <c r="AB989" s="48" t="s">
        <v>320</v>
      </c>
      <c r="AC989" s="48">
        <v>0.75</v>
      </c>
      <c r="AD989" s="48">
        <v>0.75</v>
      </c>
      <c r="AE989" s="48">
        <v>0.75</v>
      </c>
      <c r="AF989" s="48">
        <v>0.75</v>
      </c>
      <c r="AG989" s="48">
        <v>0.75</v>
      </c>
      <c r="AH989" s="48">
        <v>0.75</v>
      </c>
      <c r="AI989" s="48">
        <v>0.75</v>
      </c>
      <c r="AJ989" s="48">
        <v>0.75</v>
      </c>
      <c r="AK989" s="48">
        <v>0.75</v>
      </c>
      <c r="AL989" s="48">
        <v>0.75</v>
      </c>
      <c r="AM989">
        <v>29</v>
      </c>
      <c r="AO989">
        <v>6</v>
      </c>
    </row>
    <row r="990" spans="1:41" hidden="1" x14ac:dyDescent="0.25">
      <c r="A990">
        <v>989</v>
      </c>
      <c r="B990">
        <v>2025</v>
      </c>
      <c r="C990">
        <v>11</v>
      </c>
      <c r="D990" t="s">
        <v>481</v>
      </c>
      <c r="E990">
        <v>85</v>
      </c>
      <c r="F990">
        <f>+F988+1</f>
        <v>6</v>
      </c>
      <c r="G990" t="s">
        <v>430</v>
      </c>
      <c r="H990" s="48">
        <v>0.29166666666666669</v>
      </c>
      <c r="I990" s="48">
        <v>0.29166666666666669</v>
      </c>
      <c r="J990" s="48">
        <v>0.29166666666666669</v>
      </c>
      <c r="K990" s="48">
        <v>0.29166666666666669</v>
      </c>
      <c r="L990" s="48">
        <v>0.29166666666666669</v>
      </c>
      <c r="M990" s="48">
        <v>0.29166666666666669</v>
      </c>
      <c r="N990" s="48">
        <v>0.29166666666666669</v>
      </c>
      <c r="O990" s="48">
        <v>0.29166666666666669</v>
      </c>
      <c r="P990" s="48" t="s">
        <v>320</v>
      </c>
      <c r="Q990" s="48">
        <v>0.29166666666666669</v>
      </c>
      <c r="R990" s="48">
        <v>0.29166666666666669</v>
      </c>
      <c r="S990" s="48">
        <v>0.29166666666666669</v>
      </c>
      <c r="T990" s="48">
        <v>0.29166666666666669</v>
      </c>
      <c r="U990" s="48">
        <v>0.29166666666666669</v>
      </c>
      <c r="V990" s="48">
        <v>0.29166666666666669</v>
      </c>
      <c r="W990" s="48">
        <v>0.29166666666666669</v>
      </c>
      <c r="X990" s="48">
        <v>0.29166666666666669</v>
      </c>
      <c r="Y990" s="48">
        <v>0.29166666666666669</v>
      </c>
      <c r="Z990" s="48">
        <v>0.29166666666666669</v>
      </c>
      <c r="AA990" s="48">
        <v>0.29166666666666669</v>
      </c>
      <c r="AB990" s="48">
        <v>0.29166666666666669</v>
      </c>
      <c r="AC990" s="48">
        <v>0.29166666666666669</v>
      </c>
      <c r="AD990" s="48">
        <v>0.29166666666666669</v>
      </c>
      <c r="AE990" s="48">
        <v>0.29166666666666669</v>
      </c>
      <c r="AF990" s="48">
        <v>0.29166666666666669</v>
      </c>
      <c r="AG990" s="48">
        <v>0.29166666666666669</v>
      </c>
      <c r="AH990" s="48">
        <v>0.29166666666666669</v>
      </c>
      <c r="AI990" s="48">
        <v>0.29166666666666669</v>
      </c>
      <c r="AJ990" s="48">
        <v>0.29166666666666669</v>
      </c>
      <c r="AK990" s="48">
        <v>0.29166666666666669</v>
      </c>
      <c r="AL990" s="48" t="s">
        <v>320</v>
      </c>
    </row>
    <row r="991" spans="1:41" hidden="1" x14ac:dyDescent="0.25">
      <c r="A991">
        <v>990</v>
      </c>
      <c r="B991">
        <v>2025</v>
      </c>
      <c r="C991">
        <f>+C990</f>
        <v>11</v>
      </c>
      <c r="D991" t="s">
        <v>481</v>
      </c>
      <c r="E991">
        <v>85</v>
      </c>
      <c r="F991">
        <f>+F990</f>
        <v>6</v>
      </c>
      <c r="G991" t="s">
        <v>431</v>
      </c>
      <c r="H991" s="48">
        <v>0.75</v>
      </c>
      <c r="I991" s="48">
        <v>0.875</v>
      </c>
      <c r="J991" s="48">
        <v>0.79166666666666674</v>
      </c>
      <c r="K991" s="48">
        <v>0.83333333333333326</v>
      </c>
      <c r="L991" s="48">
        <v>0.79166666666666674</v>
      </c>
      <c r="M991" s="48">
        <v>0.79166666666666674</v>
      </c>
      <c r="N991" s="48">
        <v>0.875</v>
      </c>
      <c r="O991" s="48">
        <v>0.83333333333333326</v>
      </c>
      <c r="P991" s="48" t="s">
        <v>320</v>
      </c>
      <c r="Q991" s="48">
        <v>0.79166666666666674</v>
      </c>
      <c r="R991" s="48">
        <v>0.75</v>
      </c>
      <c r="S991" s="48">
        <v>0.875</v>
      </c>
      <c r="T991" s="48">
        <v>0.875</v>
      </c>
      <c r="U991" s="48">
        <v>0.95833333333333326</v>
      </c>
      <c r="V991" s="48">
        <v>0.83333333333333326</v>
      </c>
      <c r="W991" s="48">
        <v>0.79166666666666674</v>
      </c>
      <c r="X991" s="48">
        <v>0.83333333333333326</v>
      </c>
      <c r="Y991" s="48">
        <v>0.91666666666666674</v>
      </c>
      <c r="Z991" s="48">
        <v>0.79166666666666674</v>
      </c>
      <c r="AA991" s="48">
        <v>0.75</v>
      </c>
      <c r="AB991" s="48">
        <v>0.83333333333333326</v>
      </c>
      <c r="AC991" s="48">
        <v>0.79166666666666674</v>
      </c>
      <c r="AD991" s="48">
        <v>0.875</v>
      </c>
      <c r="AE991" s="48">
        <v>0.83333333333333326</v>
      </c>
      <c r="AF991" s="48">
        <v>0.79166666666666674</v>
      </c>
      <c r="AG991" s="48">
        <v>0.83333333333333326</v>
      </c>
      <c r="AH991" s="48">
        <v>0.83333333333333326</v>
      </c>
      <c r="AI991" s="48">
        <v>0.75</v>
      </c>
      <c r="AJ991" s="48">
        <v>0.91666666666666674</v>
      </c>
      <c r="AK991" s="48">
        <v>0.75</v>
      </c>
      <c r="AL991" s="48" t="s">
        <v>320</v>
      </c>
      <c r="AM991">
        <v>29</v>
      </c>
      <c r="AO991">
        <v>51.999999999999972</v>
      </c>
    </row>
    <row r="992" spans="1:41" hidden="1" x14ac:dyDescent="0.25">
      <c r="A992">
        <v>991</v>
      </c>
      <c r="B992">
        <v>2025</v>
      </c>
      <c r="C992">
        <v>6</v>
      </c>
      <c r="D992" t="s">
        <v>491</v>
      </c>
      <c r="E992">
        <v>94</v>
      </c>
      <c r="F992">
        <v>1</v>
      </c>
      <c r="G992" t="s">
        <v>430</v>
      </c>
      <c r="H992" s="48" t="s">
        <v>320</v>
      </c>
      <c r="I992" s="48" t="s">
        <v>320</v>
      </c>
      <c r="J992" s="48">
        <v>0.29166666666666669</v>
      </c>
      <c r="K992" s="48">
        <v>0.29166666666666669</v>
      </c>
      <c r="L992" s="48">
        <v>0.29166666666666669</v>
      </c>
      <c r="M992" s="48">
        <v>0.29166666666666669</v>
      </c>
      <c r="N992" s="48">
        <v>0.29166666666666669</v>
      </c>
      <c r="O992" s="48">
        <v>0.29166666666666669</v>
      </c>
      <c r="P992" s="48">
        <v>0.29166666666666669</v>
      </c>
      <c r="Q992" s="48">
        <v>0.29166666666666669</v>
      </c>
      <c r="R992" s="48">
        <v>0.29166666666666669</v>
      </c>
      <c r="S992" s="48">
        <v>0.29166666666666669</v>
      </c>
      <c r="T992" s="48">
        <v>0.29166666666666669</v>
      </c>
      <c r="U992" s="48">
        <v>0.29166666666666669</v>
      </c>
      <c r="V992" s="48">
        <v>0.29166666666666669</v>
      </c>
      <c r="W992" s="48">
        <v>0.29166666666666669</v>
      </c>
      <c r="X992" s="48">
        <v>0.29166666666666669</v>
      </c>
      <c r="Y992" s="48">
        <v>0.29166666666666669</v>
      </c>
      <c r="Z992" s="48">
        <v>0.29166666666666669</v>
      </c>
      <c r="AA992" s="48">
        <v>0.29166666666666669</v>
      </c>
      <c r="AB992" s="48">
        <v>0.29166666666666669</v>
      </c>
      <c r="AC992" s="48">
        <v>0.29166666666666669</v>
      </c>
      <c r="AD992" s="48">
        <v>0.29166666666666669</v>
      </c>
      <c r="AE992" s="48">
        <v>0.29166666666666669</v>
      </c>
      <c r="AF992" s="48">
        <v>0.29166666666666669</v>
      </c>
      <c r="AG992" s="48">
        <v>0.29166666666666669</v>
      </c>
      <c r="AH992" s="48">
        <v>0.29166666666666669</v>
      </c>
      <c r="AI992" s="48">
        <v>0.29166666666666669</v>
      </c>
      <c r="AJ992" s="48">
        <v>0.29166666666666669</v>
      </c>
      <c r="AK992" s="48">
        <v>0.29166666666666669</v>
      </c>
      <c r="AL992" s="48" t="s">
        <v>320</v>
      </c>
    </row>
    <row r="993" spans="1:41" hidden="1" x14ac:dyDescent="0.25">
      <c r="A993">
        <v>992</v>
      </c>
      <c r="B993">
        <v>2025</v>
      </c>
      <c r="C993">
        <v>6</v>
      </c>
      <c r="D993" t="s">
        <v>491</v>
      </c>
      <c r="E993">
        <v>94</v>
      </c>
      <c r="F993">
        <v>1</v>
      </c>
      <c r="G993" t="s">
        <v>431</v>
      </c>
      <c r="H993" s="48" t="s">
        <v>320</v>
      </c>
      <c r="I993" s="48" t="s">
        <v>320</v>
      </c>
      <c r="J993" s="48">
        <v>0.75</v>
      </c>
      <c r="K993" s="48">
        <v>0.75</v>
      </c>
      <c r="L993" s="48">
        <v>0.75</v>
      </c>
      <c r="M993" s="48">
        <v>0.75</v>
      </c>
      <c r="N993" s="48">
        <v>0.75</v>
      </c>
      <c r="O993" s="48">
        <v>0.75</v>
      </c>
      <c r="P993" s="48">
        <v>0.75</v>
      </c>
      <c r="Q993" s="48">
        <v>0.75</v>
      </c>
      <c r="R993" s="48">
        <v>0.75</v>
      </c>
      <c r="S993" s="48">
        <v>0.75</v>
      </c>
      <c r="T993" s="48">
        <v>0.75</v>
      </c>
      <c r="U993" s="48">
        <v>0.75</v>
      </c>
      <c r="V993" s="48">
        <v>0.75</v>
      </c>
      <c r="W993" s="48">
        <v>0.75</v>
      </c>
      <c r="X993" s="48">
        <v>0.75</v>
      </c>
      <c r="Y993" s="48">
        <v>0.75</v>
      </c>
      <c r="Z993" s="48">
        <v>0.75</v>
      </c>
      <c r="AA993" s="48">
        <v>0.75</v>
      </c>
      <c r="AB993" s="48">
        <v>0.75</v>
      </c>
      <c r="AC993" s="48">
        <v>0.75</v>
      </c>
      <c r="AD993" s="48">
        <v>0.75</v>
      </c>
      <c r="AE993" s="48">
        <v>0.75</v>
      </c>
      <c r="AF993" s="48">
        <v>0.75</v>
      </c>
      <c r="AG993" s="48">
        <v>0.75</v>
      </c>
      <c r="AH993" s="48">
        <v>0.75</v>
      </c>
      <c r="AI993" s="48">
        <v>0.75</v>
      </c>
      <c r="AJ993" s="48">
        <v>0.75</v>
      </c>
      <c r="AK993" s="48">
        <v>0.75</v>
      </c>
      <c r="AL993" s="48" t="s">
        <v>320</v>
      </c>
      <c r="AM993">
        <v>28</v>
      </c>
    </row>
    <row r="994" spans="1:41" hidden="1" x14ac:dyDescent="0.25">
      <c r="A994">
        <v>993</v>
      </c>
      <c r="B994">
        <v>2025</v>
      </c>
      <c r="C994">
        <v>7</v>
      </c>
      <c r="D994" t="s">
        <v>491</v>
      </c>
      <c r="E994">
        <v>94</v>
      </c>
      <c r="F994">
        <v>2</v>
      </c>
      <c r="G994" t="s">
        <v>430</v>
      </c>
      <c r="H994" s="48">
        <v>0.29166666666666669</v>
      </c>
      <c r="I994" s="48">
        <v>0.29166666666666669</v>
      </c>
      <c r="J994" s="48">
        <v>0.29166666666666669</v>
      </c>
      <c r="K994" s="48">
        <v>0.29166666666666669</v>
      </c>
      <c r="L994" s="48">
        <v>0.29166666666666669</v>
      </c>
      <c r="M994" s="48">
        <v>0.29166666666666669</v>
      </c>
      <c r="N994" s="48">
        <v>0.29166666666666669</v>
      </c>
      <c r="O994" s="48">
        <v>0.29166666666666669</v>
      </c>
      <c r="P994" s="48">
        <v>0.29166666666666669</v>
      </c>
      <c r="Q994" s="48">
        <v>0.29166666666666669</v>
      </c>
      <c r="R994" s="48">
        <v>0.29166666666666669</v>
      </c>
      <c r="S994" s="48">
        <v>0.29166666666666669</v>
      </c>
      <c r="T994" s="48">
        <v>0.29166666666666669</v>
      </c>
      <c r="U994" s="48">
        <v>0.29166666666666669</v>
      </c>
      <c r="V994" s="48">
        <v>0.29166666666666669</v>
      </c>
      <c r="W994" s="48">
        <v>0.29166666666666669</v>
      </c>
      <c r="X994" s="48">
        <v>0.29166666666666669</v>
      </c>
      <c r="Y994" s="48">
        <v>0.29166666666666669</v>
      </c>
      <c r="Z994" s="48">
        <v>0.29166666666666669</v>
      </c>
      <c r="AA994" s="48">
        <v>0.29166666666666669</v>
      </c>
      <c r="AB994" s="48">
        <v>0.29166666666666669</v>
      </c>
      <c r="AC994" s="48">
        <v>0.29166666666666669</v>
      </c>
      <c r="AD994" s="48">
        <v>0.29166666666666669</v>
      </c>
      <c r="AE994" s="48">
        <v>0.29166666666666669</v>
      </c>
      <c r="AF994" s="48">
        <v>0.29166666666666669</v>
      </c>
      <c r="AG994" s="48">
        <v>0.29166666666666669</v>
      </c>
      <c r="AH994" s="48">
        <v>0.29166666666666669</v>
      </c>
      <c r="AI994" s="48">
        <v>0.29166666666666669</v>
      </c>
      <c r="AJ994" s="48">
        <v>0.29166666666666669</v>
      </c>
      <c r="AK994" s="48">
        <v>0.29166666666666669</v>
      </c>
      <c r="AL994" s="48">
        <v>0.29166666666666669</v>
      </c>
    </row>
    <row r="995" spans="1:41" hidden="1" x14ac:dyDescent="0.25">
      <c r="A995">
        <v>994</v>
      </c>
      <c r="B995">
        <v>2025</v>
      </c>
      <c r="C995">
        <v>7</v>
      </c>
      <c r="D995" t="s">
        <v>491</v>
      </c>
      <c r="E995">
        <v>94</v>
      </c>
      <c r="F995">
        <v>2</v>
      </c>
      <c r="G995" t="s">
        <v>431</v>
      </c>
      <c r="H995" s="48">
        <v>0.75</v>
      </c>
      <c r="I995" s="48">
        <v>0.75</v>
      </c>
      <c r="J995" s="48">
        <v>0.75</v>
      </c>
      <c r="K995" s="48">
        <v>0.75</v>
      </c>
      <c r="L995" s="48">
        <v>0.75</v>
      </c>
      <c r="M995" s="48">
        <v>0.75</v>
      </c>
      <c r="N995" s="48">
        <v>0.75</v>
      </c>
      <c r="O995" s="48">
        <v>0.75</v>
      </c>
      <c r="P995" s="48">
        <v>0.75</v>
      </c>
      <c r="Q995" s="48">
        <v>0.75</v>
      </c>
      <c r="R995" s="48">
        <v>0.75</v>
      </c>
      <c r="S995" s="48">
        <v>0.75</v>
      </c>
      <c r="T995" s="48">
        <v>0.75</v>
      </c>
      <c r="U995" s="48">
        <v>0.75</v>
      </c>
      <c r="V995" s="48">
        <v>0.75</v>
      </c>
      <c r="W995" s="48">
        <v>0.75</v>
      </c>
      <c r="X995" s="48">
        <v>0.75</v>
      </c>
      <c r="Y995" s="48">
        <v>0.75</v>
      </c>
      <c r="Z995" s="48">
        <v>0.75</v>
      </c>
      <c r="AA995" s="48">
        <v>0.75</v>
      </c>
      <c r="AB995" s="48">
        <v>0.75</v>
      </c>
      <c r="AC995" s="48">
        <v>0.75</v>
      </c>
      <c r="AD995" s="48">
        <v>0.75</v>
      </c>
      <c r="AE995" s="48">
        <v>0.75</v>
      </c>
      <c r="AF995" s="48">
        <v>0.75</v>
      </c>
      <c r="AG995" s="48">
        <v>0.75</v>
      </c>
      <c r="AH995" s="48">
        <v>0.75</v>
      </c>
      <c r="AI995" s="48">
        <v>0.75</v>
      </c>
      <c r="AJ995" s="48">
        <v>0.95833333333333337</v>
      </c>
      <c r="AK995" s="48">
        <v>0.75</v>
      </c>
      <c r="AL995" s="48">
        <v>0.75</v>
      </c>
      <c r="AM995">
        <v>31</v>
      </c>
      <c r="AO995">
        <v>5</v>
      </c>
    </row>
    <row r="996" spans="1:41" hidden="1" x14ac:dyDescent="0.25">
      <c r="A996">
        <v>995</v>
      </c>
      <c r="B996">
        <v>2025</v>
      </c>
      <c r="C996">
        <v>7</v>
      </c>
      <c r="D996" t="s">
        <v>491</v>
      </c>
      <c r="E996">
        <v>94</v>
      </c>
      <c r="F996">
        <v>2</v>
      </c>
      <c r="G996" t="s">
        <v>430</v>
      </c>
      <c r="U996" s="48">
        <v>0.79166666666666663</v>
      </c>
      <c r="V996" s="48">
        <v>0.79166666666666663</v>
      </c>
      <c r="W996" s="48">
        <v>0.79166666666666663</v>
      </c>
      <c r="X996" s="48">
        <v>0.79166666666666663</v>
      </c>
      <c r="Y996" s="48">
        <v>0.79166666666666663</v>
      </c>
      <c r="Z996" s="48">
        <v>0.79166666666666663</v>
      </c>
      <c r="AA996" s="48">
        <v>0.79166666666666663</v>
      </c>
      <c r="AB996" s="48">
        <v>0.79166666666666663</v>
      </c>
      <c r="AC996" s="48">
        <v>0.79166666666666663</v>
      </c>
      <c r="AD996" s="48">
        <v>0.79166666666666663</v>
      </c>
      <c r="AE996" s="48">
        <v>0.79166666666666663</v>
      </c>
      <c r="AF996" s="48">
        <v>0.79166666666666663</v>
      </c>
      <c r="AK996" s="48">
        <v>0.79166666666666663</v>
      </c>
      <c r="AL996" s="48">
        <v>0.79166666666666663</v>
      </c>
    </row>
    <row r="997" spans="1:41" hidden="1" x14ac:dyDescent="0.25">
      <c r="A997">
        <v>996</v>
      </c>
      <c r="B997">
        <v>2025</v>
      </c>
      <c r="C997">
        <v>7</v>
      </c>
      <c r="D997" t="s">
        <v>491</v>
      </c>
      <c r="E997">
        <v>94</v>
      </c>
      <c r="F997">
        <v>2</v>
      </c>
      <c r="G997" t="s">
        <v>431</v>
      </c>
      <c r="U997" s="48">
        <v>0.25</v>
      </c>
      <c r="V997" s="48">
        <v>0.25</v>
      </c>
      <c r="W997" s="48">
        <v>0.25</v>
      </c>
      <c r="X997" s="48">
        <v>0.25</v>
      </c>
      <c r="Y997" s="48">
        <v>0.25</v>
      </c>
      <c r="Z997" s="48">
        <v>0.25</v>
      </c>
      <c r="AA997" s="48">
        <v>0.25</v>
      </c>
      <c r="AB997" s="48">
        <v>0.25</v>
      </c>
      <c r="AC997" s="48">
        <v>0.25</v>
      </c>
      <c r="AD997" s="48">
        <v>0.25</v>
      </c>
      <c r="AE997" s="48">
        <v>0.25</v>
      </c>
      <c r="AF997" s="48">
        <v>0.25</v>
      </c>
      <c r="AK997" s="48">
        <v>0.25</v>
      </c>
      <c r="AL997" s="48">
        <v>0.25</v>
      </c>
      <c r="AM997">
        <v>14</v>
      </c>
    </row>
    <row r="998" spans="1:41" hidden="1" x14ac:dyDescent="0.25">
      <c r="A998">
        <v>997</v>
      </c>
      <c r="B998">
        <v>2025</v>
      </c>
      <c r="C998">
        <v>8</v>
      </c>
      <c r="D998" t="s">
        <v>491</v>
      </c>
      <c r="E998">
        <v>94</v>
      </c>
      <c r="F998">
        <v>3</v>
      </c>
      <c r="G998" t="s">
        <v>430</v>
      </c>
      <c r="H998" s="48">
        <v>0.33333333333333331</v>
      </c>
      <c r="I998" s="48">
        <v>0.33333333333333331</v>
      </c>
      <c r="J998" s="48">
        <v>0.33333333333333331</v>
      </c>
      <c r="K998" s="48">
        <v>0.33333333333333331</v>
      </c>
      <c r="L998" s="48">
        <v>0.33333333333333331</v>
      </c>
      <c r="M998" s="48">
        <v>0.33333333333333331</v>
      </c>
      <c r="N998" s="48">
        <v>0.33333333333333331</v>
      </c>
      <c r="O998" s="48">
        <v>0.33333333333333331</v>
      </c>
      <c r="P998" s="48">
        <v>0.33333333333333331</v>
      </c>
      <c r="Q998" s="48">
        <v>0.33333333333333331</v>
      </c>
      <c r="R998" s="48">
        <v>0.33333333333333331</v>
      </c>
      <c r="S998" s="48">
        <v>0.33333333333333331</v>
      </c>
      <c r="T998" s="48">
        <v>0.33333333333333331</v>
      </c>
      <c r="U998" s="48">
        <v>0.33333333333333331</v>
      </c>
      <c r="V998" s="48">
        <v>0.33333333333333331</v>
      </c>
      <c r="W998" s="48">
        <v>0.33333333333333331</v>
      </c>
      <c r="X998" s="48">
        <v>0.33333333333333331</v>
      </c>
      <c r="Y998" s="48">
        <v>0.33333333333333331</v>
      </c>
      <c r="Z998" s="48">
        <v>0.33333333333333331</v>
      </c>
      <c r="AA998" s="48">
        <v>0.33333333333333331</v>
      </c>
      <c r="AB998" s="48">
        <v>0.33333333333333331</v>
      </c>
      <c r="AC998" s="48">
        <v>0.33333333333333331</v>
      </c>
      <c r="AD998" s="48">
        <v>0.33333333333333331</v>
      </c>
      <c r="AE998" s="48">
        <v>0.33333333333333331</v>
      </c>
      <c r="AF998" s="48">
        <v>0.33333333333333331</v>
      </c>
      <c r="AG998" s="48">
        <v>0.33333333333333331</v>
      </c>
      <c r="AH998" s="48">
        <v>0.33333333333333331</v>
      </c>
      <c r="AI998" s="48">
        <v>0.33333333333333331</v>
      </c>
      <c r="AJ998" s="48">
        <v>0.33333333333333331</v>
      </c>
      <c r="AK998" s="48">
        <v>0.33333333333333331</v>
      </c>
      <c r="AL998" s="48">
        <v>0.33333333333333331</v>
      </c>
    </row>
    <row r="999" spans="1:41" hidden="1" x14ac:dyDescent="0.25">
      <c r="A999">
        <v>998</v>
      </c>
      <c r="B999">
        <v>2025</v>
      </c>
      <c r="C999">
        <v>8</v>
      </c>
      <c r="D999" t="s">
        <v>491</v>
      </c>
      <c r="E999">
        <v>94</v>
      </c>
      <c r="F999">
        <v>3</v>
      </c>
      <c r="G999" t="s">
        <v>431</v>
      </c>
      <c r="H999" s="48">
        <v>0.75</v>
      </c>
      <c r="I999" s="48">
        <v>0.75</v>
      </c>
      <c r="J999" s="48">
        <v>0.75</v>
      </c>
      <c r="K999" s="48">
        <v>0.75</v>
      </c>
      <c r="L999" s="48">
        <v>0.75</v>
      </c>
      <c r="M999" s="48">
        <v>0.75</v>
      </c>
      <c r="N999" s="48">
        <v>0.75</v>
      </c>
      <c r="O999" s="48">
        <v>0.75</v>
      </c>
      <c r="P999" s="48">
        <v>0.75</v>
      </c>
      <c r="Q999" s="48">
        <v>0.75</v>
      </c>
      <c r="R999" s="48">
        <v>0.75</v>
      </c>
      <c r="S999" s="48">
        <v>0.75</v>
      </c>
      <c r="T999" s="48">
        <v>0.75</v>
      </c>
      <c r="U999" s="48">
        <v>0.75</v>
      </c>
      <c r="V999" s="48">
        <v>0.75</v>
      </c>
      <c r="W999" s="48">
        <v>0.75</v>
      </c>
      <c r="X999" s="48">
        <v>0.75</v>
      </c>
      <c r="Y999" s="48">
        <v>0.75</v>
      </c>
      <c r="Z999" s="48">
        <v>0.75</v>
      </c>
      <c r="AA999" s="48">
        <v>0.75</v>
      </c>
      <c r="AB999" s="48">
        <v>0.75</v>
      </c>
      <c r="AC999" s="48">
        <v>0.75</v>
      </c>
      <c r="AD999" s="48">
        <v>0.75</v>
      </c>
      <c r="AE999" s="48">
        <v>0.75</v>
      </c>
      <c r="AF999" s="48">
        <v>0.75</v>
      </c>
      <c r="AG999" s="48">
        <v>0.75</v>
      </c>
      <c r="AH999" s="48">
        <v>0.75</v>
      </c>
      <c r="AI999" s="48">
        <v>0.75</v>
      </c>
      <c r="AJ999" s="48">
        <v>0.75</v>
      </c>
      <c r="AK999" s="48">
        <v>0.75</v>
      </c>
      <c r="AL999" s="48">
        <v>0.75</v>
      </c>
      <c r="AM999">
        <v>31</v>
      </c>
    </row>
    <row r="1000" spans="1:41" hidden="1" x14ac:dyDescent="0.25">
      <c r="A1000">
        <v>999</v>
      </c>
      <c r="B1000">
        <v>2025</v>
      </c>
      <c r="C1000">
        <v>8</v>
      </c>
      <c r="D1000" t="s">
        <v>492</v>
      </c>
      <c r="E1000">
        <v>94</v>
      </c>
      <c r="F1000">
        <v>3</v>
      </c>
      <c r="G1000" t="s">
        <v>430</v>
      </c>
      <c r="H1000" s="48">
        <v>0.33333333333333331</v>
      </c>
      <c r="I1000" s="48">
        <v>0.33333333333333331</v>
      </c>
      <c r="J1000" s="48">
        <v>0.33333333333333331</v>
      </c>
      <c r="K1000" s="48">
        <v>0.33333333333333331</v>
      </c>
      <c r="L1000" s="48">
        <v>0.33333333333333331</v>
      </c>
      <c r="M1000" s="48">
        <v>0.33333333333333331</v>
      </c>
      <c r="N1000" s="48">
        <v>0.33333333333333331</v>
      </c>
      <c r="O1000" s="48">
        <v>0.33333333333333331</v>
      </c>
      <c r="P1000" s="48">
        <v>0.33333333333333331</v>
      </c>
      <c r="Q1000" s="48">
        <v>0.33333333333333331</v>
      </c>
      <c r="R1000" s="48">
        <v>0.33333333333333331</v>
      </c>
      <c r="S1000" s="48">
        <v>0.33333333333333331</v>
      </c>
      <c r="T1000" s="48">
        <v>0.33333333333333331</v>
      </c>
      <c r="U1000" s="48">
        <v>0.33333333333333331</v>
      </c>
      <c r="V1000" s="48">
        <v>0.33333333333333331</v>
      </c>
      <c r="W1000" s="48">
        <v>0.33333333333333331</v>
      </c>
      <c r="X1000" s="48">
        <v>0.33333333333333331</v>
      </c>
      <c r="Y1000" s="48">
        <v>0.33333333333333331</v>
      </c>
      <c r="Z1000" s="48">
        <v>0.33333333333333331</v>
      </c>
      <c r="AA1000" s="48">
        <v>0.33333333333333331</v>
      </c>
      <c r="AB1000" s="48">
        <v>0.33333333333333331</v>
      </c>
      <c r="AC1000" s="48">
        <v>0.33333333333333331</v>
      </c>
      <c r="AD1000" s="48">
        <v>0.33333333333333331</v>
      </c>
      <c r="AE1000" s="48">
        <v>0.33333333333333331</v>
      </c>
      <c r="AF1000" s="48">
        <v>0.33333333333333331</v>
      </c>
      <c r="AG1000" s="48">
        <v>0.33333333333333331</v>
      </c>
      <c r="AH1000" s="48">
        <v>0.33333333333333331</v>
      </c>
      <c r="AI1000" s="48">
        <v>0.33333333333333331</v>
      </c>
      <c r="AJ1000" s="48">
        <v>0.33333333333333331</v>
      </c>
      <c r="AK1000" s="48">
        <v>0.33333333333333331</v>
      </c>
      <c r="AL1000" s="48">
        <v>0.33333333333333331</v>
      </c>
    </row>
    <row r="1001" spans="1:41" hidden="1" x14ac:dyDescent="0.25">
      <c r="A1001">
        <v>1000</v>
      </c>
      <c r="B1001">
        <v>2025</v>
      </c>
      <c r="C1001">
        <v>8</v>
      </c>
      <c r="D1001" t="s">
        <v>492</v>
      </c>
      <c r="E1001">
        <v>94</v>
      </c>
      <c r="F1001">
        <v>3</v>
      </c>
      <c r="G1001" t="s">
        <v>431</v>
      </c>
      <c r="H1001" s="48">
        <v>0.75</v>
      </c>
      <c r="I1001" s="48">
        <v>0.75</v>
      </c>
      <c r="J1001" s="48">
        <v>0.75</v>
      </c>
      <c r="K1001" s="48">
        <v>0.75</v>
      </c>
      <c r="L1001" s="48">
        <v>0.75</v>
      </c>
      <c r="M1001" s="48">
        <v>0.75</v>
      </c>
      <c r="N1001" s="48">
        <v>0.75</v>
      </c>
      <c r="O1001" s="48">
        <v>0.75</v>
      </c>
      <c r="P1001" s="48">
        <v>0.75</v>
      </c>
      <c r="Q1001" s="48">
        <v>0.75</v>
      </c>
      <c r="R1001" s="48">
        <v>0.75</v>
      </c>
      <c r="S1001" s="48">
        <v>0.75</v>
      </c>
      <c r="T1001" s="48">
        <v>0.75</v>
      </c>
      <c r="U1001" s="48">
        <v>0.75</v>
      </c>
      <c r="V1001" s="48">
        <v>0.75</v>
      </c>
      <c r="W1001" s="48">
        <v>0.75</v>
      </c>
      <c r="X1001" s="48">
        <v>0.75</v>
      </c>
      <c r="Y1001" s="48">
        <v>0.75</v>
      </c>
      <c r="Z1001" s="48">
        <v>0.75</v>
      </c>
      <c r="AA1001" s="48">
        <v>0.75</v>
      </c>
      <c r="AB1001" s="48">
        <v>0.75</v>
      </c>
      <c r="AC1001" s="48">
        <v>0.75</v>
      </c>
      <c r="AD1001" s="48">
        <v>0.75</v>
      </c>
      <c r="AE1001" s="48">
        <v>0.75</v>
      </c>
      <c r="AF1001" s="48">
        <v>0.75</v>
      </c>
      <c r="AG1001" s="48">
        <v>0.75</v>
      </c>
      <c r="AH1001" s="48">
        <v>0.75</v>
      </c>
      <c r="AI1001" s="48">
        <v>0.75</v>
      </c>
      <c r="AJ1001" s="48">
        <v>0.75</v>
      </c>
      <c r="AK1001" s="48">
        <v>0.75</v>
      </c>
      <c r="AL1001" s="48">
        <v>0.75</v>
      </c>
      <c r="AM1001">
        <v>31</v>
      </c>
    </row>
    <row r="1002" spans="1:41" hidden="1" x14ac:dyDescent="0.25">
      <c r="A1002">
        <v>1001</v>
      </c>
      <c r="B1002">
        <v>2025</v>
      </c>
      <c r="C1002">
        <v>8</v>
      </c>
      <c r="D1002" t="s">
        <v>493</v>
      </c>
      <c r="E1002">
        <v>94</v>
      </c>
      <c r="F1002">
        <v>3</v>
      </c>
      <c r="G1002" t="s">
        <v>430</v>
      </c>
      <c r="H1002" s="48" t="s">
        <v>320</v>
      </c>
      <c r="I1002" s="48" t="s">
        <v>320</v>
      </c>
      <c r="J1002" s="48" t="s">
        <v>320</v>
      </c>
      <c r="K1002" s="48" t="s">
        <v>320</v>
      </c>
      <c r="L1002" s="48" t="s">
        <v>320</v>
      </c>
      <c r="M1002" s="48" t="s">
        <v>320</v>
      </c>
      <c r="N1002" s="48" t="s">
        <v>320</v>
      </c>
      <c r="O1002" s="48" t="s">
        <v>320</v>
      </c>
      <c r="P1002" s="48">
        <v>0.33333333333333331</v>
      </c>
      <c r="Q1002" s="48" t="s">
        <v>320</v>
      </c>
      <c r="R1002" s="48">
        <v>0.33333333333333331</v>
      </c>
      <c r="S1002" s="48">
        <v>0.33333333333333331</v>
      </c>
      <c r="T1002" s="48">
        <v>0.33333333333333331</v>
      </c>
      <c r="U1002" s="48">
        <v>0.33333333333333331</v>
      </c>
      <c r="V1002" s="48">
        <v>0.33333333333333331</v>
      </c>
      <c r="W1002" s="48">
        <v>0.33333333333333331</v>
      </c>
      <c r="X1002" s="48">
        <v>0.33333333333333331</v>
      </c>
      <c r="Y1002" s="48">
        <v>0.33333333333333331</v>
      </c>
      <c r="Z1002" s="48">
        <v>0.33333333333333331</v>
      </c>
      <c r="AA1002" s="48">
        <v>0.33333333333333331</v>
      </c>
      <c r="AB1002" s="48">
        <v>0.33333333333333331</v>
      </c>
      <c r="AC1002" s="48">
        <v>0.33333333333333331</v>
      </c>
      <c r="AD1002" s="48">
        <v>0.33333333333333331</v>
      </c>
      <c r="AE1002" s="48">
        <v>0.33333333333333331</v>
      </c>
      <c r="AF1002" s="48">
        <v>0.33333333333333331</v>
      </c>
      <c r="AG1002" s="48">
        <v>0.33333333333333331</v>
      </c>
      <c r="AH1002" s="48">
        <v>0.33333333333333331</v>
      </c>
      <c r="AI1002" s="48">
        <v>0.33333333333333331</v>
      </c>
      <c r="AJ1002" s="48">
        <v>0.33333333333333331</v>
      </c>
      <c r="AK1002" s="48">
        <v>0.33333333333333331</v>
      </c>
      <c r="AL1002" s="48">
        <v>0.33333333333333331</v>
      </c>
    </row>
    <row r="1003" spans="1:41" hidden="1" x14ac:dyDescent="0.25">
      <c r="A1003">
        <v>1002</v>
      </c>
      <c r="B1003">
        <v>2025</v>
      </c>
      <c r="C1003">
        <v>8</v>
      </c>
      <c r="D1003" t="s">
        <v>493</v>
      </c>
      <c r="E1003">
        <v>94</v>
      </c>
      <c r="F1003">
        <v>3</v>
      </c>
      <c r="G1003" t="s">
        <v>431</v>
      </c>
      <c r="H1003" s="48" t="s">
        <v>320</v>
      </c>
      <c r="I1003" s="48" t="s">
        <v>320</v>
      </c>
      <c r="J1003" s="48" t="s">
        <v>320</v>
      </c>
      <c r="K1003" s="48" t="s">
        <v>320</v>
      </c>
      <c r="L1003" s="48" t="s">
        <v>320</v>
      </c>
      <c r="M1003" s="48" t="s">
        <v>320</v>
      </c>
      <c r="N1003" s="48" t="s">
        <v>320</v>
      </c>
      <c r="O1003" s="48" t="s">
        <v>320</v>
      </c>
      <c r="P1003" s="48">
        <v>0.75</v>
      </c>
      <c r="Q1003" s="48" t="s">
        <v>320</v>
      </c>
      <c r="R1003" s="48">
        <v>0.75</v>
      </c>
      <c r="S1003" s="48">
        <v>1</v>
      </c>
      <c r="T1003" s="48">
        <v>1</v>
      </c>
      <c r="U1003" s="48">
        <v>0.91666666666666674</v>
      </c>
      <c r="V1003" s="48">
        <v>0.75</v>
      </c>
      <c r="W1003" s="48">
        <v>1</v>
      </c>
      <c r="X1003" s="48">
        <v>0.75</v>
      </c>
      <c r="Y1003" s="48">
        <v>0.75</v>
      </c>
      <c r="Z1003" s="48">
        <v>0.875</v>
      </c>
      <c r="AA1003" s="48">
        <v>0.875</v>
      </c>
      <c r="AB1003" s="48">
        <v>0.75</v>
      </c>
      <c r="AC1003" s="48">
        <v>0.75</v>
      </c>
      <c r="AD1003" s="48">
        <v>0.91666666666666674</v>
      </c>
      <c r="AE1003" s="48">
        <v>0.75</v>
      </c>
      <c r="AF1003" s="48">
        <v>0.75</v>
      </c>
      <c r="AG1003" s="48">
        <v>0.875</v>
      </c>
      <c r="AH1003" s="48">
        <v>0.75</v>
      </c>
      <c r="AI1003" s="48">
        <v>0.91666666666666674</v>
      </c>
      <c r="AJ1003" s="48">
        <v>0.75</v>
      </c>
      <c r="AK1003" s="48">
        <v>0.75</v>
      </c>
      <c r="AL1003" s="48">
        <v>0.75</v>
      </c>
      <c r="AM1003">
        <v>22</v>
      </c>
      <c r="AO1003">
        <v>39.000000000000014</v>
      </c>
    </row>
    <row r="1004" spans="1:41" hidden="1" x14ac:dyDescent="0.25">
      <c r="A1004">
        <v>1003</v>
      </c>
      <c r="B1004">
        <v>2025</v>
      </c>
      <c r="C1004">
        <v>9</v>
      </c>
      <c r="D1004" t="s">
        <v>491</v>
      </c>
      <c r="E1004">
        <v>94</v>
      </c>
      <c r="F1004">
        <v>4</v>
      </c>
      <c r="G1004" t="s">
        <v>430</v>
      </c>
      <c r="H1004" s="48">
        <v>0.29166666666666669</v>
      </c>
      <c r="I1004" s="48">
        <v>0.29166666666666669</v>
      </c>
      <c r="J1004" s="48">
        <v>0.29166666666666669</v>
      </c>
      <c r="K1004" s="48">
        <v>0.29166666666666669</v>
      </c>
      <c r="L1004" s="48">
        <v>0.29166666666666669</v>
      </c>
      <c r="M1004" s="48">
        <v>0.29166666666666669</v>
      </c>
      <c r="N1004" s="48">
        <v>0.29166666666666669</v>
      </c>
      <c r="O1004" s="48">
        <v>0.29166666666666669</v>
      </c>
      <c r="P1004" s="48">
        <v>0.29166666666666669</v>
      </c>
      <c r="Q1004" s="48">
        <v>0.29166666666666669</v>
      </c>
      <c r="R1004" s="48">
        <v>0.29166666666666669</v>
      </c>
      <c r="S1004" s="48">
        <v>0.29166666666666669</v>
      </c>
      <c r="T1004" s="48">
        <v>0.29166666666666669</v>
      </c>
      <c r="U1004" s="48">
        <v>0.29166666666666669</v>
      </c>
      <c r="V1004" s="48">
        <v>0.29166666666666669</v>
      </c>
      <c r="W1004" s="48">
        <v>0.29166666666666669</v>
      </c>
      <c r="X1004" s="48">
        <v>0.29166666666666669</v>
      </c>
      <c r="Y1004" s="48">
        <v>0.29166666666666669</v>
      </c>
      <c r="Z1004" s="48">
        <v>0.29166666666666669</v>
      </c>
      <c r="AA1004" s="48">
        <v>0.29166666666666669</v>
      </c>
      <c r="AB1004" s="48">
        <v>0.29166666666666669</v>
      </c>
      <c r="AC1004" s="48">
        <v>0.29166666666666669</v>
      </c>
      <c r="AD1004" s="48">
        <v>0.29166666666666669</v>
      </c>
      <c r="AE1004" s="48">
        <v>0.29166666666666669</v>
      </c>
      <c r="AF1004" s="48">
        <v>0.29166666666666669</v>
      </c>
      <c r="AG1004" s="48">
        <v>0.29166666666666669</v>
      </c>
      <c r="AH1004" s="48">
        <v>0.29166666666666669</v>
      </c>
      <c r="AI1004" s="48">
        <v>0.29166666666666669</v>
      </c>
      <c r="AJ1004" s="48">
        <v>0.29166666666666669</v>
      </c>
      <c r="AK1004" s="48">
        <v>0.29166666666666669</v>
      </c>
      <c r="AL1004" s="48" t="s">
        <v>320</v>
      </c>
    </row>
    <row r="1005" spans="1:41" hidden="1" x14ac:dyDescent="0.25">
      <c r="A1005">
        <v>1004</v>
      </c>
      <c r="B1005">
        <v>2025</v>
      </c>
      <c r="C1005">
        <v>9</v>
      </c>
      <c r="D1005" t="s">
        <v>491</v>
      </c>
      <c r="E1005">
        <v>94</v>
      </c>
      <c r="F1005">
        <v>4</v>
      </c>
      <c r="G1005" t="s">
        <v>431</v>
      </c>
      <c r="H1005" s="48">
        <v>0.75</v>
      </c>
      <c r="I1005" s="48">
        <v>0.75</v>
      </c>
      <c r="J1005" s="48">
        <v>0.75</v>
      </c>
      <c r="K1005" s="48">
        <v>0.75</v>
      </c>
      <c r="L1005" s="48">
        <v>0.75</v>
      </c>
      <c r="M1005" s="48">
        <v>0.75</v>
      </c>
      <c r="N1005" s="48">
        <v>0.75</v>
      </c>
      <c r="O1005" s="48">
        <v>0.75</v>
      </c>
      <c r="P1005" s="48">
        <v>0.75</v>
      </c>
      <c r="Q1005" s="48">
        <v>0.75</v>
      </c>
      <c r="R1005" s="48">
        <v>0.75</v>
      </c>
      <c r="S1005" s="48">
        <v>0.75</v>
      </c>
      <c r="T1005" s="48">
        <v>0.75</v>
      </c>
      <c r="U1005" s="48">
        <v>0.75</v>
      </c>
      <c r="V1005" s="48">
        <v>0.75</v>
      </c>
      <c r="W1005" s="48">
        <v>0.75</v>
      </c>
      <c r="X1005" s="48">
        <v>0.75</v>
      </c>
      <c r="Y1005" s="48">
        <v>0.75</v>
      </c>
      <c r="Z1005" s="48">
        <v>0.75</v>
      </c>
      <c r="AA1005" s="48">
        <v>0.75</v>
      </c>
      <c r="AB1005" s="48">
        <v>0.75</v>
      </c>
      <c r="AC1005" s="48">
        <v>0.75</v>
      </c>
      <c r="AD1005" s="48">
        <v>0.75</v>
      </c>
      <c r="AE1005" s="48">
        <v>0.75</v>
      </c>
      <c r="AF1005" s="48">
        <v>0.75</v>
      </c>
      <c r="AG1005" s="48">
        <v>0.75</v>
      </c>
      <c r="AH1005" s="48">
        <v>0.75</v>
      </c>
      <c r="AI1005" s="48">
        <v>0.75</v>
      </c>
      <c r="AJ1005" s="48">
        <v>0.75</v>
      </c>
      <c r="AK1005" s="48">
        <v>0.75</v>
      </c>
      <c r="AL1005" s="48" t="s">
        <v>320</v>
      </c>
      <c r="AM1005">
        <v>30</v>
      </c>
    </row>
    <row r="1006" spans="1:41" hidden="1" x14ac:dyDescent="0.25">
      <c r="A1006">
        <v>1005</v>
      </c>
      <c r="B1006">
        <v>2025</v>
      </c>
      <c r="C1006">
        <v>9</v>
      </c>
      <c r="D1006" t="s">
        <v>492</v>
      </c>
      <c r="E1006">
        <v>94</v>
      </c>
      <c r="F1006">
        <v>4</v>
      </c>
      <c r="G1006" t="s">
        <v>430</v>
      </c>
      <c r="H1006" s="48">
        <v>0.29166666666666669</v>
      </c>
      <c r="I1006" s="48">
        <v>0.29166666666666669</v>
      </c>
      <c r="J1006" s="48">
        <v>0.29166666666666669</v>
      </c>
      <c r="K1006" s="48">
        <v>0.29166666666666669</v>
      </c>
      <c r="L1006" s="48">
        <v>0.29166666666666669</v>
      </c>
      <c r="M1006" s="48">
        <v>0.29166666666666669</v>
      </c>
      <c r="N1006" s="48">
        <v>0.29166666666666669</v>
      </c>
      <c r="O1006" s="48">
        <v>0.29166666666666669</v>
      </c>
      <c r="P1006" s="48">
        <v>0.29166666666666669</v>
      </c>
      <c r="Q1006" s="48">
        <v>0.29166666666666669</v>
      </c>
      <c r="R1006" s="48">
        <v>0.29166666666666669</v>
      </c>
      <c r="S1006" s="48">
        <v>0.29166666666666669</v>
      </c>
      <c r="T1006" s="48">
        <v>0.29166666666666669</v>
      </c>
      <c r="U1006" s="48">
        <v>0.29166666666666669</v>
      </c>
      <c r="V1006" s="48">
        <v>0.29166666666666669</v>
      </c>
      <c r="W1006" s="48">
        <v>0.29166666666666669</v>
      </c>
      <c r="X1006" s="48">
        <v>0.29166666666666669</v>
      </c>
      <c r="Y1006" s="48">
        <v>0.29166666666666669</v>
      </c>
      <c r="Z1006" s="48">
        <v>0.29166666666666669</v>
      </c>
      <c r="AA1006" s="48">
        <v>0.29166666666666669</v>
      </c>
      <c r="AB1006" s="48">
        <v>0.29166666666666669</v>
      </c>
      <c r="AC1006" s="48">
        <v>0.29166666666666669</v>
      </c>
      <c r="AD1006" s="48">
        <v>0.29166666666666669</v>
      </c>
      <c r="AE1006" s="48">
        <v>0.29166666666666669</v>
      </c>
      <c r="AF1006" s="48">
        <v>0.29166666666666669</v>
      </c>
      <c r="AG1006" s="48">
        <v>0.29166666666666669</v>
      </c>
      <c r="AH1006" s="48">
        <v>0.29166666666666669</v>
      </c>
      <c r="AI1006" s="48">
        <v>0.29166666666666669</v>
      </c>
      <c r="AJ1006" s="48">
        <v>0.29166666666666669</v>
      </c>
      <c r="AK1006" s="48">
        <v>0.29166666666666669</v>
      </c>
      <c r="AL1006" s="48" t="s">
        <v>320</v>
      </c>
    </row>
    <row r="1007" spans="1:41" hidden="1" x14ac:dyDescent="0.25">
      <c r="A1007">
        <v>1006</v>
      </c>
      <c r="B1007">
        <v>2025</v>
      </c>
      <c r="C1007">
        <v>9</v>
      </c>
      <c r="D1007" t="s">
        <v>492</v>
      </c>
      <c r="E1007">
        <v>94</v>
      </c>
      <c r="F1007">
        <v>4</v>
      </c>
      <c r="G1007" t="s">
        <v>431</v>
      </c>
      <c r="H1007" s="48">
        <v>0.75</v>
      </c>
      <c r="I1007" s="48">
        <v>0.75</v>
      </c>
      <c r="J1007" s="48">
        <v>0.75</v>
      </c>
      <c r="K1007" s="48">
        <v>0.75</v>
      </c>
      <c r="L1007" s="48">
        <v>0.75</v>
      </c>
      <c r="M1007" s="48">
        <v>0.75</v>
      </c>
      <c r="N1007" s="48">
        <v>0.75</v>
      </c>
      <c r="O1007" s="48">
        <v>0.75</v>
      </c>
      <c r="P1007" s="48">
        <v>0.75</v>
      </c>
      <c r="Q1007" s="48">
        <v>0.75</v>
      </c>
      <c r="R1007" s="48">
        <v>0.75</v>
      </c>
      <c r="S1007" s="48">
        <v>0.75</v>
      </c>
      <c r="T1007" s="48">
        <v>0.75</v>
      </c>
      <c r="U1007" s="48">
        <v>0.75</v>
      </c>
      <c r="V1007" s="48">
        <v>0.75</v>
      </c>
      <c r="W1007" s="48">
        <v>0.75</v>
      </c>
      <c r="X1007" s="48">
        <v>0.75</v>
      </c>
      <c r="Y1007" s="48">
        <v>0.75</v>
      </c>
      <c r="Z1007" s="48">
        <v>0.75</v>
      </c>
      <c r="AA1007" s="48">
        <v>0.75</v>
      </c>
      <c r="AB1007" s="48">
        <v>0.75</v>
      </c>
      <c r="AC1007" s="48">
        <v>0.75</v>
      </c>
      <c r="AD1007" s="48">
        <v>0.75</v>
      </c>
      <c r="AE1007" s="48">
        <v>0.75</v>
      </c>
      <c r="AF1007" s="48">
        <v>0.75</v>
      </c>
      <c r="AG1007" s="48">
        <v>0.75</v>
      </c>
      <c r="AH1007" s="48">
        <v>0.75</v>
      </c>
      <c r="AI1007" s="48">
        <v>0.75</v>
      </c>
      <c r="AJ1007" s="48">
        <v>0.75</v>
      </c>
      <c r="AK1007" s="48">
        <v>0.75</v>
      </c>
      <c r="AL1007" s="48" t="s">
        <v>320</v>
      </c>
      <c r="AM1007">
        <v>30</v>
      </c>
    </row>
    <row r="1008" spans="1:41" hidden="1" x14ac:dyDescent="0.25">
      <c r="A1008">
        <v>1007</v>
      </c>
      <c r="B1008">
        <v>2025</v>
      </c>
      <c r="C1008">
        <v>9</v>
      </c>
      <c r="D1008" t="s">
        <v>492</v>
      </c>
      <c r="E1008">
        <v>94</v>
      </c>
      <c r="F1008">
        <v>5</v>
      </c>
      <c r="G1008" t="s">
        <v>430</v>
      </c>
      <c r="H1008" s="48">
        <v>0.29166666666666669</v>
      </c>
      <c r="I1008" s="48">
        <v>0.29166666666666669</v>
      </c>
      <c r="J1008" s="48">
        <v>0.29166666666666669</v>
      </c>
      <c r="K1008" s="48">
        <v>0.29166666666666669</v>
      </c>
      <c r="L1008" s="48">
        <v>0.29166666666666669</v>
      </c>
      <c r="M1008" s="48">
        <v>0.29166666666666669</v>
      </c>
      <c r="N1008" s="48">
        <v>0.29166666666666669</v>
      </c>
      <c r="O1008" s="48">
        <v>0.29166666666666669</v>
      </c>
      <c r="P1008" s="48">
        <v>0.29166666666666669</v>
      </c>
      <c r="Q1008" s="48">
        <v>0.29166666666666669</v>
      </c>
      <c r="R1008" s="48">
        <v>0.29166666666666669</v>
      </c>
      <c r="S1008" s="48">
        <v>0.29166666666666669</v>
      </c>
      <c r="T1008" s="48">
        <v>0.29166666666666669</v>
      </c>
      <c r="U1008" s="48">
        <v>0.29166666666666669</v>
      </c>
      <c r="V1008" s="48">
        <v>0.29166666666666669</v>
      </c>
      <c r="W1008" s="48">
        <v>0.29166666666666669</v>
      </c>
      <c r="X1008" s="48">
        <v>0.29166666666666669</v>
      </c>
      <c r="Y1008" s="48">
        <v>0.29166666666666669</v>
      </c>
      <c r="Z1008" s="48">
        <v>0.29166666666666669</v>
      </c>
      <c r="AA1008" s="48">
        <v>0.29166666666666669</v>
      </c>
      <c r="AB1008" s="48">
        <v>0.29166666666666669</v>
      </c>
      <c r="AC1008" s="48">
        <v>0.29166666666666669</v>
      </c>
      <c r="AD1008" s="48">
        <v>0.29166666666666669</v>
      </c>
      <c r="AE1008" s="48">
        <v>0.29166666666666669</v>
      </c>
      <c r="AF1008" s="48">
        <v>0.29166666666666669</v>
      </c>
      <c r="AG1008" s="48">
        <v>0.29166666666666669</v>
      </c>
      <c r="AH1008" s="48">
        <v>0.29166666666666669</v>
      </c>
      <c r="AI1008" s="48">
        <v>0.29166666666666669</v>
      </c>
      <c r="AJ1008" s="48">
        <v>0.29166666666666669</v>
      </c>
      <c r="AK1008" s="48">
        <v>0.29166666666666669</v>
      </c>
      <c r="AL1008" s="48">
        <v>0.29166666666666669</v>
      </c>
    </row>
    <row r="1009" spans="1:39" hidden="1" x14ac:dyDescent="0.25">
      <c r="A1009">
        <v>1008</v>
      </c>
      <c r="B1009">
        <v>2025</v>
      </c>
      <c r="C1009">
        <v>9</v>
      </c>
      <c r="D1009" t="s">
        <v>492</v>
      </c>
      <c r="E1009">
        <v>94</v>
      </c>
      <c r="F1009">
        <v>5</v>
      </c>
      <c r="G1009" t="s">
        <v>431</v>
      </c>
      <c r="H1009" s="48">
        <v>0.75</v>
      </c>
      <c r="I1009" s="48">
        <v>0.75</v>
      </c>
      <c r="J1009" s="48">
        <v>0.75</v>
      </c>
      <c r="K1009" s="48">
        <v>0.75</v>
      </c>
      <c r="L1009" s="48">
        <v>0.75</v>
      </c>
      <c r="M1009" s="48">
        <v>0.75</v>
      </c>
      <c r="N1009" s="48">
        <v>0.75</v>
      </c>
      <c r="O1009" s="48">
        <v>0.75</v>
      </c>
      <c r="P1009" s="48">
        <v>0.75</v>
      </c>
      <c r="Q1009" s="48">
        <v>0.75</v>
      </c>
      <c r="R1009" s="48">
        <v>0.75</v>
      </c>
      <c r="S1009" s="48">
        <v>0.75</v>
      </c>
      <c r="T1009" s="48">
        <v>0.75</v>
      </c>
      <c r="U1009" s="48">
        <v>0.75</v>
      </c>
      <c r="V1009" s="48">
        <v>0.75</v>
      </c>
      <c r="W1009" s="48">
        <v>0.75</v>
      </c>
      <c r="X1009" s="48">
        <v>0.75</v>
      </c>
      <c r="Y1009" s="48">
        <v>0.75</v>
      </c>
      <c r="Z1009" s="48">
        <v>0.75</v>
      </c>
      <c r="AA1009" s="48">
        <v>0.75</v>
      </c>
      <c r="AB1009" s="48">
        <v>0.75</v>
      </c>
      <c r="AC1009" s="48">
        <v>0.75</v>
      </c>
      <c r="AD1009" s="48">
        <v>0.75</v>
      </c>
      <c r="AE1009" s="48">
        <v>0.75</v>
      </c>
      <c r="AF1009" s="48">
        <v>0.75</v>
      </c>
      <c r="AG1009" s="48">
        <v>0.75</v>
      </c>
      <c r="AH1009" s="48">
        <v>0.75</v>
      </c>
      <c r="AI1009" s="48">
        <v>0.75</v>
      </c>
      <c r="AJ1009" s="48">
        <v>0.75</v>
      </c>
      <c r="AK1009" s="48">
        <v>0.75</v>
      </c>
      <c r="AL1009" s="48">
        <v>0.75</v>
      </c>
      <c r="AM1009">
        <v>31</v>
      </c>
    </row>
    <row r="1010" spans="1:39" hidden="1" x14ac:dyDescent="0.25">
      <c r="A1010">
        <v>1009</v>
      </c>
      <c r="B1010">
        <v>2025</v>
      </c>
      <c r="C1010">
        <v>7</v>
      </c>
      <c r="D1010" t="s">
        <v>494</v>
      </c>
      <c r="E1010">
        <v>95</v>
      </c>
      <c r="F1010">
        <v>1</v>
      </c>
      <c r="G1010" t="s">
        <v>430</v>
      </c>
      <c r="H1010" s="48" t="s">
        <v>320</v>
      </c>
      <c r="I1010" s="48" t="s">
        <v>320</v>
      </c>
      <c r="J1010" s="48" t="s">
        <v>320</v>
      </c>
      <c r="K1010" s="48" t="s">
        <v>320</v>
      </c>
      <c r="L1010" s="48" t="s">
        <v>320</v>
      </c>
      <c r="M1010" s="48" t="s">
        <v>320</v>
      </c>
      <c r="N1010" s="48" t="s">
        <v>320</v>
      </c>
      <c r="O1010" s="48" t="s">
        <v>320</v>
      </c>
      <c r="P1010" s="48" t="s">
        <v>320</v>
      </c>
      <c r="Q1010" s="48" t="s">
        <v>320</v>
      </c>
      <c r="R1010" s="48" t="s">
        <v>320</v>
      </c>
      <c r="S1010" s="48" t="s">
        <v>320</v>
      </c>
      <c r="T1010" s="48">
        <v>0.29166666666666669</v>
      </c>
      <c r="U1010" s="48">
        <v>0.29166666666666669</v>
      </c>
      <c r="V1010" s="48">
        <v>0.29166666666666669</v>
      </c>
      <c r="W1010" s="48">
        <v>0.29166666666666669</v>
      </c>
      <c r="X1010" s="48">
        <v>0.29166666666666669</v>
      </c>
      <c r="Y1010" s="48">
        <v>0.29166666666666669</v>
      </c>
      <c r="Z1010" s="48">
        <v>0.29166666666666669</v>
      </c>
      <c r="AA1010" s="48">
        <v>0.29166666666666669</v>
      </c>
      <c r="AB1010" s="48">
        <v>0.29166666666666669</v>
      </c>
      <c r="AC1010" s="48" t="s">
        <v>320</v>
      </c>
      <c r="AD1010" s="48">
        <v>0.29166666666666669</v>
      </c>
      <c r="AE1010" s="48">
        <v>0.29166666666666669</v>
      </c>
      <c r="AF1010" s="48">
        <v>0.29166666666666669</v>
      </c>
      <c r="AG1010" s="48">
        <v>0.29166666666666669</v>
      </c>
      <c r="AH1010" s="48" t="s">
        <v>320</v>
      </c>
      <c r="AI1010" s="48">
        <v>0.29166666666666669</v>
      </c>
      <c r="AJ1010" s="48">
        <v>0.29166666666666669</v>
      </c>
      <c r="AK1010" s="48">
        <v>0.29166666666666669</v>
      </c>
      <c r="AL1010" s="48">
        <v>0.29166666666666669</v>
      </c>
    </row>
    <row r="1011" spans="1:39" hidden="1" x14ac:dyDescent="0.25">
      <c r="A1011">
        <v>1010</v>
      </c>
      <c r="B1011">
        <v>2025</v>
      </c>
      <c r="C1011">
        <v>7</v>
      </c>
      <c r="D1011" t="s">
        <v>494</v>
      </c>
      <c r="E1011">
        <v>95</v>
      </c>
      <c r="F1011">
        <v>1</v>
      </c>
      <c r="G1011" t="s">
        <v>431</v>
      </c>
      <c r="H1011" s="48" t="s">
        <v>320</v>
      </c>
      <c r="I1011" s="48" t="s">
        <v>320</v>
      </c>
      <c r="J1011" s="48" t="s">
        <v>320</v>
      </c>
      <c r="K1011" s="48" t="s">
        <v>320</v>
      </c>
      <c r="L1011" s="48" t="s">
        <v>320</v>
      </c>
      <c r="M1011" s="48" t="s">
        <v>320</v>
      </c>
      <c r="N1011" s="48" t="s">
        <v>320</v>
      </c>
      <c r="O1011" s="48" t="s">
        <v>320</v>
      </c>
      <c r="P1011" s="48" t="s">
        <v>320</v>
      </c>
      <c r="Q1011" s="48" t="s">
        <v>320</v>
      </c>
      <c r="R1011" s="48" t="s">
        <v>320</v>
      </c>
      <c r="S1011" s="48" t="s">
        <v>320</v>
      </c>
      <c r="T1011" s="48">
        <v>0.75</v>
      </c>
      <c r="U1011" s="48">
        <v>0.75</v>
      </c>
      <c r="V1011" s="48">
        <v>0.75</v>
      </c>
      <c r="W1011" s="48">
        <v>0.75</v>
      </c>
      <c r="X1011" s="48">
        <v>0.75</v>
      </c>
      <c r="Y1011" s="48">
        <v>0.75</v>
      </c>
      <c r="Z1011" s="48">
        <v>0.75</v>
      </c>
      <c r="AA1011" s="48">
        <v>0.75</v>
      </c>
      <c r="AB1011" s="48">
        <v>0.5</v>
      </c>
      <c r="AC1011" s="48" t="s">
        <v>320</v>
      </c>
      <c r="AD1011" s="48">
        <v>0.75</v>
      </c>
      <c r="AE1011" s="48">
        <v>0.75</v>
      </c>
      <c r="AF1011" s="48">
        <v>0.75</v>
      </c>
      <c r="AG1011" s="48">
        <v>0.75</v>
      </c>
      <c r="AH1011" s="48" t="s">
        <v>320</v>
      </c>
      <c r="AI1011" s="48">
        <v>0.75</v>
      </c>
      <c r="AJ1011" s="48">
        <v>0.75</v>
      </c>
      <c r="AK1011" s="48">
        <v>0.75</v>
      </c>
      <c r="AL1011" s="48">
        <v>0.75</v>
      </c>
      <c r="AM1011">
        <v>16.5</v>
      </c>
    </row>
    <row r="1012" spans="1:39" hidden="1" x14ac:dyDescent="0.25">
      <c r="A1012">
        <v>1011</v>
      </c>
      <c r="B1012">
        <v>2025</v>
      </c>
      <c r="C1012">
        <v>8</v>
      </c>
      <c r="D1012" t="s">
        <v>494</v>
      </c>
      <c r="E1012">
        <v>95</v>
      </c>
      <c r="F1012">
        <v>2</v>
      </c>
      <c r="G1012" t="s">
        <v>430</v>
      </c>
      <c r="H1012" s="48">
        <v>0.29166666666666669</v>
      </c>
      <c r="I1012" s="48">
        <v>0.29166666666666669</v>
      </c>
      <c r="J1012" s="48">
        <v>0.29166666666666669</v>
      </c>
      <c r="K1012" s="48">
        <v>0.29166666666666669</v>
      </c>
      <c r="L1012" s="48">
        <v>0.29166666666666669</v>
      </c>
      <c r="M1012" s="48">
        <v>0.29166666666666669</v>
      </c>
      <c r="N1012" s="48">
        <v>0.29166666666666669</v>
      </c>
      <c r="O1012" s="48">
        <v>0.29166666666666669</v>
      </c>
      <c r="P1012" s="48" t="s">
        <v>320</v>
      </c>
      <c r="Q1012" s="48" t="s">
        <v>320</v>
      </c>
      <c r="R1012" s="48">
        <v>0.29166666666666669</v>
      </c>
      <c r="S1012" s="48">
        <v>0.29166666666666669</v>
      </c>
      <c r="T1012" s="48">
        <v>0.29166666666666669</v>
      </c>
      <c r="U1012" s="48">
        <v>0.29166666666666669</v>
      </c>
      <c r="V1012" s="48">
        <v>0.29166666666666669</v>
      </c>
      <c r="W1012" s="48">
        <v>0.29166666666666669</v>
      </c>
      <c r="X1012" s="48">
        <v>0.29166666666666669</v>
      </c>
      <c r="Y1012" s="48">
        <v>0.29166666666666669</v>
      </c>
      <c r="Z1012" s="48">
        <v>0.29166666666666669</v>
      </c>
      <c r="AA1012" s="48">
        <v>0.29166666666666669</v>
      </c>
      <c r="AB1012" s="48">
        <v>0.29166666666666669</v>
      </c>
      <c r="AC1012" s="48">
        <v>0.29166666666666669</v>
      </c>
      <c r="AD1012" s="48" t="s">
        <v>320</v>
      </c>
      <c r="AE1012" s="48" t="s">
        <v>320</v>
      </c>
      <c r="AF1012" s="48">
        <v>0.29166666666666669</v>
      </c>
      <c r="AG1012" s="48">
        <v>0.29166666666666669</v>
      </c>
      <c r="AH1012" s="48">
        <v>0.29166666666666669</v>
      </c>
      <c r="AI1012" s="48">
        <v>0.29166666666666669</v>
      </c>
      <c r="AJ1012" s="48">
        <v>0.29166666666666669</v>
      </c>
      <c r="AK1012" s="48">
        <v>0.29166666666666669</v>
      </c>
      <c r="AL1012" s="48">
        <v>0.29166666666666669</v>
      </c>
    </row>
    <row r="1013" spans="1:39" hidden="1" x14ac:dyDescent="0.25">
      <c r="A1013">
        <v>1012</v>
      </c>
      <c r="B1013">
        <v>2025</v>
      </c>
      <c r="C1013">
        <v>8</v>
      </c>
      <c r="D1013" t="s">
        <v>494</v>
      </c>
      <c r="E1013">
        <v>95</v>
      </c>
      <c r="F1013">
        <v>2</v>
      </c>
      <c r="G1013" t="s">
        <v>431</v>
      </c>
      <c r="H1013" s="48">
        <v>0.75</v>
      </c>
      <c r="I1013" s="48">
        <v>0.75</v>
      </c>
      <c r="J1013" s="48">
        <v>0.75</v>
      </c>
      <c r="K1013" s="48">
        <v>0.75</v>
      </c>
      <c r="L1013" s="48">
        <v>0.75</v>
      </c>
      <c r="M1013" s="48">
        <v>0.75</v>
      </c>
      <c r="N1013" s="48">
        <v>0.75</v>
      </c>
      <c r="O1013" s="48">
        <v>0.75</v>
      </c>
      <c r="P1013" s="48" t="s">
        <v>320</v>
      </c>
      <c r="Q1013" s="48" t="s">
        <v>320</v>
      </c>
      <c r="R1013" s="48">
        <v>0.75</v>
      </c>
      <c r="S1013" s="48">
        <v>0.75</v>
      </c>
      <c r="T1013" s="48">
        <v>0.75</v>
      </c>
      <c r="U1013" s="48">
        <v>0.75</v>
      </c>
      <c r="V1013" s="48">
        <v>0.75</v>
      </c>
      <c r="W1013" s="48">
        <v>0.75</v>
      </c>
      <c r="X1013" s="48">
        <v>0.75</v>
      </c>
      <c r="Y1013" s="48">
        <v>0.75</v>
      </c>
      <c r="Z1013" s="48">
        <v>0.75</v>
      </c>
      <c r="AA1013" s="48">
        <v>0.75</v>
      </c>
      <c r="AB1013" s="48">
        <v>0.75</v>
      </c>
      <c r="AC1013" s="48">
        <v>0.75</v>
      </c>
      <c r="AD1013" s="48" t="s">
        <v>320</v>
      </c>
      <c r="AE1013" s="48" t="s">
        <v>320</v>
      </c>
      <c r="AF1013" s="48">
        <v>0.75</v>
      </c>
      <c r="AG1013" s="48">
        <v>0.75</v>
      </c>
      <c r="AH1013" s="48">
        <v>0.75</v>
      </c>
      <c r="AI1013" s="48">
        <v>0.75</v>
      </c>
      <c r="AJ1013" s="48">
        <v>0.75</v>
      </c>
      <c r="AK1013" s="48">
        <v>0.75</v>
      </c>
      <c r="AL1013" s="48">
        <v>0.75</v>
      </c>
      <c r="AM1013">
        <v>27</v>
      </c>
    </row>
    <row r="1014" spans="1:39" hidden="1" x14ac:dyDescent="0.25">
      <c r="A1014">
        <v>1013</v>
      </c>
      <c r="B1014">
        <v>2025</v>
      </c>
      <c r="C1014">
        <v>9</v>
      </c>
      <c r="D1014" t="s">
        <v>494</v>
      </c>
      <c r="E1014">
        <v>95</v>
      </c>
      <c r="F1014">
        <v>3</v>
      </c>
      <c r="G1014" t="s">
        <v>430</v>
      </c>
      <c r="H1014" s="48">
        <v>0.29166666666666669</v>
      </c>
      <c r="I1014" s="48">
        <v>0.29166666666666669</v>
      </c>
      <c r="J1014" s="48">
        <v>0.29166666666666669</v>
      </c>
      <c r="K1014" s="48">
        <v>0.29166666666666669</v>
      </c>
      <c r="L1014" s="48">
        <v>0.29166666666666669</v>
      </c>
      <c r="M1014" s="48" t="s">
        <v>320</v>
      </c>
      <c r="N1014" s="48" t="s">
        <v>320</v>
      </c>
      <c r="O1014" s="48" t="s">
        <v>320</v>
      </c>
      <c r="P1014" s="48" t="s">
        <v>320</v>
      </c>
      <c r="Q1014" s="48" t="s">
        <v>320</v>
      </c>
      <c r="R1014" s="48">
        <v>0.29166666666666669</v>
      </c>
      <c r="S1014" s="48">
        <v>0.29166666666666669</v>
      </c>
      <c r="T1014" s="48">
        <v>0.29166666666666669</v>
      </c>
      <c r="U1014" s="48" t="s">
        <v>320</v>
      </c>
      <c r="V1014" s="48">
        <v>0.29166666666666669</v>
      </c>
      <c r="W1014" s="48">
        <v>0.29166666666666669</v>
      </c>
      <c r="X1014" s="48">
        <v>0.29166666666666669</v>
      </c>
      <c r="Y1014" s="48">
        <v>0.29166666666666669</v>
      </c>
      <c r="Z1014" s="48">
        <v>0.29166666666666669</v>
      </c>
      <c r="AA1014" s="48">
        <v>0.29166666666666669</v>
      </c>
      <c r="AB1014" s="48">
        <v>0.29166666666666669</v>
      </c>
      <c r="AC1014" s="48">
        <v>0.29166666666666669</v>
      </c>
      <c r="AD1014" s="48">
        <v>0.29166666666666669</v>
      </c>
      <c r="AE1014" s="48">
        <v>0.29166666666666669</v>
      </c>
      <c r="AF1014" s="48">
        <v>0.29166666666666669</v>
      </c>
      <c r="AG1014" s="48">
        <v>0.29166666666666669</v>
      </c>
      <c r="AH1014" s="48">
        <v>0.29166666666666669</v>
      </c>
      <c r="AI1014" s="48">
        <v>0.29166666666666669</v>
      </c>
      <c r="AJ1014" s="48">
        <v>0.29166666666666669</v>
      </c>
      <c r="AK1014" s="48">
        <v>0.29166666666666669</v>
      </c>
      <c r="AL1014" s="48" t="s">
        <v>320</v>
      </c>
    </row>
    <row r="1015" spans="1:39" hidden="1" x14ac:dyDescent="0.25">
      <c r="A1015">
        <v>1014</v>
      </c>
      <c r="B1015">
        <v>2025</v>
      </c>
      <c r="C1015">
        <v>9</v>
      </c>
      <c r="D1015" t="s">
        <v>494</v>
      </c>
      <c r="E1015">
        <v>95</v>
      </c>
      <c r="F1015">
        <v>3</v>
      </c>
      <c r="G1015" t="s">
        <v>431</v>
      </c>
      <c r="H1015" s="48">
        <v>0.75</v>
      </c>
      <c r="I1015" s="48">
        <v>0.75</v>
      </c>
      <c r="J1015" s="48">
        <v>0.75</v>
      </c>
      <c r="K1015" s="48">
        <v>0.75</v>
      </c>
      <c r="L1015" s="48">
        <v>0.75</v>
      </c>
      <c r="M1015" s="48" t="s">
        <v>320</v>
      </c>
      <c r="N1015" s="48" t="s">
        <v>320</v>
      </c>
      <c r="O1015" s="48" t="s">
        <v>320</v>
      </c>
      <c r="P1015" s="48" t="s">
        <v>320</v>
      </c>
      <c r="Q1015" s="48" t="s">
        <v>320</v>
      </c>
      <c r="R1015" s="48">
        <v>0.75</v>
      </c>
      <c r="S1015" s="48">
        <v>0.75</v>
      </c>
      <c r="T1015" s="48">
        <v>0.75</v>
      </c>
      <c r="U1015" s="48" t="s">
        <v>320</v>
      </c>
      <c r="V1015" s="48">
        <v>0.75</v>
      </c>
      <c r="W1015" s="48">
        <v>0.75</v>
      </c>
      <c r="X1015" s="48">
        <v>0.75</v>
      </c>
      <c r="Y1015" s="48">
        <v>0.75</v>
      </c>
      <c r="Z1015" s="48">
        <v>0.75</v>
      </c>
      <c r="AA1015" s="48">
        <v>0.75</v>
      </c>
      <c r="AB1015" s="48">
        <v>0.75</v>
      </c>
      <c r="AC1015" s="48">
        <v>0.75</v>
      </c>
      <c r="AD1015" s="48">
        <v>0.75</v>
      </c>
      <c r="AE1015" s="48">
        <v>0.75</v>
      </c>
      <c r="AF1015" s="48">
        <v>0.75</v>
      </c>
      <c r="AG1015" s="48">
        <v>0.75</v>
      </c>
      <c r="AH1015" s="48">
        <v>0.75</v>
      </c>
      <c r="AI1015" s="48">
        <v>0.75</v>
      </c>
      <c r="AJ1015" s="48">
        <v>0.75</v>
      </c>
      <c r="AK1015" s="48">
        <v>0.75</v>
      </c>
      <c r="AL1015" s="48" t="s">
        <v>320</v>
      </c>
      <c r="AM1015">
        <v>24</v>
      </c>
    </row>
    <row r="1016" spans="1:39" hidden="1" x14ac:dyDescent="0.25">
      <c r="A1016">
        <v>1015</v>
      </c>
      <c r="B1016">
        <v>2025</v>
      </c>
      <c r="C1016">
        <v>10</v>
      </c>
      <c r="D1016" t="s">
        <v>494</v>
      </c>
      <c r="E1016">
        <v>95</v>
      </c>
      <c r="F1016">
        <v>4</v>
      </c>
      <c r="G1016" t="s">
        <v>430</v>
      </c>
      <c r="H1016" s="48">
        <v>0.29166666666666669</v>
      </c>
      <c r="I1016" s="48">
        <v>0.29166666666666669</v>
      </c>
      <c r="J1016" s="48">
        <v>0.29166666666666669</v>
      </c>
      <c r="K1016" s="48">
        <v>0.29166666666666669</v>
      </c>
      <c r="L1016" s="48">
        <v>0.29166666666666669</v>
      </c>
      <c r="M1016" s="48">
        <v>0.29166666666666669</v>
      </c>
      <c r="N1016" s="48">
        <v>0.29166666666666669</v>
      </c>
      <c r="O1016" s="48">
        <v>0.29166666666666669</v>
      </c>
      <c r="P1016" s="48">
        <v>0.29166666666666669</v>
      </c>
      <c r="Q1016" s="48">
        <v>0.29166666666666669</v>
      </c>
      <c r="R1016" s="48">
        <v>0.29166666666666669</v>
      </c>
      <c r="S1016" s="48" t="s">
        <v>320</v>
      </c>
      <c r="T1016" s="48">
        <v>0.29166666666666669</v>
      </c>
      <c r="U1016" s="48">
        <v>0.29166666666666669</v>
      </c>
      <c r="V1016" s="48">
        <v>0.29166666666666669</v>
      </c>
      <c r="W1016" s="48">
        <v>0.29166666666666669</v>
      </c>
      <c r="X1016" s="48">
        <v>0.29166666666666669</v>
      </c>
      <c r="Y1016" s="48">
        <v>0.29166666666666669</v>
      </c>
      <c r="Z1016" s="48">
        <v>0.29166666666666669</v>
      </c>
      <c r="AA1016" s="48">
        <v>0.29166666666666669</v>
      </c>
      <c r="AB1016" s="48">
        <v>0.29166666666666669</v>
      </c>
      <c r="AC1016" s="48">
        <v>0.29166666666666669</v>
      </c>
      <c r="AD1016" s="48">
        <v>0.29166666666666669</v>
      </c>
      <c r="AE1016" s="48">
        <v>0.29166666666666669</v>
      </c>
      <c r="AF1016" s="48">
        <v>0.29166666666666669</v>
      </c>
      <c r="AG1016" s="48" t="s">
        <v>320</v>
      </c>
      <c r="AH1016" s="48">
        <v>0.29166666666666669</v>
      </c>
      <c r="AI1016" s="48">
        <v>0.29166666666666669</v>
      </c>
      <c r="AJ1016" s="48">
        <v>0.29166666666666669</v>
      </c>
      <c r="AK1016" s="48">
        <v>0.29166666666666669</v>
      </c>
      <c r="AL1016" s="48">
        <v>0.29166666666666669</v>
      </c>
    </row>
    <row r="1017" spans="1:39" hidden="1" x14ac:dyDescent="0.25">
      <c r="A1017">
        <v>1016</v>
      </c>
      <c r="B1017">
        <v>2025</v>
      </c>
      <c r="C1017">
        <v>10</v>
      </c>
      <c r="D1017" t="s">
        <v>494</v>
      </c>
      <c r="E1017">
        <v>95</v>
      </c>
      <c r="F1017">
        <v>4</v>
      </c>
      <c r="G1017" t="s">
        <v>431</v>
      </c>
      <c r="H1017" s="48">
        <v>0.75</v>
      </c>
      <c r="I1017" s="48">
        <v>0.75</v>
      </c>
      <c r="J1017" s="48">
        <v>0.75</v>
      </c>
      <c r="K1017" s="48">
        <v>0.75</v>
      </c>
      <c r="L1017" s="48">
        <v>0.75</v>
      </c>
      <c r="M1017" s="48">
        <v>0.75</v>
      </c>
      <c r="N1017" s="48">
        <v>0.75</v>
      </c>
      <c r="O1017" s="48">
        <v>0.75</v>
      </c>
      <c r="P1017" s="48">
        <v>0.75</v>
      </c>
      <c r="Q1017" s="48">
        <v>0.75</v>
      </c>
      <c r="R1017" s="48">
        <v>0.75</v>
      </c>
      <c r="S1017" s="48" t="s">
        <v>320</v>
      </c>
      <c r="T1017" s="48">
        <v>0.75</v>
      </c>
      <c r="U1017" s="48">
        <v>0.75</v>
      </c>
      <c r="V1017" s="48">
        <v>0.75</v>
      </c>
      <c r="W1017" s="48">
        <v>0.75</v>
      </c>
      <c r="X1017" s="48">
        <v>0.75</v>
      </c>
      <c r="Y1017" s="48">
        <v>0.75</v>
      </c>
      <c r="Z1017" s="48">
        <v>0.75</v>
      </c>
      <c r="AA1017" s="48">
        <v>0.75</v>
      </c>
      <c r="AB1017" s="48">
        <v>0.5</v>
      </c>
      <c r="AC1017" s="48">
        <v>0.75</v>
      </c>
      <c r="AD1017" s="48">
        <v>0.75</v>
      </c>
      <c r="AE1017" s="48">
        <v>0.75</v>
      </c>
      <c r="AF1017" s="48">
        <v>0.75</v>
      </c>
      <c r="AG1017" s="48" t="s">
        <v>320</v>
      </c>
      <c r="AH1017" s="48">
        <v>0.75</v>
      </c>
      <c r="AI1017" s="48">
        <v>0.75</v>
      </c>
      <c r="AJ1017" s="48">
        <v>0.75</v>
      </c>
      <c r="AK1017" s="48">
        <v>0.75</v>
      </c>
      <c r="AL1017" s="48">
        <v>0.75</v>
      </c>
      <c r="AM1017">
        <v>28.5</v>
      </c>
    </row>
    <row r="1018" spans="1:39" hidden="1" x14ac:dyDescent="0.25">
      <c r="A1018">
        <v>1017</v>
      </c>
      <c r="B1018">
        <v>2025</v>
      </c>
      <c r="C1018">
        <v>11</v>
      </c>
      <c r="D1018" t="s">
        <v>494</v>
      </c>
      <c r="E1018">
        <v>95</v>
      </c>
      <c r="F1018">
        <v>5</v>
      </c>
      <c r="G1018" t="s">
        <v>430</v>
      </c>
      <c r="H1018" s="48">
        <v>0.29166666666666669</v>
      </c>
      <c r="I1018" s="48">
        <v>0.29166666666666669</v>
      </c>
      <c r="J1018" s="48">
        <v>0.29166666666666669</v>
      </c>
      <c r="K1018" s="48">
        <v>0.29166666666666669</v>
      </c>
      <c r="L1018" s="48">
        <v>0.29166666666666669</v>
      </c>
      <c r="M1018" s="48">
        <v>0.29166666666666669</v>
      </c>
      <c r="N1018" s="48">
        <v>0.29166666666666669</v>
      </c>
      <c r="O1018" s="48">
        <v>0.29166666666666669</v>
      </c>
      <c r="P1018" s="48" t="s">
        <v>320</v>
      </c>
      <c r="Q1018" s="48">
        <v>0.29166666666666669</v>
      </c>
      <c r="R1018" s="48">
        <v>0.29166666666666669</v>
      </c>
      <c r="S1018" s="48">
        <v>0.29166666666666669</v>
      </c>
      <c r="T1018" s="48">
        <v>0.29166666666666669</v>
      </c>
      <c r="U1018" s="48">
        <v>0.29166666666666669</v>
      </c>
      <c r="V1018" s="48">
        <v>0.29166666666666669</v>
      </c>
      <c r="W1018" s="48">
        <v>0.29166666666666669</v>
      </c>
      <c r="X1018" s="48">
        <v>0.29166666666666669</v>
      </c>
      <c r="Y1018" s="48">
        <v>0.29166666666666669</v>
      </c>
      <c r="Z1018" s="48" t="s">
        <v>320</v>
      </c>
      <c r="AA1018" s="48" t="s">
        <v>320</v>
      </c>
      <c r="AB1018" s="48">
        <v>0.29166666666666669</v>
      </c>
      <c r="AC1018" s="48">
        <v>0.29166666666666669</v>
      </c>
      <c r="AD1018" s="48" t="s">
        <v>320</v>
      </c>
      <c r="AE1018" s="48">
        <v>0.29166666666666669</v>
      </c>
      <c r="AF1018" s="48">
        <v>0.29166666666666669</v>
      </c>
      <c r="AG1018" s="48">
        <v>0.29166666666666669</v>
      </c>
      <c r="AH1018" s="48" t="s">
        <v>320</v>
      </c>
      <c r="AI1018" s="48" t="s">
        <v>320</v>
      </c>
      <c r="AJ1018" s="48" t="s">
        <v>320</v>
      </c>
      <c r="AK1018" s="48" t="s">
        <v>320</v>
      </c>
      <c r="AL1018" s="48" t="s">
        <v>320</v>
      </c>
    </row>
    <row r="1019" spans="1:39" hidden="1" x14ac:dyDescent="0.25">
      <c r="A1019">
        <v>1018</v>
      </c>
      <c r="B1019">
        <v>2025</v>
      </c>
      <c r="C1019">
        <v>11</v>
      </c>
      <c r="D1019" t="s">
        <v>494</v>
      </c>
      <c r="E1019">
        <v>95</v>
      </c>
      <c r="F1019">
        <v>5</v>
      </c>
      <c r="G1019" t="s">
        <v>431</v>
      </c>
      <c r="H1019" s="48">
        <v>0.75</v>
      </c>
      <c r="I1019" s="48">
        <v>0.75</v>
      </c>
      <c r="J1019" s="48">
        <v>0.75</v>
      </c>
      <c r="K1019" s="48">
        <v>0.75</v>
      </c>
      <c r="L1019" s="48">
        <v>0.75</v>
      </c>
      <c r="M1019" s="48">
        <v>0.75</v>
      </c>
      <c r="N1019" s="48">
        <v>0.75</v>
      </c>
      <c r="O1019" s="48">
        <v>0.75</v>
      </c>
      <c r="P1019" s="48" t="s">
        <v>320</v>
      </c>
      <c r="Q1019" s="48">
        <v>0.75</v>
      </c>
      <c r="R1019" s="48">
        <v>0.75</v>
      </c>
      <c r="S1019" s="48">
        <v>0.75</v>
      </c>
      <c r="T1019" s="48">
        <v>0.75</v>
      </c>
      <c r="U1019" s="48">
        <v>0.75</v>
      </c>
      <c r="V1019" s="48">
        <v>0.75</v>
      </c>
      <c r="W1019" s="48">
        <v>0.75</v>
      </c>
      <c r="X1019" s="48">
        <v>0.75</v>
      </c>
      <c r="Y1019" s="48">
        <v>0.75</v>
      </c>
      <c r="Z1019" s="48" t="s">
        <v>320</v>
      </c>
      <c r="AA1019" s="48" t="s">
        <v>320</v>
      </c>
      <c r="AB1019" s="48">
        <v>0.75</v>
      </c>
      <c r="AC1019" s="48">
        <v>0.75</v>
      </c>
      <c r="AD1019" s="48" t="s">
        <v>320</v>
      </c>
      <c r="AE1019" s="48">
        <v>0.75</v>
      </c>
      <c r="AF1019" s="48">
        <v>0.75</v>
      </c>
      <c r="AG1019" s="48">
        <v>0.75</v>
      </c>
      <c r="AH1019" s="48" t="s">
        <v>320</v>
      </c>
      <c r="AI1019" s="48" t="s">
        <v>320</v>
      </c>
      <c r="AJ1019" s="48" t="s">
        <v>320</v>
      </c>
      <c r="AK1019" s="48" t="s">
        <v>320</v>
      </c>
      <c r="AL1019" s="48" t="s">
        <v>320</v>
      </c>
      <c r="AM1019">
        <v>22</v>
      </c>
    </row>
    <row r="1020" spans="1:39" hidden="1" x14ac:dyDescent="0.25">
      <c r="A1020">
        <v>1019</v>
      </c>
      <c r="B1020">
        <v>2025</v>
      </c>
      <c r="C1020">
        <v>7</v>
      </c>
      <c r="D1020" t="s">
        <v>501</v>
      </c>
      <c r="E1020">
        <v>98</v>
      </c>
      <c r="F1020">
        <v>1</v>
      </c>
      <c r="G1020" t="s">
        <v>430</v>
      </c>
      <c r="H1020" s="48" t="s">
        <v>320</v>
      </c>
      <c r="I1020" s="48" t="s">
        <v>320</v>
      </c>
      <c r="J1020" s="48" t="s">
        <v>320</v>
      </c>
      <c r="K1020" s="48" t="s">
        <v>320</v>
      </c>
      <c r="L1020" s="48" t="s">
        <v>320</v>
      </c>
      <c r="M1020" s="48" t="s">
        <v>320</v>
      </c>
      <c r="N1020" s="48" t="s">
        <v>320</v>
      </c>
      <c r="O1020" s="48" t="s">
        <v>320</v>
      </c>
      <c r="P1020" s="48" t="s">
        <v>320</v>
      </c>
      <c r="Q1020" s="48" t="s">
        <v>320</v>
      </c>
      <c r="R1020" s="48" t="s">
        <v>320</v>
      </c>
      <c r="S1020" s="48" t="s">
        <v>320</v>
      </c>
      <c r="T1020" s="48" t="s">
        <v>320</v>
      </c>
      <c r="U1020" s="48" t="s">
        <v>320</v>
      </c>
      <c r="V1020" s="48" t="s">
        <v>320</v>
      </c>
      <c r="W1020" s="48" t="s">
        <v>320</v>
      </c>
      <c r="X1020" s="48" t="s">
        <v>320</v>
      </c>
      <c r="Y1020" s="48" t="s">
        <v>320</v>
      </c>
      <c r="Z1020" s="48" t="s">
        <v>320</v>
      </c>
      <c r="AA1020" s="48">
        <v>0.29166666666666669</v>
      </c>
      <c r="AB1020" s="48">
        <v>0.29166666666666669</v>
      </c>
      <c r="AC1020" s="48">
        <v>0.29166666666666669</v>
      </c>
      <c r="AD1020" s="48">
        <v>0.29166666666666669</v>
      </c>
      <c r="AE1020" s="48">
        <v>0.29166666666666669</v>
      </c>
      <c r="AF1020" s="48">
        <v>0.29166666666666669</v>
      </c>
      <c r="AG1020" s="48">
        <v>0.29166666666666669</v>
      </c>
      <c r="AH1020" s="48">
        <v>0.29166666666666669</v>
      </c>
      <c r="AI1020" s="48">
        <v>0.29166666666666669</v>
      </c>
      <c r="AJ1020" s="48">
        <v>0.29166666666666669</v>
      </c>
      <c r="AK1020" s="48">
        <v>0.29166666666666669</v>
      </c>
      <c r="AL1020" s="48">
        <v>0.29166666666666669</v>
      </c>
    </row>
    <row r="1021" spans="1:39" hidden="1" x14ac:dyDescent="0.25">
      <c r="A1021">
        <v>1020</v>
      </c>
      <c r="B1021">
        <v>2025</v>
      </c>
      <c r="C1021">
        <v>7</v>
      </c>
      <c r="D1021" t="s">
        <v>501</v>
      </c>
      <c r="E1021">
        <v>98</v>
      </c>
      <c r="F1021">
        <v>1</v>
      </c>
      <c r="G1021" t="s">
        <v>431</v>
      </c>
      <c r="H1021" s="48" t="s">
        <v>320</v>
      </c>
      <c r="I1021" s="48" t="s">
        <v>320</v>
      </c>
      <c r="J1021" s="48" t="s">
        <v>320</v>
      </c>
      <c r="K1021" s="48" t="s">
        <v>320</v>
      </c>
      <c r="L1021" s="48" t="s">
        <v>320</v>
      </c>
      <c r="M1021" s="48" t="s">
        <v>320</v>
      </c>
      <c r="N1021" s="48" t="s">
        <v>320</v>
      </c>
      <c r="O1021" s="48" t="s">
        <v>320</v>
      </c>
      <c r="P1021" s="48" t="s">
        <v>320</v>
      </c>
      <c r="Q1021" s="48" t="s">
        <v>320</v>
      </c>
      <c r="R1021" s="48" t="s">
        <v>320</v>
      </c>
      <c r="S1021" s="48" t="s">
        <v>320</v>
      </c>
      <c r="T1021" s="48" t="s">
        <v>320</v>
      </c>
      <c r="U1021" s="48" t="s">
        <v>320</v>
      </c>
      <c r="V1021" s="48" t="s">
        <v>320</v>
      </c>
      <c r="W1021" s="48" t="s">
        <v>320</v>
      </c>
      <c r="X1021" s="48" t="s">
        <v>320</v>
      </c>
      <c r="Y1021" s="48" t="s">
        <v>320</v>
      </c>
      <c r="Z1021" s="48" t="s">
        <v>320</v>
      </c>
      <c r="AA1021" s="48">
        <v>0.75</v>
      </c>
      <c r="AB1021" s="48">
        <v>0.75</v>
      </c>
      <c r="AC1021" s="48">
        <v>0.75</v>
      </c>
      <c r="AD1021" s="48">
        <v>0.75</v>
      </c>
      <c r="AE1021" s="48">
        <v>0.75</v>
      </c>
      <c r="AF1021" s="48">
        <v>0.75</v>
      </c>
      <c r="AG1021" s="48">
        <v>0.75</v>
      </c>
      <c r="AH1021" s="48">
        <v>0.75</v>
      </c>
      <c r="AI1021" s="48">
        <v>0.75</v>
      </c>
      <c r="AJ1021" s="48">
        <v>0.75</v>
      </c>
      <c r="AK1021" s="48">
        <v>0.75</v>
      </c>
      <c r="AL1021" s="48">
        <v>0.75</v>
      </c>
      <c r="AM1021">
        <v>12</v>
      </c>
    </row>
    <row r="1022" spans="1:39" hidden="1" x14ac:dyDescent="0.25">
      <c r="A1022">
        <v>1021</v>
      </c>
      <c r="B1022">
        <v>2025</v>
      </c>
      <c r="C1022">
        <v>8</v>
      </c>
      <c r="D1022" t="s">
        <v>501</v>
      </c>
      <c r="E1022">
        <v>98</v>
      </c>
      <c r="F1022">
        <v>2</v>
      </c>
      <c r="G1022" t="s">
        <v>430</v>
      </c>
      <c r="H1022" s="48">
        <v>0.29166666666666669</v>
      </c>
      <c r="I1022" s="48">
        <v>0.29166666666666669</v>
      </c>
      <c r="J1022" s="48">
        <v>0.29166666666666669</v>
      </c>
      <c r="K1022" s="48">
        <v>0.29166666666666669</v>
      </c>
      <c r="L1022" s="48">
        <v>0.29166666666666669</v>
      </c>
      <c r="M1022" s="48">
        <v>0.29166666666666669</v>
      </c>
      <c r="N1022" s="48">
        <v>0.29166666666666669</v>
      </c>
      <c r="O1022" s="48">
        <v>0.29166666666666669</v>
      </c>
      <c r="P1022" s="48">
        <v>0.29166666666666669</v>
      </c>
      <c r="Q1022" s="48" t="s">
        <v>320</v>
      </c>
      <c r="R1022" s="48">
        <v>0.29166666666666669</v>
      </c>
      <c r="S1022" s="48" t="s">
        <v>320</v>
      </c>
      <c r="T1022" s="48">
        <v>0.29166666666666669</v>
      </c>
      <c r="U1022" s="48">
        <v>0.29166666666666669</v>
      </c>
      <c r="V1022" s="48">
        <v>0.29166666666666669</v>
      </c>
      <c r="W1022" s="48">
        <v>0.29166666666666669</v>
      </c>
      <c r="X1022" s="48">
        <v>0.29166666666666669</v>
      </c>
      <c r="Y1022" s="48">
        <v>0.29166666666666669</v>
      </c>
      <c r="Z1022" s="48">
        <v>0.29166666666666669</v>
      </c>
      <c r="AA1022" s="48">
        <v>0.29166666666666669</v>
      </c>
      <c r="AB1022" s="48">
        <v>0.29166666666666669</v>
      </c>
      <c r="AC1022" s="48">
        <v>0.29166666666666669</v>
      </c>
      <c r="AD1022" s="48">
        <v>0.29166666666666669</v>
      </c>
      <c r="AE1022" s="48">
        <v>0.29166666666666669</v>
      </c>
      <c r="AF1022" s="48">
        <v>0.29166666666666669</v>
      </c>
      <c r="AG1022" s="48">
        <v>0.29166666666666669</v>
      </c>
      <c r="AH1022" s="48">
        <v>0.29166666666666669</v>
      </c>
      <c r="AI1022" s="48">
        <v>0.29166666666666669</v>
      </c>
      <c r="AJ1022" s="48">
        <v>0.29166666666666669</v>
      </c>
      <c r="AK1022" s="48">
        <v>0.29166666666666669</v>
      </c>
      <c r="AL1022" s="48">
        <v>0.29166666666666669</v>
      </c>
    </row>
    <row r="1023" spans="1:39" hidden="1" x14ac:dyDescent="0.25">
      <c r="A1023">
        <v>1022</v>
      </c>
      <c r="B1023">
        <v>2025</v>
      </c>
      <c r="C1023">
        <v>8</v>
      </c>
      <c r="D1023" t="s">
        <v>501</v>
      </c>
      <c r="E1023">
        <v>98</v>
      </c>
      <c r="F1023">
        <v>2</v>
      </c>
      <c r="G1023" t="s">
        <v>431</v>
      </c>
      <c r="H1023" s="48">
        <v>0.75</v>
      </c>
      <c r="I1023" s="48">
        <v>0.75</v>
      </c>
      <c r="J1023" s="48">
        <v>0.75</v>
      </c>
      <c r="K1023" s="48">
        <v>0.75</v>
      </c>
      <c r="L1023" s="48">
        <v>0.75</v>
      </c>
      <c r="M1023" s="48">
        <v>0.75</v>
      </c>
      <c r="N1023" s="48">
        <v>0.75</v>
      </c>
      <c r="O1023" s="48">
        <v>0.75</v>
      </c>
      <c r="P1023" s="48">
        <v>0.75</v>
      </c>
      <c r="Q1023" s="48" t="s">
        <v>320</v>
      </c>
      <c r="R1023" s="48">
        <v>0.75</v>
      </c>
      <c r="S1023" s="48" t="s">
        <v>320</v>
      </c>
      <c r="T1023" s="48">
        <v>0.75</v>
      </c>
      <c r="U1023" s="48">
        <v>0.75</v>
      </c>
      <c r="V1023" s="48">
        <v>0.75</v>
      </c>
      <c r="W1023" s="48">
        <v>0.75</v>
      </c>
      <c r="X1023" s="48">
        <v>0.75</v>
      </c>
      <c r="Y1023" s="48">
        <v>0.75</v>
      </c>
      <c r="Z1023" s="48">
        <v>0.75</v>
      </c>
      <c r="AA1023" s="48">
        <v>0.75</v>
      </c>
      <c r="AB1023" s="48">
        <v>0.75</v>
      </c>
      <c r="AC1023" s="48">
        <v>0.75</v>
      </c>
      <c r="AD1023" s="48">
        <v>0.75</v>
      </c>
      <c r="AE1023" s="48">
        <v>0.75</v>
      </c>
      <c r="AF1023" s="48">
        <v>0.75</v>
      </c>
      <c r="AG1023" s="48">
        <v>0.75</v>
      </c>
      <c r="AH1023" s="48">
        <v>0.75</v>
      </c>
      <c r="AI1023" s="48">
        <v>0.75</v>
      </c>
      <c r="AJ1023" s="48">
        <v>0.75</v>
      </c>
      <c r="AK1023" s="48">
        <v>0.75</v>
      </c>
      <c r="AL1023" s="48">
        <v>0.75</v>
      </c>
      <c r="AM1023">
        <v>29</v>
      </c>
    </row>
    <row r="1024" spans="1:39" hidden="1" x14ac:dyDescent="0.25">
      <c r="A1024">
        <v>1023</v>
      </c>
      <c r="B1024">
        <v>2025</v>
      </c>
      <c r="C1024">
        <v>9</v>
      </c>
      <c r="D1024" t="s">
        <v>501</v>
      </c>
      <c r="E1024">
        <v>98</v>
      </c>
      <c r="F1024">
        <v>3</v>
      </c>
      <c r="G1024" t="s">
        <v>430</v>
      </c>
      <c r="H1024" s="48">
        <v>0.29166666666666669</v>
      </c>
      <c r="I1024" s="48">
        <v>0.29166666666666669</v>
      </c>
      <c r="J1024" s="48">
        <v>0.29166666666666669</v>
      </c>
      <c r="K1024" s="48">
        <v>0.29166666666666669</v>
      </c>
      <c r="L1024" s="48">
        <v>0.29166666666666669</v>
      </c>
      <c r="M1024" s="48">
        <v>0.29166666666666669</v>
      </c>
      <c r="N1024" s="48" t="s">
        <v>320</v>
      </c>
      <c r="O1024" s="48">
        <v>0.29166666666666669</v>
      </c>
      <c r="P1024" s="48">
        <v>0.29166666666666669</v>
      </c>
      <c r="Q1024" s="48">
        <v>0.29166666666666669</v>
      </c>
      <c r="R1024" s="48">
        <v>0.29166666666666669</v>
      </c>
      <c r="S1024" s="48">
        <v>0.29166666666666669</v>
      </c>
      <c r="T1024" s="48" t="s">
        <v>320</v>
      </c>
      <c r="U1024" s="48" t="s">
        <v>320</v>
      </c>
      <c r="V1024" s="48">
        <v>0.29166666666666669</v>
      </c>
      <c r="W1024" s="48">
        <v>0.29166666666666669</v>
      </c>
      <c r="X1024" s="48">
        <v>0.29166666666666669</v>
      </c>
      <c r="Y1024" s="48">
        <v>0.29166666666666669</v>
      </c>
      <c r="Z1024" s="48">
        <v>0.29166666666666669</v>
      </c>
      <c r="AA1024" s="48">
        <v>0.29166666666666669</v>
      </c>
      <c r="AB1024" s="48">
        <v>0.29166666666666669</v>
      </c>
      <c r="AC1024" s="48">
        <v>0.29166666666666669</v>
      </c>
      <c r="AD1024" s="48">
        <v>0.29166666666666669</v>
      </c>
      <c r="AE1024" s="48">
        <v>0.29166666666666669</v>
      </c>
      <c r="AF1024" s="48">
        <v>0.29166666666666669</v>
      </c>
      <c r="AG1024" s="48">
        <v>0.29166666666666669</v>
      </c>
      <c r="AH1024" s="48">
        <v>0.29166666666666669</v>
      </c>
      <c r="AI1024" s="48">
        <v>0.29166666666666669</v>
      </c>
      <c r="AJ1024" s="48">
        <v>0.29166666666666669</v>
      </c>
      <c r="AK1024" s="48">
        <v>0.29166666666666669</v>
      </c>
      <c r="AL1024" s="48" t="s">
        <v>320</v>
      </c>
    </row>
    <row r="1025" spans="1:41" hidden="1" x14ac:dyDescent="0.25">
      <c r="A1025">
        <v>1024</v>
      </c>
      <c r="B1025">
        <v>2025</v>
      </c>
      <c r="C1025">
        <v>9</v>
      </c>
      <c r="D1025" t="s">
        <v>501</v>
      </c>
      <c r="E1025">
        <v>98</v>
      </c>
      <c r="F1025">
        <v>3</v>
      </c>
      <c r="G1025" t="s">
        <v>431</v>
      </c>
      <c r="H1025" s="48">
        <v>0.75</v>
      </c>
      <c r="I1025" s="48">
        <v>0.75</v>
      </c>
      <c r="J1025" s="48">
        <v>0.75</v>
      </c>
      <c r="K1025" s="48">
        <v>0.75</v>
      </c>
      <c r="L1025" s="48">
        <v>0.75</v>
      </c>
      <c r="M1025" s="48">
        <v>0.75</v>
      </c>
      <c r="N1025" s="48" t="s">
        <v>320</v>
      </c>
      <c r="O1025" s="48">
        <v>0.75</v>
      </c>
      <c r="P1025" s="48">
        <v>0.75</v>
      </c>
      <c r="Q1025" s="48">
        <v>0.75</v>
      </c>
      <c r="R1025" s="48">
        <v>0.75</v>
      </c>
      <c r="S1025" s="48">
        <v>0.75</v>
      </c>
      <c r="T1025" s="48" t="s">
        <v>320</v>
      </c>
      <c r="U1025" s="48" t="s">
        <v>320</v>
      </c>
      <c r="V1025" s="48">
        <v>0.75</v>
      </c>
      <c r="W1025" s="48">
        <v>0.75</v>
      </c>
      <c r="X1025" s="48">
        <v>0.75</v>
      </c>
      <c r="Y1025" s="48">
        <v>0.75</v>
      </c>
      <c r="Z1025" s="48">
        <v>0.875</v>
      </c>
      <c r="AA1025" s="48">
        <v>0.75</v>
      </c>
      <c r="AB1025" s="48">
        <v>0.75</v>
      </c>
      <c r="AC1025" s="48">
        <v>0.75</v>
      </c>
      <c r="AD1025" s="48">
        <v>0.75</v>
      </c>
      <c r="AE1025" s="48">
        <v>0.75</v>
      </c>
      <c r="AF1025" s="48">
        <v>0.875</v>
      </c>
      <c r="AG1025" s="48">
        <v>0.75</v>
      </c>
      <c r="AH1025" s="48">
        <v>0.75</v>
      </c>
      <c r="AI1025" s="48">
        <v>0.79166666666666663</v>
      </c>
      <c r="AJ1025" s="48">
        <v>0.75</v>
      </c>
      <c r="AK1025" s="48">
        <v>0.75</v>
      </c>
      <c r="AL1025" s="48" t="s">
        <v>320</v>
      </c>
      <c r="AM1025">
        <v>27</v>
      </c>
      <c r="AO1025">
        <v>6.9999999999999947</v>
      </c>
    </row>
    <row r="1026" spans="1:41" hidden="1" x14ac:dyDescent="0.25">
      <c r="A1026">
        <v>1025</v>
      </c>
      <c r="B1026">
        <v>2025</v>
      </c>
      <c r="C1026">
        <v>10</v>
      </c>
      <c r="D1026" t="s">
        <v>501</v>
      </c>
      <c r="E1026">
        <v>98</v>
      </c>
      <c r="F1026">
        <v>4</v>
      </c>
      <c r="G1026" t="s">
        <v>430</v>
      </c>
      <c r="H1026" s="48">
        <v>0.29166666666666669</v>
      </c>
      <c r="I1026" s="48">
        <v>0.29166666666666669</v>
      </c>
      <c r="J1026" s="48">
        <v>0.29166666666666669</v>
      </c>
      <c r="K1026" s="48">
        <v>0.29166666666666669</v>
      </c>
      <c r="L1026" s="48" t="s">
        <v>320</v>
      </c>
      <c r="M1026" s="48">
        <v>0.29166666666666669</v>
      </c>
      <c r="N1026" s="48">
        <v>0.29166666666666669</v>
      </c>
      <c r="O1026" s="48">
        <v>0.29166666666666669</v>
      </c>
      <c r="P1026" s="48">
        <v>0.29166666666666669</v>
      </c>
      <c r="Q1026" s="48">
        <v>0.29166666666666669</v>
      </c>
      <c r="R1026" s="48">
        <v>0.29166666666666669</v>
      </c>
      <c r="S1026" s="48">
        <v>0.29166666666666669</v>
      </c>
      <c r="T1026" s="48">
        <v>0.29166666666666669</v>
      </c>
      <c r="U1026" s="48">
        <v>0.29166666666666669</v>
      </c>
      <c r="V1026" s="48">
        <v>0.29166666666666669</v>
      </c>
      <c r="W1026" s="48">
        <v>0.29166666666666669</v>
      </c>
      <c r="X1026" s="48" t="s">
        <v>320</v>
      </c>
      <c r="Y1026" s="48">
        <v>0.29166666666666669</v>
      </c>
      <c r="Z1026" s="48">
        <v>0.29166666666666669</v>
      </c>
      <c r="AA1026" s="48">
        <v>0.29166666666666669</v>
      </c>
      <c r="AB1026" s="48">
        <v>0.29166666666666669</v>
      </c>
      <c r="AC1026" s="48">
        <v>0.29166666666666669</v>
      </c>
      <c r="AD1026" s="48">
        <v>0.29166666666666669</v>
      </c>
      <c r="AE1026" s="48">
        <v>0.29166666666666669</v>
      </c>
      <c r="AF1026" s="48">
        <v>0.29166666666666669</v>
      </c>
      <c r="AG1026" s="48">
        <v>0.29166666666666669</v>
      </c>
      <c r="AH1026" s="48">
        <v>0.29166666666666669</v>
      </c>
      <c r="AI1026" s="48" t="s">
        <v>320</v>
      </c>
      <c r="AJ1026" s="48">
        <v>0.29166666666666669</v>
      </c>
      <c r="AK1026" s="48">
        <v>0.29166666666666669</v>
      </c>
      <c r="AL1026" s="48">
        <v>0.29166666666666669</v>
      </c>
    </row>
    <row r="1027" spans="1:41" hidden="1" x14ac:dyDescent="0.25">
      <c r="A1027">
        <v>1026</v>
      </c>
      <c r="B1027">
        <v>2025</v>
      </c>
      <c r="C1027">
        <v>10</v>
      </c>
      <c r="D1027" t="s">
        <v>501</v>
      </c>
      <c r="E1027">
        <v>98</v>
      </c>
      <c r="F1027">
        <v>4</v>
      </c>
      <c r="G1027" t="s">
        <v>431</v>
      </c>
      <c r="H1027" s="48">
        <v>0.75</v>
      </c>
      <c r="I1027" s="48">
        <v>0.79166666666666663</v>
      </c>
      <c r="J1027" s="48">
        <v>0.75</v>
      </c>
      <c r="K1027" s="48">
        <v>0.79166666666666663</v>
      </c>
      <c r="L1027" s="48" t="s">
        <v>320</v>
      </c>
      <c r="M1027" s="48">
        <v>0.75</v>
      </c>
      <c r="N1027" s="48">
        <v>0.75</v>
      </c>
      <c r="O1027" s="48">
        <v>0.75</v>
      </c>
      <c r="P1027" s="48">
        <v>0.75</v>
      </c>
      <c r="Q1027" s="48">
        <v>0.91666666666666674</v>
      </c>
      <c r="R1027" s="48">
        <v>0.75</v>
      </c>
      <c r="S1027" s="48">
        <v>0.75</v>
      </c>
      <c r="T1027" s="48">
        <v>0.79166666666666663</v>
      </c>
      <c r="U1027" s="48">
        <v>0.75</v>
      </c>
      <c r="V1027" s="48">
        <v>0.79166666666666663</v>
      </c>
      <c r="W1027" s="48">
        <v>0.75</v>
      </c>
      <c r="X1027" s="48" t="s">
        <v>320</v>
      </c>
      <c r="Y1027" s="48">
        <v>0.75</v>
      </c>
      <c r="Z1027" s="48">
        <v>0.75</v>
      </c>
      <c r="AA1027" s="48">
        <v>0.75</v>
      </c>
      <c r="AB1027" s="48">
        <v>0.79166666666666663</v>
      </c>
      <c r="AC1027" s="48">
        <v>0.75</v>
      </c>
      <c r="AD1027" s="48">
        <v>0.75</v>
      </c>
      <c r="AE1027" s="48">
        <v>0.75</v>
      </c>
      <c r="AF1027" s="48">
        <v>0.75</v>
      </c>
      <c r="AG1027" s="48">
        <v>0.75</v>
      </c>
      <c r="AH1027" s="48">
        <v>0.79166666666666663</v>
      </c>
      <c r="AI1027" s="48" t="s">
        <v>320</v>
      </c>
      <c r="AJ1027" s="48">
        <v>0.75</v>
      </c>
      <c r="AK1027" s="48">
        <v>0.75</v>
      </c>
      <c r="AL1027" s="48">
        <v>0.75</v>
      </c>
      <c r="AM1027">
        <v>28</v>
      </c>
      <c r="AO1027">
        <v>9.9999999999999893</v>
      </c>
    </row>
    <row r="1028" spans="1:41" hidden="1" x14ac:dyDescent="0.25">
      <c r="A1028">
        <v>1027</v>
      </c>
      <c r="B1028">
        <v>2025</v>
      </c>
      <c r="C1028">
        <v>11</v>
      </c>
      <c r="D1028" t="s">
        <v>501</v>
      </c>
      <c r="E1028">
        <v>98</v>
      </c>
      <c r="F1028">
        <v>5</v>
      </c>
      <c r="G1028" t="s">
        <v>430</v>
      </c>
      <c r="H1028" s="48">
        <v>0.29166666666666669</v>
      </c>
      <c r="I1028" s="48">
        <v>0.29166666666666669</v>
      </c>
      <c r="J1028" s="48">
        <v>0.29166666666666669</v>
      </c>
      <c r="K1028" s="48">
        <v>0.29166666666666669</v>
      </c>
      <c r="L1028" s="48">
        <v>0.29166666666666669</v>
      </c>
      <c r="M1028" s="48">
        <v>0.29166666666666669</v>
      </c>
      <c r="N1028" s="48">
        <v>0.29166666666666669</v>
      </c>
      <c r="O1028" s="48">
        <v>0.29166666666666669</v>
      </c>
      <c r="P1028" s="48" t="s">
        <v>320</v>
      </c>
      <c r="Q1028" s="48">
        <v>0.29166666666666669</v>
      </c>
      <c r="R1028" s="48">
        <v>0.29166666666666669</v>
      </c>
      <c r="S1028" s="48">
        <v>0.29166666666666669</v>
      </c>
      <c r="T1028" s="48">
        <v>0.29166666666666669</v>
      </c>
      <c r="U1028" s="48" t="s">
        <v>320</v>
      </c>
      <c r="V1028" s="48">
        <v>0.29166666666666669</v>
      </c>
      <c r="W1028" s="48">
        <v>0.29166666666666669</v>
      </c>
      <c r="X1028" s="48">
        <v>0.29166666666666669</v>
      </c>
      <c r="Y1028" s="48">
        <v>0.29166666666666669</v>
      </c>
      <c r="Z1028" s="48">
        <v>0.29166666666666669</v>
      </c>
      <c r="AA1028" s="48">
        <v>0.29166666666666669</v>
      </c>
      <c r="AB1028" s="48">
        <v>0.29166666666666669</v>
      </c>
      <c r="AC1028" s="48">
        <v>0.29166666666666669</v>
      </c>
      <c r="AD1028" s="48" t="s">
        <v>320</v>
      </c>
      <c r="AE1028" s="48">
        <v>0.29166666666666669</v>
      </c>
      <c r="AF1028" s="48">
        <v>0.29166666666666669</v>
      </c>
      <c r="AG1028" s="48">
        <v>0.29166666666666669</v>
      </c>
      <c r="AH1028" s="48">
        <v>0.29166666666666669</v>
      </c>
      <c r="AI1028" s="48">
        <v>0.29166666666666669</v>
      </c>
      <c r="AJ1028" s="48">
        <v>0.29166666666666669</v>
      </c>
      <c r="AK1028" s="48">
        <v>0.29166666666666669</v>
      </c>
      <c r="AL1028" s="48" t="s">
        <v>320</v>
      </c>
    </row>
    <row r="1029" spans="1:41" hidden="1" x14ac:dyDescent="0.25">
      <c r="A1029">
        <v>1028</v>
      </c>
      <c r="B1029">
        <v>2025</v>
      </c>
      <c r="C1029">
        <v>11</v>
      </c>
      <c r="D1029" t="s">
        <v>501</v>
      </c>
      <c r="E1029">
        <v>98</v>
      </c>
      <c r="F1029">
        <v>5</v>
      </c>
      <c r="G1029" t="s">
        <v>431</v>
      </c>
      <c r="H1029" s="48">
        <v>0.75</v>
      </c>
      <c r="I1029" s="48">
        <v>0.75</v>
      </c>
      <c r="J1029" s="48">
        <v>0.79166666666666663</v>
      </c>
      <c r="K1029" s="48">
        <v>0.75</v>
      </c>
      <c r="L1029" s="48">
        <v>0.75</v>
      </c>
      <c r="M1029" s="48">
        <v>0.79166666666666663</v>
      </c>
      <c r="N1029" s="48">
        <v>0.75</v>
      </c>
      <c r="O1029" s="48">
        <v>0.75</v>
      </c>
      <c r="P1029" s="48" t="s">
        <v>320</v>
      </c>
      <c r="Q1029" s="48">
        <v>0.75</v>
      </c>
      <c r="R1029" s="48">
        <v>0.79166666666666663</v>
      </c>
      <c r="S1029" s="48">
        <v>0.75</v>
      </c>
      <c r="T1029" s="48">
        <v>0.75</v>
      </c>
      <c r="U1029" s="48" t="s">
        <v>320</v>
      </c>
      <c r="V1029" s="48">
        <v>0.79166666666666663</v>
      </c>
      <c r="W1029" s="48">
        <v>0.75</v>
      </c>
      <c r="X1029" s="48">
        <v>0.75</v>
      </c>
      <c r="Y1029" s="48">
        <v>0.79166666666666663</v>
      </c>
      <c r="Z1029" s="48">
        <v>0.75</v>
      </c>
      <c r="AA1029" s="48">
        <v>0.75</v>
      </c>
      <c r="AB1029" s="48">
        <v>0.75</v>
      </c>
      <c r="AC1029" s="48">
        <v>0.75</v>
      </c>
      <c r="AD1029" s="48" t="s">
        <v>320</v>
      </c>
      <c r="AE1029" s="48">
        <v>0.83333333333333337</v>
      </c>
      <c r="AF1029" s="48">
        <v>0.75</v>
      </c>
      <c r="AG1029" s="48">
        <v>0.79166666666666663</v>
      </c>
      <c r="AH1029" s="48">
        <v>0.75</v>
      </c>
      <c r="AI1029" s="48">
        <v>0.75</v>
      </c>
      <c r="AJ1029" s="48">
        <v>0.75</v>
      </c>
      <c r="AK1029" s="48">
        <v>0.75</v>
      </c>
      <c r="AL1029" s="48" t="s">
        <v>320</v>
      </c>
      <c r="AM1029">
        <v>27</v>
      </c>
      <c r="AO1029">
        <v>7.9999999999999911</v>
      </c>
    </row>
    <row r="1030" spans="1:41" hidden="1" x14ac:dyDescent="0.25">
      <c r="A1030">
        <v>1029</v>
      </c>
      <c r="B1030">
        <v>2025</v>
      </c>
      <c r="C1030">
        <v>7</v>
      </c>
      <c r="D1030" t="s">
        <v>498</v>
      </c>
      <c r="E1030">
        <v>99</v>
      </c>
      <c r="F1030">
        <v>1</v>
      </c>
      <c r="G1030" t="s">
        <v>430</v>
      </c>
      <c r="H1030" s="48" t="s">
        <v>320</v>
      </c>
      <c r="I1030" s="48" t="s">
        <v>320</v>
      </c>
      <c r="J1030" s="48" t="s">
        <v>320</v>
      </c>
      <c r="K1030" s="48" t="s">
        <v>320</v>
      </c>
      <c r="L1030" s="48" t="s">
        <v>320</v>
      </c>
      <c r="M1030" s="48" t="s">
        <v>320</v>
      </c>
      <c r="N1030" s="48" t="s">
        <v>320</v>
      </c>
      <c r="O1030" s="48" t="s">
        <v>320</v>
      </c>
      <c r="P1030" s="48" t="s">
        <v>320</v>
      </c>
      <c r="Q1030" s="48" t="s">
        <v>320</v>
      </c>
      <c r="R1030" s="48" t="s">
        <v>320</v>
      </c>
      <c r="S1030" s="48" t="s">
        <v>320</v>
      </c>
      <c r="T1030" s="48" t="s">
        <v>320</v>
      </c>
      <c r="U1030" s="48" t="s">
        <v>320</v>
      </c>
      <c r="V1030" s="48" t="s">
        <v>320</v>
      </c>
      <c r="W1030" s="48" t="s">
        <v>320</v>
      </c>
      <c r="X1030" s="48" t="s">
        <v>320</v>
      </c>
      <c r="Y1030" s="48" t="s">
        <v>320</v>
      </c>
      <c r="Z1030" s="48" t="s">
        <v>320</v>
      </c>
      <c r="AA1030" s="48" t="s">
        <v>320</v>
      </c>
      <c r="AB1030" s="48" t="s">
        <v>320</v>
      </c>
      <c r="AC1030" s="48">
        <v>0.33333333333333331</v>
      </c>
      <c r="AD1030" s="48">
        <v>0.33333333333333331</v>
      </c>
      <c r="AE1030" s="48">
        <v>0.33333333333333331</v>
      </c>
      <c r="AF1030" s="48">
        <v>0.33333333333333331</v>
      </c>
      <c r="AG1030" s="48">
        <v>0.33333333333333331</v>
      </c>
      <c r="AH1030" s="48">
        <v>0.33333333333333331</v>
      </c>
      <c r="AI1030" s="48">
        <v>0.33333333333333331</v>
      </c>
      <c r="AJ1030" s="48">
        <v>0.33333333333333331</v>
      </c>
      <c r="AK1030" s="48">
        <v>0.33333333333333331</v>
      </c>
      <c r="AL1030" s="48">
        <v>0.33333333333333331</v>
      </c>
    </row>
    <row r="1031" spans="1:41" hidden="1" x14ac:dyDescent="0.25">
      <c r="A1031">
        <v>1030</v>
      </c>
      <c r="B1031">
        <v>2025</v>
      </c>
      <c r="C1031">
        <v>7</v>
      </c>
      <c r="D1031" t="s">
        <v>498</v>
      </c>
      <c r="E1031">
        <v>99</v>
      </c>
      <c r="F1031">
        <v>1</v>
      </c>
      <c r="G1031" t="s">
        <v>431</v>
      </c>
      <c r="H1031" s="48" t="s">
        <v>320</v>
      </c>
      <c r="I1031" s="48" t="s">
        <v>320</v>
      </c>
      <c r="J1031" s="48" t="s">
        <v>320</v>
      </c>
      <c r="K1031" s="48" t="s">
        <v>320</v>
      </c>
      <c r="L1031" s="48" t="s">
        <v>320</v>
      </c>
      <c r="M1031" s="48" t="s">
        <v>320</v>
      </c>
      <c r="N1031" s="48" t="s">
        <v>320</v>
      </c>
      <c r="O1031" s="48" t="s">
        <v>320</v>
      </c>
      <c r="P1031" s="48" t="s">
        <v>320</v>
      </c>
      <c r="Q1031" s="48" t="s">
        <v>320</v>
      </c>
      <c r="R1031" s="48" t="s">
        <v>320</v>
      </c>
      <c r="S1031" s="48" t="s">
        <v>320</v>
      </c>
      <c r="T1031" s="48" t="s">
        <v>320</v>
      </c>
      <c r="U1031" s="48" t="s">
        <v>320</v>
      </c>
      <c r="V1031" s="48" t="s">
        <v>320</v>
      </c>
      <c r="W1031" s="48" t="s">
        <v>320</v>
      </c>
      <c r="X1031" s="48" t="s">
        <v>320</v>
      </c>
      <c r="Y1031" s="48" t="s">
        <v>320</v>
      </c>
      <c r="Z1031" s="48" t="s">
        <v>320</v>
      </c>
      <c r="AA1031" s="48" t="s">
        <v>320</v>
      </c>
      <c r="AB1031" s="48" t="s">
        <v>320</v>
      </c>
      <c r="AC1031" s="48">
        <v>0.75</v>
      </c>
      <c r="AD1031" s="48">
        <v>0.75</v>
      </c>
      <c r="AE1031" s="48">
        <v>0.75</v>
      </c>
      <c r="AF1031" s="48">
        <v>0.75</v>
      </c>
      <c r="AG1031" s="48">
        <v>0.75</v>
      </c>
      <c r="AH1031" s="48">
        <v>0.75</v>
      </c>
      <c r="AI1031" s="48">
        <v>0.75</v>
      </c>
      <c r="AJ1031" s="48">
        <v>0.75</v>
      </c>
      <c r="AK1031" s="48">
        <v>0.75</v>
      </c>
      <c r="AL1031" s="48">
        <v>0.75</v>
      </c>
      <c r="AM1031">
        <v>10</v>
      </c>
    </row>
    <row r="1032" spans="1:41" hidden="1" x14ac:dyDescent="0.25">
      <c r="A1032">
        <v>1031</v>
      </c>
      <c r="B1032">
        <v>2025</v>
      </c>
      <c r="C1032">
        <v>8</v>
      </c>
      <c r="D1032" t="s">
        <v>498</v>
      </c>
      <c r="E1032">
        <v>99</v>
      </c>
      <c r="F1032">
        <v>2</v>
      </c>
      <c r="G1032" t="s">
        <v>430</v>
      </c>
      <c r="H1032" s="48">
        <v>0.33333333333333331</v>
      </c>
      <c r="I1032" s="48">
        <v>0.33333333333333331</v>
      </c>
      <c r="J1032" s="48">
        <v>0.33333333333333331</v>
      </c>
      <c r="K1032" s="48">
        <v>0.33333333333333331</v>
      </c>
      <c r="L1032" s="48">
        <v>0.33333333333333331</v>
      </c>
      <c r="M1032" s="48">
        <v>0.33333333333333331</v>
      </c>
      <c r="N1032" s="48">
        <v>0.33333333333333331</v>
      </c>
      <c r="O1032" s="48">
        <v>0.33333333333333331</v>
      </c>
      <c r="P1032" s="48">
        <v>0.33333333333333331</v>
      </c>
      <c r="Q1032" s="48">
        <v>0.33333333333333331</v>
      </c>
      <c r="R1032" s="48">
        <v>0.33333333333333331</v>
      </c>
      <c r="S1032" s="48">
        <v>0.33333333333333331</v>
      </c>
      <c r="T1032" s="48">
        <v>0.33333333333333331</v>
      </c>
      <c r="U1032" s="48">
        <v>0.33333333333333331</v>
      </c>
      <c r="V1032" s="48">
        <v>0.33333333333333331</v>
      </c>
      <c r="W1032" s="48">
        <v>0.33333333333333331</v>
      </c>
      <c r="X1032" s="48">
        <v>0.33333333333333331</v>
      </c>
      <c r="Y1032" s="48">
        <v>0.33333333333333331</v>
      </c>
      <c r="Z1032" s="48">
        <v>0.33333333333333331</v>
      </c>
      <c r="AA1032" s="48">
        <v>0.33333333333333331</v>
      </c>
      <c r="AB1032" s="48">
        <v>0.33333333333333331</v>
      </c>
      <c r="AC1032" s="48">
        <v>0.33333333333333331</v>
      </c>
      <c r="AD1032" s="48">
        <v>0.33333333333333331</v>
      </c>
      <c r="AE1032" s="48">
        <v>0.33333333333333331</v>
      </c>
      <c r="AF1032" s="48">
        <v>0.33333333333333331</v>
      </c>
      <c r="AG1032" s="48">
        <v>0.33333333333333331</v>
      </c>
      <c r="AH1032" s="48">
        <v>0.33333333333333331</v>
      </c>
      <c r="AI1032" s="48">
        <v>0.33333333333333331</v>
      </c>
      <c r="AJ1032" s="48">
        <v>0.33333333333333331</v>
      </c>
      <c r="AK1032" s="48">
        <v>0.33333333333333331</v>
      </c>
      <c r="AL1032" s="48">
        <v>0.33333333333333331</v>
      </c>
    </row>
    <row r="1033" spans="1:41" hidden="1" x14ac:dyDescent="0.25">
      <c r="A1033">
        <v>1032</v>
      </c>
      <c r="B1033">
        <v>2025</v>
      </c>
      <c r="C1033">
        <v>8</v>
      </c>
      <c r="D1033" t="s">
        <v>498</v>
      </c>
      <c r="E1033">
        <v>99</v>
      </c>
      <c r="F1033">
        <v>2</v>
      </c>
      <c r="G1033" t="s">
        <v>431</v>
      </c>
      <c r="H1033" s="48">
        <v>0.83333333333333326</v>
      </c>
      <c r="I1033" s="48">
        <v>0.83333333333333326</v>
      </c>
      <c r="J1033" s="48">
        <v>0.83333333333333326</v>
      </c>
      <c r="K1033" s="48">
        <v>0.83333333333333326</v>
      </c>
      <c r="L1033" s="48">
        <v>0.83333333333333326</v>
      </c>
      <c r="M1033" s="48">
        <v>0.83333333333333326</v>
      </c>
      <c r="N1033" s="48">
        <v>0.83333333333333326</v>
      </c>
      <c r="O1033" s="48">
        <v>0.83333333333333326</v>
      </c>
      <c r="P1033" s="48">
        <v>0.83333333333333326</v>
      </c>
      <c r="Q1033" s="48">
        <v>0.83333333333333326</v>
      </c>
      <c r="R1033" s="48">
        <v>0.83333333333333326</v>
      </c>
      <c r="S1033" s="48">
        <v>0.83333333333333326</v>
      </c>
      <c r="T1033" s="48">
        <v>0.83333333333333326</v>
      </c>
      <c r="U1033" s="48">
        <v>0.83333333333333326</v>
      </c>
      <c r="V1033" s="48">
        <v>0.83333333333333326</v>
      </c>
      <c r="W1033" s="48">
        <v>0.83333333333333326</v>
      </c>
      <c r="X1033" s="48">
        <v>0.83333333333333326</v>
      </c>
      <c r="Y1033" s="48">
        <v>0.83333333333333326</v>
      </c>
      <c r="Z1033" s="48">
        <v>0.83333333333333326</v>
      </c>
      <c r="AA1033" s="48">
        <v>0.83333333333333326</v>
      </c>
      <c r="AB1033" s="48">
        <v>0.83333333333333326</v>
      </c>
      <c r="AC1033" s="48">
        <v>0.83333333333333326</v>
      </c>
      <c r="AD1033" s="48">
        <v>0.83333333333333326</v>
      </c>
      <c r="AE1033" s="48">
        <v>0.83333333333333326</v>
      </c>
      <c r="AF1033" s="48">
        <v>0.83333333333333326</v>
      </c>
      <c r="AG1033" s="48">
        <v>0.83333333333333326</v>
      </c>
      <c r="AH1033" s="48">
        <v>0.83333333333333326</v>
      </c>
      <c r="AI1033" s="48">
        <v>0.83333333333333326</v>
      </c>
      <c r="AJ1033" s="48">
        <v>0.83333333333333326</v>
      </c>
      <c r="AK1033" s="48">
        <v>0.83333333333333326</v>
      </c>
      <c r="AL1033" s="48">
        <v>0.83333333333333326</v>
      </c>
      <c r="AM1033">
        <v>31</v>
      </c>
      <c r="AO1033">
        <v>31</v>
      </c>
    </row>
    <row r="1034" spans="1:41" hidden="1" x14ac:dyDescent="0.25">
      <c r="A1034">
        <v>1033</v>
      </c>
      <c r="B1034">
        <v>2025</v>
      </c>
      <c r="C1034">
        <v>9</v>
      </c>
      <c r="D1034" t="s">
        <v>498</v>
      </c>
      <c r="E1034">
        <v>99</v>
      </c>
      <c r="F1034">
        <v>3</v>
      </c>
      <c r="G1034" t="s">
        <v>430</v>
      </c>
      <c r="H1034" s="48">
        <v>0.3125</v>
      </c>
      <c r="I1034" s="48">
        <v>0.3125</v>
      </c>
      <c r="J1034" s="48">
        <v>0.3125</v>
      </c>
      <c r="K1034" s="48">
        <v>0.3125</v>
      </c>
      <c r="L1034" s="48">
        <v>0.3125</v>
      </c>
      <c r="M1034" s="48">
        <v>0.3125</v>
      </c>
      <c r="N1034" s="48">
        <v>0.3125</v>
      </c>
      <c r="O1034" s="48" t="s">
        <v>320</v>
      </c>
      <c r="P1034" s="48">
        <v>0.3125</v>
      </c>
      <c r="Q1034" s="48">
        <v>0.3125</v>
      </c>
      <c r="R1034" s="48">
        <v>0.3125</v>
      </c>
      <c r="S1034" s="48">
        <v>0.3125</v>
      </c>
      <c r="T1034" s="48">
        <v>0.3125</v>
      </c>
      <c r="U1034" s="48">
        <v>0.3125</v>
      </c>
      <c r="V1034" s="48">
        <v>0.3125</v>
      </c>
      <c r="W1034" s="48">
        <v>0.3125</v>
      </c>
      <c r="X1034" s="48">
        <v>0.3125</v>
      </c>
      <c r="Y1034" s="48">
        <v>0.3125</v>
      </c>
      <c r="Z1034" s="48">
        <v>0.3125</v>
      </c>
      <c r="AA1034" s="48">
        <v>0.3125</v>
      </c>
      <c r="AB1034" s="48">
        <v>0.3125</v>
      </c>
      <c r="AC1034" s="48">
        <v>0.3125</v>
      </c>
      <c r="AD1034" s="48">
        <v>0.3125</v>
      </c>
      <c r="AE1034" s="48">
        <v>0.3125</v>
      </c>
      <c r="AF1034" s="48">
        <v>0.3125</v>
      </c>
      <c r="AG1034" s="48">
        <v>0.3125</v>
      </c>
      <c r="AH1034" s="48">
        <v>0.3125</v>
      </c>
      <c r="AI1034" s="48">
        <v>0.3125</v>
      </c>
      <c r="AJ1034" s="48">
        <v>0.3125</v>
      </c>
      <c r="AK1034" s="48">
        <v>0.3125</v>
      </c>
      <c r="AL1034" s="48" t="s">
        <v>320</v>
      </c>
    </row>
    <row r="1035" spans="1:41" hidden="1" x14ac:dyDescent="0.25">
      <c r="A1035">
        <v>1034</v>
      </c>
      <c r="B1035">
        <v>2025</v>
      </c>
      <c r="C1035">
        <v>9</v>
      </c>
      <c r="D1035" t="s">
        <v>498</v>
      </c>
      <c r="E1035">
        <v>99</v>
      </c>
      <c r="F1035">
        <v>3</v>
      </c>
      <c r="G1035" t="s">
        <v>431</v>
      </c>
      <c r="H1035" s="48">
        <v>0.77083333333333326</v>
      </c>
      <c r="I1035" s="48">
        <v>0.77083333333333326</v>
      </c>
      <c r="J1035" s="48">
        <v>0.77083333333333326</v>
      </c>
      <c r="K1035" s="48">
        <v>0.77083333333333326</v>
      </c>
      <c r="L1035" s="48">
        <v>0.77083333333333326</v>
      </c>
      <c r="M1035" s="48">
        <v>0.77083333333333326</v>
      </c>
      <c r="N1035" s="48">
        <v>0.89583333333333337</v>
      </c>
      <c r="O1035" s="48" t="s">
        <v>320</v>
      </c>
      <c r="P1035" s="48">
        <v>0.9375</v>
      </c>
      <c r="Q1035" s="48">
        <v>0.9375</v>
      </c>
      <c r="R1035" s="48">
        <v>0.77083333333333326</v>
      </c>
      <c r="S1035" s="48">
        <v>0.77083333333333326</v>
      </c>
      <c r="T1035" s="48">
        <v>0.77083333333333326</v>
      </c>
      <c r="U1035" s="48">
        <v>0.77083333333333326</v>
      </c>
      <c r="V1035" s="48">
        <v>0.9375</v>
      </c>
      <c r="W1035" s="48">
        <v>0.9375</v>
      </c>
      <c r="X1035" s="48">
        <v>0.9375</v>
      </c>
      <c r="Y1035" s="48">
        <v>0.77083333333333326</v>
      </c>
      <c r="Z1035" s="48">
        <v>0.9375</v>
      </c>
      <c r="AA1035" s="48">
        <v>0.9375</v>
      </c>
      <c r="AB1035" s="48">
        <v>0.9375</v>
      </c>
      <c r="AC1035" s="48">
        <v>0.77083333333333326</v>
      </c>
      <c r="AD1035" s="48">
        <v>0.77083333333333326</v>
      </c>
      <c r="AE1035" s="48">
        <v>0.9375</v>
      </c>
      <c r="AF1035" s="48">
        <v>0.9375</v>
      </c>
      <c r="AG1035" s="48">
        <v>0.77083333333333326</v>
      </c>
      <c r="AH1035" s="48">
        <v>0.77083333333333326</v>
      </c>
      <c r="AI1035" s="48">
        <v>0.77083333333333326</v>
      </c>
      <c r="AJ1035" s="48">
        <v>0.77083333333333326</v>
      </c>
      <c r="AK1035" s="48">
        <v>0.77083333333333326</v>
      </c>
      <c r="AL1035" s="48" t="s">
        <v>320</v>
      </c>
      <c r="AM1035">
        <v>29</v>
      </c>
      <c r="AO1035">
        <v>43</v>
      </c>
    </row>
    <row r="1036" spans="1:41" hidden="1" x14ac:dyDescent="0.25">
      <c r="A1036">
        <v>1035</v>
      </c>
      <c r="B1036">
        <v>2025</v>
      </c>
      <c r="C1036">
        <v>10</v>
      </c>
      <c r="D1036" t="s">
        <v>498</v>
      </c>
      <c r="E1036">
        <v>99</v>
      </c>
      <c r="F1036">
        <v>4</v>
      </c>
      <c r="G1036" t="s">
        <v>430</v>
      </c>
      <c r="H1036" s="48">
        <v>0.29166666666666669</v>
      </c>
      <c r="I1036" s="48">
        <v>0.29166666666666669</v>
      </c>
      <c r="J1036" s="48">
        <v>0.29166666666666669</v>
      </c>
      <c r="K1036" s="48">
        <v>0.29166666666666669</v>
      </c>
      <c r="L1036" s="48">
        <v>0.29166666666666669</v>
      </c>
      <c r="M1036" s="48">
        <v>0.29166666666666669</v>
      </c>
      <c r="N1036" s="48">
        <v>0.29166666666666669</v>
      </c>
      <c r="O1036" s="48">
        <v>0.29166666666666669</v>
      </c>
      <c r="P1036" s="48">
        <v>0.29166666666666669</v>
      </c>
      <c r="Q1036" s="48">
        <v>0.29166666666666669</v>
      </c>
      <c r="R1036" s="48">
        <v>0.29166666666666669</v>
      </c>
      <c r="S1036" s="48">
        <v>0.29166666666666669</v>
      </c>
      <c r="T1036" s="48">
        <v>0.29166666666666669</v>
      </c>
      <c r="U1036" s="48">
        <v>0.29166666666666669</v>
      </c>
      <c r="V1036" s="48">
        <v>0.29166666666666669</v>
      </c>
      <c r="W1036" s="48">
        <v>0.29166666666666669</v>
      </c>
      <c r="X1036" s="48">
        <v>0.29166666666666669</v>
      </c>
      <c r="Y1036" s="48">
        <v>0.29166666666666669</v>
      </c>
      <c r="Z1036" s="48">
        <v>0.29166666666666669</v>
      </c>
      <c r="AA1036" s="48">
        <v>0.29166666666666669</v>
      </c>
      <c r="AB1036" s="48">
        <v>0.29166666666666669</v>
      </c>
      <c r="AC1036" s="48">
        <v>0.29166666666666669</v>
      </c>
      <c r="AD1036" s="48">
        <v>0.29166666666666669</v>
      </c>
      <c r="AE1036" s="48">
        <v>0.29166666666666669</v>
      </c>
      <c r="AF1036" s="48">
        <v>0.29166666666666669</v>
      </c>
      <c r="AG1036" s="48">
        <v>0.29166666666666669</v>
      </c>
      <c r="AH1036" s="48">
        <v>0.29166666666666669</v>
      </c>
      <c r="AI1036" s="48">
        <v>0.29166666666666669</v>
      </c>
      <c r="AJ1036" s="48">
        <v>0.29166666666666669</v>
      </c>
      <c r="AK1036" s="48">
        <v>0.29166666666666669</v>
      </c>
      <c r="AL1036" s="48">
        <v>0.29166666666666669</v>
      </c>
    </row>
    <row r="1037" spans="1:41" hidden="1" x14ac:dyDescent="0.25">
      <c r="A1037">
        <v>1036</v>
      </c>
      <c r="B1037">
        <v>2025</v>
      </c>
      <c r="C1037">
        <v>10</v>
      </c>
      <c r="D1037" t="s">
        <v>498</v>
      </c>
      <c r="E1037">
        <v>99</v>
      </c>
      <c r="F1037">
        <v>4</v>
      </c>
      <c r="G1037" t="s">
        <v>431</v>
      </c>
      <c r="H1037" s="48">
        <v>0.75</v>
      </c>
      <c r="I1037" s="48">
        <v>0.75</v>
      </c>
      <c r="J1037" s="48">
        <v>0.75</v>
      </c>
      <c r="K1037" s="48">
        <v>0.75</v>
      </c>
      <c r="L1037" s="48">
        <v>0.75</v>
      </c>
      <c r="M1037" s="48">
        <v>0.75</v>
      </c>
      <c r="N1037" s="48">
        <v>0.75</v>
      </c>
      <c r="O1037" s="48">
        <v>0.75</v>
      </c>
      <c r="P1037" s="48">
        <v>0.75</v>
      </c>
      <c r="Q1037" s="48">
        <v>0.75</v>
      </c>
      <c r="R1037" s="48">
        <v>0.75</v>
      </c>
      <c r="S1037" s="48">
        <v>0.75</v>
      </c>
      <c r="T1037" s="48">
        <v>0.75</v>
      </c>
      <c r="U1037" s="48">
        <v>0.75</v>
      </c>
      <c r="V1037" s="48">
        <v>0.75</v>
      </c>
      <c r="W1037" s="48">
        <v>0.75</v>
      </c>
      <c r="X1037" s="48">
        <v>0.75</v>
      </c>
      <c r="Y1037" s="48">
        <v>0.75</v>
      </c>
      <c r="Z1037" s="48">
        <v>0.75</v>
      </c>
      <c r="AA1037" s="48">
        <v>0.75</v>
      </c>
      <c r="AB1037" s="48">
        <v>0.75</v>
      </c>
      <c r="AC1037" s="48">
        <v>0.75</v>
      </c>
      <c r="AD1037" s="48">
        <v>0.75</v>
      </c>
      <c r="AE1037" s="48">
        <v>0.75</v>
      </c>
      <c r="AF1037" s="48">
        <v>0.75</v>
      </c>
      <c r="AG1037" s="48">
        <v>0.75</v>
      </c>
      <c r="AH1037" s="48">
        <v>0.75</v>
      </c>
      <c r="AI1037" s="48">
        <v>0.75</v>
      </c>
      <c r="AJ1037" s="48">
        <v>0.75</v>
      </c>
      <c r="AK1037" s="48">
        <v>0.75</v>
      </c>
      <c r="AL1037" s="48">
        <v>0.75</v>
      </c>
      <c r="AM1037">
        <v>31</v>
      </c>
    </row>
    <row r="1038" spans="1:41" hidden="1" x14ac:dyDescent="0.25">
      <c r="A1038">
        <v>1037</v>
      </c>
      <c r="B1038">
        <v>2025</v>
      </c>
      <c r="C1038">
        <v>7</v>
      </c>
      <c r="D1038" t="s">
        <v>504</v>
      </c>
      <c r="E1038">
        <v>100</v>
      </c>
      <c r="F1038">
        <v>1</v>
      </c>
      <c r="G1038" t="s">
        <v>430</v>
      </c>
      <c r="H1038" s="48" t="s">
        <v>320</v>
      </c>
      <c r="I1038" s="48" t="s">
        <v>320</v>
      </c>
      <c r="J1038" s="48" t="s">
        <v>320</v>
      </c>
      <c r="K1038" s="48" t="s">
        <v>320</v>
      </c>
      <c r="L1038" s="48" t="s">
        <v>320</v>
      </c>
      <c r="M1038" s="48" t="s">
        <v>320</v>
      </c>
      <c r="N1038" s="48" t="s">
        <v>320</v>
      </c>
      <c r="O1038" s="48" t="s">
        <v>320</v>
      </c>
      <c r="P1038" s="48" t="s">
        <v>320</v>
      </c>
      <c r="Q1038" s="48" t="s">
        <v>320</v>
      </c>
      <c r="R1038" s="48" t="s">
        <v>320</v>
      </c>
      <c r="S1038" s="48" t="s">
        <v>320</v>
      </c>
      <c r="T1038" s="48" t="s">
        <v>320</v>
      </c>
      <c r="U1038" s="48" t="s">
        <v>320</v>
      </c>
      <c r="V1038" s="48" t="s">
        <v>320</v>
      </c>
      <c r="W1038" s="48" t="s">
        <v>320</v>
      </c>
      <c r="X1038" s="48" t="s">
        <v>320</v>
      </c>
      <c r="Y1038" s="48" t="s">
        <v>320</v>
      </c>
      <c r="Z1038" s="48" t="s">
        <v>320</v>
      </c>
      <c r="AA1038" s="48" t="s">
        <v>320</v>
      </c>
      <c r="AB1038" s="48" t="s">
        <v>320</v>
      </c>
      <c r="AC1038" s="48" t="s">
        <v>320</v>
      </c>
      <c r="AD1038" s="48">
        <v>0.29166666666666669</v>
      </c>
      <c r="AE1038" s="48">
        <v>0.29166666666666669</v>
      </c>
      <c r="AF1038" s="48">
        <v>0.29166666666666669</v>
      </c>
      <c r="AG1038" s="48">
        <v>0.29166666666666669</v>
      </c>
      <c r="AH1038" s="48">
        <v>0.29166666666666669</v>
      </c>
      <c r="AI1038" s="48">
        <v>0.29166666666666669</v>
      </c>
      <c r="AJ1038" s="48">
        <v>0.29166666666666669</v>
      </c>
      <c r="AK1038" s="48">
        <v>0.29166666666666669</v>
      </c>
      <c r="AL1038" s="48">
        <v>0.29166666666666669</v>
      </c>
    </row>
    <row r="1039" spans="1:41" hidden="1" x14ac:dyDescent="0.25">
      <c r="A1039">
        <v>1038</v>
      </c>
      <c r="B1039">
        <v>2025</v>
      </c>
      <c r="C1039">
        <v>7</v>
      </c>
      <c r="D1039" t="s">
        <v>504</v>
      </c>
      <c r="E1039">
        <v>100</v>
      </c>
      <c r="F1039">
        <v>1</v>
      </c>
      <c r="G1039" t="s">
        <v>431</v>
      </c>
      <c r="H1039" s="48" t="s">
        <v>320</v>
      </c>
      <c r="I1039" s="48" t="s">
        <v>320</v>
      </c>
      <c r="J1039" s="48" t="s">
        <v>320</v>
      </c>
      <c r="K1039" s="48" t="s">
        <v>320</v>
      </c>
      <c r="L1039" s="48" t="s">
        <v>320</v>
      </c>
      <c r="M1039" s="48" t="s">
        <v>320</v>
      </c>
      <c r="N1039" s="48" t="s">
        <v>320</v>
      </c>
      <c r="O1039" s="48" t="s">
        <v>320</v>
      </c>
      <c r="P1039" s="48" t="s">
        <v>320</v>
      </c>
      <c r="Q1039" s="48" t="s">
        <v>320</v>
      </c>
      <c r="R1039" s="48" t="s">
        <v>320</v>
      </c>
      <c r="S1039" s="48" t="s">
        <v>320</v>
      </c>
      <c r="T1039" s="48" t="s">
        <v>320</v>
      </c>
      <c r="U1039" s="48" t="s">
        <v>320</v>
      </c>
      <c r="V1039" s="48" t="s">
        <v>320</v>
      </c>
      <c r="W1039" s="48" t="s">
        <v>320</v>
      </c>
      <c r="X1039" s="48" t="s">
        <v>320</v>
      </c>
      <c r="Y1039" s="48" t="s">
        <v>320</v>
      </c>
      <c r="Z1039" s="48" t="s">
        <v>320</v>
      </c>
      <c r="AA1039" s="48" t="s">
        <v>320</v>
      </c>
      <c r="AB1039" s="48" t="s">
        <v>320</v>
      </c>
      <c r="AC1039" s="48" t="s">
        <v>320</v>
      </c>
      <c r="AD1039" s="48">
        <v>0.75</v>
      </c>
      <c r="AE1039" s="48">
        <v>0.75</v>
      </c>
      <c r="AF1039" s="48">
        <v>0.75</v>
      </c>
      <c r="AG1039" s="48">
        <v>0.75</v>
      </c>
      <c r="AH1039" s="48">
        <v>0.75</v>
      </c>
      <c r="AI1039" s="48">
        <v>0.75</v>
      </c>
      <c r="AJ1039" s="48">
        <v>0.75</v>
      </c>
      <c r="AK1039" s="48">
        <v>0.75</v>
      </c>
      <c r="AL1039" s="48">
        <v>0.75</v>
      </c>
      <c r="AM1039">
        <v>9</v>
      </c>
    </row>
    <row r="1040" spans="1:41" hidden="1" x14ac:dyDescent="0.25">
      <c r="A1040">
        <v>1039</v>
      </c>
      <c r="B1040">
        <v>2025</v>
      </c>
      <c r="C1040">
        <v>8</v>
      </c>
      <c r="D1040" t="s">
        <v>504</v>
      </c>
      <c r="E1040">
        <v>100</v>
      </c>
      <c r="F1040">
        <v>2</v>
      </c>
      <c r="G1040" t="s">
        <v>430</v>
      </c>
      <c r="H1040" s="48">
        <v>0.29166666666666669</v>
      </c>
      <c r="I1040" s="48">
        <v>0.29166666666666669</v>
      </c>
      <c r="J1040" s="48">
        <v>0.29166666666666669</v>
      </c>
      <c r="K1040" s="48">
        <v>0.29166666666666669</v>
      </c>
      <c r="L1040" s="48">
        <v>0.29166666666666669</v>
      </c>
      <c r="M1040" s="48">
        <v>0.29166666666666669</v>
      </c>
      <c r="N1040" s="48">
        <v>0.29166666666666669</v>
      </c>
      <c r="O1040" s="48">
        <v>0.29166666666666669</v>
      </c>
      <c r="P1040" s="48">
        <v>0.29166666666666669</v>
      </c>
      <c r="Q1040" s="48" t="s">
        <v>320</v>
      </c>
      <c r="R1040" s="48">
        <v>0.29166666666666669</v>
      </c>
      <c r="S1040" s="48">
        <v>0.29166666666666669</v>
      </c>
      <c r="T1040" s="48">
        <v>0.29166666666666669</v>
      </c>
      <c r="U1040" s="48">
        <v>0.29166666666666669</v>
      </c>
      <c r="V1040" s="48">
        <v>0.29166666666666669</v>
      </c>
      <c r="W1040" s="48">
        <v>0.29166666666666669</v>
      </c>
      <c r="X1040" s="48">
        <v>0.29166666666666669</v>
      </c>
      <c r="Y1040" s="48">
        <v>0.29166666666666669</v>
      </c>
      <c r="Z1040" s="48">
        <v>0.29166666666666669</v>
      </c>
      <c r="AA1040" s="48">
        <v>0.29166666666666669</v>
      </c>
      <c r="AB1040" s="48">
        <v>0.29166666666666669</v>
      </c>
      <c r="AC1040" s="48">
        <v>0.29166666666666669</v>
      </c>
      <c r="AD1040" s="48">
        <v>0.29166666666666669</v>
      </c>
      <c r="AE1040" s="48" t="s">
        <v>320</v>
      </c>
      <c r="AF1040" s="48">
        <v>0.29166666666666669</v>
      </c>
      <c r="AG1040" s="48">
        <v>0.29166666666666669</v>
      </c>
      <c r="AH1040" s="48">
        <v>0.29166666666666669</v>
      </c>
      <c r="AI1040" s="48">
        <v>0.29166666666666669</v>
      </c>
      <c r="AJ1040" s="48" t="s">
        <v>320</v>
      </c>
      <c r="AK1040" s="48" t="s">
        <v>320</v>
      </c>
      <c r="AL1040" s="48">
        <v>0.29166666666666669</v>
      </c>
    </row>
    <row r="1041" spans="1:41" hidden="1" x14ac:dyDescent="0.25">
      <c r="A1041">
        <v>1040</v>
      </c>
      <c r="B1041">
        <v>2025</v>
      </c>
      <c r="C1041">
        <v>8</v>
      </c>
      <c r="D1041" t="s">
        <v>504</v>
      </c>
      <c r="E1041">
        <v>100</v>
      </c>
      <c r="F1041">
        <v>2</v>
      </c>
      <c r="G1041" t="s">
        <v>431</v>
      </c>
      <c r="H1041" s="48">
        <v>0.75</v>
      </c>
      <c r="I1041" s="48">
        <v>0.75</v>
      </c>
      <c r="J1041" s="48">
        <v>0.75</v>
      </c>
      <c r="K1041" s="48">
        <v>0.75</v>
      </c>
      <c r="L1041" s="48">
        <v>0.75</v>
      </c>
      <c r="M1041" s="48">
        <v>0.75</v>
      </c>
      <c r="N1041" s="48">
        <v>0.75</v>
      </c>
      <c r="O1041" s="48">
        <v>0.75</v>
      </c>
      <c r="P1041" s="48">
        <v>0.75</v>
      </c>
      <c r="Q1041" s="48" t="s">
        <v>320</v>
      </c>
      <c r="R1041" s="48">
        <v>0.75</v>
      </c>
      <c r="S1041" s="48">
        <v>0.75</v>
      </c>
      <c r="T1041" s="48">
        <v>0.75</v>
      </c>
      <c r="U1041" s="48">
        <v>0.75</v>
      </c>
      <c r="V1041" s="48">
        <v>0.75</v>
      </c>
      <c r="W1041" s="48">
        <v>0.75</v>
      </c>
      <c r="X1041" s="48">
        <v>0.75</v>
      </c>
      <c r="Y1041" s="48">
        <v>0.75</v>
      </c>
      <c r="Z1041" s="48">
        <v>0.75</v>
      </c>
      <c r="AA1041" s="48">
        <v>0.75</v>
      </c>
      <c r="AB1041" s="48">
        <v>0.75</v>
      </c>
      <c r="AC1041" s="48">
        <v>0.75</v>
      </c>
      <c r="AD1041" s="48">
        <v>0.75</v>
      </c>
      <c r="AE1041" s="48" t="s">
        <v>320</v>
      </c>
      <c r="AF1041" s="48">
        <v>0.75</v>
      </c>
      <c r="AG1041" s="48">
        <v>0.75</v>
      </c>
      <c r="AH1041" s="48">
        <v>0.75</v>
      </c>
      <c r="AI1041" s="48">
        <v>0.75</v>
      </c>
      <c r="AJ1041" s="48" t="s">
        <v>320</v>
      </c>
      <c r="AK1041" s="48" t="s">
        <v>320</v>
      </c>
      <c r="AL1041" s="48">
        <v>0.75</v>
      </c>
      <c r="AM1041">
        <v>27</v>
      </c>
    </row>
    <row r="1042" spans="1:41" hidden="1" x14ac:dyDescent="0.25">
      <c r="A1042">
        <v>1041</v>
      </c>
      <c r="B1042">
        <v>2025</v>
      </c>
      <c r="C1042">
        <v>9</v>
      </c>
      <c r="D1042" t="s">
        <v>504</v>
      </c>
      <c r="E1042">
        <v>100</v>
      </c>
      <c r="F1042">
        <v>3</v>
      </c>
      <c r="G1042" t="s">
        <v>430</v>
      </c>
      <c r="H1042" s="48">
        <v>0.29166666666666669</v>
      </c>
      <c r="I1042" s="48">
        <v>0.29166666666666669</v>
      </c>
      <c r="J1042" s="48">
        <v>0.29166666666666669</v>
      </c>
      <c r="K1042" s="48">
        <v>0.29166666666666669</v>
      </c>
      <c r="L1042" s="48">
        <v>0.29166666666666669</v>
      </c>
      <c r="M1042" s="48">
        <v>0.29166666666666669</v>
      </c>
      <c r="N1042" s="48" t="s">
        <v>320</v>
      </c>
      <c r="O1042" s="48">
        <v>0.29166666666666669</v>
      </c>
      <c r="P1042" s="48">
        <v>0.29166666666666669</v>
      </c>
      <c r="Q1042" s="48" t="s">
        <v>320</v>
      </c>
      <c r="R1042" s="48">
        <v>0.29166666666666669</v>
      </c>
      <c r="S1042" s="48">
        <v>0.29166666666666669</v>
      </c>
      <c r="T1042" s="48">
        <v>0.29166666666666669</v>
      </c>
      <c r="U1042" s="48" t="s">
        <v>320</v>
      </c>
      <c r="V1042" s="48">
        <v>0.29166666666666669</v>
      </c>
      <c r="W1042" s="48">
        <v>0.29166666666666669</v>
      </c>
      <c r="X1042" s="48">
        <v>0.29166666666666669</v>
      </c>
      <c r="Y1042" s="48">
        <v>0.29166666666666669</v>
      </c>
      <c r="Z1042" s="48">
        <v>0.29166666666666669</v>
      </c>
      <c r="AA1042" s="48">
        <v>0.29166666666666669</v>
      </c>
      <c r="AB1042" s="48">
        <v>0.29166666666666669</v>
      </c>
      <c r="AC1042" s="48">
        <v>0.29166666666666669</v>
      </c>
      <c r="AD1042" s="48">
        <v>0.29166666666666669</v>
      </c>
      <c r="AE1042" s="48">
        <v>0.29166666666666669</v>
      </c>
      <c r="AF1042" s="48">
        <v>0.29166666666666669</v>
      </c>
      <c r="AG1042" s="48">
        <v>0.29166666666666669</v>
      </c>
      <c r="AH1042" s="48">
        <v>0.29166666666666669</v>
      </c>
      <c r="AI1042" s="48" t="s">
        <v>320</v>
      </c>
      <c r="AJ1042" s="48">
        <v>0.29166666666666669</v>
      </c>
      <c r="AK1042" s="48">
        <v>0.29166666666666669</v>
      </c>
      <c r="AL1042" s="48" t="s">
        <v>320</v>
      </c>
    </row>
    <row r="1043" spans="1:41" hidden="1" x14ac:dyDescent="0.25">
      <c r="A1043">
        <v>1042</v>
      </c>
      <c r="B1043">
        <v>2025</v>
      </c>
      <c r="C1043">
        <v>9</v>
      </c>
      <c r="D1043" t="s">
        <v>504</v>
      </c>
      <c r="E1043">
        <v>100</v>
      </c>
      <c r="F1043">
        <v>3</v>
      </c>
      <c r="G1043" t="s">
        <v>431</v>
      </c>
      <c r="H1043" s="48">
        <v>0.75</v>
      </c>
      <c r="I1043" s="48">
        <v>0.75</v>
      </c>
      <c r="J1043" s="48">
        <v>0.75</v>
      </c>
      <c r="K1043" s="48">
        <v>0.75</v>
      </c>
      <c r="L1043" s="48">
        <v>0.75</v>
      </c>
      <c r="M1043" s="48">
        <v>0.75</v>
      </c>
      <c r="N1043" s="48" t="s">
        <v>320</v>
      </c>
      <c r="O1043" s="48">
        <v>0.75</v>
      </c>
      <c r="P1043" s="48">
        <v>0.75</v>
      </c>
      <c r="Q1043" s="48" t="s">
        <v>320</v>
      </c>
      <c r="R1043" s="48">
        <v>0.75</v>
      </c>
      <c r="S1043" s="48">
        <v>0.75</v>
      </c>
      <c r="T1043" s="48">
        <v>0.75</v>
      </c>
      <c r="U1043" s="48" t="s">
        <v>320</v>
      </c>
      <c r="V1043" s="48">
        <v>0.75</v>
      </c>
      <c r="W1043" s="48">
        <v>0.75</v>
      </c>
      <c r="X1043" s="48">
        <v>0.75</v>
      </c>
      <c r="Y1043" s="48">
        <v>0.75</v>
      </c>
      <c r="Z1043" s="48">
        <v>0.75</v>
      </c>
      <c r="AA1043" s="48">
        <v>0.75</v>
      </c>
      <c r="AB1043" s="48">
        <v>0.75</v>
      </c>
      <c r="AC1043" s="48">
        <v>0.75</v>
      </c>
      <c r="AD1043" s="48">
        <v>0.75</v>
      </c>
      <c r="AE1043" s="48">
        <v>0.75</v>
      </c>
      <c r="AF1043" s="48">
        <v>0.75</v>
      </c>
      <c r="AG1043" s="48">
        <v>0.75</v>
      </c>
      <c r="AH1043" s="48">
        <v>0.75</v>
      </c>
      <c r="AI1043" s="48" t="s">
        <v>320</v>
      </c>
      <c r="AJ1043" s="48">
        <v>0.75</v>
      </c>
      <c r="AK1043" s="48">
        <v>0.75</v>
      </c>
      <c r="AL1043" s="48" t="s">
        <v>320</v>
      </c>
      <c r="AM1043">
        <v>26</v>
      </c>
    </row>
    <row r="1044" spans="1:41" hidden="1" x14ac:dyDescent="0.25">
      <c r="A1044">
        <v>1043</v>
      </c>
      <c r="B1044">
        <v>2025</v>
      </c>
      <c r="C1044">
        <v>10</v>
      </c>
      <c r="D1044" t="s">
        <v>504</v>
      </c>
      <c r="E1044">
        <v>100</v>
      </c>
      <c r="F1044">
        <v>4</v>
      </c>
      <c r="G1044" t="s">
        <v>430</v>
      </c>
      <c r="H1044" s="48">
        <v>0.29166666666666669</v>
      </c>
      <c r="I1044" s="48">
        <v>0.29166666666666669</v>
      </c>
      <c r="J1044" s="48">
        <v>0.29166666666666669</v>
      </c>
      <c r="K1044" s="48">
        <v>0.29166666666666669</v>
      </c>
      <c r="L1044" s="48">
        <v>0.29166666666666669</v>
      </c>
      <c r="M1044" s="48">
        <v>0.29166666666666669</v>
      </c>
      <c r="N1044" s="48">
        <v>0.29166666666666669</v>
      </c>
      <c r="O1044" s="48">
        <v>0.29166666666666669</v>
      </c>
      <c r="P1044" s="48">
        <v>0.29166666666666669</v>
      </c>
      <c r="Q1044" s="48">
        <v>0.29166666666666669</v>
      </c>
      <c r="R1044" s="48">
        <v>0.29166666666666669</v>
      </c>
      <c r="S1044" s="48" t="s">
        <v>320</v>
      </c>
      <c r="T1044" s="48">
        <v>0.29166666666666669</v>
      </c>
      <c r="U1044" s="48">
        <v>0.29166666666666669</v>
      </c>
      <c r="V1044" s="48">
        <v>0.29166666666666669</v>
      </c>
      <c r="W1044" s="48">
        <v>0.29166666666666669</v>
      </c>
      <c r="X1044" s="48">
        <v>0.29166666666666669</v>
      </c>
      <c r="Y1044" s="48">
        <v>0.29166666666666669</v>
      </c>
      <c r="Z1044" s="48">
        <v>0.29166666666666669</v>
      </c>
      <c r="AA1044" s="48">
        <v>0.29166666666666669</v>
      </c>
      <c r="AB1044" s="48">
        <v>0.29166666666666669</v>
      </c>
      <c r="AC1044" s="48">
        <v>0.29166666666666669</v>
      </c>
      <c r="AD1044" s="48">
        <v>0.29166666666666669</v>
      </c>
      <c r="AE1044" s="48">
        <v>0.29166666666666669</v>
      </c>
      <c r="AF1044" s="48">
        <v>0.29166666666666669</v>
      </c>
      <c r="AG1044" s="48" t="s">
        <v>320</v>
      </c>
      <c r="AH1044" s="48">
        <v>0.29166666666666669</v>
      </c>
      <c r="AI1044" s="48">
        <v>0.29166666666666669</v>
      </c>
      <c r="AJ1044" s="48">
        <v>0.29166666666666669</v>
      </c>
      <c r="AK1044" s="48">
        <v>0.29166666666666669</v>
      </c>
      <c r="AL1044" s="48">
        <v>0.29166666666666669</v>
      </c>
    </row>
    <row r="1045" spans="1:41" hidden="1" x14ac:dyDescent="0.25">
      <c r="A1045">
        <v>1044</v>
      </c>
      <c r="B1045">
        <v>2025</v>
      </c>
      <c r="C1045">
        <v>10</v>
      </c>
      <c r="D1045" t="s">
        <v>504</v>
      </c>
      <c r="E1045">
        <v>100</v>
      </c>
      <c r="F1045">
        <v>4</v>
      </c>
      <c r="G1045" t="s">
        <v>431</v>
      </c>
      <c r="H1045" s="48">
        <v>0.75</v>
      </c>
      <c r="I1045" s="48">
        <v>0.75</v>
      </c>
      <c r="J1045" s="48">
        <v>0.75</v>
      </c>
      <c r="K1045" s="48">
        <v>0.75</v>
      </c>
      <c r="L1045" s="48">
        <v>0.75</v>
      </c>
      <c r="M1045" s="48">
        <v>0.75</v>
      </c>
      <c r="N1045" s="48">
        <v>0.75</v>
      </c>
      <c r="O1045" s="48">
        <v>0.75</v>
      </c>
      <c r="P1045" s="48">
        <v>0.75</v>
      </c>
      <c r="Q1045" s="48">
        <v>0.75</v>
      </c>
      <c r="R1045" s="48">
        <v>0.75</v>
      </c>
      <c r="S1045" s="48" t="s">
        <v>320</v>
      </c>
      <c r="T1045" s="48">
        <v>0.75</v>
      </c>
      <c r="U1045" s="48">
        <v>0.75</v>
      </c>
      <c r="V1045" s="48">
        <v>0.75</v>
      </c>
      <c r="W1045" s="48">
        <v>0.75</v>
      </c>
      <c r="X1045" s="48">
        <v>0.75</v>
      </c>
      <c r="Y1045" s="48">
        <v>0.75</v>
      </c>
      <c r="Z1045" s="48">
        <v>0.75</v>
      </c>
      <c r="AA1045" s="48">
        <v>0.75</v>
      </c>
      <c r="AB1045" s="48">
        <v>0.75</v>
      </c>
      <c r="AC1045" s="48">
        <v>0.75</v>
      </c>
      <c r="AD1045" s="48">
        <v>0.75</v>
      </c>
      <c r="AE1045" s="48">
        <v>0.75</v>
      </c>
      <c r="AF1045" s="48">
        <v>0.75</v>
      </c>
      <c r="AG1045" s="48" t="s">
        <v>320</v>
      </c>
      <c r="AH1045" s="48">
        <v>0.75</v>
      </c>
      <c r="AI1045" s="48">
        <v>0.75</v>
      </c>
      <c r="AJ1045" s="48">
        <v>0.75</v>
      </c>
      <c r="AK1045" s="48">
        <v>0.75</v>
      </c>
      <c r="AL1045" s="48">
        <v>0.75</v>
      </c>
      <c r="AM1045">
        <v>29</v>
      </c>
    </row>
    <row r="1046" spans="1:41" hidden="1" x14ac:dyDescent="0.25">
      <c r="A1046">
        <v>1045</v>
      </c>
      <c r="B1046">
        <v>2025</v>
      </c>
      <c r="C1046">
        <v>11</v>
      </c>
      <c r="D1046" t="s">
        <v>504</v>
      </c>
      <c r="E1046">
        <v>100</v>
      </c>
      <c r="F1046">
        <v>5</v>
      </c>
      <c r="G1046" t="s">
        <v>430</v>
      </c>
      <c r="H1046" s="48">
        <v>0.29166666666666669</v>
      </c>
      <c r="I1046" s="48">
        <v>0.29166666666666669</v>
      </c>
      <c r="J1046" s="48">
        <v>0.29166666666666669</v>
      </c>
      <c r="K1046" s="48">
        <v>0.29166666666666669</v>
      </c>
      <c r="L1046" s="48">
        <v>0.29166666666666669</v>
      </c>
      <c r="M1046" s="48">
        <v>0.29166666666666669</v>
      </c>
      <c r="N1046" s="48">
        <v>0.29166666666666669</v>
      </c>
      <c r="O1046" s="48">
        <v>0.29166666666666669</v>
      </c>
      <c r="P1046" s="48" t="s">
        <v>320</v>
      </c>
      <c r="Q1046" s="48">
        <v>0.29166666666666669</v>
      </c>
      <c r="R1046" s="48">
        <v>0.29166666666666669</v>
      </c>
      <c r="S1046" s="48">
        <v>0.29166666666666669</v>
      </c>
      <c r="T1046" s="48">
        <v>0.29166666666666669</v>
      </c>
      <c r="U1046" s="48">
        <v>0.29166666666666669</v>
      </c>
      <c r="V1046" s="48">
        <v>0.29166666666666669</v>
      </c>
      <c r="W1046" s="48">
        <v>0.29166666666666669</v>
      </c>
      <c r="X1046" s="48">
        <v>0.29166666666666669</v>
      </c>
      <c r="Y1046" s="48">
        <v>0.29166666666666669</v>
      </c>
      <c r="Z1046" s="48">
        <v>0.29166666666666669</v>
      </c>
      <c r="AA1046" s="48">
        <v>0.29166666666666669</v>
      </c>
      <c r="AB1046" s="48">
        <v>0.29166666666666669</v>
      </c>
      <c r="AC1046" s="48">
        <v>0.29166666666666669</v>
      </c>
      <c r="AD1046" s="48" t="s">
        <v>320</v>
      </c>
      <c r="AE1046" s="48">
        <v>0.29166666666666669</v>
      </c>
      <c r="AF1046" s="48">
        <v>0.29166666666666669</v>
      </c>
      <c r="AG1046" s="48">
        <v>0.29166666666666669</v>
      </c>
      <c r="AH1046" s="48">
        <v>0.29166666666666669</v>
      </c>
      <c r="AI1046" s="48">
        <v>0.29166666666666669</v>
      </c>
      <c r="AJ1046" s="48">
        <v>0.29166666666666669</v>
      </c>
      <c r="AK1046" s="48">
        <v>0.29166666666666669</v>
      </c>
      <c r="AL1046" s="48" t="s">
        <v>320</v>
      </c>
    </row>
    <row r="1047" spans="1:41" hidden="1" x14ac:dyDescent="0.25">
      <c r="A1047">
        <v>1046</v>
      </c>
      <c r="B1047">
        <v>2025</v>
      </c>
      <c r="C1047">
        <v>11</v>
      </c>
      <c r="D1047" t="s">
        <v>504</v>
      </c>
      <c r="E1047">
        <v>100</v>
      </c>
      <c r="F1047">
        <v>5</v>
      </c>
      <c r="G1047" t="s">
        <v>431</v>
      </c>
      <c r="H1047" s="48">
        <v>0.75</v>
      </c>
      <c r="I1047" s="48">
        <v>0.75</v>
      </c>
      <c r="J1047" s="48">
        <v>0.75</v>
      </c>
      <c r="K1047" s="48">
        <v>0.75</v>
      </c>
      <c r="L1047" s="48">
        <v>0.75</v>
      </c>
      <c r="M1047" s="48">
        <v>0.75</v>
      </c>
      <c r="N1047" s="48">
        <v>0.75</v>
      </c>
      <c r="O1047" s="48">
        <v>0.75</v>
      </c>
      <c r="P1047" s="48" t="s">
        <v>320</v>
      </c>
      <c r="Q1047" s="48">
        <v>0.75</v>
      </c>
      <c r="R1047" s="48">
        <v>0.75</v>
      </c>
      <c r="S1047" s="48">
        <v>0.75</v>
      </c>
      <c r="T1047" s="48">
        <v>0.75</v>
      </c>
      <c r="U1047" s="48">
        <v>0.75</v>
      </c>
      <c r="V1047" s="48">
        <v>0.75</v>
      </c>
      <c r="W1047" s="48">
        <v>0.75</v>
      </c>
      <c r="X1047" s="48">
        <v>0.75</v>
      </c>
      <c r="Y1047" s="48">
        <v>0.75</v>
      </c>
      <c r="Z1047" s="48">
        <v>0.75</v>
      </c>
      <c r="AA1047" s="48">
        <v>0.75</v>
      </c>
      <c r="AB1047" s="48">
        <v>0.75</v>
      </c>
      <c r="AC1047" s="48">
        <v>0.75</v>
      </c>
      <c r="AD1047" s="48" t="s">
        <v>320</v>
      </c>
      <c r="AE1047" s="48">
        <v>0.75</v>
      </c>
      <c r="AF1047" s="48">
        <v>0.75</v>
      </c>
      <c r="AG1047" s="48">
        <v>0.75</v>
      </c>
      <c r="AH1047" s="48">
        <v>0.75</v>
      </c>
      <c r="AI1047" s="48">
        <v>0.75</v>
      </c>
      <c r="AJ1047" s="48">
        <v>0.75</v>
      </c>
      <c r="AK1047" s="48">
        <v>0.75</v>
      </c>
      <c r="AL1047" s="48" t="s">
        <v>320</v>
      </c>
      <c r="AM1047">
        <v>28</v>
      </c>
    </row>
    <row r="1048" spans="1:41" hidden="1" x14ac:dyDescent="0.25">
      <c r="A1048">
        <v>1047</v>
      </c>
      <c r="B1048">
        <v>2025</v>
      </c>
      <c r="C1048">
        <v>8</v>
      </c>
      <c r="D1048" t="s">
        <v>509</v>
      </c>
      <c r="E1048">
        <v>102</v>
      </c>
      <c r="F1048">
        <v>1</v>
      </c>
      <c r="G1048" t="s">
        <v>430</v>
      </c>
      <c r="H1048" s="48" t="s">
        <v>320</v>
      </c>
      <c r="I1048" s="48" t="s">
        <v>320</v>
      </c>
      <c r="J1048" s="48" t="s">
        <v>320</v>
      </c>
      <c r="K1048" s="48" t="s">
        <v>320</v>
      </c>
      <c r="L1048" s="48" t="s">
        <v>320</v>
      </c>
      <c r="M1048" s="48" t="s">
        <v>320</v>
      </c>
      <c r="N1048" s="48" t="s">
        <v>320</v>
      </c>
      <c r="O1048" s="48" t="s">
        <v>320</v>
      </c>
      <c r="P1048" s="48" t="s">
        <v>320</v>
      </c>
      <c r="Q1048" s="48" t="s">
        <v>320</v>
      </c>
      <c r="R1048" s="48" t="s">
        <v>320</v>
      </c>
      <c r="S1048" s="48" t="s">
        <v>320</v>
      </c>
      <c r="T1048" s="48" t="s">
        <v>320</v>
      </c>
      <c r="U1048" s="48" t="s">
        <v>320</v>
      </c>
      <c r="V1048" s="48" t="s">
        <v>320</v>
      </c>
      <c r="W1048" s="48" t="s">
        <v>320</v>
      </c>
      <c r="X1048" s="48" t="s">
        <v>320</v>
      </c>
      <c r="Y1048" s="48" t="s">
        <v>320</v>
      </c>
      <c r="Z1048" s="48" t="s">
        <v>320</v>
      </c>
      <c r="AA1048" s="48" t="s">
        <v>320</v>
      </c>
      <c r="AB1048" s="48" t="s">
        <v>320</v>
      </c>
      <c r="AC1048" s="48" t="s">
        <v>320</v>
      </c>
      <c r="AD1048" s="48" t="s">
        <v>320</v>
      </c>
      <c r="AE1048" s="48" t="s">
        <v>320</v>
      </c>
      <c r="AF1048" s="48" t="s">
        <v>320</v>
      </c>
      <c r="AG1048" s="48" t="s">
        <v>320</v>
      </c>
      <c r="AH1048" s="48">
        <v>0.33333333333333331</v>
      </c>
      <c r="AI1048" s="48">
        <v>0.33333333333333331</v>
      </c>
      <c r="AJ1048" s="48">
        <v>0.33333333333333331</v>
      </c>
      <c r="AK1048" s="48">
        <v>0.33333333333333331</v>
      </c>
      <c r="AL1048" s="48">
        <v>0.33333333333333331</v>
      </c>
    </row>
    <row r="1049" spans="1:41" hidden="1" x14ac:dyDescent="0.25">
      <c r="A1049">
        <v>1048</v>
      </c>
      <c r="B1049">
        <v>2025</v>
      </c>
      <c r="C1049">
        <v>8</v>
      </c>
      <c r="D1049" t="s">
        <v>509</v>
      </c>
      <c r="E1049">
        <v>102</v>
      </c>
      <c r="F1049">
        <v>1</v>
      </c>
      <c r="G1049" t="s">
        <v>431</v>
      </c>
      <c r="H1049" s="48" t="s">
        <v>320</v>
      </c>
      <c r="I1049" s="48" t="s">
        <v>320</v>
      </c>
      <c r="J1049" s="48" t="s">
        <v>320</v>
      </c>
      <c r="K1049" s="48" t="s">
        <v>320</v>
      </c>
      <c r="L1049" s="48" t="s">
        <v>320</v>
      </c>
      <c r="M1049" s="48" t="s">
        <v>320</v>
      </c>
      <c r="N1049" s="48" t="s">
        <v>320</v>
      </c>
      <c r="O1049" s="48" t="s">
        <v>320</v>
      </c>
      <c r="P1049" s="48" t="s">
        <v>320</v>
      </c>
      <c r="Q1049" s="48" t="s">
        <v>320</v>
      </c>
      <c r="R1049" s="48" t="s">
        <v>320</v>
      </c>
      <c r="S1049" s="48" t="s">
        <v>320</v>
      </c>
      <c r="T1049" s="48" t="s">
        <v>320</v>
      </c>
      <c r="U1049" s="48" t="s">
        <v>320</v>
      </c>
      <c r="V1049" s="48" t="s">
        <v>320</v>
      </c>
      <c r="W1049" s="48" t="s">
        <v>320</v>
      </c>
      <c r="X1049" s="48" t="s">
        <v>320</v>
      </c>
      <c r="Y1049" s="48" t="s">
        <v>320</v>
      </c>
      <c r="Z1049" s="48" t="s">
        <v>320</v>
      </c>
      <c r="AA1049" s="48" t="s">
        <v>320</v>
      </c>
      <c r="AB1049" s="48" t="s">
        <v>320</v>
      </c>
      <c r="AC1049" s="48" t="s">
        <v>320</v>
      </c>
      <c r="AD1049" s="48" t="s">
        <v>320</v>
      </c>
      <c r="AE1049" s="48" t="s">
        <v>320</v>
      </c>
      <c r="AF1049" s="48" t="s">
        <v>320</v>
      </c>
      <c r="AG1049" s="48" t="s">
        <v>320</v>
      </c>
      <c r="AH1049" s="48">
        <v>0.75</v>
      </c>
      <c r="AI1049" s="48">
        <v>0.75</v>
      </c>
      <c r="AJ1049" s="48">
        <v>0.75</v>
      </c>
      <c r="AK1049" s="48">
        <v>0.75</v>
      </c>
      <c r="AL1049" s="48">
        <v>0.75</v>
      </c>
      <c r="AM1049">
        <v>5</v>
      </c>
    </row>
    <row r="1050" spans="1:41" hidden="1" x14ac:dyDescent="0.25">
      <c r="A1050">
        <v>1049</v>
      </c>
      <c r="B1050">
        <v>2025</v>
      </c>
      <c r="C1050">
        <v>9</v>
      </c>
      <c r="D1050" t="s">
        <v>509</v>
      </c>
      <c r="E1050">
        <v>102</v>
      </c>
      <c r="F1050">
        <v>2</v>
      </c>
      <c r="G1050" t="s">
        <v>430</v>
      </c>
      <c r="H1050" s="48">
        <v>0.29166666666666669</v>
      </c>
      <c r="I1050" s="48">
        <v>0.29166666666666669</v>
      </c>
      <c r="J1050" s="48">
        <v>0.29166666666666669</v>
      </c>
      <c r="K1050" s="48">
        <v>0.29166666666666669</v>
      </c>
      <c r="L1050" s="48">
        <v>0.29166666666666669</v>
      </c>
      <c r="M1050" s="48">
        <v>0.29166666666666669</v>
      </c>
      <c r="N1050" s="48">
        <v>0.29166666666666669</v>
      </c>
      <c r="O1050" s="48" t="s">
        <v>320</v>
      </c>
      <c r="P1050" s="48">
        <v>0.29166666666666669</v>
      </c>
      <c r="Q1050" s="48">
        <v>0.29166666666666669</v>
      </c>
      <c r="R1050" s="48">
        <v>0.29166666666666669</v>
      </c>
      <c r="S1050" s="48">
        <v>0.29166666666666669</v>
      </c>
      <c r="T1050" s="48">
        <v>0.29166666666666669</v>
      </c>
      <c r="U1050" s="48">
        <v>0.29166666666666669</v>
      </c>
      <c r="V1050" s="48">
        <v>0.29166666666666669</v>
      </c>
      <c r="W1050" s="48">
        <v>0.29166666666666669</v>
      </c>
      <c r="X1050" s="48">
        <v>0.29166666666666669</v>
      </c>
      <c r="Y1050" s="48">
        <v>0.29166666666666669</v>
      </c>
      <c r="Z1050" s="48">
        <v>0.29166666666666669</v>
      </c>
      <c r="AA1050" s="48">
        <v>0.29166666666666669</v>
      </c>
      <c r="AB1050" s="48">
        <v>0.29166666666666669</v>
      </c>
      <c r="AC1050" s="48">
        <v>0.29166666666666669</v>
      </c>
      <c r="AD1050" s="48">
        <v>0.29166666666666669</v>
      </c>
      <c r="AE1050" s="48">
        <v>0.29166666666666669</v>
      </c>
      <c r="AF1050" s="48">
        <v>0.29166666666666669</v>
      </c>
      <c r="AG1050" s="48">
        <v>0.29166666666666669</v>
      </c>
      <c r="AH1050" s="48">
        <v>0.29166666666666669</v>
      </c>
      <c r="AI1050" s="48">
        <v>0.29166666666666669</v>
      </c>
      <c r="AJ1050" s="48">
        <v>0.29166666666666669</v>
      </c>
      <c r="AK1050" s="48">
        <v>0.29166666666666669</v>
      </c>
      <c r="AL1050" s="48" t="s">
        <v>320</v>
      </c>
    </row>
    <row r="1051" spans="1:41" hidden="1" x14ac:dyDescent="0.25">
      <c r="A1051">
        <v>1050</v>
      </c>
      <c r="B1051">
        <v>2025</v>
      </c>
      <c r="C1051">
        <v>9</v>
      </c>
      <c r="D1051" t="s">
        <v>509</v>
      </c>
      <c r="E1051">
        <v>102</v>
      </c>
      <c r="F1051">
        <v>2</v>
      </c>
      <c r="G1051" t="s">
        <v>431</v>
      </c>
      <c r="H1051" s="48">
        <v>0.75</v>
      </c>
      <c r="I1051" s="48">
        <v>0.75</v>
      </c>
      <c r="J1051" s="48">
        <v>0.75</v>
      </c>
      <c r="K1051" s="48">
        <v>0.75</v>
      </c>
      <c r="L1051" s="48">
        <v>0.75</v>
      </c>
      <c r="M1051" s="48">
        <v>0.75</v>
      </c>
      <c r="N1051" s="48">
        <v>0.875</v>
      </c>
      <c r="O1051" s="48" t="s">
        <v>320</v>
      </c>
      <c r="P1051" s="48">
        <v>0.91666666666666674</v>
      </c>
      <c r="Q1051" s="48">
        <v>0.91666666666666674</v>
      </c>
      <c r="R1051" s="48">
        <v>0.75</v>
      </c>
      <c r="S1051" s="48">
        <v>0.75</v>
      </c>
      <c r="T1051" s="48">
        <v>0.75</v>
      </c>
      <c r="U1051" s="48">
        <v>0.75</v>
      </c>
      <c r="V1051" s="48">
        <v>0.91666666666666674</v>
      </c>
      <c r="W1051" s="48">
        <v>0.91666666666666674</v>
      </c>
      <c r="X1051" s="48">
        <v>0.91666666666666674</v>
      </c>
      <c r="Y1051" s="48">
        <v>0.75</v>
      </c>
      <c r="Z1051" s="48">
        <v>0.91666666666666674</v>
      </c>
      <c r="AA1051" s="48">
        <v>0.91666666666666674</v>
      </c>
      <c r="AB1051" s="48">
        <v>0.91666666666666674</v>
      </c>
      <c r="AC1051" s="48">
        <v>0.75</v>
      </c>
      <c r="AD1051" s="48">
        <v>0.75</v>
      </c>
      <c r="AE1051" s="48">
        <v>0.91666666666666674</v>
      </c>
      <c r="AF1051" s="48">
        <v>0.91666666666666674</v>
      </c>
      <c r="AG1051" s="48">
        <v>0.75</v>
      </c>
      <c r="AH1051" s="48">
        <v>0.75</v>
      </c>
      <c r="AI1051" s="48">
        <v>0.75</v>
      </c>
      <c r="AJ1051" s="48">
        <v>0.75</v>
      </c>
      <c r="AK1051" s="48">
        <v>0.75</v>
      </c>
      <c r="AL1051" s="48" t="s">
        <v>320</v>
      </c>
      <c r="AM1051">
        <v>29</v>
      </c>
      <c r="AO1051">
        <v>43</v>
      </c>
    </row>
    <row r="1052" spans="1:41" hidden="1" x14ac:dyDescent="0.25">
      <c r="A1052">
        <v>1051</v>
      </c>
      <c r="B1052">
        <v>2025</v>
      </c>
      <c r="C1052">
        <v>9</v>
      </c>
      <c r="D1052" t="s">
        <v>493</v>
      </c>
      <c r="E1052">
        <v>102</v>
      </c>
      <c r="F1052">
        <v>2</v>
      </c>
      <c r="G1052" t="s">
        <v>430</v>
      </c>
      <c r="H1052" s="48">
        <v>0.29166666666666669</v>
      </c>
      <c r="I1052" s="48">
        <v>0.29166666666666669</v>
      </c>
      <c r="J1052" s="48">
        <v>0.29166666666666669</v>
      </c>
      <c r="K1052" s="48">
        <v>0.29166666666666669</v>
      </c>
      <c r="L1052" s="48">
        <v>0.29166666666666669</v>
      </c>
      <c r="M1052" s="48">
        <v>0.29166666666666669</v>
      </c>
      <c r="N1052" s="48">
        <v>0.29166666666666669</v>
      </c>
      <c r="O1052" s="48" t="s">
        <v>320</v>
      </c>
      <c r="P1052" s="48">
        <v>0.29166666666666669</v>
      </c>
      <c r="Q1052" s="48">
        <v>0.29166666666666669</v>
      </c>
      <c r="R1052" s="48">
        <v>0.29166666666666669</v>
      </c>
      <c r="S1052" s="48">
        <v>0.29166666666666669</v>
      </c>
      <c r="T1052" s="48">
        <v>0.29166666666666669</v>
      </c>
      <c r="U1052" s="48">
        <v>0.29166666666666669</v>
      </c>
      <c r="V1052" s="48">
        <v>0.29166666666666669</v>
      </c>
      <c r="W1052" s="48">
        <v>0.29166666666666669</v>
      </c>
      <c r="X1052" s="48">
        <v>0.29166666666666669</v>
      </c>
      <c r="Y1052" s="48">
        <v>0.29166666666666669</v>
      </c>
      <c r="Z1052" s="48">
        <v>0.29166666666666669</v>
      </c>
      <c r="AA1052" s="48">
        <v>0.29166666666666669</v>
      </c>
      <c r="AB1052" s="48">
        <v>0.29166666666666669</v>
      </c>
      <c r="AC1052" s="48">
        <v>0.29166666666666669</v>
      </c>
      <c r="AD1052" s="48">
        <v>0.29166666666666669</v>
      </c>
      <c r="AE1052" s="48">
        <v>0.29166666666666669</v>
      </c>
      <c r="AF1052" s="48">
        <v>0.29166666666666669</v>
      </c>
      <c r="AG1052" s="48">
        <v>0.29166666666666669</v>
      </c>
      <c r="AH1052" s="48">
        <v>0.29166666666666669</v>
      </c>
      <c r="AI1052" s="48">
        <v>0.29166666666666669</v>
      </c>
      <c r="AJ1052" s="48">
        <v>0.29166666666666669</v>
      </c>
      <c r="AK1052" s="48">
        <v>0.29166666666666669</v>
      </c>
      <c r="AL1052" s="48" t="s">
        <v>320</v>
      </c>
    </row>
    <row r="1053" spans="1:41" hidden="1" x14ac:dyDescent="0.25">
      <c r="A1053">
        <v>1052</v>
      </c>
      <c r="B1053">
        <v>2025</v>
      </c>
      <c r="C1053">
        <v>9</v>
      </c>
      <c r="D1053" t="s">
        <v>493</v>
      </c>
      <c r="E1053">
        <v>102</v>
      </c>
      <c r="F1053">
        <v>2</v>
      </c>
      <c r="G1053" t="s">
        <v>431</v>
      </c>
      <c r="H1053" s="48">
        <v>0.75</v>
      </c>
      <c r="I1053" s="48">
        <v>0.75</v>
      </c>
      <c r="J1053" s="48">
        <v>0.75</v>
      </c>
      <c r="K1053" s="48">
        <v>0.75</v>
      </c>
      <c r="L1053" s="48">
        <v>0.95833333333333326</v>
      </c>
      <c r="M1053" s="48">
        <v>1.1666666666666667</v>
      </c>
      <c r="N1053" s="48">
        <v>0.95833333333333326</v>
      </c>
      <c r="O1053" s="48" t="s">
        <v>320</v>
      </c>
      <c r="P1053" s="48">
        <v>1.1666666666666667</v>
      </c>
      <c r="Q1053" s="48">
        <v>0.95833333333333326</v>
      </c>
      <c r="R1053" s="48">
        <v>0.75</v>
      </c>
      <c r="S1053" s="48">
        <v>0.75</v>
      </c>
      <c r="T1053" s="48">
        <v>0.75</v>
      </c>
      <c r="U1053" s="48">
        <v>0.75</v>
      </c>
      <c r="V1053" s="48">
        <v>0.75</v>
      </c>
      <c r="W1053" s="48">
        <v>0.95833333333333326</v>
      </c>
      <c r="X1053" s="48">
        <v>0.75</v>
      </c>
      <c r="Y1053" s="48">
        <v>0.75</v>
      </c>
      <c r="Z1053" s="48">
        <v>0.95833333333333326</v>
      </c>
      <c r="AA1053" s="48">
        <v>0.75</v>
      </c>
      <c r="AB1053" s="48">
        <v>0.95833333333333326</v>
      </c>
      <c r="AC1053" s="48">
        <v>0.95833333333333326</v>
      </c>
      <c r="AD1053" s="48">
        <v>0.95833333333333326</v>
      </c>
      <c r="AE1053" s="48">
        <v>0.75</v>
      </c>
      <c r="AF1053" s="48">
        <v>0.95833333333333326</v>
      </c>
      <c r="AG1053" s="48">
        <v>0.75</v>
      </c>
      <c r="AH1053" s="48">
        <v>0.75</v>
      </c>
      <c r="AI1053" s="48">
        <v>0.75</v>
      </c>
      <c r="AJ1053" s="48">
        <v>0.75</v>
      </c>
      <c r="AK1053" s="48">
        <v>0.75</v>
      </c>
      <c r="AL1053" s="48" t="s">
        <v>320</v>
      </c>
      <c r="AM1053">
        <v>29</v>
      </c>
      <c r="AO1053">
        <v>65</v>
      </c>
    </row>
    <row r="1054" spans="1:41" hidden="1" x14ac:dyDescent="0.25">
      <c r="A1054">
        <v>1053</v>
      </c>
      <c r="B1054">
        <v>2025</v>
      </c>
      <c r="C1054">
        <v>10</v>
      </c>
      <c r="D1054" t="s">
        <v>509</v>
      </c>
      <c r="E1054">
        <v>102</v>
      </c>
      <c r="F1054">
        <v>3</v>
      </c>
      <c r="G1054" t="s">
        <v>430</v>
      </c>
      <c r="H1054" s="48">
        <v>0.29166666666666669</v>
      </c>
      <c r="I1054" s="48">
        <v>0.29166666666666669</v>
      </c>
      <c r="J1054" s="48">
        <v>0.29166666666666669</v>
      </c>
      <c r="K1054" s="48">
        <v>0.29166666666666669</v>
      </c>
      <c r="L1054" s="48">
        <v>0.29166666666666669</v>
      </c>
      <c r="M1054" s="48">
        <v>0.29166666666666669</v>
      </c>
      <c r="N1054" s="48">
        <v>0.29166666666666669</v>
      </c>
      <c r="O1054" s="48">
        <v>0.29166666666666669</v>
      </c>
      <c r="P1054" s="48">
        <v>0.29166666666666669</v>
      </c>
      <c r="Q1054" s="48">
        <v>0.29166666666666669</v>
      </c>
      <c r="R1054" s="48">
        <v>0.29166666666666669</v>
      </c>
      <c r="S1054" s="48">
        <v>0.29166666666666669</v>
      </c>
      <c r="T1054" s="48">
        <v>0.29166666666666669</v>
      </c>
      <c r="U1054" s="48">
        <v>0.29166666666666669</v>
      </c>
      <c r="V1054" s="48">
        <v>0.29166666666666669</v>
      </c>
      <c r="W1054" s="48">
        <v>0.29166666666666669</v>
      </c>
      <c r="X1054" s="48">
        <v>0.29166666666666669</v>
      </c>
      <c r="Y1054" s="48">
        <v>0.29166666666666669</v>
      </c>
      <c r="Z1054" s="48">
        <v>0.29166666666666669</v>
      </c>
      <c r="AA1054" s="48">
        <v>0.29166666666666669</v>
      </c>
      <c r="AB1054" s="48">
        <v>0.29166666666666669</v>
      </c>
      <c r="AC1054" s="48">
        <v>0.29166666666666669</v>
      </c>
      <c r="AD1054" s="48">
        <v>0.29166666666666669</v>
      </c>
      <c r="AE1054" s="48">
        <v>0.29166666666666669</v>
      </c>
      <c r="AF1054" s="48">
        <v>0.29166666666666669</v>
      </c>
      <c r="AG1054" s="48">
        <v>0.29166666666666669</v>
      </c>
      <c r="AH1054" s="48">
        <v>0.29166666666666669</v>
      </c>
      <c r="AI1054" s="48">
        <v>0.29166666666666669</v>
      </c>
      <c r="AJ1054" s="48">
        <v>0.29166666666666669</v>
      </c>
      <c r="AK1054" s="48">
        <v>0.29166666666666669</v>
      </c>
      <c r="AL1054" s="48">
        <v>0.29166666666666669</v>
      </c>
    </row>
    <row r="1055" spans="1:41" hidden="1" x14ac:dyDescent="0.25">
      <c r="A1055">
        <v>1054</v>
      </c>
      <c r="B1055">
        <v>2025</v>
      </c>
      <c r="C1055">
        <v>10</v>
      </c>
      <c r="D1055" t="s">
        <v>509</v>
      </c>
      <c r="E1055">
        <v>102</v>
      </c>
      <c r="F1055">
        <v>3</v>
      </c>
      <c r="G1055" t="s">
        <v>431</v>
      </c>
      <c r="H1055" s="48">
        <v>0.75</v>
      </c>
      <c r="I1055" s="48">
        <v>0.75</v>
      </c>
      <c r="J1055" s="48">
        <v>0.75</v>
      </c>
      <c r="K1055" s="48">
        <v>0.75</v>
      </c>
      <c r="L1055" s="48">
        <v>0.75</v>
      </c>
      <c r="M1055" s="48">
        <v>0.75</v>
      </c>
      <c r="N1055" s="48">
        <v>0.75</v>
      </c>
      <c r="O1055" s="48">
        <v>0.75</v>
      </c>
      <c r="P1055" s="48">
        <v>0.75</v>
      </c>
      <c r="Q1055" s="48">
        <v>0.75</v>
      </c>
      <c r="R1055" s="48">
        <v>0.75</v>
      </c>
      <c r="S1055" s="48">
        <v>0.75</v>
      </c>
      <c r="T1055" s="48">
        <v>0.75</v>
      </c>
      <c r="U1055" s="48">
        <v>0.75</v>
      </c>
      <c r="V1055" s="48">
        <v>0.75</v>
      </c>
      <c r="W1055" s="48">
        <v>0.75</v>
      </c>
      <c r="X1055" s="48">
        <v>0.75</v>
      </c>
      <c r="Y1055" s="48">
        <v>0.75</v>
      </c>
      <c r="Z1055" s="48">
        <v>0.75</v>
      </c>
      <c r="AA1055" s="48">
        <v>0.75</v>
      </c>
      <c r="AB1055" s="48">
        <v>0.75</v>
      </c>
      <c r="AC1055" s="48">
        <v>0.75</v>
      </c>
      <c r="AD1055" s="48">
        <v>0.75</v>
      </c>
      <c r="AE1055" s="48">
        <v>0.75</v>
      </c>
      <c r="AF1055" s="48">
        <v>0.75</v>
      </c>
      <c r="AG1055" s="48">
        <v>0.75</v>
      </c>
      <c r="AH1055" s="48">
        <v>0.75</v>
      </c>
      <c r="AI1055" s="48">
        <v>0.75</v>
      </c>
      <c r="AJ1055" s="48">
        <v>0.75</v>
      </c>
      <c r="AK1055" s="48">
        <v>0.75</v>
      </c>
      <c r="AL1055" s="48">
        <v>0.75</v>
      </c>
      <c r="AM1055">
        <v>31</v>
      </c>
    </row>
    <row r="1056" spans="1:41" hidden="1" x14ac:dyDescent="0.25">
      <c r="A1056">
        <v>1055</v>
      </c>
      <c r="B1056">
        <v>2025</v>
      </c>
      <c r="C1056">
        <v>10</v>
      </c>
      <c r="D1056" t="s">
        <v>493</v>
      </c>
      <c r="E1056">
        <v>102</v>
      </c>
      <c r="F1056">
        <v>3</v>
      </c>
      <c r="G1056" t="s">
        <v>430</v>
      </c>
      <c r="H1056" s="48">
        <v>0.29166666666666669</v>
      </c>
      <c r="I1056" s="48">
        <v>0.29166666666666669</v>
      </c>
      <c r="J1056" s="48">
        <v>0.29166666666666669</v>
      </c>
      <c r="K1056" s="48">
        <v>0.29166666666666669</v>
      </c>
      <c r="L1056" s="48">
        <v>0.29166666666666669</v>
      </c>
      <c r="M1056" s="48">
        <v>0.29166666666666669</v>
      </c>
      <c r="N1056" s="48">
        <v>0.29166666666666669</v>
      </c>
      <c r="O1056" s="48">
        <v>0.29166666666666669</v>
      </c>
      <c r="P1056" s="48">
        <v>0.29166666666666669</v>
      </c>
      <c r="Q1056" s="48">
        <v>0.29166666666666669</v>
      </c>
      <c r="R1056" s="48">
        <v>0.29166666666666669</v>
      </c>
      <c r="S1056" s="48">
        <v>0.29166666666666669</v>
      </c>
      <c r="T1056" s="48">
        <v>0.29166666666666669</v>
      </c>
      <c r="U1056" s="48">
        <v>0.29166666666666669</v>
      </c>
      <c r="V1056" s="48">
        <v>0.29166666666666669</v>
      </c>
      <c r="W1056" s="48">
        <v>0.29166666666666669</v>
      </c>
      <c r="X1056" s="48">
        <v>0.29166666666666669</v>
      </c>
      <c r="Y1056" s="48">
        <v>0.29166666666666669</v>
      </c>
      <c r="Z1056" s="48">
        <v>0.29166666666666669</v>
      </c>
      <c r="AA1056" s="48">
        <v>0.29166666666666669</v>
      </c>
      <c r="AB1056" s="48">
        <v>0.29166666666666669</v>
      </c>
      <c r="AC1056" s="48">
        <v>0.29166666666666669</v>
      </c>
      <c r="AD1056" s="48">
        <v>0.29166666666666669</v>
      </c>
      <c r="AE1056" s="48">
        <v>0.29166666666666669</v>
      </c>
      <c r="AF1056" s="48">
        <v>0.29166666666666669</v>
      </c>
      <c r="AG1056" s="48">
        <v>0.29166666666666669</v>
      </c>
      <c r="AH1056" s="48">
        <v>0.29166666666666669</v>
      </c>
      <c r="AI1056" s="48">
        <v>0.29166666666666669</v>
      </c>
      <c r="AJ1056" s="48">
        <v>0.29166666666666669</v>
      </c>
      <c r="AK1056" s="48">
        <v>0.29166666666666669</v>
      </c>
      <c r="AL1056" s="48">
        <v>0.29166666666666669</v>
      </c>
    </row>
    <row r="1057" spans="1:41" hidden="1" x14ac:dyDescent="0.25">
      <c r="A1057">
        <v>1056</v>
      </c>
      <c r="B1057">
        <v>2025</v>
      </c>
      <c r="C1057">
        <v>10</v>
      </c>
      <c r="D1057" t="s">
        <v>493</v>
      </c>
      <c r="E1057">
        <v>102</v>
      </c>
      <c r="F1057">
        <v>3</v>
      </c>
      <c r="G1057" t="s">
        <v>431</v>
      </c>
      <c r="H1057" s="48">
        <v>0.75</v>
      </c>
      <c r="I1057" s="48">
        <v>0.95833333333333326</v>
      </c>
      <c r="J1057" s="48">
        <v>0.75</v>
      </c>
      <c r="K1057" s="48">
        <v>0.91666666666666674</v>
      </c>
      <c r="L1057" s="48">
        <v>0.75</v>
      </c>
      <c r="M1057" s="48">
        <v>1</v>
      </c>
      <c r="N1057" s="48">
        <v>0.875</v>
      </c>
      <c r="O1057" s="48">
        <v>0.75</v>
      </c>
      <c r="P1057" s="48">
        <v>0.83333333333333326</v>
      </c>
      <c r="Q1057" s="48">
        <v>0.95833333333333326</v>
      </c>
      <c r="R1057" s="48">
        <v>0.75</v>
      </c>
      <c r="S1057" s="48">
        <v>0.95833333333333326</v>
      </c>
      <c r="T1057" s="48">
        <v>0.75</v>
      </c>
      <c r="U1057" s="48">
        <v>0.875</v>
      </c>
      <c r="V1057" s="48">
        <v>0.95833333333333326</v>
      </c>
      <c r="W1057" s="48">
        <v>0.75</v>
      </c>
      <c r="X1057" s="48">
        <v>0.75</v>
      </c>
      <c r="Y1057" s="48">
        <v>0.75</v>
      </c>
      <c r="Z1057" s="48">
        <v>0.75</v>
      </c>
      <c r="AA1057" s="48">
        <v>0.75</v>
      </c>
      <c r="AB1057" s="48">
        <v>0.75</v>
      </c>
      <c r="AC1057" s="48">
        <v>0.875</v>
      </c>
      <c r="AD1057" s="48">
        <v>0.79166666666666674</v>
      </c>
      <c r="AE1057" s="48">
        <v>0.875</v>
      </c>
      <c r="AF1057" s="48">
        <v>0.875</v>
      </c>
      <c r="AG1057" s="48">
        <v>0.75</v>
      </c>
      <c r="AH1057" s="48">
        <v>0.75</v>
      </c>
      <c r="AI1057" s="48">
        <v>0.875</v>
      </c>
      <c r="AJ1057" s="48">
        <v>0.91666666666666674</v>
      </c>
      <c r="AK1057" s="48">
        <v>0.75</v>
      </c>
      <c r="AL1057" s="48">
        <v>0.75</v>
      </c>
      <c r="AM1057">
        <v>31</v>
      </c>
      <c r="AO1057">
        <v>55</v>
      </c>
    </row>
    <row r="1058" spans="1:41" hidden="1" x14ac:dyDescent="0.25">
      <c r="A1058">
        <v>1057</v>
      </c>
      <c r="B1058">
        <v>2025</v>
      </c>
      <c r="C1058">
        <v>10</v>
      </c>
      <c r="D1058" t="s">
        <v>491</v>
      </c>
      <c r="E1058">
        <v>102</v>
      </c>
      <c r="F1058">
        <v>3</v>
      </c>
      <c r="G1058" t="s">
        <v>430</v>
      </c>
      <c r="H1058" s="48">
        <v>0.29166666666666669</v>
      </c>
      <c r="I1058" s="48">
        <v>0.29166666666666669</v>
      </c>
      <c r="J1058" s="48">
        <v>0.29166666666666669</v>
      </c>
      <c r="K1058" s="48">
        <v>0.29166666666666669</v>
      </c>
      <c r="L1058" s="48">
        <v>0.29166666666666669</v>
      </c>
      <c r="M1058" s="48">
        <v>0.29166666666666669</v>
      </c>
      <c r="N1058" s="48">
        <v>0.29166666666666669</v>
      </c>
      <c r="O1058" s="48">
        <v>0.29166666666666669</v>
      </c>
      <c r="P1058" s="48">
        <v>0.29166666666666669</v>
      </c>
      <c r="Q1058" s="48">
        <v>0.29166666666666669</v>
      </c>
      <c r="R1058" s="48">
        <v>0.29166666666666669</v>
      </c>
      <c r="S1058" s="48">
        <v>0.29166666666666669</v>
      </c>
      <c r="T1058" s="48">
        <v>0.29166666666666669</v>
      </c>
      <c r="U1058" s="48">
        <v>0.29166666666666669</v>
      </c>
      <c r="V1058" s="48">
        <v>0.29166666666666669</v>
      </c>
      <c r="W1058" s="48">
        <v>0.29166666666666669</v>
      </c>
      <c r="X1058" s="48">
        <v>0.29166666666666669</v>
      </c>
      <c r="Y1058" s="48">
        <v>0.29166666666666669</v>
      </c>
      <c r="Z1058" s="48">
        <v>0.29166666666666669</v>
      </c>
      <c r="AA1058" s="48">
        <v>0.29166666666666669</v>
      </c>
      <c r="AB1058" s="48">
        <v>0.29166666666666669</v>
      </c>
      <c r="AC1058" s="48">
        <v>0.29166666666666669</v>
      </c>
      <c r="AD1058" s="48">
        <v>0.29166666666666669</v>
      </c>
      <c r="AE1058" s="48">
        <v>0.29166666666666669</v>
      </c>
      <c r="AF1058" s="48">
        <v>0.29166666666666669</v>
      </c>
      <c r="AG1058" s="48">
        <v>0.29166666666666669</v>
      </c>
      <c r="AH1058" s="48">
        <v>0.29166666666666669</v>
      </c>
      <c r="AI1058" s="48">
        <v>0.29166666666666669</v>
      </c>
      <c r="AJ1058" s="48">
        <v>0.29166666666666669</v>
      </c>
      <c r="AK1058" s="48">
        <v>0.29166666666666669</v>
      </c>
      <c r="AL1058" s="48">
        <v>0.29166666666666669</v>
      </c>
    </row>
    <row r="1059" spans="1:41" hidden="1" x14ac:dyDescent="0.25">
      <c r="A1059">
        <v>1058</v>
      </c>
      <c r="B1059">
        <v>2025</v>
      </c>
      <c r="C1059">
        <v>10</v>
      </c>
      <c r="D1059" t="s">
        <v>491</v>
      </c>
      <c r="E1059">
        <v>102</v>
      </c>
      <c r="F1059">
        <v>3</v>
      </c>
      <c r="G1059" t="s">
        <v>431</v>
      </c>
      <c r="H1059" s="48">
        <v>0.75</v>
      </c>
      <c r="I1059" s="48">
        <v>0.75</v>
      </c>
      <c r="J1059" s="48">
        <v>0.75</v>
      </c>
      <c r="K1059" s="48">
        <v>0.75</v>
      </c>
      <c r="L1059" s="48">
        <v>0.75</v>
      </c>
      <c r="M1059" s="48">
        <v>0.75</v>
      </c>
      <c r="N1059" s="48">
        <v>0.75</v>
      </c>
      <c r="O1059" s="48">
        <v>0.75</v>
      </c>
      <c r="P1059" s="48">
        <v>0.75</v>
      </c>
      <c r="Q1059" s="48">
        <v>0.75</v>
      </c>
      <c r="R1059" s="48">
        <v>0.75</v>
      </c>
      <c r="S1059" s="48">
        <v>0.75</v>
      </c>
      <c r="T1059" s="48">
        <v>0.75</v>
      </c>
      <c r="U1059" s="48">
        <v>0.75</v>
      </c>
      <c r="V1059" s="48">
        <v>0.75</v>
      </c>
      <c r="W1059" s="48">
        <v>0.75</v>
      </c>
      <c r="X1059" s="48">
        <v>0.75</v>
      </c>
      <c r="Y1059" s="48">
        <v>0.75</v>
      </c>
      <c r="Z1059" s="48">
        <v>0.75</v>
      </c>
      <c r="AA1059" s="48">
        <v>0.75</v>
      </c>
      <c r="AB1059" s="48">
        <v>0.75</v>
      </c>
      <c r="AC1059" s="48">
        <v>0.75</v>
      </c>
      <c r="AD1059" s="48">
        <v>0.75</v>
      </c>
      <c r="AE1059" s="48">
        <v>0.75</v>
      </c>
      <c r="AF1059" s="48">
        <v>0.75</v>
      </c>
      <c r="AG1059" s="48">
        <v>0.75</v>
      </c>
      <c r="AH1059" s="48">
        <v>0.75</v>
      </c>
      <c r="AI1059" s="48">
        <v>0.75</v>
      </c>
      <c r="AJ1059" s="48">
        <v>0.75</v>
      </c>
      <c r="AK1059" s="48">
        <v>0.75</v>
      </c>
      <c r="AL1059" s="48">
        <v>0.75</v>
      </c>
      <c r="AM1059">
        <v>31</v>
      </c>
    </row>
    <row r="1060" spans="1:41" hidden="1" x14ac:dyDescent="0.25">
      <c r="A1060">
        <v>1059</v>
      </c>
      <c r="B1060">
        <v>2025</v>
      </c>
      <c r="C1060">
        <v>11</v>
      </c>
      <c r="D1060" t="s">
        <v>509</v>
      </c>
      <c r="E1060">
        <v>102</v>
      </c>
      <c r="F1060">
        <v>4</v>
      </c>
      <c r="G1060" t="s">
        <v>430</v>
      </c>
      <c r="H1060" s="48">
        <v>0.29166666666666669</v>
      </c>
      <c r="I1060" s="48">
        <v>0.29166666666666669</v>
      </c>
      <c r="J1060" s="48">
        <v>0.29166666666666669</v>
      </c>
      <c r="K1060" s="48">
        <v>0.29166666666666669</v>
      </c>
      <c r="L1060" s="48">
        <v>0.29166666666666669</v>
      </c>
      <c r="M1060" s="48">
        <v>0.29166666666666669</v>
      </c>
      <c r="N1060" s="48">
        <v>0.29166666666666669</v>
      </c>
      <c r="O1060" s="48">
        <v>0.29166666666666669</v>
      </c>
      <c r="P1060" s="48" t="s">
        <v>320</v>
      </c>
      <c r="Q1060" s="48" t="s">
        <v>320</v>
      </c>
      <c r="R1060" s="48">
        <v>0.29166666666666669</v>
      </c>
      <c r="S1060" s="48">
        <v>0.29166666666666669</v>
      </c>
      <c r="T1060" s="48">
        <v>0.29166666666666669</v>
      </c>
      <c r="U1060" s="48">
        <v>0.29166666666666669</v>
      </c>
      <c r="V1060" s="48">
        <v>0.29166666666666669</v>
      </c>
      <c r="W1060" s="48">
        <v>0.29166666666666669</v>
      </c>
      <c r="X1060" s="48">
        <v>0.29166666666666669</v>
      </c>
      <c r="Y1060" s="48">
        <v>0.29166666666666669</v>
      </c>
      <c r="Z1060" s="48">
        <v>0.29166666666666669</v>
      </c>
      <c r="AA1060" s="48">
        <v>0.29166666666666669</v>
      </c>
      <c r="AB1060" s="48">
        <v>0.29166666666666669</v>
      </c>
      <c r="AC1060" s="48" t="s">
        <v>320</v>
      </c>
      <c r="AD1060" s="48" t="s">
        <v>320</v>
      </c>
      <c r="AE1060" s="48" t="s">
        <v>320</v>
      </c>
      <c r="AF1060" s="48" t="s">
        <v>320</v>
      </c>
      <c r="AG1060" s="48" t="s">
        <v>320</v>
      </c>
      <c r="AH1060" s="48" t="s">
        <v>320</v>
      </c>
      <c r="AI1060" s="48" t="s">
        <v>320</v>
      </c>
      <c r="AJ1060" s="48" t="s">
        <v>320</v>
      </c>
      <c r="AK1060" s="48" t="s">
        <v>320</v>
      </c>
      <c r="AL1060" s="48" t="s">
        <v>320</v>
      </c>
    </row>
    <row r="1061" spans="1:41" hidden="1" x14ac:dyDescent="0.25">
      <c r="A1061">
        <v>1060</v>
      </c>
      <c r="B1061">
        <v>2025</v>
      </c>
      <c r="C1061">
        <v>11</v>
      </c>
      <c r="D1061" t="s">
        <v>509</v>
      </c>
      <c r="E1061">
        <v>102</v>
      </c>
      <c r="F1061">
        <v>4</v>
      </c>
      <c r="G1061" t="s">
        <v>431</v>
      </c>
      <c r="H1061" s="48">
        <v>0.75</v>
      </c>
      <c r="I1061" s="48">
        <v>0.75</v>
      </c>
      <c r="J1061" s="48">
        <v>0.75</v>
      </c>
      <c r="K1061" s="48">
        <v>0.75</v>
      </c>
      <c r="L1061" s="48">
        <v>0.75</v>
      </c>
      <c r="M1061" s="48">
        <v>0.75</v>
      </c>
      <c r="N1061" s="48">
        <v>0.75</v>
      </c>
      <c r="O1061" s="48">
        <v>0.75</v>
      </c>
      <c r="P1061" s="48" t="s">
        <v>320</v>
      </c>
      <c r="Q1061" s="48" t="s">
        <v>320</v>
      </c>
      <c r="R1061" s="48">
        <v>0.75</v>
      </c>
      <c r="S1061" s="48">
        <v>0.75</v>
      </c>
      <c r="T1061" s="48">
        <v>0.75</v>
      </c>
      <c r="U1061" s="48">
        <v>0.75</v>
      </c>
      <c r="V1061" s="48">
        <v>0.75</v>
      </c>
      <c r="W1061" s="48">
        <v>0.75</v>
      </c>
      <c r="X1061" s="48">
        <v>0.75</v>
      </c>
      <c r="Y1061" s="48">
        <v>0.75</v>
      </c>
      <c r="Z1061" s="48">
        <v>0.75</v>
      </c>
      <c r="AA1061" s="48">
        <v>0.75</v>
      </c>
      <c r="AB1061" s="48">
        <v>0.75</v>
      </c>
      <c r="AC1061" s="48" t="s">
        <v>320</v>
      </c>
      <c r="AD1061" s="48" t="s">
        <v>320</v>
      </c>
      <c r="AE1061" s="48" t="s">
        <v>320</v>
      </c>
      <c r="AF1061" s="48" t="s">
        <v>320</v>
      </c>
      <c r="AG1061" s="48" t="s">
        <v>320</v>
      </c>
      <c r="AH1061" s="48" t="s">
        <v>320</v>
      </c>
      <c r="AI1061" s="48" t="s">
        <v>320</v>
      </c>
      <c r="AJ1061" s="48" t="s">
        <v>320</v>
      </c>
      <c r="AK1061" s="48" t="s">
        <v>320</v>
      </c>
      <c r="AL1061" s="48" t="s">
        <v>320</v>
      </c>
      <c r="AM1061">
        <v>19</v>
      </c>
    </row>
    <row r="1062" spans="1:41" hidden="1" x14ac:dyDescent="0.25">
      <c r="A1062">
        <v>1061</v>
      </c>
      <c r="B1062">
        <v>2025</v>
      </c>
      <c r="C1062">
        <v>11</v>
      </c>
      <c r="D1062" t="s">
        <v>493</v>
      </c>
      <c r="E1062">
        <v>102</v>
      </c>
      <c r="F1062">
        <v>4</v>
      </c>
      <c r="G1062" t="s">
        <v>430</v>
      </c>
      <c r="H1062" s="48">
        <v>0.29166666666666669</v>
      </c>
      <c r="I1062" s="48">
        <v>0.29166666666666669</v>
      </c>
      <c r="J1062" s="48">
        <v>0.29166666666666669</v>
      </c>
      <c r="K1062" s="48">
        <v>0.29166666666666669</v>
      </c>
      <c r="L1062" s="48">
        <v>0.29166666666666669</v>
      </c>
      <c r="M1062" s="48">
        <v>0.29166666666666669</v>
      </c>
      <c r="N1062" s="48">
        <v>0.29166666666666669</v>
      </c>
      <c r="O1062" s="48">
        <v>0.29166666666666669</v>
      </c>
      <c r="P1062" s="48" t="s">
        <v>320</v>
      </c>
      <c r="Q1062" s="48">
        <v>0.29166666666666669</v>
      </c>
      <c r="R1062" s="48">
        <v>0.29166666666666669</v>
      </c>
      <c r="S1062" s="48">
        <v>0.29166666666666669</v>
      </c>
      <c r="T1062" s="48">
        <v>0.29166666666666669</v>
      </c>
      <c r="U1062" s="48">
        <v>0.29166666666666669</v>
      </c>
      <c r="V1062" s="48">
        <v>0.29166666666666669</v>
      </c>
      <c r="W1062" s="48">
        <v>0.29166666666666669</v>
      </c>
      <c r="X1062" s="48">
        <v>0.29166666666666669</v>
      </c>
      <c r="Y1062" s="48">
        <v>0.29166666666666669</v>
      </c>
      <c r="Z1062" s="48">
        <v>0.29166666666666669</v>
      </c>
      <c r="AA1062" s="48">
        <v>0.29166666666666669</v>
      </c>
      <c r="AB1062" s="48">
        <v>0.29166666666666669</v>
      </c>
      <c r="AC1062" s="48">
        <v>0.29166666666666669</v>
      </c>
      <c r="AD1062" s="48">
        <v>0.29166666666666669</v>
      </c>
      <c r="AE1062" s="48">
        <v>0.29166666666666669</v>
      </c>
      <c r="AF1062" s="48">
        <v>0.29166666666666669</v>
      </c>
      <c r="AG1062" s="48">
        <v>0.29166666666666669</v>
      </c>
      <c r="AH1062" s="48">
        <v>0.29166666666666669</v>
      </c>
      <c r="AI1062" s="48">
        <v>0.29166666666666669</v>
      </c>
      <c r="AJ1062" s="48">
        <v>0.29166666666666669</v>
      </c>
      <c r="AK1062" s="48">
        <v>0.29166666666666669</v>
      </c>
      <c r="AL1062" s="48" t="s">
        <v>320</v>
      </c>
    </row>
    <row r="1063" spans="1:41" hidden="1" x14ac:dyDescent="0.25">
      <c r="A1063">
        <v>1062</v>
      </c>
      <c r="B1063">
        <v>2025</v>
      </c>
      <c r="C1063">
        <v>11</v>
      </c>
      <c r="D1063" t="s">
        <v>493</v>
      </c>
      <c r="E1063">
        <v>102</v>
      </c>
      <c r="F1063">
        <v>4</v>
      </c>
      <c r="G1063" t="s">
        <v>431</v>
      </c>
      <c r="H1063" s="48">
        <v>0.75</v>
      </c>
      <c r="I1063" s="48">
        <v>0.875</v>
      </c>
      <c r="J1063" s="48">
        <v>0.75</v>
      </c>
      <c r="K1063" s="48">
        <v>0.83333333333333326</v>
      </c>
      <c r="L1063" s="48">
        <v>0.75</v>
      </c>
      <c r="M1063" s="48">
        <v>0.83333333333333326</v>
      </c>
      <c r="N1063" s="48">
        <v>0.75</v>
      </c>
      <c r="O1063" s="48">
        <v>0.75</v>
      </c>
      <c r="P1063" s="48" t="s">
        <v>320</v>
      </c>
      <c r="Q1063" s="48">
        <v>0.75</v>
      </c>
      <c r="R1063" s="48">
        <v>0.75</v>
      </c>
      <c r="S1063" s="48">
        <v>0.91666666666666674</v>
      </c>
      <c r="T1063" s="48">
        <v>0.75</v>
      </c>
      <c r="U1063" s="48">
        <v>0.875</v>
      </c>
      <c r="V1063" s="48">
        <v>0.75</v>
      </c>
      <c r="W1063" s="48">
        <v>0.75</v>
      </c>
      <c r="X1063" s="48">
        <v>0.875</v>
      </c>
      <c r="Y1063" s="48">
        <v>0.75</v>
      </c>
      <c r="Z1063" s="48">
        <v>0.75</v>
      </c>
      <c r="AA1063" s="48">
        <v>0.83333333333333326</v>
      </c>
      <c r="AB1063" s="48">
        <v>0.75</v>
      </c>
      <c r="AC1063" s="48">
        <v>0.75</v>
      </c>
      <c r="AD1063" s="48">
        <v>0.875</v>
      </c>
      <c r="AE1063" s="48">
        <v>0.75</v>
      </c>
      <c r="AF1063" s="48">
        <v>0.83333333333333326</v>
      </c>
      <c r="AG1063" s="48">
        <v>0.75</v>
      </c>
      <c r="AH1063" s="48">
        <v>0.75</v>
      </c>
      <c r="AI1063" s="48">
        <v>0.91666666666666674</v>
      </c>
      <c r="AJ1063" s="48">
        <v>0.75</v>
      </c>
      <c r="AK1063" s="48">
        <v>0.75</v>
      </c>
      <c r="AL1063" s="48" t="s">
        <v>320</v>
      </c>
      <c r="AM1063">
        <v>29</v>
      </c>
      <c r="AO1063">
        <v>28</v>
      </c>
    </row>
    <row r="1064" spans="1:41" hidden="1" x14ac:dyDescent="0.25">
      <c r="A1064">
        <v>1063</v>
      </c>
      <c r="B1064">
        <v>2025</v>
      </c>
      <c r="C1064">
        <v>11</v>
      </c>
      <c r="D1064" t="s">
        <v>491</v>
      </c>
      <c r="E1064">
        <v>102</v>
      </c>
      <c r="F1064">
        <v>4</v>
      </c>
      <c r="G1064" t="s">
        <v>430</v>
      </c>
      <c r="H1064" s="48">
        <v>0.29166666666666669</v>
      </c>
      <c r="I1064" s="48">
        <v>0.29166666666666669</v>
      </c>
      <c r="J1064" s="48">
        <v>0.29166666666666669</v>
      </c>
      <c r="K1064" s="48">
        <v>0.29166666666666669</v>
      </c>
      <c r="L1064" s="48">
        <v>0.29166666666666669</v>
      </c>
      <c r="M1064" s="48">
        <v>0.29166666666666669</v>
      </c>
      <c r="N1064" s="48">
        <v>0.29166666666666669</v>
      </c>
      <c r="O1064" s="48">
        <v>0.29166666666666669</v>
      </c>
      <c r="P1064" s="48" t="s">
        <v>320</v>
      </c>
      <c r="Q1064" s="48" t="s">
        <v>320</v>
      </c>
      <c r="R1064" s="48">
        <v>0.29166666666666669</v>
      </c>
      <c r="S1064" s="48">
        <v>0.29166666666666669</v>
      </c>
      <c r="T1064" s="48">
        <v>0.29166666666666669</v>
      </c>
      <c r="U1064" s="48">
        <v>0.29166666666666669</v>
      </c>
      <c r="V1064" s="48">
        <v>0.29166666666666669</v>
      </c>
      <c r="W1064" s="48">
        <v>0.29166666666666669</v>
      </c>
      <c r="X1064" s="48">
        <v>0.29166666666666669</v>
      </c>
      <c r="Y1064" s="48">
        <v>0.29166666666666669</v>
      </c>
      <c r="Z1064" s="48">
        <v>0.29166666666666669</v>
      </c>
      <c r="AA1064" s="48">
        <v>0.29166666666666669</v>
      </c>
      <c r="AB1064" s="48">
        <v>0.29166666666666669</v>
      </c>
      <c r="AC1064" s="48">
        <v>0.29166666666666669</v>
      </c>
      <c r="AD1064" s="48">
        <v>0.29166666666666669</v>
      </c>
      <c r="AE1064" s="48">
        <v>0.29166666666666669</v>
      </c>
      <c r="AF1064" s="48">
        <v>0.29166666666666669</v>
      </c>
      <c r="AG1064" s="48">
        <v>0.29166666666666669</v>
      </c>
      <c r="AH1064" s="48">
        <v>0.29166666666666669</v>
      </c>
      <c r="AI1064" s="48">
        <v>0.29166666666666669</v>
      </c>
      <c r="AJ1064" s="48">
        <v>0.29166666666666669</v>
      </c>
      <c r="AK1064" s="48">
        <v>0.29166666666666669</v>
      </c>
      <c r="AL1064" s="48" t="s">
        <v>320</v>
      </c>
    </row>
    <row r="1065" spans="1:41" hidden="1" x14ac:dyDescent="0.25">
      <c r="A1065">
        <v>1064</v>
      </c>
      <c r="B1065">
        <v>2025</v>
      </c>
      <c r="C1065">
        <v>11</v>
      </c>
      <c r="D1065" t="s">
        <v>491</v>
      </c>
      <c r="E1065">
        <v>102</v>
      </c>
      <c r="F1065">
        <v>4</v>
      </c>
      <c r="G1065" t="s">
        <v>431</v>
      </c>
      <c r="H1065" s="48">
        <v>0.75</v>
      </c>
      <c r="I1065" s="48">
        <v>0.75</v>
      </c>
      <c r="J1065" s="48">
        <v>0.75</v>
      </c>
      <c r="K1065" s="48">
        <v>0.75</v>
      </c>
      <c r="L1065" s="48">
        <v>0.75</v>
      </c>
      <c r="M1065" s="48">
        <v>0.75</v>
      </c>
      <c r="N1065" s="48">
        <v>0.75</v>
      </c>
      <c r="O1065" s="48">
        <v>0.75</v>
      </c>
      <c r="P1065" s="48" t="s">
        <v>320</v>
      </c>
      <c r="Q1065" s="48" t="s">
        <v>320</v>
      </c>
      <c r="R1065" s="48">
        <v>0.75</v>
      </c>
      <c r="S1065" s="48">
        <v>0.75</v>
      </c>
      <c r="T1065" s="48">
        <v>0.75</v>
      </c>
      <c r="U1065" s="48">
        <v>0.75</v>
      </c>
      <c r="V1065" s="48">
        <v>0.75</v>
      </c>
      <c r="W1065" s="48">
        <v>0.75</v>
      </c>
      <c r="X1065" s="48">
        <v>0.75</v>
      </c>
      <c r="Y1065" s="48">
        <v>0.75</v>
      </c>
      <c r="Z1065" s="48">
        <v>0.75</v>
      </c>
      <c r="AA1065" s="48">
        <v>0.75</v>
      </c>
      <c r="AB1065" s="48">
        <v>0.75</v>
      </c>
      <c r="AC1065" s="48">
        <v>0.75</v>
      </c>
      <c r="AD1065" s="48">
        <v>0.75</v>
      </c>
      <c r="AE1065" s="48">
        <v>0.75</v>
      </c>
      <c r="AF1065" s="48">
        <v>0.75</v>
      </c>
      <c r="AG1065" s="48">
        <v>0.75</v>
      </c>
      <c r="AH1065" s="48">
        <v>0.75</v>
      </c>
      <c r="AI1065" s="48">
        <v>0.75</v>
      </c>
      <c r="AJ1065" s="48">
        <v>0.75</v>
      </c>
      <c r="AK1065" s="48">
        <v>0.75</v>
      </c>
      <c r="AL1065" s="48" t="s">
        <v>320</v>
      </c>
      <c r="AM1065">
        <v>28</v>
      </c>
    </row>
    <row r="1066" spans="1:41" hidden="1" x14ac:dyDescent="0.25">
      <c r="A1066">
        <v>1065</v>
      </c>
      <c r="B1066">
        <v>2025</v>
      </c>
      <c r="C1066">
        <v>11</v>
      </c>
      <c r="D1066" t="s">
        <v>492</v>
      </c>
      <c r="E1066">
        <v>102</v>
      </c>
      <c r="F1066">
        <v>4</v>
      </c>
      <c r="G1066" t="s">
        <v>430</v>
      </c>
      <c r="H1066" s="48">
        <v>0.29166666666666669</v>
      </c>
      <c r="I1066" s="48">
        <v>0.29166666666666669</v>
      </c>
      <c r="J1066" s="48">
        <v>0.29166666666666669</v>
      </c>
      <c r="K1066" s="48">
        <v>0.29166666666666669</v>
      </c>
      <c r="L1066" s="48">
        <v>0.29166666666666669</v>
      </c>
      <c r="M1066" s="48" t="s">
        <v>320</v>
      </c>
      <c r="N1066" s="48" t="s">
        <v>320</v>
      </c>
      <c r="O1066" s="48" t="s">
        <v>320</v>
      </c>
      <c r="P1066" s="48" t="s">
        <v>320</v>
      </c>
      <c r="Q1066" s="48">
        <v>0.29166666666666669</v>
      </c>
      <c r="R1066" s="48">
        <v>0.29166666666666669</v>
      </c>
      <c r="S1066" s="48">
        <v>0.29166666666666669</v>
      </c>
      <c r="T1066" s="48">
        <v>0.29166666666666669</v>
      </c>
      <c r="U1066" s="48">
        <v>0.29166666666666669</v>
      </c>
      <c r="V1066" s="48">
        <v>0.29166666666666669</v>
      </c>
      <c r="W1066" s="48">
        <v>0.29166666666666669</v>
      </c>
      <c r="X1066" s="48">
        <v>0.29166666666666669</v>
      </c>
      <c r="Y1066" s="48">
        <v>0.29166666666666669</v>
      </c>
      <c r="Z1066" s="48">
        <v>0.29166666666666669</v>
      </c>
      <c r="AA1066" s="48">
        <v>0.29166666666666669</v>
      </c>
      <c r="AB1066" s="48">
        <v>0.29166666666666669</v>
      </c>
      <c r="AC1066" s="48">
        <v>0.29166666666666669</v>
      </c>
      <c r="AD1066" s="48">
        <v>0.29166666666666669</v>
      </c>
      <c r="AE1066" s="48">
        <v>0.29166666666666669</v>
      </c>
      <c r="AF1066" s="48">
        <v>0.29166666666666669</v>
      </c>
      <c r="AG1066" s="48">
        <v>0.29166666666666669</v>
      </c>
      <c r="AH1066" s="48">
        <v>0.29166666666666669</v>
      </c>
      <c r="AI1066" s="48">
        <v>0.29166666666666669</v>
      </c>
      <c r="AJ1066" s="48">
        <v>0.29166666666666669</v>
      </c>
      <c r="AK1066" s="48">
        <v>0.29166666666666669</v>
      </c>
      <c r="AL1066" s="48" t="s">
        <v>320</v>
      </c>
    </row>
    <row r="1067" spans="1:41" hidden="1" x14ac:dyDescent="0.25">
      <c r="A1067">
        <v>1066</v>
      </c>
      <c r="B1067">
        <v>2025</v>
      </c>
      <c r="C1067">
        <v>11</v>
      </c>
      <c r="D1067" t="s">
        <v>492</v>
      </c>
      <c r="E1067">
        <v>102</v>
      </c>
      <c r="F1067">
        <v>4</v>
      </c>
      <c r="G1067" t="s">
        <v>431</v>
      </c>
      <c r="H1067" s="48">
        <v>0.75</v>
      </c>
      <c r="I1067" s="48">
        <v>0.75</v>
      </c>
      <c r="J1067" s="48">
        <v>0.75</v>
      </c>
      <c r="K1067" s="48">
        <v>0.75</v>
      </c>
      <c r="L1067" s="48">
        <v>0.75</v>
      </c>
      <c r="M1067" s="48" t="s">
        <v>320</v>
      </c>
      <c r="N1067" s="48" t="s">
        <v>320</v>
      </c>
      <c r="O1067" s="48" t="s">
        <v>320</v>
      </c>
      <c r="P1067" s="48" t="s">
        <v>320</v>
      </c>
      <c r="Q1067" s="48">
        <v>0.75</v>
      </c>
      <c r="R1067" s="48">
        <v>0.75</v>
      </c>
      <c r="S1067" s="48">
        <v>0.75</v>
      </c>
      <c r="T1067" s="48">
        <v>0.75</v>
      </c>
      <c r="U1067" s="48">
        <v>0.75</v>
      </c>
      <c r="V1067" s="48">
        <v>0.75</v>
      </c>
      <c r="W1067" s="48">
        <v>0.75</v>
      </c>
      <c r="X1067" s="48">
        <v>0.75</v>
      </c>
      <c r="Y1067" s="48">
        <v>0.75</v>
      </c>
      <c r="Z1067" s="48">
        <v>0.75</v>
      </c>
      <c r="AA1067" s="48">
        <v>0.75</v>
      </c>
      <c r="AB1067" s="48">
        <v>0.75</v>
      </c>
      <c r="AC1067" s="48">
        <v>0.75</v>
      </c>
      <c r="AD1067" s="48">
        <v>0.75</v>
      </c>
      <c r="AE1067" s="48">
        <v>0.75</v>
      </c>
      <c r="AF1067" s="48">
        <v>0.75</v>
      </c>
      <c r="AG1067" s="48">
        <v>0.75</v>
      </c>
      <c r="AH1067" s="48">
        <v>0.75</v>
      </c>
      <c r="AI1067" s="48">
        <v>0.75</v>
      </c>
      <c r="AJ1067" s="48">
        <v>0.75</v>
      </c>
      <c r="AK1067" s="48">
        <v>0.75</v>
      </c>
      <c r="AL1067" s="48" t="s">
        <v>320</v>
      </c>
      <c r="AM1067">
        <v>26</v>
      </c>
    </row>
    <row r="1068" spans="1:41" hidden="1" x14ac:dyDescent="0.25">
      <c r="A1068">
        <v>1067</v>
      </c>
      <c r="B1068">
        <v>2025</v>
      </c>
      <c r="C1068">
        <v>8</v>
      </c>
      <c r="D1068" t="s">
        <v>525</v>
      </c>
      <c r="E1068">
        <v>110</v>
      </c>
      <c r="F1068">
        <v>1</v>
      </c>
      <c r="G1068" t="s">
        <v>430</v>
      </c>
      <c r="H1068" s="48" t="s">
        <v>320</v>
      </c>
      <c r="I1068" s="48" t="s">
        <v>320</v>
      </c>
      <c r="J1068" s="48" t="s">
        <v>320</v>
      </c>
      <c r="K1068" s="48" t="s">
        <v>320</v>
      </c>
      <c r="L1068" s="48" t="s">
        <v>320</v>
      </c>
      <c r="M1068" s="48" t="s">
        <v>320</v>
      </c>
      <c r="N1068" s="48" t="s">
        <v>320</v>
      </c>
      <c r="O1068" s="48" t="s">
        <v>320</v>
      </c>
      <c r="P1068" s="48" t="s">
        <v>320</v>
      </c>
      <c r="Q1068" s="48" t="s">
        <v>320</v>
      </c>
      <c r="R1068" s="48" t="s">
        <v>320</v>
      </c>
      <c r="S1068" s="48" t="s">
        <v>320</v>
      </c>
      <c r="T1068" s="48" t="s">
        <v>320</v>
      </c>
      <c r="U1068" s="48" t="s">
        <v>320</v>
      </c>
      <c r="V1068" s="48" t="s">
        <v>320</v>
      </c>
      <c r="W1068" s="48" t="s">
        <v>320</v>
      </c>
      <c r="X1068" s="48" t="s">
        <v>320</v>
      </c>
      <c r="Y1068" s="48" t="s">
        <v>320</v>
      </c>
      <c r="Z1068" s="48" t="s">
        <v>320</v>
      </c>
      <c r="AA1068" s="48" t="s">
        <v>320</v>
      </c>
      <c r="AB1068" s="48" t="s">
        <v>320</v>
      </c>
      <c r="AC1068" s="48" t="s">
        <v>320</v>
      </c>
      <c r="AD1068" s="48" t="s">
        <v>320</v>
      </c>
      <c r="AE1068" s="48" t="s">
        <v>320</v>
      </c>
      <c r="AF1068" s="48" t="s">
        <v>320</v>
      </c>
      <c r="AG1068" s="48">
        <v>0.33333333333333331</v>
      </c>
      <c r="AH1068" s="48">
        <v>0.33333333333333331</v>
      </c>
      <c r="AI1068" s="48">
        <v>0.33333333333333331</v>
      </c>
      <c r="AJ1068" s="48">
        <v>0.33333333333333331</v>
      </c>
      <c r="AK1068" s="48">
        <v>0.33333333333333331</v>
      </c>
      <c r="AL1068" s="48">
        <v>0.33333333333333331</v>
      </c>
    </row>
    <row r="1069" spans="1:41" hidden="1" x14ac:dyDescent="0.25">
      <c r="A1069">
        <v>1068</v>
      </c>
      <c r="B1069">
        <v>2025</v>
      </c>
      <c r="C1069">
        <v>8</v>
      </c>
      <c r="D1069" t="s">
        <v>525</v>
      </c>
      <c r="E1069">
        <v>110</v>
      </c>
      <c r="F1069">
        <v>1</v>
      </c>
      <c r="G1069" t="s">
        <v>431</v>
      </c>
      <c r="H1069" s="48" t="s">
        <v>320</v>
      </c>
      <c r="I1069" s="48" t="s">
        <v>320</v>
      </c>
      <c r="J1069" s="48" t="s">
        <v>320</v>
      </c>
      <c r="K1069" s="48" t="s">
        <v>320</v>
      </c>
      <c r="L1069" s="48" t="s">
        <v>320</v>
      </c>
      <c r="M1069" s="48" t="s">
        <v>320</v>
      </c>
      <c r="N1069" s="48" t="s">
        <v>320</v>
      </c>
      <c r="O1069" s="48" t="s">
        <v>320</v>
      </c>
      <c r="P1069" s="48" t="s">
        <v>320</v>
      </c>
      <c r="Q1069" s="48" t="s">
        <v>320</v>
      </c>
      <c r="R1069" s="48" t="s">
        <v>320</v>
      </c>
      <c r="S1069" s="48" t="s">
        <v>320</v>
      </c>
      <c r="T1069" s="48" t="s">
        <v>320</v>
      </c>
      <c r="U1069" s="48" t="s">
        <v>320</v>
      </c>
      <c r="V1069" s="48" t="s">
        <v>320</v>
      </c>
      <c r="W1069" s="48" t="s">
        <v>320</v>
      </c>
      <c r="X1069" s="48" t="s">
        <v>320</v>
      </c>
      <c r="Y1069" s="48" t="s">
        <v>320</v>
      </c>
      <c r="Z1069" s="48" t="s">
        <v>320</v>
      </c>
      <c r="AA1069" s="48" t="s">
        <v>320</v>
      </c>
      <c r="AB1069" s="48" t="s">
        <v>320</v>
      </c>
      <c r="AC1069" s="48" t="s">
        <v>320</v>
      </c>
      <c r="AD1069" s="48" t="s">
        <v>320</v>
      </c>
      <c r="AE1069" s="48" t="s">
        <v>320</v>
      </c>
      <c r="AF1069" s="48" t="s">
        <v>320</v>
      </c>
      <c r="AG1069" s="48">
        <v>0.75</v>
      </c>
      <c r="AH1069" s="48">
        <v>0.75</v>
      </c>
      <c r="AI1069" s="48">
        <v>0.75</v>
      </c>
      <c r="AJ1069" s="48">
        <v>0.75</v>
      </c>
      <c r="AK1069" s="48">
        <v>0.75</v>
      </c>
      <c r="AL1069" s="48">
        <v>0.75</v>
      </c>
      <c r="AM1069">
        <v>6</v>
      </c>
    </row>
    <row r="1070" spans="1:41" hidden="1" x14ac:dyDescent="0.25">
      <c r="A1070">
        <v>1069</v>
      </c>
      <c r="B1070">
        <v>2025</v>
      </c>
      <c r="C1070">
        <v>9</v>
      </c>
      <c r="D1070" t="s">
        <v>525</v>
      </c>
      <c r="E1070">
        <v>110</v>
      </c>
      <c r="F1070">
        <v>2</v>
      </c>
      <c r="G1070" t="s">
        <v>430</v>
      </c>
      <c r="H1070" s="48">
        <v>0.29166666666666669</v>
      </c>
      <c r="I1070" s="48">
        <v>0.29166666666666669</v>
      </c>
      <c r="J1070" s="48">
        <v>0.29166666666666669</v>
      </c>
      <c r="K1070" s="48">
        <v>0.29166666666666669</v>
      </c>
      <c r="L1070" s="48">
        <v>0.29166666666666669</v>
      </c>
      <c r="M1070" s="48">
        <v>0.29166666666666669</v>
      </c>
      <c r="N1070" s="48">
        <v>0.29166666666666669</v>
      </c>
      <c r="O1070" s="48">
        <v>0.29166666666666669</v>
      </c>
      <c r="P1070" s="48">
        <v>0.29166666666666669</v>
      </c>
      <c r="Q1070" s="48">
        <v>0.29166666666666669</v>
      </c>
      <c r="R1070" s="48">
        <v>0.29166666666666669</v>
      </c>
      <c r="S1070" s="48">
        <v>0.29166666666666669</v>
      </c>
      <c r="T1070" s="48">
        <v>0.29166666666666669</v>
      </c>
      <c r="U1070" s="48" t="s">
        <v>320</v>
      </c>
      <c r="V1070" s="48">
        <v>0.29166666666666669</v>
      </c>
      <c r="W1070" s="48">
        <v>0.29166666666666669</v>
      </c>
      <c r="X1070" s="48">
        <v>0.29166666666666669</v>
      </c>
      <c r="Y1070" s="48">
        <v>0.29166666666666669</v>
      </c>
      <c r="Z1070" s="48">
        <v>0.29166666666666669</v>
      </c>
      <c r="AA1070" s="48">
        <v>0.29166666666666669</v>
      </c>
      <c r="AB1070" s="48">
        <v>0.29166666666666669</v>
      </c>
      <c r="AC1070" s="48">
        <v>0.29166666666666669</v>
      </c>
      <c r="AD1070" s="48">
        <v>0.29166666666666669</v>
      </c>
      <c r="AE1070" s="48">
        <v>0.29166666666666669</v>
      </c>
      <c r="AF1070" s="48">
        <v>0.29166666666666669</v>
      </c>
      <c r="AG1070" s="48" t="s">
        <v>320</v>
      </c>
      <c r="AH1070" s="48" t="s">
        <v>320</v>
      </c>
      <c r="AI1070" s="48" t="s">
        <v>320</v>
      </c>
      <c r="AJ1070" s="48">
        <v>0.29166666666666669</v>
      </c>
      <c r="AK1070" s="48">
        <v>0.29166666666666669</v>
      </c>
      <c r="AL1070" s="48" t="s">
        <v>320</v>
      </c>
    </row>
    <row r="1071" spans="1:41" hidden="1" x14ac:dyDescent="0.25">
      <c r="A1071">
        <v>1070</v>
      </c>
      <c r="B1071">
        <v>2025</v>
      </c>
      <c r="C1071">
        <v>9</v>
      </c>
      <c r="D1071" t="s">
        <v>525</v>
      </c>
      <c r="E1071">
        <v>110</v>
      </c>
      <c r="F1071">
        <v>2</v>
      </c>
      <c r="G1071" t="s">
        <v>431</v>
      </c>
      <c r="H1071" s="48">
        <v>0.75</v>
      </c>
      <c r="I1071" s="48">
        <v>0.75</v>
      </c>
      <c r="J1071" s="48">
        <v>0.75</v>
      </c>
      <c r="K1071" s="48">
        <v>0.75</v>
      </c>
      <c r="L1071" s="48">
        <v>0.75</v>
      </c>
      <c r="M1071" s="48">
        <v>0.75</v>
      </c>
      <c r="N1071" s="48">
        <v>0.75</v>
      </c>
      <c r="O1071" s="48">
        <v>0.75</v>
      </c>
      <c r="P1071" s="48">
        <v>0.75</v>
      </c>
      <c r="Q1071" s="48">
        <v>0.75</v>
      </c>
      <c r="R1071" s="48">
        <v>0.75</v>
      </c>
      <c r="S1071" s="48">
        <v>0.75</v>
      </c>
      <c r="T1071" s="48">
        <v>0.75</v>
      </c>
      <c r="U1071" s="48" t="s">
        <v>320</v>
      </c>
      <c r="V1071" s="48">
        <v>0.75</v>
      </c>
      <c r="W1071" s="48">
        <v>0.75</v>
      </c>
      <c r="X1071" s="48">
        <v>0.75</v>
      </c>
      <c r="Y1071" s="48">
        <v>0.75</v>
      </c>
      <c r="Z1071" s="48">
        <v>0.75</v>
      </c>
      <c r="AA1071" s="48">
        <v>0.75</v>
      </c>
      <c r="AB1071" s="48">
        <v>0.75</v>
      </c>
      <c r="AC1071" s="48">
        <v>0.75</v>
      </c>
      <c r="AD1071" s="48">
        <v>0.75</v>
      </c>
      <c r="AE1071" s="48">
        <v>0.75</v>
      </c>
      <c r="AF1071" s="48">
        <v>0.75</v>
      </c>
      <c r="AG1071" s="48" t="s">
        <v>320</v>
      </c>
      <c r="AH1071" s="48" t="s">
        <v>320</v>
      </c>
      <c r="AI1071" s="48" t="s">
        <v>320</v>
      </c>
      <c r="AJ1071" s="48">
        <v>0.75</v>
      </c>
      <c r="AK1071" s="48">
        <v>0.75</v>
      </c>
      <c r="AL1071" s="48" t="s">
        <v>320</v>
      </c>
      <c r="AM1071">
        <v>26</v>
      </c>
    </row>
    <row r="1072" spans="1:41" hidden="1" x14ac:dyDescent="0.25">
      <c r="A1072">
        <v>1071</v>
      </c>
      <c r="B1072">
        <v>2025</v>
      </c>
      <c r="C1072">
        <v>10</v>
      </c>
      <c r="D1072" t="s">
        <v>525</v>
      </c>
      <c r="E1072">
        <v>110</v>
      </c>
      <c r="F1072">
        <v>3</v>
      </c>
      <c r="G1072" t="s">
        <v>430</v>
      </c>
      <c r="H1072" s="48">
        <v>0.29166666666666669</v>
      </c>
      <c r="I1072" s="48">
        <v>0.29166666666666669</v>
      </c>
      <c r="J1072" s="48">
        <v>0.29166666666666669</v>
      </c>
      <c r="K1072" s="48">
        <v>0.29166666666666669</v>
      </c>
      <c r="L1072" s="48">
        <v>0.29166666666666669</v>
      </c>
      <c r="M1072" s="48">
        <v>0.29166666666666669</v>
      </c>
      <c r="N1072" s="48">
        <v>0.29166666666666669</v>
      </c>
      <c r="O1072" s="48">
        <v>0.29166666666666669</v>
      </c>
      <c r="P1072" s="48">
        <v>0.29166666666666669</v>
      </c>
      <c r="Q1072" s="48">
        <v>0.29166666666666669</v>
      </c>
      <c r="R1072" s="48">
        <v>0.29166666666666669</v>
      </c>
      <c r="S1072" s="48">
        <v>0.29166666666666669</v>
      </c>
      <c r="T1072" s="48">
        <v>0.29166666666666669</v>
      </c>
      <c r="U1072" s="48">
        <v>0.29166666666666669</v>
      </c>
      <c r="V1072" s="48">
        <v>0.29166666666666669</v>
      </c>
      <c r="W1072" s="48">
        <v>0.29166666666666669</v>
      </c>
      <c r="X1072" s="48">
        <v>0.29166666666666669</v>
      </c>
      <c r="Y1072" s="48">
        <v>0.29166666666666669</v>
      </c>
      <c r="Z1072" s="48">
        <v>0.29166666666666669</v>
      </c>
      <c r="AA1072" s="48">
        <v>0.29166666666666669</v>
      </c>
      <c r="AB1072" s="48">
        <v>0.29166666666666669</v>
      </c>
      <c r="AC1072" s="48">
        <v>0.29166666666666669</v>
      </c>
      <c r="AD1072" s="48">
        <v>0.29166666666666669</v>
      </c>
      <c r="AE1072" s="48">
        <v>0.29166666666666669</v>
      </c>
      <c r="AF1072" s="48">
        <v>0.29166666666666669</v>
      </c>
      <c r="AG1072" s="48" t="s">
        <v>320</v>
      </c>
      <c r="AH1072" s="48">
        <v>0.29166666666666669</v>
      </c>
      <c r="AI1072" s="48">
        <v>0.29166666666666669</v>
      </c>
      <c r="AJ1072" s="48">
        <v>0.29166666666666669</v>
      </c>
      <c r="AK1072" s="48">
        <v>0.29166666666666669</v>
      </c>
      <c r="AL1072" s="48">
        <v>0.29166666666666669</v>
      </c>
    </row>
    <row r="1073" spans="1:41" hidden="1" x14ac:dyDescent="0.25">
      <c r="A1073">
        <v>1072</v>
      </c>
      <c r="B1073">
        <v>2025</v>
      </c>
      <c r="C1073">
        <v>10</v>
      </c>
      <c r="D1073" t="s">
        <v>525</v>
      </c>
      <c r="E1073">
        <v>110</v>
      </c>
      <c r="F1073">
        <v>3</v>
      </c>
      <c r="G1073" t="s">
        <v>431</v>
      </c>
      <c r="H1073" s="48">
        <v>0.75</v>
      </c>
      <c r="I1073" s="48">
        <v>0.75</v>
      </c>
      <c r="J1073" s="48">
        <v>0.75</v>
      </c>
      <c r="K1073" s="48">
        <v>0.75</v>
      </c>
      <c r="L1073" s="48">
        <v>0.75</v>
      </c>
      <c r="M1073" s="48">
        <v>0.75</v>
      </c>
      <c r="N1073" s="48">
        <v>0.75</v>
      </c>
      <c r="O1073" s="48">
        <v>0.75</v>
      </c>
      <c r="P1073" s="48">
        <v>0.75</v>
      </c>
      <c r="Q1073" s="48">
        <v>0.75</v>
      </c>
      <c r="R1073" s="48">
        <v>0.75</v>
      </c>
      <c r="S1073" s="48">
        <v>0.75</v>
      </c>
      <c r="T1073" s="48">
        <v>0.75</v>
      </c>
      <c r="U1073" s="48">
        <v>0.75</v>
      </c>
      <c r="V1073" s="48">
        <v>0.75</v>
      </c>
      <c r="W1073" s="48">
        <v>0.75</v>
      </c>
      <c r="X1073" s="48">
        <v>0.75</v>
      </c>
      <c r="Y1073" s="48">
        <v>0.75</v>
      </c>
      <c r="Z1073" s="48">
        <v>0.75</v>
      </c>
      <c r="AA1073" s="48">
        <v>0.75</v>
      </c>
      <c r="AB1073" s="48">
        <v>0.75</v>
      </c>
      <c r="AC1073" s="48">
        <v>0.75</v>
      </c>
      <c r="AD1073" s="48">
        <v>0.75</v>
      </c>
      <c r="AE1073" s="48">
        <v>0.75</v>
      </c>
      <c r="AF1073" s="48">
        <v>0.75</v>
      </c>
      <c r="AG1073" s="48" t="s">
        <v>320</v>
      </c>
      <c r="AH1073" s="48">
        <v>0.75</v>
      </c>
      <c r="AI1073" s="48">
        <v>0.75</v>
      </c>
      <c r="AJ1073" s="48">
        <v>0.75</v>
      </c>
      <c r="AK1073" s="48">
        <v>0.75</v>
      </c>
      <c r="AL1073" s="48">
        <v>0.75</v>
      </c>
      <c r="AM1073">
        <v>30</v>
      </c>
    </row>
    <row r="1074" spans="1:41" hidden="1" x14ac:dyDescent="0.25">
      <c r="A1074">
        <v>1073</v>
      </c>
      <c r="B1074">
        <v>2025</v>
      </c>
      <c r="C1074">
        <v>11</v>
      </c>
      <c r="D1074" t="s">
        <v>525</v>
      </c>
      <c r="E1074">
        <v>110</v>
      </c>
      <c r="F1074">
        <v>4</v>
      </c>
      <c r="G1074" t="s">
        <v>430</v>
      </c>
      <c r="H1074" s="48">
        <v>0.29166666666666669</v>
      </c>
      <c r="I1074" s="48">
        <v>0.29166666666666669</v>
      </c>
      <c r="J1074" s="48">
        <v>0.29166666666666669</v>
      </c>
      <c r="K1074" s="48">
        <v>0.29166666666666669</v>
      </c>
      <c r="L1074" s="48">
        <v>0.29166666666666669</v>
      </c>
      <c r="M1074" s="48">
        <v>0.29166666666666669</v>
      </c>
      <c r="N1074" s="48">
        <v>0.29166666666666669</v>
      </c>
      <c r="O1074" s="48">
        <v>0.29166666666666669</v>
      </c>
      <c r="P1074" s="48" t="s">
        <v>320</v>
      </c>
      <c r="Q1074" s="48">
        <v>0.29166666666666669</v>
      </c>
      <c r="R1074" s="48">
        <v>0.29166666666666669</v>
      </c>
      <c r="S1074" s="48">
        <v>0.29166666666666669</v>
      </c>
      <c r="T1074" s="48">
        <v>0.29166666666666669</v>
      </c>
      <c r="U1074" s="48">
        <v>0.29166666666666669</v>
      </c>
      <c r="V1074" s="48">
        <v>0.29166666666666669</v>
      </c>
      <c r="W1074" s="48">
        <v>0.29166666666666669</v>
      </c>
      <c r="X1074" s="48">
        <v>0.29166666666666669</v>
      </c>
      <c r="Y1074" s="48">
        <v>0.29166666666666669</v>
      </c>
      <c r="Z1074" s="48">
        <v>0.29166666666666669</v>
      </c>
      <c r="AA1074" s="48">
        <v>0.29166666666666669</v>
      </c>
      <c r="AB1074" s="48">
        <v>0.29166666666666669</v>
      </c>
      <c r="AC1074" s="48">
        <v>0.29166666666666669</v>
      </c>
      <c r="AD1074" s="48">
        <v>0.29166666666666669</v>
      </c>
      <c r="AE1074" s="48">
        <v>0.29166666666666669</v>
      </c>
      <c r="AF1074" s="48">
        <v>0.29166666666666669</v>
      </c>
      <c r="AG1074" s="48">
        <v>0.29166666666666669</v>
      </c>
      <c r="AH1074" s="48">
        <v>0.29166666666666669</v>
      </c>
      <c r="AI1074" s="48">
        <v>0.29166666666666669</v>
      </c>
      <c r="AJ1074" s="48">
        <v>0.29166666666666669</v>
      </c>
      <c r="AK1074" s="48">
        <v>0.29166666666666669</v>
      </c>
      <c r="AL1074" s="48" t="s">
        <v>320</v>
      </c>
    </row>
    <row r="1075" spans="1:41" hidden="1" x14ac:dyDescent="0.25">
      <c r="A1075">
        <v>1074</v>
      </c>
      <c r="B1075">
        <v>2025</v>
      </c>
      <c r="C1075">
        <v>11</v>
      </c>
      <c r="D1075" t="s">
        <v>525</v>
      </c>
      <c r="E1075">
        <v>110</v>
      </c>
      <c r="F1075">
        <v>4</v>
      </c>
      <c r="G1075" t="s">
        <v>431</v>
      </c>
      <c r="H1075" s="48">
        <v>0.75</v>
      </c>
      <c r="I1075" s="48">
        <v>0.75</v>
      </c>
      <c r="J1075" s="48">
        <v>0.75</v>
      </c>
      <c r="K1075" s="48">
        <v>0.75</v>
      </c>
      <c r="L1075" s="48">
        <v>0.75</v>
      </c>
      <c r="M1075" s="48">
        <v>0.75</v>
      </c>
      <c r="N1075" s="48">
        <v>0.75</v>
      </c>
      <c r="O1075" s="48">
        <v>0.75</v>
      </c>
      <c r="P1075" s="48" t="s">
        <v>320</v>
      </c>
      <c r="Q1075" s="48">
        <v>0.75</v>
      </c>
      <c r="R1075" s="48">
        <v>0.75</v>
      </c>
      <c r="S1075" s="48">
        <v>0.75</v>
      </c>
      <c r="T1075" s="48">
        <v>0.75</v>
      </c>
      <c r="U1075" s="48">
        <v>0.75</v>
      </c>
      <c r="V1075" s="48">
        <v>0.75</v>
      </c>
      <c r="W1075" s="48">
        <v>0.75</v>
      </c>
      <c r="X1075" s="48">
        <v>0.75</v>
      </c>
      <c r="Y1075" s="48">
        <v>0.75</v>
      </c>
      <c r="Z1075" s="48">
        <v>0.75</v>
      </c>
      <c r="AA1075" s="48">
        <v>0.75</v>
      </c>
      <c r="AB1075" s="48">
        <v>0.75</v>
      </c>
      <c r="AC1075" s="48">
        <v>0.75</v>
      </c>
      <c r="AD1075" s="48">
        <v>0.75</v>
      </c>
      <c r="AE1075" s="48">
        <v>0.75</v>
      </c>
      <c r="AF1075" s="48">
        <v>0.75</v>
      </c>
      <c r="AG1075" s="48">
        <v>0.75</v>
      </c>
      <c r="AH1075" s="48">
        <v>0.75</v>
      </c>
      <c r="AI1075" s="48">
        <v>0.75</v>
      </c>
      <c r="AJ1075" s="48">
        <v>0.75</v>
      </c>
      <c r="AK1075" s="48">
        <v>0.75</v>
      </c>
      <c r="AL1075" s="48" t="s">
        <v>320</v>
      </c>
      <c r="AM1075">
        <v>29</v>
      </c>
    </row>
    <row r="1076" spans="1:41" hidden="1" x14ac:dyDescent="0.25">
      <c r="A1076">
        <v>1075</v>
      </c>
      <c r="B1076">
        <v>2025</v>
      </c>
      <c r="C1076">
        <v>10</v>
      </c>
      <c r="D1076" t="s">
        <v>530</v>
      </c>
      <c r="E1076">
        <v>121</v>
      </c>
      <c r="F1076">
        <v>1</v>
      </c>
      <c r="G1076" t="s">
        <v>430</v>
      </c>
      <c r="H1076" s="48" t="s">
        <v>320</v>
      </c>
      <c r="I1076" s="48" t="s">
        <v>320</v>
      </c>
      <c r="J1076" s="48">
        <v>0.29166666666666669</v>
      </c>
      <c r="K1076" s="48">
        <v>0.29166666666666669</v>
      </c>
      <c r="L1076" s="48">
        <v>0.29166666666666669</v>
      </c>
      <c r="M1076" s="48">
        <v>0.29166666666666669</v>
      </c>
      <c r="N1076" s="48">
        <v>0.29166666666666669</v>
      </c>
      <c r="O1076" s="48">
        <v>0.29166666666666669</v>
      </c>
      <c r="P1076" s="48">
        <v>0.29166666666666669</v>
      </c>
      <c r="Q1076" s="48">
        <v>0.29166666666666669</v>
      </c>
      <c r="R1076" s="48">
        <v>0.29166666666666669</v>
      </c>
      <c r="S1076" s="48" t="s">
        <v>320</v>
      </c>
      <c r="T1076" s="48">
        <v>0.29166666666666669</v>
      </c>
      <c r="U1076" s="48">
        <v>0.29166666666666669</v>
      </c>
      <c r="V1076" s="48">
        <v>0.29166666666666669</v>
      </c>
      <c r="W1076" s="48">
        <v>0.29166666666666669</v>
      </c>
      <c r="X1076" s="48">
        <v>0.29166666666666669</v>
      </c>
      <c r="Y1076" s="48">
        <v>0.29166666666666669</v>
      </c>
      <c r="Z1076" s="48">
        <v>0.29166666666666669</v>
      </c>
      <c r="AA1076" s="48">
        <v>0.29166666666666669</v>
      </c>
      <c r="AB1076" s="48">
        <v>0.29166666666666669</v>
      </c>
      <c r="AC1076" s="48">
        <v>0.29166666666666669</v>
      </c>
      <c r="AD1076" s="48">
        <v>0.29166666666666669</v>
      </c>
      <c r="AE1076" s="48">
        <v>0.29166666666666669</v>
      </c>
      <c r="AF1076" s="48">
        <v>0.29166666666666669</v>
      </c>
      <c r="AG1076" s="48">
        <v>0.29166666666666669</v>
      </c>
      <c r="AH1076" s="48">
        <v>0.29166666666666669</v>
      </c>
      <c r="AI1076" s="48">
        <v>0.29166666666666669</v>
      </c>
      <c r="AJ1076" s="48">
        <v>0.29166666666666669</v>
      </c>
      <c r="AK1076" s="48">
        <v>0.29166666666666669</v>
      </c>
      <c r="AL1076" s="48">
        <v>0.29166666666666669</v>
      </c>
    </row>
    <row r="1077" spans="1:41" hidden="1" x14ac:dyDescent="0.25">
      <c r="A1077">
        <v>1076</v>
      </c>
      <c r="B1077">
        <v>2025</v>
      </c>
      <c r="C1077">
        <v>10</v>
      </c>
      <c r="D1077" t="s">
        <v>530</v>
      </c>
      <c r="E1077">
        <v>121</v>
      </c>
      <c r="F1077">
        <v>1</v>
      </c>
      <c r="G1077" t="s">
        <v>431</v>
      </c>
      <c r="H1077" s="48" t="s">
        <v>320</v>
      </c>
      <c r="I1077" s="48" t="s">
        <v>320</v>
      </c>
      <c r="J1077" s="48">
        <v>0.75</v>
      </c>
      <c r="K1077" s="48">
        <v>0.75</v>
      </c>
      <c r="L1077" s="48">
        <v>0.75</v>
      </c>
      <c r="M1077" s="48">
        <v>0.83333333333333326</v>
      </c>
      <c r="N1077" s="48">
        <v>0.75</v>
      </c>
      <c r="O1077" s="48">
        <v>0.75</v>
      </c>
      <c r="P1077" s="48">
        <v>0.79166666666666674</v>
      </c>
      <c r="Q1077" s="48">
        <v>0.75</v>
      </c>
      <c r="R1077" s="48">
        <v>0.75</v>
      </c>
      <c r="S1077" s="48" t="s">
        <v>320</v>
      </c>
      <c r="T1077" s="48">
        <v>0.79166666666666674</v>
      </c>
      <c r="U1077" s="48">
        <v>0.75</v>
      </c>
      <c r="V1077" s="48">
        <v>0.75</v>
      </c>
      <c r="W1077" s="48">
        <v>0.75</v>
      </c>
      <c r="X1077" s="48">
        <v>0.79166666666666674</v>
      </c>
      <c r="Y1077" s="48">
        <v>0.75</v>
      </c>
      <c r="Z1077" s="48">
        <v>0.75</v>
      </c>
      <c r="AA1077" s="48">
        <v>0.79166666666666674</v>
      </c>
      <c r="AB1077" s="48">
        <v>0.75</v>
      </c>
      <c r="AC1077" s="48">
        <v>0.75</v>
      </c>
      <c r="AD1077" s="48">
        <v>0.79166666666666674</v>
      </c>
      <c r="AE1077" s="48">
        <v>0.75</v>
      </c>
      <c r="AF1077" s="48">
        <v>0.75</v>
      </c>
      <c r="AG1077" s="48">
        <v>0.75</v>
      </c>
      <c r="AH1077" s="48">
        <v>0.79166666666666674</v>
      </c>
      <c r="AI1077" s="48">
        <v>0.75</v>
      </c>
      <c r="AJ1077" s="48">
        <v>0.75</v>
      </c>
      <c r="AK1077" s="48">
        <v>0.75</v>
      </c>
      <c r="AL1077" s="48">
        <v>0.75</v>
      </c>
      <c r="AM1077">
        <v>28</v>
      </c>
      <c r="AO1077" s="20">
        <v>8</v>
      </c>
    </row>
    <row r="1078" spans="1:41" hidden="1" x14ac:dyDescent="0.25">
      <c r="A1078">
        <v>1077</v>
      </c>
      <c r="B1078">
        <v>2025</v>
      </c>
      <c r="C1078">
        <v>11</v>
      </c>
      <c r="D1078" t="s">
        <v>530</v>
      </c>
      <c r="E1078">
        <v>121</v>
      </c>
      <c r="F1078">
        <v>2</v>
      </c>
      <c r="G1078" t="s">
        <v>430</v>
      </c>
      <c r="H1078" s="48">
        <v>0.29166666666666669</v>
      </c>
      <c r="I1078" s="48">
        <v>0.29166666666666669</v>
      </c>
      <c r="J1078" s="48">
        <v>0.29166666666666669</v>
      </c>
      <c r="K1078" s="48">
        <v>0.29166666666666669</v>
      </c>
      <c r="L1078" s="48">
        <v>0.29166666666666669</v>
      </c>
      <c r="M1078" s="48">
        <v>0.29166666666666669</v>
      </c>
      <c r="N1078" s="48">
        <v>0.29166666666666669</v>
      </c>
      <c r="O1078" s="48">
        <v>0.29166666666666669</v>
      </c>
      <c r="P1078" s="48" t="s">
        <v>320</v>
      </c>
      <c r="Q1078" s="48">
        <v>0.29166666666666669</v>
      </c>
      <c r="R1078" s="48">
        <v>0.29166666666666669</v>
      </c>
      <c r="S1078" s="48">
        <v>0.29166666666666669</v>
      </c>
      <c r="T1078" s="48">
        <v>0.29166666666666669</v>
      </c>
      <c r="U1078" s="48">
        <v>0.29166666666666669</v>
      </c>
      <c r="V1078" s="48">
        <v>0.29166666666666669</v>
      </c>
      <c r="W1078" s="48">
        <v>0.29166666666666669</v>
      </c>
      <c r="X1078" s="48">
        <v>0.29166666666666669</v>
      </c>
      <c r="Y1078" s="48">
        <v>0.29166666666666669</v>
      </c>
      <c r="Z1078" s="48">
        <v>0.29166666666666669</v>
      </c>
      <c r="AA1078" s="48">
        <v>0.29166666666666669</v>
      </c>
      <c r="AB1078" s="48">
        <v>0.29166666666666669</v>
      </c>
      <c r="AC1078" s="48">
        <v>0.29166666666666669</v>
      </c>
      <c r="AD1078" s="48">
        <v>0.29166666666666669</v>
      </c>
      <c r="AE1078" s="48">
        <v>0.29166666666666669</v>
      </c>
      <c r="AF1078" s="48">
        <v>0.29166666666666669</v>
      </c>
      <c r="AG1078" s="48">
        <v>0.29166666666666669</v>
      </c>
      <c r="AH1078" s="48">
        <v>0.29166666666666669</v>
      </c>
      <c r="AI1078" s="48">
        <v>0.29166666666666669</v>
      </c>
      <c r="AJ1078" s="48">
        <v>0.29166666666666669</v>
      </c>
      <c r="AK1078" s="48">
        <v>0.29166666666666669</v>
      </c>
      <c r="AL1078" s="48" t="s">
        <v>320</v>
      </c>
    </row>
    <row r="1079" spans="1:41" hidden="1" x14ac:dyDescent="0.25">
      <c r="A1079">
        <v>1078</v>
      </c>
      <c r="B1079">
        <v>2025</v>
      </c>
      <c r="C1079">
        <v>11</v>
      </c>
      <c r="D1079" t="s">
        <v>530</v>
      </c>
      <c r="E1079">
        <v>121</v>
      </c>
      <c r="F1079">
        <v>2</v>
      </c>
      <c r="G1079" t="s">
        <v>431</v>
      </c>
      <c r="H1079" s="48">
        <v>0.75</v>
      </c>
      <c r="I1079" s="48">
        <v>0.75</v>
      </c>
      <c r="J1079" s="48">
        <v>0.75</v>
      </c>
      <c r="K1079" s="48">
        <v>0.75</v>
      </c>
      <c r="L1079" s="48">
        <v>0.75</v>
      </c>
      <c r="M1079" s="48">
        <v>0.83333333333333326</v>
      </c>
      <c r="N1079" s="48">
        <v>0.75</v>
      </c>
      <c r="O1079" s="48">
        <v>0.79166666666666674</v>
      </c>
      <c r="P1079" s="48" t="s">
        <v>320</v>
      </c>
      <c r="Q1079" s="48">
        <v>0.75</v>
      </c>
      <c r="R1079" s="48">
        <v>0.75</v>
      </c>
      <c r="S1079" s="48">
        <v>0.75</v>
      </c>
      <c r="T1079" s="48">
        <v>0.79166666666666674</v>
      </c>
      <c r="U1079" s="48">
        <v>0.75</v>
      </c>
      <c r="V1079" s="48">
        <v>0.75</v>
      </c>
      <c r="W1079" s="48">
        <v>0.75</v>
      </c>
      <c r="X1079" s="48">
        <v>0.79166666666666674</v>
      </c>
      <c r="Y1079" s="48">
        <v>0.75</v>
      </c>
      <c r="Z1079" s="48">
        <v>0.75</v>
      </c>
      <c r="AA1079" s="48">
        <v>0.79166666666666674</v>
      </c>
      <c r="AB1079" s="48">
        <v>0.75</v>
      </c>
      <c r="AC1079" s="48">
        <v>0.75</v>
      </c>
      <c r="AD1079" s="48">
        <v>0.79166666666666674</v>
      </c>
      <c r="AE1079" s="48">
        <v>0.75</v>
      </c>
      <c r="AF1079" s="48">
        <v>0.75</v>
      </c>
      <c r="AG1079" s="48">
        <v>0.75</v>
      </c>
      <c r="AH1079" s="48">
        <v>0.79166666666666674</v>
      </c>
      <c r="AI1079" s="48">
        <v>0.75</v>
      </c>
      <c r="AJ1079" s="48">
        <v>0.75</v>
      </c>
      <c r="AK1079" s="48">
        <v>0.75</v>
      </c>
      <c r="AL1079" s="48" t="s">
        <v>320</v>
      </c>
      <c r="AM1079">
        <v>29</v>
      </c>
      <c r="AO1079" s="20">
        <v>8</v>
      </c>
    </row>
    <row r="1080" spans="1:41" hidden="1" x14ac:dyDescent="0.25">
      <c r="A1080">
        <v>1079</v>
      </c>
      <c r="B1080">
        <v>2025</v>
      </c>
      <c r="C1080">
        <v>11</v>
      </c>
      <c r="D1080" t="s">
        <v>531</v>
      </c>
      <c r="E1080">
        <v>141</v>
      </c>
      <c r="F1080">
        <v>1</v>
      </c>
      <c r="G1080" t="s">
        <v>430</v>
      </c>
      <c r="H1080" s="48" t="s">
        <v>320</v>
      </c>
      <c r="I1080" s="48" t="s">
        <v>320</v>
      </c>
      <c r="J1080" s="48" t="s">
        <v>320</v>
      </c>
      <c r="K1080" s="48" t="s">
        <v>320</v>
      </c>
      <c r="L1080" s="48">
        <v>0.29166666666666669</v>
      </c>
      <c r="M1080" s="48">
        <v>0.29166666666666669</v>
      </c>
      <c r="N1080" s="48">
        <v>0.29166666666666669</v>
      </c>
      <c r="O1080" s="48">
        <v>0.29166666666666669</v>
      </c>
      <c r="P1080" s="48" t="s">
        <v>320</v>
      </c>
      <c r="Q1080" s="48">
        <v>0.29166666666666669</v>
      </c>
      <c r="R1080" s="48">
        <v>0.29166666666666669</v>
      </c>
      <c r="S1080" s="48">
        <v>0.29166666666666669</v>
      </c>
      <c r="T1080" s="48">
        <v>0.29166666666666669</v>
      </c>
      <c r="U1080" s="48">
        <v>0.29166666666666669</v>
      </c>
      <c r="V1080" s="48">
        <v>0.29166666666666669</v>
      </c>
      <c r="W1080" s="48">
        <v>0.29166666666666669</v>
      </c>
      <c r="X1080" s="48">
        <v>0.29166666666666669</v>
      </c>
      <c r="Y1080" s="48">
        <v>0.29166666666666669</v>
      </c>
      <c r="Z1080" s="48">
        <v>0.29166666666666669</v>
      </c>
      <c r="AA1080" s="48">
        <v>0.29166666666666669</v>
      </c>
      <c r="AB1080" s="48">
        <v>0.29166666666666669</v>
      </c>
      <c r="AC1080" s="48">
        <v>0.29166666666666669</v>
      </c>
      <c r="AD1080" s="48" t="s">
        <v>320</v>
      </c>
      <c r="AE1080" s="48">
        <v>0.29166666666666669</v>
      </c>
      <c r="AF1080" s="48">
        <v>0.29166666666666669</v>
      </c>
      <c r="AG1080" s="48">
        <v>0.29166666666666669</v>
      </c>
      <c r="AH1080" s="48">
        <v>0.29166666666666669</v>
      </c>
      <c r="AI1080" s="48">
        <v>0.29166666666666669</v>
      </c>
      <c r="AJ1080" s="48">
        <v>0.29166666666666669</v>
      </c>
      <c r="AK1080" s="48">
        <v>0.29166666666666669</v>
      </c>
      <c r="AL1080" s="48" t="s">
        <v>320</v>
      </c>
    </row>
    <row r="1081" spans="1:41" hidden="1" x14ac:dyDescent="0.25">
      <c r="A1081">
        <v>1080</v>
      </c>
      <c r="B1081">
        <v>2025</v>
      </c>
      <c r="C1081">
        <v>11</v>
      </c>
      <c r="D1081" t="s">
        <v>531</v>
      </c>
      <c r="E1081">
        <v>141</v>
      </c>
      <c r="F1081">
        <v>1</v>
      </c>
      <c r="G1081" t="s">
        <v>431</v>
      </c>
      <c r="H1081" s="48" t="s">
        <v>320</v>
      </c>
      <c r="I1081" s="48" t="s">
        <v>320</v>
      </c>
      <c r="J1081" s="48" t="s">
        <v>320</v>
      </c>
      <c r="K1081" s="48" t="s">
        <v>320</v>
      </c>
      <c r="L1081" s="48">
        <v>0.75</v>
      </c>
      <c r="M1081" s="48">
        <v>0.75</v>
      </c>
      <c r="N1081" s="48">
        <v>0.79166666666666674</v>
      </c>
      <c r="O1081" s="48">
        <v>0.79166666666666674</v>
      </c>
      <c r="P1081" s="48" t="s">
        <v>320</v>
      </c>
      <c r="Q1081" s="48">
        <v>0.79166666666666674</v>
      </c>
      <c r="R1081" s="48">
        <v>0.79166666666666674</v>
      </c>
      <c r="S1081" s="48">
        <v>0.75</v>
      </c>
      <c r="T1081" s="48">
        <v>0.75</v>
      </c>
      <c r="U1081" s="48">
        <v>0.79166666666666674</v>
      </c>
      <c r="V1081" s="48">
        <v>0.875</v>
      </c>
      <c r="W1081" s="48">
        <v>0.83333333333333326</v>
      </c>
      <c r="X1081" s="48">
        <v>0.79166666666666674</v>
      </c>
      <c r="Y1081" s="48">
        <v>0.79166666666666674</v>
      </c>
      <c r="Z1081" s="48">
        <v>0.75</v>
      </c>
      <c r="AA1081" s="48">
        <v>0.875</v>
      </c>
      <c r="AB1081" s="48">
        <v>0.79166666666666674</v>
      </c>
      <c r="AC1081" s="48">
        <v>0.875</v>
      </c>
      <c r="AD1081" s="48" t="s">
        <v>320</v>
      </c>
      <c r="AE1081" s="48">
        <v>0.83333333333333326</v>
      </c>
      <c r="AF1081" s="48">
        <v>0.79166666666666674</v>
      </c>
      <c r="AG1081" s="48">
        <v>0.75</v>
      </c>
      <c r="AH1081" s="48">
        <v>0.79166666666666674</v>
      </c>
      <c r="AI1081" s="48">
        <v>0.75</v>
      </c>
      <c r="AJ1081" s="48">
        <v>0.79166666666666674</v>
      </c>
      <c r="AK1081" s="48">
        <v>0.75</v>
      </c>
      <c r="AL1081" s="48" t="s">
        <v>320</v>
      </c>
      <c r="AM1081">
        <v>24</v>
      </c>
      <c r="AO1081" s="20">
        <v>24</v>
      </c>
    </row>
    <row r="1082" spans="1:41" hidden="1" x14ac:dyDescent="0.25">
      <c r="A1082">
        <v>1081</v>
      </c>
      <c r="B1082">
        <v>2025</v>
      </c>
      <c r="C1082">
        <v>12</v>
      </c>
      <c r="D1082" t="s">
        <v>501</v>
      </c>
      <c r="E1082">
        <v>98</v>
      </c>
      <c r="F1082">
        <v>6</v>
      </c>
      <c r="G1082" t="s">
        <v>430</v>
      </c>
      <c r="H1082" s="48">
        <v>0.29166666666666669</v>
      </c>
      <c r="J1082" s="48">
        <v>0.29166666666666669</v>
      </c>
      <c r="K1082" s="48">
        <v>0.29166666666666669</v>
      </c>
      <c r="L1082" s="48">
        <v>0.29166666666666669</v>
      </c>
      <c r="M1082" s="48">
        <v>0.29166666666666669</v>
      </c>
      <c r="N1082" s="48">
        <v>0.29166666666666669</v>
      </c>
      <c r="O1082" s="48">
        <v>0.29166666666666669</v>
      </c>
      <c r="P1082" s="48">
        <v>0.29166666666666669</v>
      </c>
      <c r="Q1082" s="48">
        <v>0.29166666666666669</v>
      </c>
      <c r="R1082" s="48">
        <v>0.29166666666666669</v>
      </c>
      <c r="S1082" s="48">
        <v>0.29166666666666669</v>
      </c>
      <c r="T1082" s="48">
        <v>0.29166666666666669</v>
      </c>
      <c r="V1082" s="48">
        <v>0.29166666666666669</v>
      </c>
      <c r="W1082" s="48">
        <v>0.29166666666666669</v>
      </c>
      <c r="X1082" s="48">
        <v>0.29166666666666669</v>
      </c>
      <c r="Z1082" s="48">
        <v>0.29166666666666669</v>
      </c>
      <c r="AA1082" s="48">
        <v>0.29166666666666669</v>
      </c>
      <c r="AB1082" s="48">
        <v>0.29166666666666669</v>
      </c>
      <c r="AC1082" s="48">
        <v>0.29166666666666669</v>
      </c>
      <c r="AD1082" s="48">
        <v>0.29166666666666669</v>
      </c>
      <c r="AE1082" s="48">
        <v>0.29166666666666669</v>
      </c>
      <c r="AF1082" s="48">
        <v>0.29166666666666669</v>
      </c>
      <c r="AG1082" s="48">
        <v>0.29166666666666669</v>
      </c>
      <c r="AH1082" s="48">
        <v>0.29166666666666669</v>
      </c>
      <c r="AI1082" s="48">
        <v>0.29166666666666669</v>
      </c>
      <c r="AJ1082" s="48">
        <v>0.29166666666666669</v>
      </c>
      <c r="AK1082" s="48">
        <v>0.29166666666666669</v>
      </c>
    </row>
    <row r="1083" spans="1:41" hidden="1" x14ac:dyDescent="0.25">
      <c r="A1083">
        <v>1082</v>
      </c>
      <c r="B1083">
        <v>2025</v>
      </c>
      <c r="C1083">
        <v>12</v>
      </c>
      <c r="D1083" t="s">
        <v>501</v>
      </c>
      <c r="E1083">
        <v>98</v>
      </c>
      <c r="F1083">
        <v>6</v>
      </c>
      <c r="G1083" t="s">
        <v>431</v>
      </c>
      <c r="H1083" s="48">
        <v>0.75</v>
      </c>
      <c r="J1083" s="48">
        <v>0.75</v>
      </c>
      <c r="K1083" s="48">
        <v>0.75</v>
      </c>
      <c r="L1083" s="48">
        <v>0.75</v>
      </c>
      <c r="M1083" s="48">
        <v>0.75</v>
      </c>
      <c r="N1083" s="48">
        <v>0.75</v>
      </c>
      <c r="O1083" s="48">
        <v>0.75</v>
      </c>
      <c r="P1083" s="48">
        <v>0.75</v>
      </c>
      <c r="Q1083" s="48">
        <v>0.75</v>
      </c>
      <c r="R1083" s="48">
        <v>0.75</v>
      </c>
      <c r="S1083" s="48">
        <v>0.75</v>
      </c>
      <c r="T1083" s="48">
        <v>0.75</v>
      </c>
      <c r="V1083" s="48">
        <v>0.75</v>
      </c>
      <c r="W1083" s="48">
        <v>0.75</v>
      </c>
      <c r="X1083" s="48">
        <v>0.75</v>
      </c>
      <c r="Z1083" s="48">
        <v>0.75</v>
      </c>
      <c r="AA1083" s="48">
        <v>0.75</v>
      </c>
      <c r="AB1083" s="48">
        <v>0.75</v>
      </c>
      <c r="AC1083" s="48">
        <v>0.75</v>
      </c>
      <c r="AD1083" s="48">
        <v>0.75</v>
      </c>
      <c r="AE1083" s="48">
        <v>0.75</v>
      </c>
      <c r="AF1083" s="48">
        <v>0.75</v>
      </c>
      <c r="AG1083" s="48">
        <v>0.75</v>
      </c>
      <c r="AH1083" s="48">
        <v>0.75</v>
      </c>
      <c r="AI1083" s="48">
        <v>0.75</v>
      </c>
      <c r="AJ1083" s="48">
        <v>0.75</v>
      </c>
      <c r="AK1083" s="48">
        <v>0.75</v>
      </c>
      <c r="AM1083">
        <v>27</v>
      </c>
    </row>
    <row r="1084" spans="1:41" hidden="1" x14ac:dyDescent="0.25">
      <c r="A1084">
        <v>1083</v>
      </c>
      <c r="B1084">
        <v>2025</v>
      </c>
      <c r="C1084">
        <v>12</v>
      </c>
      <c r="D1084" t="s">
        <v>525</v>
      </c>
      <c r="E1084">
        <v>110</v>
      </c>
      <c r="F1084">
        <v>5</v>
      </c>
      <c r="G1084" t="s">
        <v>430</v>
      </c>
      <c r="H1084" s="48">
        <v>0.29166666666666669</v>
      </c>
      <c r="I1084" s="48">
        <v>0.29166666666666669</v>
      </c>
      <c r="J1084" s="48">
        <v>0.29166666666666669</v>
      </c>
      <c r="K1084" s="48">
        <v>0.29166666666666669</v>
      </c>
      <c r="L1084" s="48">
        <v>0.29166666666666669</v>
      </c>
      <c r="M1084" s="48">
        <v>0.29166666666666669</v>
      </c>
      <c r="N1084" s="48">
        <v>0.29166666666666669</v>
      </c>
      <c r="O1084" s="48">
        <v>0.29166666666666669</v>
      </c>
      <c r="P1084" s="48">
        <v>0.29166666666666669</v>
      </c>
      <c r="Q1084" s="48">
        <v>0.29166666666666669</v>
      </c>
      <c r="W1084" s="48">
        <v>0.29166666666666669</v>
      </c>
      <c r="X1084" s="48">
        <v>0.29166666666666669</v>
      </c>
      <c r="Y1084" s="48">
        <v>0.29166666666666669</v>
      </c>
      <c r="Z1084" s="48">
        <v>0.29166666666666669</v>
      </c>
      <c r="AA1084" s="48">
        <v>0.29166666666666669</v>
      </c>
      <c r="AB1084" s="48">
        <v>0.29166666666666669</v>
      </c>
      <c r="AC1084" s="48">
        <v>0.29166666666666669</v>
      </c>
      <c r="AD1084" s="48">
        <v>0.29166666666666669</v>
      </c>
      <c r="AE1084" s="48">
        <v>0.29166666666666669</v>
      </c>
      <c r="AF1084" s="48">
        <v>0.29166666666666669</v>
      </c>
      <c r="AG1084" s="48">
        <v>0.29166666666666669</v>
      </c>
      <c r="AH1084" s="48">
        <v>0.29166666666666669</v>
      </c>
      <c r="AI1084" s="48">
        <v>0.29166666666666669</v>
      </c>
      <c r="AJ1084" s="48">
        <v>0.29166666666666669</v>
      </c>
      <c r="AK1084" s="48">
        <v>0.29166666666666669</v>
      </c>
    </row>
    <row r="1085" spans="1:41" hidden="1" x14ac:dyDescent="0.25">
      <c r="A1085">
        <v>1084</v>
      </c>
      <c r="B1085">
        <v>2025</v>
      </c>
      <c r="C1085">
        <v>12</v>
      </c>
      <c r="D1085" t="s">
        <v>525</v>
      </c>
      <c r="E1085">
        <v>110</v>
      </c>
      <c r="F1085">
        <v>5</v>
      </c>
      <c r="G1085" t="s">
        <v>431</v>
      </c>
      <c r="H1085" s="48">
        <v>0.75</v>
      </c>
      <c r="I1085" s="48">
        <v>0.75</v>
      </c>
      <c r="J1085" s="48">
        <v>0.75</v>
      </c>
      <c r="K1085" s="48">
        <v>0.75</v>
      </c>
      <c r="L1085" s="48">
        <v>0.75</v>
      </c>
      <c r="M1085" s="48">
        <v>0.75</v>
      </c>
      <c r="N1085" s="48">
        <v>0.75</v>
      </c>
      <c r="O1085" s="48">
        <v>0.75</v>
      </c>
      <c r="P1085" s="48">
        <v>0.75</v>
      </c>
      <c r="Q1085" s="48">
        <v>0.75</v>
      </c>
      <c r="W1085" s="48">
        <v>0.75</v>
      </c>
      <c r="X1085" s="48">
        <v>0.75</v>
      </c>
      <c r="Y1085" s="48">
        <v>0.75</v>
      </c>
      <c r="Z1085" s="48">
        <v>0.75</v>
      </c>
      <c r="AA1085" s="48">
        <v>0.75</v>
      </c>
      <c r="AB1085" s="48">
        <v>0.75</v>
      </c>
      <c r="AC1085" s="48">
        <v>0.75</v>
      </c>
      <c r="AD1085" s="48">
        <v>0.75</v>
      </c>
      <c r="AE1085" s="48">
        <v>0.75</v>
      </c>
      <c r="AF1085" s="48">
        <v>0.75</v>
      </c>
      <c r="AG1085" s="48">
        <v>0.75</v>
      </c>
      <c r="AH1085" s="48">
        <v>0.75</v>
      </c>
      <c r="AI1085" s="48">
        <v>0.75</v>
      </c>
      <c r="AJ1085" s="48">
        <v>0.75</v>
      </c>
      <c r="AK1085" s="48">
        <v>0.75</v>
      </c>
      <c r="AM1085">
        <v>25</v>
      </c>
      <c r="AO1085" s="20"/>
    </row>
    <row r="1086" spans="1:41" hidden="1" x14ac:dyDescent="0.25">
      <c r="A1086">
        <v>1085</v>
      </c>
      <c r="B1086">
        <v>2025</v>
      </c>
      <c r="C1086">
        <v>12</v>
      </c>
      <c r="D1086" t="s">
        <v>530</v>
      </c>
      <c r="E1086">
        <v>121</v>
      </c>
      <c r="F1086">
        <v>3</v>
      </c>
      <c r="G1086" t="s">
        <v>430</v>
      </c>
      <c r="H1086" s="48">
        <v>0.29166666666666669</v>
      </c>
      <c r="I1086" s="48">
        <v>0.29166666666666669</v>
      </c>
      <c r="J1086" s="48">
        <v>0.29166666666666669</v>
      </c>
      <c r="K1086" s="48">
        <v>0.29166666666666669</v>
      </c>
      <c r="L1086" s="48">
        <v>0.29166666666666669</v>
      </c>
      <c r="M1086" s="48">
        <v>0.29166666666666669</v>
      </c>
      <c r="O1086" s="48">
        <v>0.29166666666666669</v>
      </c>
      <c r="P1086" s="48">
        <v>0.29166666666666669</v>
      </c>
      <c r="Q1086" s="48">
        <v>0.29166666666666669</v>
      </c>
      <c r="R1086" s="48">
        <v>0.29166666666666669</v>
      </c>
      <c r="S1086" s="48">
        <v>0.29166666666666669</v>
      </c>
      <c r="T1086" s="48">
        <v>0.29166666666666669</v>
      </c>
      <c r="V1086" s="48">
        <v>0.29166666666666669</v>
      </c>
      <c r="W1086" s="48">
        <v>0.29166666666666669</v>
      </c>
      <c r="X1086" s="48">
        <v>0.29166666666666669</v>
      </c>
      <c r="Y1086" s="48">
        <v>0.29166666666666669</v>
      </c>
      <c r="Z1086" s="48">
        <v>0.29166666666666669</v>
      </c>
      <c r="AA1086" s="48">
        <v>0.29166666666666669</v>
      </c>
      <c r="AB1086" s="48">
        <v>0.29166666666666669</v>
      </c>
      <c r="AC1086" s="48">
        <v>0.29166666666666669</v>
      </c>
      <c r="AD1086" s="48">
        <v>0.29166666666666669</v>
      </c>
      <c r="AE1086" s="48">
        <v>0.29166666666666669</v>
      </c>
      <c r="AF1086" s="48">
        <v>0.29166666666666669</v>
      </c>
      <c r="AG1086" s="48">
        <v>0.29166666666666669</v>
      </c>
      <c r="AH1086" s="48">
        <v>0.29166666666666669</v>
      </c>
      <c r="AI1086" s="48">
        <v>0.29166666666666669</v>
      </c>
      <c r="AJ1086" s="48">
        <v>0.29166666666666669</v>
      </c>
      <c r="AK1086" s="48">
        <v>0.29166666666666669</v>
      </c>
    </row>
    <row r="1087" spans="1:41" hidden="1" x14ac:dyDescent="0.25">
      <c r="A1087">
        <v>1086</v>
      </c>
      <c r="B1087">
        <v>2025</v>
      </c>
      <c r="C1087">
        <v>12</v>
      </c>
      <c r="D1087" t="s">
        <v>530</v>
      </c>
      <c r="E1087">
        <v>121</v>
      </c>
      <c r="F1087">
        <v>3</v>
      </c>
      <c r="G1087" t="s">
        <v>431</v>
      </c>
      <c r="H1087" s="48">
        <v>0.75</v>
      </c>
      <c r="I1087" s="48">
        <v>0.75</v>
      </c>
      <c r="J1087" s="48">
        <v>0.75</v>
      </c>
      <c r="K1087" s="48">
        <v>0.75</v>
      </c>
      <c r="L1087" s="48">
        <v>0.75</v>
      </c>
      <c r="M1087" s="48">
        <v>0.75</v>
      </c>
      <c r="O1087" s="48">
        <v>0.75</v>
      </c>
      <c r="P1087" s="48">
        <v>0.75</v>
      </c>
      <c r="Q1087" s="48">
        <v>0.75</v>
      </c>
      <c r="R1087" s="48">
        <v>0.75</v>
      </c>
      <c r="S1087" s="48">
        <v>0.75</v>
      </c>
      <c r="T1087" s="48">
        <v>0.75</v>
      </c>
      <c r="V1087" s="48">
        <v>0.75</v>
      </c>
      <c r="W1087" s="48">
        <v>0.75</v>
      </c>
      <c r="X1087" s="48">
        <v>0.75</v>
      </c>
      <c r="Y1087" s="48">
        <v>0.75</v>
      </c>
      <c r="Z1087" s="48">
        <v>0.75</v>
      </c>
      <c r="AA1087" s="48">
        <v>0.75</v>
      </c>
      <c r="AB1087" s="48">
        <v>0.75</v>
      </c>
      <c r="AC1087" s="48">
        <v>0.75</v>
      </c>
      <c r="AD1087" s="48">
        <v>0.75</v>
      </c>
      <c r="AE1087" s="48">
        <v>0.75</v>
      </c>
      <c r="AF1087" s="48">
        <v>0.75</v>
      </c>
      <c r="AG1087" s="48">
        <v>0.75</v>
      </c>
      <c r="AH1087" s="48">
        <v>0.75</v>
      </c>
      <c r="AI1087" s="48">
        <v>0.75</v>
      </c>
      <c r="AJ1087" s="48">
        <v>0.75</v>
      </c>
      <c r="AK1087" s="48">
        <v>0.75</v>
      </c>
      <c r="AM1087">
        <v>28</v>
      </c>
      <c r="AO1087" s="20"/>
    </row>
    <row r="1088" spans="1:41" hidden="1" x14ac:dyDescent="0.25">
      <c r="A1088">
        <v>1087</v>
      </c>
      <c r="B1088">
        <v>2025</v>
      </c>
      <c r="C1088">
        <v>12</v>
      </c>
      <c r="D1088" t="s">
        <v>531</v>
      </c>
      <c r="E1088">
        <v>141</v>
      </c>
      <c r="F1088">
        <v>2</v>
      </c>
      <c r="G1088" t="s">
        <v>430</v>
      </c>
      <c r="H1088" s="48">
        <v>0.29166666666666669</v>
      </c>
      <c r="I1088" s="48">
        <v>0.29166666666666669</v>
      </c>
      <c r="J1088" s="48">
        <v>0.29166666666666669</v>
      </c>
      <c r="K1088" s="48">
        <v>0.29166666666666669</v>
      </c>
      <c r="L1088" s="48">
        <v>0.29166666666666669</v>
      </c>
      <c r="M1088" s="48">
        <v>0.29166666666666669</v>
      </c>
      <c r="O1088" s="48">
        <v>0.29166666666666669</v>
      </c>
      <c r="P1088" s="48">
        <v>0.29166666666666669</v>
      </c>
      <c r="Q1088" s="48">
        <v>0.29166666666666669</v>
      </c>
      <c r="R1088" s="48">
        <v>0.29166666666666669</v>
      </c>
      <c r="S1088" s="48">
        <v>0.29166666666666669</v>
      </c>
      <c r="T1088" s="48">
        <v>0.29166666666666669</v>
      </c>
      <c r="V1088" s="48">
        <v>0.29166666666666669</v>
      </c>
      <c r="W1088" s="48">
        <v>0.29166666666666669</v>
      </c>
      <c r="X1088" s="48">
        <v>0.29166666666666669</v>
      </c>
      <c r="Y1088" s="48">
        <v>0.29166666666666669</v>
      </c>
      <c r="Z1088" s="48">
        <v>0.29166666666666669</v>
      </c>
      <c r="AA1088" s="48">
        <v>0.29166666666666669</v>
      </c>
      <c r="AB1088" s="48">
        <v>0.29166666666666669</v>
      </c>
      <c r="AC1088" s="48">
        <v>0.29166666666666669</v>
      </c>
      <c r="AD1088" s="48">
        <v>0.29166666666666669</v>
      </c>
      <c r="AE1088" s="48">
        <v>0.29166666666666669</v>
      </c>
      <c r="AF1088" s="48">
        <v>0.29166666666666669</v>
      </c>
      <c r="AG1088" s="48">
        <v>0.29166666666666669</v>
      </c>
      <c r="AH1088" s="48">
        <v>0.29166666666666669</v>
      </c>
      <c r="AI1088" s="48">
        <v>0.29166666666666669</v>
      </c>
      <c r="AJ1088" s="48">
        <v>0.29166666666666669</v>
      </c>
      <c r="AK1088" s="48">
        <v>0.29166666666666669</v>
      </c>
    </row>
    <row r="1089" spans="1:41" hidden="1" x14ac:dyDescent="0.25">
      <c r="A1089">
        <v>1088</v>
      </c>
      <c r="B1089">
        <v>2025</v>
      </c>
      <c r="C1089">
        <v>12</v>
      </c>
      <c r="D1089" t="s">
        <v>531</v>
      </c>
      <c r="E1089">
        <v>141</v>
      </c>
      <c r="F1089">
        <v>2</v>
      </c>
      <c r="G1089" t="s">
        <v>431</v>
      </c>
      <c r="H1089" s="48">
        <v>0.875</v>
      </c>
      <c r="I1089" s="48">
        <v>0.75</v>
      </c>
      <c r="J1089" s="48">
        <v>0.875</v>
      </c>
      <c r="K1089" s="48">
        <v>0.75</v>
      </c>
      <c r="L1089" s="48">
        <v>0.875</v>
      </c>
      <c r="M1089" s="48">
        <v>0.79166666666666663</v>
      </c>
      <c r="O1089" s="48">
        <v>0.75</v>
      </c>
      <c r="P1089" s="48">
        <v>0.75</v>
      </c>
      <c r="Q1089" s="48">
        <v>0.75</v>
      </c>
      <c r="R1089" s="48">
        <v>0.75</v>
      </c>
      <c r="S1089" s="48">
        <v>0.75</v>
      </c>
      <c r="T1089" s="48">
        <v>0.75</v>
      </c>
      <c r="V1089" s="48">
        <v>0.75</v>
      </c>
      <c r="W1089" s="48">
        <v>0.75</v>
      </c>
      <c r="X1089" s="48">
        <v>0.75</v>
      </c>
      <c r="Y1089" s="48">
        <v>0.75</v>
      </c>
      <c r="Z1089" s="48">
        <v>0.75</v>
      </c>
      <c r="AA1089" s="48">
        <v>0.75</v>
      </c>
      <c r="AB1089" s="48">
        <v>0.75</v>
      </c>
      <c r="AC1089" s="48">
        <v>0.75</v>
      </c>
      <c r="AD1089" s="48">
        <v>0.75</v>
      </c>
      <c r="AE1089" s="48">
        <v>0.75</v>
      </c>
      <c r="AF1089" s="48">
        <v>0.75</v>
      </c>
      <c r="AG1089" s="48">
        <v>0.75</v>
      </c>
      <c r="AH1089" s="48">
        <v>0.75</v>
      </c>
      <c r="AI1089" s="48">
        <v>0.75</v>
      </c>
      <c r="AJ1089" s="48">
        <v>0.75</v>
      </c>
      <c r="AK1089" s="48">
        <v>0.75</v>
      </c>
      <c r="AM1089">
        <v>28</v>
      </c>
      <c r="AO1089" s="20">
        <v>10</v>
      </c>
    </row>
    <row r="1090" spans="1:41" hidden="1" x14ac:dyDescent="0.25">
      <c r="A1090">
        <v>1089</v>
      </c>
      <c r="B1090">
        <v>2025</v>
      </c>
      <c r="C1090">
        <v>12</v>
      </c>
      <c r="D1090" t="s">
        <v>313</v>
      </c>
      <c r="E1090">
        <v>46</v>
      </c>
      <c r="F1090">
        <v>8</v>
      </c>
      <c r="G1090" t="s">
        <v>430</v>
      </c>
      <c r="H1090" s="48">
        <v>0.29166666666666669</v>
      </c>
      <c r="I1090" s="48">
        <v>0.29166666666666669</v>
      </c>
      <c r="J1090" s="48">
        <v>0.29166666666666669</v>
      </c>
      <c r="K1090" s="48">
        <v>0.29166666666666669</v>
      </c>
      <c r="L1090" s="48">
        <v>0.29166666666666669</v>
      </c>
      <c r="M1090" s="48">
        <v>0.29166666666666669</v>
      </c>
      <c r="O1090" s="48">
        <v>0.29166666666666669</v>
      </c>
      <c r="P1090" s="48">
        <v>0.29166666666666669</v>
      </c>
      <c r="Q1090" s="48">
        <v>0.29166666666666669</v>
      </c>
    </row>
    <row r="1091" spans="1:41" hidden="1" x14ac:dyDescent="0.25">
      <c r="A1091">
        <v>1090</v>
      </c>
      <c r="B1091">
        <v>2025</v>
      </c>
      <c r="C1091">
        <v>12</v>
      </c>
      <c r="D1091" t="s">
        <v>313</v>
      </c>
      <c r="E1091">
        <v>46</v>
      </c>
      <c r="F1091">
        <v>8</v>
      </c>
      <c r="G1091" t="s">
        <v>431</v>
      </c>
      <c r="H1091" s="48">
        <v>0.75</v>
      </c>
      <c r="I1091" s="48">
        <v>0.75</v>
      </c>
      <c r="J1091" s="48">
        <v>0.75</v>
      </c>
      <c r="K1091" s="48">
        <v>0.75</v>
      </c>
      <c r="L1091" s="48">
        <v>0.75</v>
      </c>
      <c r="M1091" s="48">
        <v>0.75</v>
      </c>
      <c r="O1091" s="48">
        <v>0.75</v>
      </c>
      <c r="P1091" s="48">
        <v>0.75</v>
      </c>
      <c r="Q1091" s="48">
        <v>0.75</v>
      </c>
      <c r="AM1091">
        <v>9</v>
      </c>
    </row>
    <row r="1092" spans="1:41" hidden="1" x14ac:dyDescent="0.25">
      <c r="A1092">
        <v>1091</v>
      </c>
      <c r="B1092">
        <v>2025</v>
      </c>
      <c r="C1092">
        <v>12</v>
      </c>
      <c r="D1092" t="s">
        <v>460</v>
      </c>
      <c r="E1092">
        <v>50</v>
      </c>
      <c r="F1092">
        <v>7</v>
      </c>
      <c r="G1092" t="s">
        <v>430</v>
      </c>
      <c r="H1092" s="48">
        <v>0.29166666666666669</v>
      </c>
      <c r="I1092" s="48">
        <v>0.29166666666666669</v>
      </c>
      <c r="J1092" s="48">
        <v>0.29166666666666669</v>
      </c>
      <c r="K1092" s="48">
        <v>0.29166666666666669</v>
      </c>
      <c r="L1092" s="48">
        <v>0.29166666666666669</v>
      </c>
      <c r="M1092" s="48">
        <v>0.29166666666666669</v>
      </c>
      <c r="O1092" s="48">
        <v>0.29166666666666669</v>
      </c>
      <c r="P1092" s="48">
        <v>0.29166666666666669</v>
      </c>
      <c r="Q1092" s="48">
        <v>0.29166666666666669</v>
      </c>
      <c r="R1092" s="48">
        <v>0.29166666666666669</v>
      </c>
      <c r="S1092" s="48">
        <v>0.29166666666666669</v>
      </c>
      <c r="T1092" s="48">
        <v>0.29166666666666669</v>
      </c>
      <c r="V1092" s="48">
        <v>0.29166666666666669</v>
      </c>
      <c r="W1092" s="48">
        <v>0.29166666666666669</v>
      </c>
      <c r="X1092" s="48">
        <v>0.29166666666666669</v>
      </c>
      <c r="Y1092" s="48">
        <v>0.29166666666666669</v>
      </c>
      <c r="Z1092" s="48">
        <v>0.29166666666666669</v>
      </c>
      <c r="AA1092" s="48">
        <v>0.29166666666666669</v>
      </c>
      <c r="AB1092" s="48">
        <v>0.29166666666666669</v>
      </c>
      <c r="AC1092" s="48">
        <v>0.29166666666666669</v>
      </c>
      <c r="AD1092" s="48">
        <v>0.29166666666666669</v>
      </c>
      <c r="AE1092" s="48">
        <v>0.29166666666666669</v>
      </c>
      <c r="AF1092" s="48">
        <v>0.29166666666666669</v>
      </c>
      <c r="AG1092" s="48">
        <v>0.29166666666666669</v>
      </c>
      <c r="AH1092" s="48">
        <v>0.29166666666666669</v>
      </c>
      <c r="AI1092" s="48">
        <v>0.29166666666666669</v>
      </c>
      <c r="AJ1092" s="48">
        <v>0.29166666666666669</v>
      </c>
      <c r="AK1092" s="48">
        <v>0.29166666666666669</v>
      </c>
    </row>
    <row r="1093" spans="1:41" hidden="1" x14ac:dyDescent="0.25">
      <c r="A1093">
        <v>1092</v>
      </c>
      <c r="B1093">
        <v>2025</v>
      </c>
      <c r="C1093">
        <v>12</v>
      </c>
      <c r="D1093" t="s">
        <v>460</v>
      </c>
      <c r="E1093">
        <v>50</v>
      </c>
      <c r="F1093">
        <v>7</v>
      </c>
      <c r="G1093" t="s">
        <v>431</v>
      </c>
      <c r="H1093" s="48">
        <v>0.75</v>
      </c>
      <c r="I1093" s="48">
        <v>0.75</v>
      </c>
      <c r="J1093" s="48">
        <v>0.75</v>
      </c>
      <c r="K1093" s="48">
        <v>0.75</v>
      </c>
      <c r="L1093" s="48">
        <v>0.75</v>
      </c>
      <c r="M1093" s="48">
        <v>0.75</v>
      </c>
      <c r="O1093" s="48">
        <v>0.75</v>
      </c>
      <c r="P1093" s="48">
        <v>0.75</v>
      </c>
      <c r="Q1093" s="48">
        <v>0.75</v>
      </c>
      <c r="R1093" s="48">
        <v>0.75</v>
      </c>
      <c r="S1093" s="48">
        <v>0.75</v>
      </c>
      <c r="T1093" s="48">
        <v>0.75</v>
      </c>
      <c r="V1093" s="48">
        <v>0.75</v>
      </c>
      <c r="W1093" s="48">
        <v>0.75</v>
      </c>
      <c r="X1093" s="48">
        <v>0.75</v>
      </c>
      <c r="Y1093" s="48">
        <v>0.75</v>
      </c>
      <c r="Z1093" s="48">
        <v>0.75</v>
      </c>
      <c r="AA1093" s="48">
        <v>0.75</v>
      </c>
      <c r="AB1093" s="48">
        <v>0.75</v>
      </c>
      <c r="AC1093" s="48">
        <v>0.75</v>
      </c>
      <c r="AD1093" s="48">
        <v>0.75</v>
      </c>
      <c r="AE1093" s="48">
        <v>0.75</v>
      </c>
      <c r="AF1093" s="48">
        <v>0.75</v>
      </c>
      <c r="AG1093" s="48">
        <v>0.75</v>
      </c>
      <c r="AH1093" s="48">
        <v>0.75</v>
      </c>
      <c r="AI1093" s="48">
        <v>0.75</v>
      </c>
      <c r="AJ1093" s="48">
        <v>0.75</v>
      </c>
      <c r="AK1093" s="48">
        <v>0.75</v>
      </c>
      <c r="AM1093">
        <v>28</v>
      </c>
    </row>
    <row r="1094" spans="1:41" hidden="1" x14ac:dyDescent="0.25">
      <c r="A1094">
        <v>1093</v>
      </c>
      <c r="B1094">
        <v>2025</v>
      </c>
      <c r="C1094">
        <v>12</v>
      </c>
      <c r="D1094" t="s">
        <v>634</v>
      </c>
      <c r="E1094">
        <v>51</v>
      </c>
      <c r="F1094">
        <v>5</v>
      </c>
      <c r="G1094" t="s">
        <v>430</v>
      </c>
      <c r="T1094" s="48">
        <v>0.29166666666666669</v>
      </c>
      <c r="U1094" s="48">
        <v>0.29166666666666669</v>
      </c>
      <c r="V1094" s="48">
        <v>0.29166666666666669</v>
      </c>
      <c r="W1094" s="48">
        <v>0.29166666666666669</v>
      </c>
      <c r="X1094" s="48">
        <v>0.29166666666666669</v>
      </c>
      <c r="Y1094" s="48">
        <v>0.29166666666666669</v>
      </c>
      <c r="Z1094" s="48">
        <v>0.29166666666666669</v>
      </c>
      <c r="AA1094" s="48">
        <v>0.29166666666666669</v>
      </c>
      <c r="AB1094" s="48">
        <v>0.29166666666666669</v>
      </c>
      <c r="AC1094" s="48">
        <v>0.29166666666666669</v>
      </c>
      <c r="AD1094" s="48">
        <v>0.29166666666666669</v>
      </c>
      <c r="AE1094" s="48">
        <v>0.29166666666666669</v>
      </c>
      <c r="AF1094" s="48">
        <v>0.29166666666666669</v>
      </c>
      <c r="AG1094" s="48">
        <v>0.29166666666666669</v>
      </c>
      <c r="AH1094" s="48">
        <v>0.29166666666666669</v>
      </c>
      <c r="AI1094" s="48">
        <v>0.29166666666666669</v>
      </c>
      <c r="AJ1094" s="48">
        <v>0.29166666666666669</v>
      </c>
      <c r="AK1094" s="48">
        <v>0.29166666666666669</v>
      </c>
      <c r="AL1094" s="48" t="s">
        <v>320</v>
      </c>
    </row>
    <row r="1095" spans="1:41" hidden="1" x14ac:dyDescent="0.25">
      <c r="A1095">
        <v>1094</v>
      </c>
      <c r="B1095">
        <v>2025</v>
      </c>
      <c r="C1095">
        <v>12</v>
      </c>
      <c r="D1095" t="s">
        <v>634</v>
      </c>
      <c r="E1095">
        <v>51</v>
      </c>
      <c r="F1095">
        <v>5</v>
      </c>
      <c r="G1095" t="s">
        <v>431</v>
      </c>
      <c r="T1095" s="48">
        <v>0.75</v>
      </c>
      <c r="U1095" s="48">
        <v>0.75</v>
      </c>
      <c r="V1095" s="48">
        <v>0.75</v>
      </c>
      <c r="W1095" s="48">
        <v>0.75</v>
      </c>
      <c r="X1095" s="48">
        <v>0.75</v>
      </c>
      <c r="Y1095" s="48">
        <v>0.75</v>
      </c>
      <c r="Z1095" s="48">
        <v>0.75</v>
      </c>
      <c r="AA1095" s="48">
        <v>0.75</v>
      </c>
      <c r="AB1095" s="48">
        <v>0.75</v>
      </c>
      <c r="AC1095" s="48">
        <v>0.75</v>
      </c>
      <c r="AD1095" s="48">
        <v>0.75</v>
      </c>
      <c r="AE1095" s="48">
        <v>0.75</v>
      </c>
      <c r="AF1095" s="48">
        <v>0.75</v>
      </c>
      <c r="AG1095" s="48">
        <v>0.75</v>
      </c>
      <c r="AH1095" s="48">
        <v>0.75</v>
      </c>
      <c r="AI1095" s="48">
        <v>0.75</v>
      </c>
      <c r="AJ1095" s="48">
        <v>0.75</v>
      </c>
      <c r="AK1095" s="48">
        <v>0.75</v>
      </c>
      <c r="AL1095" s="48" t="s">
        <v>320</v>
      </c>
      <c r="AM1095">
        <v>18</v>
      </c>
    </row>
    <row r="1096" spans="1:41" hidden="1" x14ac:dyDescent="0.25">
      <c r="A1096">
        <v>1095</v>
      </c>
      <c r="B1096">
        <v>2025</v>
      </c>
      <c r="C1096">
        <v>12</v>
      </c>
      <c r="D1096" t="s">
        <v>638</v>
      </c>
      <c r="E1096">
        <v>51</v>
      </c>
      <c r="F1096">
        <v>5</v>
      </c>
      <c r="G1096" t="s">
        <v>430</v>
      </c>
      <c r="H1096" s="48">
        <v>0.29166666666666669</v>
      </c>
      <c r="I1096" s="48">
        <v>0.29166666666666669</v>
      </c>
      <c r="J1096" s="48">
        <v>0.29166666666666669</v>
      </c>
      <c r="K1096" s="48">
        <v>0.29166666666666669</v>
      </c>
      <c r="L1096" s="48">
        <v>0.29166666666666669</v>
      </c>
      <c r="M1096" s="48">
        <v>0.29166666666666669</v>
      </c>
      <c r="N1096" s="48">
        <v>0.29166666666666669</v>
      </c>
      <c r="O1096" s="48">
        <v>0.29166666666666669</v>
      </c>
      <c r="P1096" s="48">
        <v>0.29166666666666669</v>
      </c>
      <c r="Q1096" s="48">
        <v>0.29166666666666669</v>
      </c>
      <c r="R1096" s="48">
        <v>0.29166666666666669</v>
      </c>
      <c r="S1096" s="48">
        <v>0.29166666666666669</v>
      </c>
      <c r="T1096" s="48">
        <v>0.29166666666666669</v>
      </c>
      <c r="U1096" s="48">
        <v>0.29166666666666669</v>
      </c>
      <c r="V1096" s="48">
        <v>0.29166666666666669</v>
      </c>
      <c r="W1096" s="48">
        <v>0.29166666666666669</v>
      </c>
      <c r="X1096" s="48">
        <v>0.29166666666666669</v>
      </c>
      <c r="Y1096" s="48">
        <v>0.29166666666666669</v>
      </c>
      <c r="Z1096" s="48">
        <v>0.29166666666666669</v>
      </c>
      <c r="AA1096" s="48">
        <v>0.29166666666666669</v>
      </c>
      <c r="AB1096" s="48">
        <v>0.29166666666666669</v>
      </c>
      <c r="AC1096" s="48">
        <v>0.29166666666666669</v>
      </c>
      <c r="AD1096" s="48">
        <v>0.29166666666666669</v>
      </c>
      <c r="AE1096" s="48">
        <v>0.29166666666666669</v>
      </c>
      <c r="AF1096" s="48">
        <v>0.29166666666666669</v>
      </c>
      <c r="AG1096" s="48">
        <v>0.29166666666666669</v>
      </c>
      <c r="AH1096" s="48">
        <v>0.29166666666666669</v>
      </c>
      <c r="AI1096" s="48">
        <v>0.29166666666666669</v>
      </c>
      <c r="AJ1096" s="48">
        <v>0.29166666666666669</v>
      </c>
      <c r="AK1096" s="48">
        <v>0.29166666666666669</v>
      </c>
      <c r="AL1096" s="48" t="s">
        <v>320</v>
      </c>
    </row>
    <row r="1097" spans="1:41" hidden="1" x14ac:dyDescent="0.25">
      <c r="A1097">
        <v>1096</v>
      </c>
      <c r="B1097">
        <v>2025</v>
      </c>
      <c r="C1097">
        <v>12</v>
      </c>
      <c r="D1097" t="s">
        <v>638</v>
      </c>
      <c r="E1097">
        <v>51</v>
      </c>
      <c r="F1097">
        <v>5</v>
      </c>
      <c r="G1097" t="s">
        <v>431</v>
      </c>
      <c r="H1097" s="48">
        <v>0.83333333333333326</v>
      </c>
      <c r="I1097" s="48">
        <v>0.79166666666666674</v>
      </c>
      <c r="J1097" s="48">
        <v>0.83333333333333326</v>
      </c>
      <c r="K1097" s="48">
        <v>0.875</v>
      </c>
      <c r="L1097" s="48">
        <v>0.83333333333333326</v>
      </c>
      <c r="M1097" s="48">
        <v>0.875</v>
      </c>
      <c r="N1097" s="48">
        <v>0.83333333333333326</v>
      </c>
      <c r="O1097" s="48">
        <v>0.83333333333333326</v>
      </c>
      <c r="P1097" s="48">
        <v>0.91666666666666674</v>
      </c>
      <c r="Q1097" s="48">
        <v>0.83333333333333326</v>
      </c>
      <c r="R1097" s="48">
        <v>0.95833333333333326</v>
      </c>
      <c r="S1097" s="48">
        <v>0.875</v>
      </c>
      <c r="T1097" s="48">
        <v>0.875</v>
      </c>
      <c r="U1097" s="48">
        <v>0.75</v>
      </c>
      <c r="V1097" s="48">
        <v>0.83333333333333326</v>
      </c>
      <c r="W1097" s="48">
        <v>0.91666666666666674</v>
      </c>
      <c r="X1097" s="48">
        <v>0.79166666666666674</v>
      </c>
      <c r="Y1097" s="48">
        <v>0.91666666666666674</v>
      </c>
      <c r="Z1097" s="48">
        <v>0.79166666666666674</v>
      </c>
      <c r="AA1097" s="48">
        <v>0.91666666666666674</v>
      </c>
      <c r="AB1097" s="48">
        <v>0.75</v>
      </c>
      <c r="AC1097" s="48">
        <v>0.875</v>
      </c>
      <c r="AD1097" s="48">
        <v>0.91666666666666674</v>
      </c>
      <c r="AE1097" s="48">
        <v>0.75</v>
      </c>
      <c r="AF1097" s="48">
        <v>0.83333333333333326</v>
      </c>
      <c r="AG1097" s="48">
        <v>0.75</v>
      </c>
      <c r="AH1097" s="48">
        <v>0.91666666666666674</v>
      </c>
      <c r="AI1097" s="48">
        <v>0.75</v>
      </c>
      <c r="AJ1097" s="48">
        <v>0.75</v>
      </c>
      <c r="AK1097" s="48">
        <v>0.75</v>
      </c>
      <c r="AM1097">
        <v>30</v>
      </c>
      <c r="AO1097">
        <v>62.999999999999972</v>
      </c>
    </row>
    <row r="1098" spans="1:41" hidden="1" x14ac:dyDescent="0.25">
      <c r="A1098">
        <v>1097</v>
      </c>
      <c r="B1098">
        <v>2025</v>
      </c>
      <c r="C1098">
        <v>12</v>
      </c>
      <c r="D1098" t="s">
        <v>477</v>
      </c>
      <c r="E1098">
        <v>65</v>
      </c>
      <c r="F1098">
        <v>8</v>
      </c>
      <c r="G1098" t="s">
        <v>430</v>
      </c>
      <c r="H1098" s="48">
        <v>0.29166666666666669</v>
      </c>
      <c r="I1098" s="48">
        <v>0.29166666666666669</v>
      </c>
      <c r="J1098" s="48">
        <v>0.29166666666666669</v>
      </c>
      <c r="K1098" s="48">
        <v>0.29166666666666669</v>
      </c>
      <c r="L1098" s="48">
        <v>0.29166666666666669</v>
      </c>
      <c r="M1098" s="48">
        <v>0.29166666666666669</v>
      </c>
      <c r="N1098" s="48">
        <v>0.29166666666666669</v>
      </c>
      <c r="O1098" s="48">
        <v>0.29166666666666669</v>
      </c>
      <c r="Q1098" s="48">
        <v>0.29166666666666669</v>
      </c>
      <c r="R1098" s="48">
        <v>0.29166666666666669</v>
      </c>
      <c r="S1098" s="48">
        <v>0.29166666666666669</v>
      </c>
      <c r="T1098" s="48">
        <v>0.29166666666666669</v>
      </c>
      <c r="U1098" s="48">
        <v>0.29166666666666669</v>
      </c>
      <c r="V1098" s="48">
        <v>0.29166666666666669</v>
      </c>
      <c r="W1098" s="48">
        <v>0.29166666666666669</v>
      </c>
      <c r="X1098" s="48">
        <v>0.29166666666666669</v>
      </c>
      <c r="Y1098" s="48">
        <v>0.29166666666666669</v>
      </c>
      <c r="Z1098" s="48">
        <v>0.29166666666666669</v>
      </c>
      <c r="AA1098" s="48">
        <v>0.29166666666666669</v>
      </c>
      <c r="AB1098" s="48">
        <v>0.29166666666666669</v>
      </c>
      <c r="AC1098" s="48">
        <v>0.29166666666666669</v>
      </c>
      <c r="AE1098" s="48">
        <v>0.29166666666666669</v>
      </c>
      <c r="AF1098" s="48">
        <v>0.29166666666666669</v>
      </c>
      <c r="AG1098" s="48">
        <v>0.29166666666666669</v>
      </c>
      <c r="AH1098" s="48">
        <v>0.29166666666666669</v>
      </c>
      <c r="AI1098" s="48">
        <v>0.29166666666666669</v>
      </c>
      <c r="AL1098" s="48" t="s">
        <v>320</v>
      </c>
    </row>
    <row r="1099" spans="1:41" hidden="1" x14ac:dyDescent="0.25">
      <c r="A1099">
        <v>1098</v>
      </c>
      <c r="B1099">
        <v>2025</v>
      </c>
      <c r="C1099">
        <v>12</v>
      </c>
      <c r="D1099" t="s">
        <v>477</v>
      </c>
      <c r="E1099">
        <v>65</v>
      </c>
      <c r="F1099">
        <v>8</v>
      </c>
      <c r="G1099" t="s">
        <v>431</v>
      </c>
      <c r="H1099" s="48">
        <v>0.75</v>
      </c>
      <c r="I1099" s="48">
        <v>0.75</v>
      </c>
      <c r="J1099" s="48">
        <v>0.75</v>
      </c>
      <c r="K1099" s="48">
        <v>0.75</v>
      </c>
      <c r="L1099" s="48">
        <v>0.75</v>
      </c>
      <c r="M1099" s="48">
        <v>0.75</v>
      </c>
      <c r="N1099" s="48">
        <v>0.75</v>
      </c>
      <c r="O1099" s="48">
        <v>0.75</v>
      </c>
      <c r="Q1099" s="48">
        <v>0.75</v>
      </c>
      <c r="R1099" s="48">
        <v>0.75</v>
      </c>
      <c r="S1099" s="48">
        <v>0.75</v>
      </c>
      <c r="T1099" s="48">
        <v>0.75</v>
      </c>
      <c r="U1099" s="48">
        <v>0.75</v>
      </c>
      <c r="V1099" s="48">
        <v>0.75</v>
      </c>
      <c r="W1099" s="48">
        <v>0.75</v>
      </c>
      <c r="X1099" s="48">
        <v>0.75</v>
      </c>
      <c r="Y1099" s="48">
        <v>0.75</v>
      </c>
      <c r="Z1099" s="48">
        <v>0.75</v>
      </c>
      <c r="AA1099" s="48">
        <v>0.75</v>
      </c>
      <c r="AB1099" s="48">
        <v>0.75</v>
      </c>
      <c r="AC1099" s="48">
        <v>0.75</v>
      </c>
      <c r="AE1099" s="48">
        <v>0.75</v>
      </c>
      <c r="AF1099" s="48">
        <v>0.75</v>
      </c>
      <c r="AG1099" s="48">
        <v>0.75</v>
      </c>
      <c r="AH1099" s="48">
        <v>0.75</v>
      </c>
      <c r="AI1099" s="48">
        <v>0.75</v>
      </c>
      <c r="AL1099" s="48" t="s">
        <v>320</v>
      </c>
      <c r="AM1099">
        <v>26</v>
      </c>
    </row>
    <row r="1100" spans="1:41" hidden="1" x14ac:dyDescent="0.25">
      <c r="A1100">
        <v>1099</v>
      </c>
      <c r="B1100">
        <v>2025</v>
      </c>
      <c r="C1100">
        <v>12</v>
      </c>
      <c r="D1100" t="s">
        <v>478</v>
      </c>
      <c r="E1100">
        <v>65</v>
      </c>
      <c r="F1100">
        <v>8</v>
      </c>
      <c r="G1100" t="s">
        <v>430</v>
      </c>
      <c r="H1100" s="48">
        <v>0.29166666666666669</v>
      </c>
      <c r="I1100" s="48">
        <v>0.29166666666666669</v>
      </c>
      <c r="J1100" s="48">
        <v>0.29166666666666669</v>
      </c>
      <c r="K1100" s="48">
        <v>0.29166666666666669</v>
      </c>
      <c r="L1100" s="48">
        <v>0.29166666666666669</v>
      </c>
      <c r="M1100" s="48">
        <v>0.29166666666666669</v>
      </c>
      <c r="N1100" s="48">
        <v>0.29166666666666669</v>
      </c>
      <c r="O1100" s="48">
        <v>0.29166666666666669</v>
      </c>
      <c r="Q1100" s="48">
        <v>0.29166666666666669</v>
      </c>
      <c r="R1100" s="48">
        <v>0.29166666666666669</v>
      </c>
      <c r="S1100" s="48">
        <v>0.29166666666666669</v>
      </c>
      <c r="T1100" s="48">
        <v>0.29166666666666669</v>
      </c>
      <c r="U1100" s="48">
        <v>0.29166666666666669</v>
      </c>
      <c r="V1100" s="48">
        <v>0.29166666666666669</v>
      </c>
      <c r="W1100" s="48">
        <v>0.29166666666666669</v>
      </c>
      <c r="X1100" s="48">
        <v>0.29166666666666669</v>
      </c>
      <c r="Y1100" s="48">
        <v>0.29166666666666669</v>
      </c>
      <c r="Z1100" s="48">
        <v>0.29166666666666669</v>
      </c>
      <c r="AA1100" s="48">
        <v>0.29166666666666669</v>
      </c>
      <c r="AB1100" s="48">
        <v>0.29166666666666669</v>
      </c>
      <c r="AC1100" s="48">
        <v>0.29166666666666669</v>
      </c>
      <c r="AE1100" s="48">
        <v>0.29166666666666669</v>
      </c>
      <c r="AF1100" s="48">
        <v>0.29166666666666669</v>
      </c>
      <c r="AG1100" s="48">
        <v>0.29166666666666669</v>
      </c>
      <c r="AH1100" s="48">
        <v>0.29166666666666669</v>
      </c>
      <c r="AI1100" s="48">
        <v>0.29166666666666669</v>
      </c>
      <c r="AJ1100" s="48">
        <v>0.29166666666666669</v>
      </c>
      <c r="AK1100" s="48">
        <v>0.29166666666666669</v>
      </c>
      <c r="AL1100" s="48" t="s">
        <v>320</v>
      </c>
    </row>
    <row r="1101" spans="1:41" hidden="1" x14ac:dyDescent="0.25">
      <c r="A1101">
        <v>1100</v>
      </c>
      <c r="B1101">
        <v>2025</v>
      </c>
      <c r="C1101">
        <v>12</v>
      </c>
      <c r="D1101" t="s">
        <v>478</v>
      </c>
      <c r="E1101">
        <v>65</v>
      </c>
      <c r="F1101">
        <v>8</v>
      </c>
      <c r="G1101" t="s">
        <v>431</v>
      </c>
      <c r="H1101" s="48">
        <v>0.75</v>
      </c>
      <c r="I1101" s="48">
        <v>0.75</v>
      </c>
      <c r="J1101" s="48">
        <v>0.75</v>
      </c>
      <c r="K1101" s="48">
        <v>0.75</v>
      </c>
      <c r="L1101" s="48">
        <v>0.75</v>
      </c>
      <c r="M1101" s="48">
        <v>0.75</v>
      </c>
      <c r="N1101" s="48">
        <v>0.75</v>
      </c>
      <c r="O1101" s="48">
        <v>0.75</v>
      </c>
      <c r="Q1101" s="48">
        <v>0.75</v>
      </c>
      <c r="R1101" s="48">
        <v>0.75</v>
      </c>
      <c r="S1101" s="48">
        <v>0.75</v>
      </c>
      <c r="T1101" s="48">
        <v>0.75</v>
      </c>
      <c r="U1101" s="48">
        <v>0.75</v>
      </c>
      <c r="V1101" s="48">
        <v>0.75</v>
      </c>
      <c r="W1101" s="48">
        <v>0.75</v>
      </c>
      <c r="X1101" s="48">
        <v>0.75</v>
      </c>
      <c r="Y1101" s="48">
        <v>0.75</v>
      </c>
      <c r="Z1101" s="48">
        <v>0.75</v>
      </c>
      <c r="AA1101" s="48">
        <v>0.75</v>
      </c>
      <c r="AB1101" s="48">
        <v>0.75</v>
      </c>
      <c r="AC1101" s="48">
        <v>0.75</v>
      </c>
      <c r="AE1101" s="48">
        <v>0.75</v>
      </c>
      <c r="AF1101" s="48">
        <v>0.75</v>
      </c>
      <c r="AG1101" s="48">
        <v>0.75</v>
      </c>
      <c r="AH1101" s="48">
        <v>0.75</v>
      </c>
      <c r="AI1101" s="48">
        <v>0.75</v>
      </c>
      <c r="AJ1101" s="48">
        <v>0.75</v>
      </c>
      <c r="AK1101" s="48">
        <v>0.75</v>
      </c>
      <c r="AL1101" s="48" t="s">
        <v>320</v>
      </c>
      <c r="AM1101">
        <v>28</v>
      </c>
    </row>
    <row r="1102" spans="1:41" hidden="1" x14ac:dyDescent="0.25">
      <c r="A1102">
        <v>1101</v>
      </c>
      <c r="B1102">
        <v>2025</v>
      </c>
      <c r="C1102">
        <v>12</v>
      </c>
      <c r="D1102" t="s">
        <v>481</v>
      </c>
      <c r="E1102">
        <v>85</v>
      </c>
      <c r="F1102">
        <v>7</v>
      </c>
      <c r="G1102" t="s">
        <v>430</v>
      </c>
      <c r="H1102" s="48">
        <v>0.29166666666666669</v>
      </c>
      <c r="I1102" s="48">
        <v>0.29166666666666669</v>
      </c>
      <c r="J1102" s="48">
        <v>0.29166666666666669</v>
      </c>
      <c r="K1102" s="48">
        <v>0.29166666666666669</v>
      </c>
      <c r="L1102" s="48">
        <v>0.29166666666666669</v>
      </c>
      <c r="M1102" s="48">
        <v>0.29166666666666669</v>
      </c>
      <c r="O1102" s="48">
        <v>0.29166666666666669</v>
      </c>
      <c r="P1102" s="48">
        <v>0.29166666666666669</v>
      </c>
      <c r="Q1102" s="48">
        <v>0.29166666666666669</v>
      </c>
      <c r="R1102" s="48">
        <v>0.29166666666666669</v>
      </c>
      <c r="S1102" s="48">
        <v>0.29166666666666669</v>
      </c>
      <c r="T1102" s="48">
        <v>0.29166666666666669</v>
      </c>
      <c r="V1102" s="48">
        <v>0.29166666666666669</v>
      </c>
      <c r="W1102" s="48">
        <v>0.29166666666666669</v>
      </c>
      <c r="X1102" s="48">
        <v>0.29166666666666669</v>
      </c>
      <c r="Y1102" s="48">
        <v>0.29166666666666669</v>
      </c>
      <c r="Z1102" s="48">
        <v>0.29166666666666669</v>
      </c>
      <c r="AA1102" s="48">
        <v>0.29166666666666669</v>
      </c>
      <c r="AC1102" s="48">
        <v>0.29166666666666669</v>
      </c>
      <c r="AD1102" s="48">
        <v>0.29166666666666669</v>
      </c>
      <c r="AE1102" s="48">
        <v>0.29166666666666669</v>
      </c>
      <c r="AF1102" s="48">
        <v>0.29166666666666669</v>
      </c>
      <c r="AG1102" s="48">
        <v>0.29166666666666669</v>
      </c>
      <c r="AH1102" s="48">
        <v>0.29166666666666669</v>
      </c>
      <c r="AI1102" s="48">
        <v>0.29166666666666669</v>
      </c>
      <c r="AJ1102" s="48">
        <v>0.29166666666666669</v>
      </c>
      <c r="AK1102" s="48">
        <v>0.29166666666666669</v>
      </c>
    </row>
    <row r="1103" spans="1:41" hidden="1" x14ac:dyDescent="0.25">
      <c r="A1103">
        <v>1102</v>
      </c>
      <c r="B1103">
        <v>2025</v>
      </c>
      <c r="C1103">
        <v>12</v>
      </c>
      <c r="D1103" t="s">
        <v>481</v>
      </c>
      <c r="E1103">
        <v>85</v>
      </c>
      <c r="F1103">
        <v>7</v>
      </c>
      <c r="G1103" t="s">
        <v>431</v>
      </c>
      <c r="H1103" s="48">
        <v>0.875</v>
      </c>
      <c r="I1103" s="48">
        <v>0.79166666666666674</v>
      </c>
      <c r="J1103" s="48">
        <v>0.79166666666666674</v>
      </c>
      <c r="K1103" s="48">
        <v>0.91666666666666674</v>
      </c>
      <c r="L1103" s="48">
        <v>0.79166666666666674</v>
      </c>
      <c r="M1103" s="48">
        <v>0.83333333333333326</v>
      </c>
      <c r="O1103" s="48">
        <v>0.83333333333333326</v>
      </c>
      <c r="P1103" s="48">
        <v>0.79166666666666674</v>
      </c>
      <c r="Q1103" s="48">
        <v>0.875</v>
      </c>
      <c r="R1103" s="48">
        <v>0.79166666666666674</v>
      </c>
      <c r="S1103" s="48">
        <v>0.83333333333333326</v>
      </c>
      <c r="T1103" s="48">
        <v>0.79166666666666674</v>
      </c>
      <c r="V1103" s="48">
        <v>0.79166666666666674</v>
      </c>
      <c r="W1103" s="48">
        <v>0.875</v>
      </c>
      <c r="X1103" s="48">
        <v>0.91666666666666674</v>
      </c>
      <c r="Y1103" s="48">
        <v>0.83333333333333326</v>
      </c>
      <c r="Z1103" s="48">
        <v>0.79166666666666674</v>
      </c>
      <c r="AA1103" s="48">
        <v>0.83333333333333326</v>
      </c>
      <c r="AC1103" s="48">
        <v>0.875</v>
      </c>
      <c r="AD1103" s="48">
        <v>0.83333333333333326</v>
      </c>
      <c r="AE1103" s="48">
        <v>0.79166666666666674</v>
      </c>
      <c r="AF1103" s="48">
        <v>0.79166666666666674</v>
      </c>
      <c r="AG1103" s="48">
        <v>0.875</v>
      </c>
      <c r="AH1103" s="48">
        <v>0.875</v>
      </c>
      <c r="AI1103" s="48">
        <v>0.875</v>
      </c>
      <c r="AJ1103" s="48">
        <v>0.83333333333333326</v>
      </c>
      <c r="AK1103" s="48">
        <v>0.875</v>
      </c>
      <c r="AM1103">
        <v>27</v>
      </c>
      <c r="AO1103">
        <v>55.999999999999986</v>
      </c>
    </row>
    <row r="1104" spans="1:41" hidden="1" x14ac:dyDescent="0.25">
      <c r="A1104">
        <v>1103</v>
      </c>
      <c r="B1104">
        <v>2025</v>
      </c>
      <c r="C1104">
        <v>12</v>
      </c>
      <c r="D1104" t="s">
        <v>494</v>
      </c>
      <c r="E1104">
        <v>95</v>
      </c>
      <c r="F1104">
        <v>6</v>
      </c>
      <c r="G1104" t="s">
        <v>430</v>
      </c>
      <c r="H1104" s="48">
        <v>0.29166666666666669</v>
      </c>
      <c r="I1104" s="48">
        <v>0.29166666666666669</v>
      </c>
      <c r="J1104" s="48">
        <v>0.29166666666666669</v>
      </c>
      <c r="K1104" s="48">
        <v>0.29166666666666669</v>
      </c>
      <c r="L1104" s="48">
        <v>0.29166666666666669</v>
      </c>
      <c r="M1104" s="48">
        <v>0.29166666666666669</v>
      </c>
      <c r="O1104" s="48">
        <v>0.29166666666666669</v>
      </c>
      <c r="P1104" s="48">
        <v>0.29166666666666669</v>
      </c>
      <c r="Q1104" s="48">
        <v>0.29166666666666669</v>
      </c>
      <c r="R1104" s="48">
        <v>0.29166666666666669</v>
      </c>
      <c r="S1104" s="48">
        <v>0.29166666666666669</v>
      </c>
      <c r="T1104" s="48">
        <v>0.29166666666666669</v>
      </c>
      <c r="V1104" s="48">
        <v>0.29166666666666669</v>
      </c>
      <c r="W1104" s="48">
        <v>0.29166666666666669</v>
      </c>
      <c r="X1104" s="48">
        <v>0.29166666666666669</v>
      </c>
      <c r="Y1104" s="48">
        <v>0.29166666666666669</v>
      </c>
      <c r="Z1104" s="48">
        <v>0.29166666666666669</v>
      </c>
      <c r="AA1104" s="48">
        <v>0.29166666666666669</v>
      </c>
      <c r="AB1104" s="48">
        <v>0.29166666666666669</v>
      </c>
      <c r="AC1104" s="48">
        <v>0.29166666666666669</v>
      </c>
      <c r="AD1104" s="48">
        <v>0.29166666666666669</v>
      </c>
      <c r="AE1104" s="48">
        <v>0.29166666666666669</v>
      </c>
      <c r="AF1104" s="48">
        <v>0.29166666666666669</v>
      </c>
    </row>
    <row r="1105" spans="1:45" hidden="1" x14ac:dyDescent="0.25">
      <c r="A1105">
        <v>1104</v>
      </c>
      <c r="B1105">
        <v>2025</v>
      </c>
      <c r="C1105">
        <v>12</v>
      </c>
      <c r="D1105" t="s">
        <v>494</v>
      </c>
      <c r="E1105">
        <v>95</v>
      </c>
      <c r="F1105">
        <v>6</v>
      </c>
      <c r="G1105" t="s">
        <v>431</v>
      </c>
      <c r="H1105" s="48">
        <v>0.75</v>
      </c>
      <c r="I1105" s="48">
        <v>0.75</v>
      </c>
      <c r="J1105" s="48">
        <v>0.75</v>
      </c>
      <c r="K1105" s="48">
        <v>0.75</v>
      </c>
      <c r="L1105" s="48">
        <v>0.75</v>
      </c>
      <c r="M1105" s="48">
        <v>0.75</v>
      </c>
      <c r="O1105" s="48">
        <v>0.75</v>
      </c>
      <c r="P1105" s="48">
        <v>0.75</v>
      </c>
      <c r="Q1105" s="48">
        <v>0.75</v>
      </c>
      <c r="R1105" s="48">
        <v>0.75</v>
      </c>
      <c r="S1105" s="48">
        <v>0.75</v>
      </c>
      <c r="T1105" s="48">
        <v>0.75</v>
      </c>
      <c r="V1105" s="48">
        <v>0.75</v>
      </c>
      <c r="W1105" s="48">
        <v>0.75</v>
      </c>
      <c r="X1105" s="48">
        <v>0.75</v>
      </c>
      <c r="Y1105" s="48">
        <v>0.75</v>
      </c>
      <c r="Z1105" s="48">
        <v>0.75</v>
      </c>
      <c r="AA1105" s="48">
        <v>0.75</v>
      </c>
      <c r="AB1105" s="48">
        <v>0.75</v>
      </c>
      <c r="AC1105" s="48">
        <v>0.75</v>
      </c>
      <c r="AD1105" s="48">
        <v>0.75</v>
      </c>
      <c r="AE1105" s="48">
        <v>0.75</v>
      </c>
      <c r="AF1105" s="48">
        <v>0.75</v>
      </c>
      <c r="AM1105">
        <v>23</v>
      </c>
    </row>
    <row r="1106" spans="1:45" hidden="1" x14ac:dyDescent="0.25">
      <c r="A1106">
        <v>1105</v>
      </c>
      <c r="B1106">
        <v>2025</v>
      </c>
      <c r="C1106">
        <v>12</v>
      </c>
      <c r="D1106" t="s">
        <v>504</v>
      </c>
      <c r="E1106">
        <v>100</v>
      </c>
      <c r="F1106">
        <v>6</v>
      </c>
      <c r="G1106" t="s">
        <v>430</v>
      </c>
      <c r="H1106" s="48">
        <v>0.29166666666666669</v>
      </c>
      <c r="I1106" s="48">
        <v>0.29166666666666669</v>
      </c>
      <c r="J1106" s="48">
        <v>0.29166666666666669</v>
      </c>
      <c r="K1106" s="48">
        <v>0.29166666666666669</v>
      </c>
      <c r="L1106" s="48">
        <v>0.29166666666666669</v>
      </c>
      <c r="M1106" s="48">
        <v>0.29166666666666669</v>
      </c>
      <c r="N1106" s="48">
        <v>0.29166666666666669</v>
      </c>
      <c r="O1106" s="48">
        <v>0.29166666666666669</v>
      </c>
      <c r="P1106" s="48">
        <v>0.29166666666666669</v>
      </c>
      <c r="Q1106" s="48">
        <v>0.29166666666666669</v>
      </c>
      <c r="R1106" s="48">
        <v>0.29166666666666669</v>
      </c>
      <c r="S1106" s="48">
        <v>0.29166666666666669</v>
      </c>
      <c r="T1106" s="48">
        <v>0.29166666666666669</v>
      </c>
      <c r="V1106" s="48">
        <v>0.29166666666666669</v>
      </c>
      <c r="W1106" s="48">
        <v>0.29166666666666669</v>
      </c>
      <c r="X1106" s="48">
        <v>0.29166666666666669</v>
      </c>
      <c r="Y1106" s="48">
        <v>0.29166666666666669</v>
      </c>
      <c r="Z1106" s="48">
        <v>0.29166666666666669</v>
      </c>
      <c r="AA1106" s="48">
        <v>0.29166666666666669</v>
      </c>
      <c r="AB1106" s="48">
        <v>0.29166666666666669</v>
      </c>
      <c r="AC1106" s="48">
        <v>0.29166666666666669</v>
      </c>
      <c r="AD1106" s="48">
        <v>0.29166666666666669</v>
      </c>
      <c r="AE1106" s="48">
        <v>0.29166666666666669</v>
      </c>
      <c r="AF1106" s="48">
        <v>0.29166666666666669</v>
      </c>
      <c r="AG1106" s="48">
        <v>0.29166666666666669</v>
      </c>
      <c r="AH1106" s="48">
        <v>0.29166666666666669</v>
      </c>
      <c r="AI1106" s="48">
        <v>0.29166666666666669</v>
      </c>
      <c r="AJ1106" s="48">
        <v>0.29166666666666669</v>
      </c>
      <c r="AK1106" s="48">
        <v>0.29166666666666669</v>
      </c>
    </row>
    <row r="1107" spans="1:45" hidden="1" x14ac:dyDescent="0.25">
      <c r="A1107">
        <v>1106</v>
      </c>
      <c r="B1107">
        <v>2025</v>
      </c>
      <c r="C1107">
        <v>12</v>
      </c>
      <c r="D1107" t="s">
        <v>504</v>
      </c>
      <c r="E1107">
        <v>100</v>
      </c>
      <c r="F1107">
        <v>6</v>
      </c>
      <c r="G1107" t="s">
        <v>431</v>
      </c>
      <c r="H1107" s="48">
        <v>0.75</v>
      </c>
      <c r="I1107" s="48">
        <v>0.75</v>
      </c>
      <c r="J1107" s="48">
        <v>0.75</v>
      </c>
      <c r="K1107" s="48">
        <v>0.75</v>
      </c>
      <c r="L1107" s="48">
        <v>0.75</v>
      </c>
      <c r="M1107" s="48">
        <v>0.75</v>
      </c>
      <c r="N1107" s="48">
        <v>0.75</v>
      </c>
      <c r="O1107" s="48">
        <v>0.75</v>
      </c>
      <c r="P1107" s="48">
        <v>0.75</v>
      </c>
      <c r="Q1107" s="48">
        <v>0.75</v>
      </c>
      <c r="R1107" s="48">
        <v>0.75</v>
      </c>
      <c r="S1107" s="48">
        <v>0.75</v>
      </c>
      <c r="T1107" s="48">
        <v>0.75</v>
      </c>
      <c r="V1107" s="48">
        <v>0.75</v>
      </c>
      <c r="W1107" s="48">
        <v>0.75</v>
      </c>
      <c r="X1107" s="48">
        <v>0.75</v>
      </c>
      <c r="Y1107" s="48">
        <v>0.75</v>
      </c>
      <c r="Z1107" s="48">
        <v>0.75</v>
      </c>
      <c r="AA1107" s="48">
        <v>0.75</v>
      </c>
      <c r="AB1107" s="48">
        <v>0.75</v>
      </c>
      <c r="AC1107" s="48">
        <v>0.75</v>
      </c>
      <c r="AD1107" s="48">
        <v>0.75</v>
      </c>
      <c r="AE1107" s="48">
        <v>0.75</v>
      </c>
      <c r="AF1107" s="48">
        <v>0.75</v>
      </c>
      <c r="AG1107" s="48">
        <v>0.75</v>
      </c>
      <c r="AH1107" s="48">
        <v>0.75</v>
      </c>
      <c r="AI1107" s="48">
        <v>0.75</v>
      </c>
      <c r="AJ1107" s="48">
        <v>0.75</v>
      </c>
      <c r="AK1107" s="48">
        <v>0.75</v>
      </c>
      <c r="AM1107">
        <v>29</v>
      </c>
    </row>
    <row r="1108" spans="1:45" hidden="1" x14ac:dyDescent="0.25">
      <c r="A1108">
        <v>1107</v>
      </c>
      <c r="B1108">
        <v>2025</v>
      </c>
      <c r="C1108">
        <v>12</v>
      </c>
      <c r="D1108" t="s">
        <v>491</v>
      </c>
      <c r="E1108">
        <v>102</v>
      </c>
      <c r="F1108">
        <v>5</v>
      </c>
      <c r="G1108" t="s">
        <v>430</v>
      </c>
      <c r="H1108" s="48">
        <v>0.29166666666666669</v>
      </c>
      <c r="I1108" s="48">
        <v>0.29166666666666669</v>
      </c>
      <c r="J1108" s="48">
        <v>0.29166666666666669</v>
      </c>
      <c r="K1108" s="48">
        <v>0.29166666666666669</v>
      </c>
      <c r="L1108" s="48">
        <v>0.29166666666666669</v>
      </c>
      <c r="M1108" s="48">
        <v>0.29166666666666669</v>
      </c>
      <c r="O1108" s="48">
        <v>0.29166666666666669</v>
      </c>
      <c r="P1108" s="48">
        <v>0.29166666666666669</v>
      </c>
      <c r="Q1108" s="48">
        <v>0.29166666666666669</v>
      </c>
      <c r="R1108" s="48">
        <v>0.29166666666666669</v>
      </c>
      <c r="S1108" s="48">
        <v>0.29166666666666669</v>
      </c>
      <c r="T1108" s="48">
        <v>0.29166666666666669</v>
      </c>
      <c r="V1108" s="48">
        <v>0.29166666666666669</v>
      </c>
      <c r="W1108" s="48">
        <v>0.29166666666666669</v>
      </c>
      <c r="X1108" s="48">
        <v>0.29166666666666669</v>
      </c>
      <c r="Y1108" s="48">
        <v>0.29166666666666669</v>
      </c>
      <c r="Z1108" s="48">
        <v>0.29166666666666669</v>
      </c>
      <c r="AA1108" s="48">
        <v>0.29166666666666669</v>
      </c>
      <c r="AC1108" s="48">
        <v>0.29166666666666669</v>
      </c>
      <c r="AD1108" s="48">
        <v>0.29166666666666669</v>
      </c>
      <c r="AE1108" s="48">
        <v>0.29166666666666669</v>
      </c>
      <c r="AF1108" s="48">
        <v>0.29166666666666669</v>
      </c>
      <c r="AG1108" s="48">
        <v>0.29166666666666669</v>
      </c>
      <c r="AH1108" s="48">
        <v>0.29166666666666669</v>
      </c>
      <c r="AJ1108" s="48">
        <v>0.29166666666666669</v>
      </c>
      <c r="AK1108" s="48">
        <v>0.29166666666666669</v>
      </c>
    </row>
    <row r="1109" spans="1:45" hidden="1" x14ac:dyDescent="0.25">
      <c r="A1109">
        <v>1108</v>
      </c>
      <c r="B1109">
        <v>2025</v>
      </c>
      <c r="C1109">
        <v>12</v>
      </c>
      <c r="D1109" t="s">
        <v>491</v>
      </c>
      <c r="E1109">
        <v>102</v>
      </c>
      <c r="F1109">
        <v>5</v>
      </c>
      <c r="G1109" t="s">
        <v>431</v>
      </c>
      <c r="H1109" s="48">
        <v>0.75</v>
      </c>
      <c r="I1109" s="48">
        <v>0.75</v>
      </c>
      <c r="J1109" s="48">
        <v>0.75</v>
      </c>
      <c r="K1109" s="48">
        <v>0.75</v>
      </c>
      <c r="L1109" s="48">
        <v>0.75</v>
      </c>
      <c r="M1109" s="48">
        <v>0.75</v>
      </c>
      <c r="O1109" s="48">
        <v>0.75</v>
      </c>
      <c r="P1109" s="48">
        <v>0.75</v>
      </c>
      <c r="Q1109" s="48">
        <v>0.75</v>
      </c>
      <c r="R1109" s="48">
        <v>0.75</v>
      </c>
      <c r="S1109" s="48">
        <v>0.75</v>
      </c>
      <c r="T1109" s="48">
        <v>0.75</v>
      </c>
      <c r="V1109" s="48">
        <v>0.75</v>
      </c>
      <c r="W1109" s="48">
        <v>0.75</v>
      </c>
      <c r="X1109" s="48">
        <v>0.75</v>
      </c>
      <c r="Y1109" s="48">
        <v>0.75</v>
      </c>
      <c r="Z1109" s="48">
        <v>0.75</v>
      </c>
      <c r="AA1109" s="48">
        <v>0.75</v>
      </c>
      <c r="AC1109" s="48">
        <v>0.75</v>
      </c>
      <c r="AD1109" s="48">
        <v>0.75</v>
      </c>
      <c r="AE1109" s="48">
        <v>0.75</v>
      </c>
      <c r="AF1109" s="48">
        <v>0.75</v>
      </c>
      <c r="AG1109" s="48">
        <v>0.75</v>
      </c>
      <c r="AH1109" s="48">
        <v>0.75</v>
      </c>
      <c r="AJ1109" s="48">
        <v>0.75</v>
      </c>
      <c r="AK1109" s="48">
        <v>0.75</v>
      </c>
      <c r="AM1109">
        <v>26</v>
      </c>
    </row>
    <row r="1110" spans="1:45" hidden="1" x14ac:dyDescent="0.25">
      <c r="A1110">
        <v>1109</v>
      </c>
      <c r="B1110">
        <v>2025</v>
      </c>
      <c r="C1110">
        <v>12</v>
      </c>
      <c r="D1110" t="s">
        <v>492</v>
      </c>
      <c r="E1110">
        <v>102</v>
      </c>
      <c r="F1110">
        <v>5</v>
      </c>
      <c r="G1110" t="s">
        <v>430</v>
      </c>
      <c r="H1110" s="48">
        <v>0.29166666666666669</v>
      </c>
      <c r="I1110" s="48">
        <v>0.29166666666666669</v>
      </c>
      <c r="J1110" s="48">
        <v>0.29166666666666669</v>
      </c>
      <c r="K1110" s="48">
        <v>0.29166666666666669</v>
      </c>
      <c r="L1110" s="48">
        <v>0.29166666666666669</v>
      </c>
      <c r="M1110" s="48">
        <v>0.29166666666666669</v>
      </c>
      <c r="N1110" s="48">
        <v>0.29166666666666669</v>
      </c>
      <c r="O1110" s="48">
        <v>0.29166666666666669</v>
      </c>
      <c r="P1110" s="48">
        <v>0.29166666666666669</v>
      </c>
      <c r="Q1110" s="48">
        <v>0.29166666666666669</v>
      </c>
      <c r="R1110" s="48">
        <v>0.29166666666666669</v>
      </c>
      <c r="S1110" s="48">
        <v>0.29166666666666669</v>
      </c>
      <c r="T1110" s="48">
        <v>0.29166666666666669</v>
      </c>
      <c r="U1110" s="48">
        <v>0.29166666666666669</v>
      </c>
      <c r="V1110" s="48">
        <v>0.29166666666666669</v>
      </c>
      <c r="W1110" s="48">
        <v>0.29166666666666669</v>
      </c>
      <c r="X1110" s="48">
        <v>0.29166666666666669</v>
      </c>
      <c r="Y1110" s="48">
        <v>0.29166666666666669</v>
      </c>
      <c r="Z1110" s="48">
        <v>0.29166666666666669</v>
      </c>
      <c r="AA1110" s="48">
        <v>0.29166666666666669</v>
      </c>
      <c r="AB1110" s="48">
        <v>0.29166666666666669</v>
      </c>
      <c r="AC1110" s="48">
        <v>0.29166666666666669</v>
      </c>
      <c r="AD1110" s="48">
        <v>0.29166666666666669</v>
      </c>
      <c r="AE1110" s="48">
        <v>0.29166666666666669</v>
      </c>
      <c r="AF1110" s="48">
        <v>0.29166666666666669</v>
      </c>
      <c r="AG1110" s="48">
        <v>0.29166666666666669</v>
      </c>
      <c r="AH1110" s="48">
        <v>0.29166666666666669</v>
      </c>
      <c r="AI1110" s="48">
        <v>0.29166666666666669</v>
      </c>
      <c r="AJ1110" s="48">
        <v>0.29166666666666669</v>
      </c>
      <c r="AK1110" s="48">
        <v>0.29166666666666669</v>
      </c>
    </row>
    <row r="1111" spans="1:45" hidden="1" x14ac:dyDescent="0.25">
      <c r="A1111">
        <v>1110</v>
      </c>
      <c r="B1111">
        <v>2025</v>
      </c>
      <c r="C1111">
        <v>12</v>
      </c>
      <c r="D1111" t="s">
        <v>492</v>
      </c>
      <c r="E1111">
        <v>102</v>
      </c>
      <c r="F1111">
        <v>5</v>
      </c>
      <c r="G1111" t="s">
        <v>431</v>
      </c>
      <c r="H1111" s="48">
        <v>0.75</v>
      </c>
      <c r="I1111" s="48">
        <v>0.75</v>
      </c>
      <c r="J1111" s="48">
        <v>0.75</v>
      </c>
      <c r="K1111" s="48">
        <v>0.75</v>
      </c>
      <c r="L1111" s="48">
        <v>0.75</v>
      </c>
      <c r="M1111" s="48">
        <v>0.75</v>
      </c>
      <c r="N1111" s="48">
        <v>0.75</v>
      </c>
      <c r="O1111" s="48">
        <v>0.75</v>
      </c>
      <c r="P1111" s="48">
        <v>0.75</v>
      </c>
      <c r="Q1111" s="48">
        <v>0.75</v>
      </c>
      <c r="R1111" s="48">
        <v>0.75</v>
      </c>
      <c r="S1111" s="48">
        <v>0.75</v>
      </c>
      <c r="T1111" s="48">
        <v>0.75</v>
      </c>
      <c r="U1111" s="48">
        <v>0.75</v>
      </c>
      <c r="V1111" s="48">
        <v>0.75</v>
      </c>
      <c r="W1111" s="48">
        <v>0.75</v>
      </c>
      <c r="X1111" s="48">
        <v>0.75</v>
      </c>
      <c r="Y1111" s="48">
        <v>0.75</v>
      </c>
      <c r="Z1111" s="48">
        <v>0.75</v>
      </c>
      <c r="AA1111" s="48">
        <v>0.75</v>
      </c>
      <c r="AB1111" s="48">
        <v>0.75</v>
      </c>
      <c r="AC1111" s="48">
        <v>0.75</v>
      </c>
      <c r="AD1111" s="48">
        <v>0.75</v>
      </c>
      <c r="AE1111" s="48">
        <v>0.75</v>
      </c>
      <c r="AF1111" s="48">
        <v>0.75</v>
      </c>
      <c r="AG1111" s="48">
        <v>0.75</v>
      </c>
      <c r="AH1111" s="48">
        <v>0.75</v>
      </c>
      <c r="AI1111" s="48">
        <v>0.75</v>
      </c>
      <c r="AJ1111" s="48">
        <v>0.75</v>
      </c>
      <c r="AK1111" s="48">
        <v>0.75</v>
      </c>
      <c r="AM1111">
        <v>30</v>
      </c>
    </row>
    <row r="1112" spans="1:45" hidden="1" x14ac:dyDescent="0.25">
      <c r="A1112">
        <v>1111</v>
      </c>
      <c r="B1112">
        <v>2025</v>
      </c>
      <c r="C1112">
        <v>12</v>
      </c>
      <c r="D1112" t="s">
        <v>493</v>
      </c>
      <c r="E1112">
        <v>102</v>
      </c>
      <c r="F1112">
        <v>5</v>
      </c>
      <c r="G1112" t="s">
        <v>430</v>
      </c>
      <c r="H1112" s="48">
        <v>0.29166666666666669</v>
      </c>
      <c r="I1112" s="48">
        <v>0.29166666666666669</v>
      </c>
      <c r="J1112" s="48">
        <v>0.29166666666666669</v>
      </c>
      <c r="K1112" s="48">
        <v>0.29166666666666669</v>
      </c>
      <c r="L1112" s="48">
        <v>0.29166666666666669</v>
      </c>
      <c r="M1112" s="48">
        <v>0.29166666666666669</v>
      </c>
      <c r="N1112" s="48">
        <v>0.29166666666666669</v>
      </c>
      <c r="O1112" s="48">
        <v>0.29166666666666669</v>
      </c>
      <c r="P1112" s="48">
        <v>0.29166666666666669</v>
      </c>
      <c r="Q1112" s="48">
        <v>0.29166666666666669</v>
      </c>
      <c r="R1112" s="48">
        <v>0.29166666666666669</v>
      </c>
      <c r="S1112" s="48">
        <v>0.29166666666666669</v>
      </c>
      <c r="T1112" s="48">
        <v>0.29166666666666669</v>
      </c>
      <c r="U1112" s="48">
        <v>0.29166666666666669</v>
      </c>
      <c r="V1112" s="48">
        <v>0.29166666666666669</v>
      </c>
      <c r="W1112" s="48">
        <v>0.29166666666666669</v>
      </c>
      <c r="X1112" s="48">
        <v>0.29166666666666669</v>
      </c>
      <c r="Y1112" s="48">
        <v>0.29166666666666669</v>
      </c>
      <c r="Z1112" s="48">
        <v>0.29166666666666669</v>
      </c>
      <c r="AA1112" s="48">
        <v>0.29166666666666669</v>
      </c>
      <c r="AB1112" s="48">
        <v>0.29166666666666669</v>
      </c>
      <c r="AC1112" s="48">
        <v>0.29166666666666669</v>
      </c>
      <c r="AD1112" s="48">
        <v>0.29166666666666669</v>
      </c>
      <c r="AE1112" s="48">
        <v>0.29166666666666669</v>
      </c>
      <c r="AF1112" s="48">
        <v>0.29166666666666669</v>
      </c>
      <c r="AG1112" s="48">
        <v>0.29166666666666669</v>
      </c>
      <c r="AH1112" s="48">
        <v>0.29166666666666669</v>
      </c>
      <c r="AI1112" s="48">
        <v>0.29166666666666669</v>
      </c>
      <c r="AJ1112" s="48">
        <v>0.29166666666666669</v>
      </c>
      <c r="AK1112" s="48">
        <v>0.29166666666666669</v>
      </c>
      <c r="AL1112" s="48" t="s">
        <v>320</v>
      </c>
    </row>
    <row r="1113" spans="1:45" hidden="1" x14ac:dyDescent="0.25">
      <c r="A1113">
        <v>1112</v>
      </c>
      <c r="B1113">
        <v>2025</v>
      </c>
      <c r="C1113">
        <v>12</v>
      </c>
      <c r="D1113" t="s">
        <v>493</v>
      </c>
      <c r="E1113">
        <v>102</v>
      </c>
      <c r="F1113">
        <v>5</v>
      </c>
      <c r="G1113" t="s">
        <v>431</v>
      </c>
      <c r="H1113" s="48">
        <v>0.75</v>
      </c>
      <c r="I1113" s="48">
        <v>0.83333333333333326</v>
      </c>
      <c r="J1113" s="48">
        <v>0.75</v>
      </c>
      <c r="K1113" s="48">
        <v>0.875</v>
      </c>
      <c r="L1113" s="48">
        <v>0.75</v>
      </c>
      <c r="M1113" s="48">
        <v>0.875</v>
      </c>
      <c r="N1113" s="48">
        <v>0.83333333333333326</v>
      </c>
      <c r="O1113" s="48">
        <v>0.75</v>
      </c>
      <c r="P1113" s="48">
        <v>0.75</v>
      </c>
      <c r="Q1113" s="48">
        <v>0.875</v>
      </c>
      <c r="R1113" s="48">
        <v>0.75</v>
      </c>
      <c r="S1113" s="48">
        <v>0.875</v>
      </c>
      <c r="T1113" s="48">
        <v>0.75</v>
      </c>
      <c r="U1113" s="48">
        <v>0.83333333333333326</v>
      </c>
      <c r="V1113" s="48">
        <v>0.83333333333333326</v>
      </c>
      <c r="W1113" s="48">
        <v>0.75</v>
      </c>
      <c r="X1113" s="48">
        <v>0.83333333333333326</v>
      </c>
      <c r="Y1113" s="48">
        <v>0.875</v>
      </c>
      <c r="Z1113" s="48">
        <v>0.75</v>
      </c>
      <c r="AA1113" s="48">
        <v>0.91666666666666674</v>
      </c>
      <c r="AB1113" s="48">
        <v>0.75</v>
      </c>
      <c r="AC1113" s="48">
        <v>0.75</v>
      </c>
      <c r="AD1113" s="48">
        <v>0.83333333333333326</v>
      </c>
      <c r="AE1113" s="48">
        <v>0.75</v>
      </c>
      <c r="AF1113" s="48">
        <v>0.83333333333333326</v>
      </c>
      <c r="AG1113" s="48">
        <v>0.75</v>
      </c>
      <c r="AH1113" s="48">
        <v>0.83333333333333326</v>
      </c>
      <c r="AI1113" s="48">
        <v>0.75</v>
      </c>
      <c r="AJ1113" s="48">
        <v>0.75</v>
      </c>
      <c r="AK1113" s="48">
        <v>0.75</v>
      </c>
      <c r="AL1113" s="48" t="s">
        <v>320</v>
      </c>
      <c r="AM1113">
        <v>30</v>
      </c>
      <c r="AO1113">
        <v>35</v>
      </c>
    </row>
    <row r="1114" spans="1:45" hidden="1" x14ac:dyDescent="0.25">
      <c r="A1114">
        <v>1113</v>
      </c>
      <c r="B1114">
        <v>2025</v>
      </c>
      <c r="C1114">
        <v>12</v>
      </c>
      <c r="D1114" t="s">
        <v>151</v>
      </c>
      <c r="E1114">
        <v>31</v>
      </c>
      <c r="F1114">
        <v>11</v>
      </c>
      <c r="G1114" t="s">
        <v>432</v>
      </c>
      <c r="H1114" s="48">
        <v>282175</v>
      </c>
      <c r="I1114" s="48">
        <v>282267</v>
      </c>
      <c r="J1114" s="48">
        <v>282368</v>
      </c>
      <c r="K1114" s="48">
        <v>282469</v>
      </c>
      <c r="L1114" s="48">
        <v>282585</v>
      </c>
      <c r="M1114" s="48">
        <v>282691</v>
      </c>
      <c r="N1114" s="48">
        <v>282784</v>
      </c>
      <c r="O1114" s="48">
        <v>282855</v>
      </c>
      <c r="P1114" s="48">
        <v>282921</v>
      </c>
      <c r="Q1114" s="48">
        <v>283067</v>
      </c>
      <c r="R1114" s="48">
        <v>283187</v>
      </c>
      <c r="S1114" s="48">
        <v>283331</v>
      </c>
      <c r="T1114" s="48">
        <v>283465</v>
      </c>
      <c r="U1114" s="48">
        <v>283567</v>
      </c>
      <c r="V1114" s="48">
        <v>283687</v>
      </c>
      <c r="W1114" s="48">
        <v>283812</v>
      </c>
      <c r="X1114" s="48">
        <v>284014</v>
      </c>
      <c r="Y1114" s="48">
        <v>284172</v>
      </c>
      <c r="Z1114" s="48">
        <v>284311</v>
      </c>
      <c r="AA1114" s="48">
        <v>284472</v>
      </c>
      <c r="AB1114" s="48">
        <v>284641</v>
      </c>
      <c r="AC1114" s="48">
        <v>284773</v>
      </c>
      <c r="AD1114" s="48">
        <v>284902</v>
      </c>
      <c r="AE1114" s="48">
        <v>285032</v>
      </c>
      <c r="AF1114" s="48">
        <v>285211</v>
      </c>
      <c r="AG1114" s="48">
        <v>285341</v>
      </c>
      <c r="AH1114" s="48">
        <v>285467</v>
      </c>
      <c r="AI1114" s="48">
        <v>285552</v>
      </c>
      <c r="AJ1114" s="48">
        <v>285669</v>
      </c>
      <c r="AK1114" s="48">
        <v>285905</v>
      </c>
      <c r="AL1114" s="48">
        <v>286112</v>
      </c>
    </row>
    <row r="1115" spans="1:45" hidden="1" x14ac:dyDescent="0.25">
      <c r="A1115">
        <v>1114</v>
      </c>
      <c r="B1115">
        <v>2025</v>
      </c>
      <c r="C1115">
        <v>12</v>
      </c>
      <c r="D1115" t="s">
        <v>151</v>
      </c>
      <c r="E1115">
        <v>31</v>
      </c>
      <c r="F1115">
        <v>11</v>
      </c>
      <c r="G1115" t="s">
        <v>433</v>
      </c>
      <c r="H1115" s="48">
        <v>282234</v>
      </c>
      <c r="I1115" s="48">
        <v>282315</v>
      </c>
      <c r="J1115" s="48">
        <v>282412</v>
      </c>
      <c r="K1115" s="48">
        <v>282540</v>
      </c>
      <c r="L1115" s="48">
        <v>282630</v>
      </c>
      <c r="M1115" s="48">
        <v>282754</v>
      </c>
      <c r="N1115" s="48">
        <v>282816</v>
      </c>
      <c r="O1115" s="48">
        <v>282865</v>
      </c>
      <c r="P1115" s="48">
        <v>283014</v>
      </c>
      <c r="Q1115" s="48">
        <v>283141</v>
      </c>
      <c r="R1115" s="48">
        <v>283242</v>
      </c>
      <c r="S1115" s="48">
        <v>283411</v>
      </c>
      <c r="T1115" s="48">
        <v>283521</v>
      </c>
      <c r="U1115" s="48">
        <v>283625</v>
      </c>
      <c r="V1115" s="48">
        <v>283753</v>
      </c>
      <c r="W1115" s="48">
        <v>283911</v>
      </c>
      <c r="X1115" s="48">
        <v>284105</v>
      </c>
      <c r="Y1115" s="48">
        <v>284253</v>
      </c>
      <c r="Z1115" s="48">
        <v>284398</v>
      </c>
      <c r="AA1115" s="48">
        <v>284543</v>
      </c>
      <c r="AB1115" s="48">
        <v>284691</v>
      </c>
      <c r="AC1115" s="48">
        <v>284821</v>
      </c>
      <c r="AD1115" s="48">
        <v>284987</v>
      </c>
      <c r="AE1115" s="48">
        <v>285124</v>
      </c>
      <c r="AF1115" s="48">
        <v>285289</v>
      </c>
      <c r="AG1115" s="48">
        <v>285412</v>
      </c>
      <c r="AH1115" s="48">
        <v>285518</v>
      </c>
      <c r="AI1115" s="48">
        <v>285631</v>
      </c>
      <c r="AJ1115" s="48">
        <v>285812</v>
      </c>
      <c r="AK1115" s="48">
        <v>286012</v>
      </c>
      <c r="AL1115" s="48">
        <v>286187</v>
      </c>
      <c r="AP1115">
        <v>324.3</v>
      </c>
      <c r="AQ1115">
        <v>15</v>
      </c>
      <c r="AS1115">
        <v>2162</v>
      </c>
    </row>
    <row r="1116" spans="1:45" hidden="1" x14ac:dyDescent="0.25">
      <c r="A1116">
        <v>1115</v>
      </c>
      <c r="B1116">
        <v>2025</v>
      </c>
      <c r="C1116">
        <v>12</v>
      </c>
      <c r="D1116" t="s">
        <v>151</v>
      </c>
      <c r="E1116">
        <v>31</v>
      </c>
      <c r="F1116">
        <v>11</v>
      </c>
      <c r="G1116" t="s">
        <v>439</v>
      </c>
      <c r="H1116" s="48">
        <v>282234</v>
      </c>
      <c r="I1116" s="48">
        <v>282315</v>
      </c>
      <c r="J1116" s="48">
        <v>282412</v>
      </c>
      <c r="K1116" s="48">
        <v>282540</v>
      </c>
      <c r="L1116" s="48">
        <v>282630</v>
      </c>
      <c r="M1116" s="48">
        <v>282754</v>
      </c>
      <c r="N1116" s="48">
        <v>282810</v>
      </c>
      <c r="O1116" s="48">
        <v>282865</v>
      </c>
      <c r="P1116" s="48">
        <v>283014</v>
      </c>
      <c r="Q1116" s="48">
        <v>283141</v>
      </c>
      <c r="R1116" s="48">
        <v>283242</v>
      </c>
      <c r="S1116" s="48">
        <v>283411</v>
      </c>
      <c r="T1116" s="48">
        <v>283521</v>
      </c>
      <c r="U1116" s="48">
        <v>283625</v>
      </c>
      <c r="V1116" s="48">
        <v>283753</v>
      </c>
      <c r="W1116" s="48">
        <v>283911</v>
      </c>
      <c r="X1116" s="48">
        <v>284105</v>
      </c>
      <c r="Y1116" s="48">
        <v>284253</v>
      </c>
      <c r="Z1116" s="48">
        <v>284398</v>
      </c>
      <c r="AA1116" s="48">
        <v>284543</v>
      </c>
      <c r="AB1116" s="48">
        <v>284691</v>
      </c>
      <c r="AC1116" s="48">
        <v>284821</v>
      </c>
      <c r="AD1116" s="48">
        <v>284987</v>
      </c>
      <c r="AE1116" s="48">
        <v>285124</v>
      </c>
      <c r="AF1116" s="48">
        <v>285289</v>
      </c>
      <c r="AG1116" s="48">
        <v>285412</v>
      </c>
      <c r="AH1116" s="48">
        <v>285518</v>
      </c>
      <c r="AI1116" s="48">
        <v>285631</v>
      </c>
      <c r="AJ1116" s="48">
        <v>285812</v>
      </c>
      <c r="AK1116" s="48">
        <v>286012</v>
      </c>
      <c r="AL1116" s="48">
        <v>286187</v>
      </c>
    </row>
    <row r="1117" spans="1:45" hidden="1" x14ac:dyDescent="0.25">
      <c r="A1117">
        <v>1116</v>
      </c>
      <c r="B1117">
        <v>2025</v>
      </c>
      <c r="C1117">
        <v>12</v>
      </c>
      <c r="D1117" t="s">
        <v>151</v>
      </c>
      <c r="E1117">
        <v>31</v>
      </c>
      <c r="F1117">
        <v>11</v>
      </c>
      <c r="G1117" t="s">
        <v>440</v>
      </c>
      <c r="H1117" s="48">
        <v>282267</v>
      </c>
      <c r="I1117" s="48">
        <v>282368</v>
      </c>
      <c r="J1117" s="48">
        <v>282469</v>
      </c>
      <c r="K1117" s="48">
        <v>282585</v>
      </c>
      <c r="L1117" s="48">
        <v>282691</v>
      </c>
      <c r="M1117" s="48">
        <v>282784</v>
      </c>
      <c r="N1117" s="48">
        <v>282855</v>
      </c>
      <c r="O1117" s="48">
        <v>282921</v>
      </c>
      <c r="P1117" s="48">
        <v>283067</v>
      </c>
      <c r="Q1117" s="48">
        <v>283187</v>
      </c>
      <c r="R1117" s="48">
        <v>283331</v>
      </c>
      <c r="S1117" s="48">
        <v>283465</v>
      </c>
      <c r="T1117" s="48">
        <v>283567</v>
      </c>
      <c r="U1117" s="48">
        <v>283687</v>
      </c>
      <c r="V1117" s="48">
        <v>283812</v>
      </c>
      <c r="W1117" s="48">
        <v>284014</v>
      </c>
      <c r="X1117" s="48">
        <v>284172</v>
      </c>
      <c r="Y1117" s="48">
        <v>284311</v>
      </c>
      <c r="Z1117" s="48">
        <v>284472</v>
      </c>
      <c r="AA1117" s="48">
        <v>284641</v>
      </c>
      <c r="AB1117" s="48">
        <v>284773</v>
      </c>
      <c r="AC1117" s="48">
        <v>284902</v>
      </c>
      <c r="AD1117" s="48">
        <v>285032</v>
      </c>
      <c r="AE1117" s="48">
        <v>285211</v>
      </c>
      <c r="AF1117" s="48">
        <v>285341</v>
      </c>
      <c r="AG1117" s="48">
        <v>285467</v>
      </c>
      <c r="AH1117" s="48">
        <v>285552</v>
      </c>
      <c r="AI1117" s="48">
        <v>285669</v>
      </c>
      <c r="AJ1117" s="48">
        <v>285905</v>
      </c>
      <c r="AK1117" s="48">
        <v>286112</v>
      </c>
      <c r="AL1117" s="48">
        <v>286243</v>
      </c>
      <c r="AP1117">
        <v>286.8</v>
      </c>
      <c r="AQ1117">
        <v>15</v>
      </c>
      <c r="AS1117">
        <v>1912</v>
      </c>
    </row>
    <row r="1118" spans="1:45" hidden="1" x14ac:dyDescent="0.25">
      <c r="A1118">
        <v>1117</v>
      </c>
      <c r="B1118">
        <v>2025</v>
      </c>
      <c r="C1118">
        <v>12</v>
      </c>
      <c r="D1118" t="s">
        <v>151</v>
      </c>
      <c r="E1118">
        <v>31</v>
      </c>
      <c r="F1118">
        <v>11</v>
      </c>
      <c r="G1118" t="s">
        <v>430</v>
      </c>
      <c r="H1118" s="48" t="s">
        <v>375</v>
      </c>
      <c r="I1118" s="48" t="s">
        <v>375</v>
      </c>
      <c r="J1118" s="48" t="s">
        <v>375</v>
      </c>
      <c r="K1118" s="48" t="s">
        <v>375</v>
      </c>
      <c r="L1118" s="48" t="s">
        <v>375</v>
      </c>
      <c r="M1118" s="48" t="s">
        <v>375</v>
      </c>
      <c r="N1118" s="48" t="s">
        <v>375</v>
      </c>
      <c r="O1118" s="48" t="s">
        <v>375</v>
      </c>
      <c r="P1118" s="48" t="s">
        <v>375</v>
      </c>
      <c r="Q1118" s="48" t="s">
        <v>375</v>
      </c>
      <c r="R1118" s="48" t="s">
        <v>375</v>
      </c>
      <c r="S1118" s="48" t="s">
        <v>375</v>
      </c>
      <c r="T1118" s="48" t="s">
        <v>375</v>
      </c>
      <c r="U1118" s="48" t="s">
        <v>375</v>
      </c>
      <c r="V1118" s="48" t="s">
        <v>375</v>
      </c>
      <c r="W1118" s="48" t="s">
        <v>375</v>
      </c>
      <c r="X1118" s="48" t="s">
        <v>375</v>
      </c>
      <c r="Y1118" s="48" t="s">
        <v>375</v>
      </c>
      <c r="Z1118" s="48" t="s">
        <v>375</v>
      </c>
      <c r="AA1118" s="48" t="s">
        <v>375</v>
      </c>
      <c r="AB1118" s="48" t="s">
        <v>375</v>
      </c>
      <c r="AC1118" s="48" t="s">
        <v>375</v>
      </c>
      <c r="AD1118" s="48" t="s">
        <v>375</v>
      </c>
      <c r="AE1118" s="48" t="s">
        <v>375</v>
      </c>
      <c r="AF1118" s="48" t="s">
        <v>375</v>
      </c>
      <c r="AG1118" s="48" t="s">
        <v>375</v>
      </c>
      <c r="AH1118" s="48" t="s">
        <v>375</v>
      </c>
      <c r="AI1118" s="48" t="s">
        <v>375</v>
      </c>
      <c r="AJ1118" s="48" t="s">
        <v>375</v>
      </c>
      <c r="AK1118" s="48" t="s">
        <v>375</v>
      </c>
      <c r="AL1118" s="48" t="s">
        <v>375</v>
      </c>
    </row>
    <row r="1119" spans="1:45" hidden="1" x14ac:dyDescent="0.25">
      <c r="A1119">
        <v>1118</v>
      </c>
      <c r="B1119">
        <v>2025</v>
      </c>
      <c r="C1119">
        <v>12</v>
      </c>
      <c r="D1119" t="s">
        <v>151</v>
      </c>
      <c r="E1119">
        <v>31</v>
      </c>
      <c r="F1119">
        <v>11</v>
      </c>
      <c r="G1119" t="s">
        <v>431</v>
      </c>
      <c r="H1119" s="48" t="s">
        <v>406</v>
      </c>
      <c r="I1119" s="48" t="s">
        <v>406</v>
      </c>
      <c r="J1119" s="48" t="s">
        <v>406</v>
      </c>
      <c r="K1119" s="48" t="s">
        <v>406</v>
      </c>
      <c r="L1119" s="48" t="s">
        <v>406</v>
      </c>
      <c r="M1119" s="48" t="s">
        <v>406</v>
      </c>
      <c r="N1119" s="48" t="s">
        <v>406</v>
      </c>
      <c r="O1119" s="48" t="s">
        <v>406</v>
      </c>
      <c r="P1119" s="48" t="s">
        <v>406</v>
      </c>
      <c r="Q1119" s="48" t="s">
        <v>406</v>
      </c>
      <c r="R1119" s="48" t="s">
        <v>406</v>
      </c>
      <c r="S1119" s="48" t="s">
        <v>406</v>
      </c>
      <c r="T1119" s="48" t="s">
        <v>406</v>
      </c>
      <c r="U1119" s="48" t="s">
        <v>406</v>
      </c>
      <c r="V1119" s="48" t="s">
        <v>406</v>
      </c>
      <c r="W1119" s="48" t="s">
        <v>406</v>
      </c>
      <c r="X1119" s="48" t="s">
        <v>406</v>
      </c>
      <c r="Y1119" s="48" t="s">
        <v>406</v>
      </c>
      <c r="Z1119" s="48" t="s">
        <v>406</v>
      </c>
      <c r="AA1119" s="48" t="s">
        <v>406</v>
      </c>
      <c r="AB1119" s="48" t="s">
        <v>406</v>
      </c>
      <c r="AC1119" s="48" t="s">
        <v>406</v>
      </c>
      <c r="AD1119" s="48" t="s">
        <v>406</v>
      </c>
      <c r="AE1119" s="48" t="s">
        <v>406</v>
      </c>
      <c r="AF1119" s="48" t="s">
        <v>406</v>
      </c>
      <c r="AG1119" s="48" t="s">
        <v>406</v>
      </c>
      <c r="AH1119" s="48" t="s">
        <v>406</v>
      </c>
      <c r="AI1119" s="48" t="s">
        <v>406</v>
      </c>
      <c r="AJ1119" s="48" t="s">
        <v>406</v>
      </c>
      <c r="AK1119" s="48" t="s">
        <v>406</v>
      </c>
      <c r="AL1119" s="48" t="s">
        <v>406</v>
      </c>
      <c r="AN1119">
        <v>31</v>
      </c>
    </row>
    <row r="1120" spans="1:45" hidden="1" x14ac:dyDescent="0.25">
      <c r="A1120">
        <v>1119</v>
      </c>
      <c r="B1120">
        <v>2025</v>
      </c>
      <c r="C1120">
        <v>12</v>
      </c>
      <c r="D1120" t="s">
        <v>184</v>
      </c>
      <c r="E1120">
        <v>31</v>
      </c>
      <c r="F1120">
        <v>11</v>
      </c>
      <c r="G1120" t="s">
        <v>430</v>
      </c>
      <c r="H1120" s="48" t="s">
        <v>375</v>
      </c>
      <c r="I1120" s="48" t="s">
        <v>375</v>
      </c>
      <c r="J1120" s="48" t="s">
        <v>375</v>
      </c>
      <c r="K1120" s="48" t="s">
        <v>375</v>
      </c>
      <c r="L1120" s="48" t="s">
        <v>375</v>
      </c>
      <c r="M1120" s="48" t="s">
        <v>375</v>
      </c>
      <c r="N1120" s="48" t="s">
        <v>375</v>
      </c>
      <c r="O1120" s="48" t="s">
        <v>375</v>
      </c>
      <c r="P1120" s="48" t="s">
        <v>375</v>
      </c>
      <c r="Q1120" s="48" t="s">
        <v>375</v>
      </c>
      <c r="R1120" s="48" t="s">
        <v>375</v>
      </c>
      <c r="S1120" s="48" t="s">
        <v>375</v>
      </c>
      <c r="T1120" s="48" t="s">
        <v>375</v>
      </c>
      <c r="U1120" s="48" t="s">
        <v>375</v>
      </c>
      <c r="V1120" s="48" t="s">
        <v>375</v>
      </c>
      <c r="W1120" s="48" t="s">
        <v>375</v>
      </c>
      <c r="X1120" s="48" t="s">
        <v>375</v>
      </c>
      <c r="Y1120" s="48" t="s">
        <v>375</v>
      </c>
      <c r="Z1120" s="48" t="s">
        <v>375</v>
      </c>
      <c r="AA1120" s="48" t="s">
        <v>375</v>
      </c>
      <c r="AB1120" s="48" t="s">
        <v>375</v>
      </c>
      <c r="AC1120" s="48" t="s">
        <v>375</v>
      </c>
      <c r="AD1120" s="48" t="s">
        <v>375</v>
      </c>
      <c r="AE1120" s="48" t="s">
        <v>375</v>
      </c>
      <c r="AF1120" s="48" t="s">
        <v>375</v>
      </c>
      <c r="AG1120" s="48" t="s">
        <v>375</v>
      </c>
      <c r="AH1120" s="48" t="s">
        <v>375</v>
      </c>
      <c r="AI1120" s="48" t="s">
        <v>375</v>
      </c>
      <c r="AJ1120" s="48" t="s">
        <v>375</v>
      </c>
      <c r="AK1120" s="48" t="s">
        <v>375</v>
      </c>
      <c r="AL1120" s="48" t="s">
        <v>320</v>
      </c>
    </row>
    <row r="1121" spans="1:41" hidden="1" x14ac:dyDescent="0.25">
      <c r="A1121">
        <v>1120</v>
      </c>
      <c r="B1121">
        <v>2025</v>
      </c>
      <c r="C1121">
        <v>12</v>
      </c>
      <c r="D1121" t="s">
        <v>184</v>
      </c>
      <c r="E1121">
        <v>31</v>
      </c>
      <c r="F1121">
        <v>11</v>
      </c>
      <c r="G1121" t="s">
        <v>431</v>
      </c>
      <c r="H1121" s="48">
        <v>0.75</v>
      </c>
      <c r="I1121" s="48">
        <v>0.75</v>
      </c>
      <c r="J1121" s="48">
        <v>0.75</v>
      </c>
      <c r="K1121" s="48">
        <v>0.75</v>
      </c>
      <c r="L1121" s="48">
        <v>0.75</v>
      </c>
      <c r="M1121" s="48">
        <v>0.75</v>
      </c>
      <c r="N1121" s="48">
        <v>0.875</v>
      </c>
      <c r="O1121" s="48">
        <v>0.75</v>
      </c>
      <c r="P1121" s="48">
        <v>0.75</v>
      </c>
      <c r="Q1121" s="48">
        <v>0.75</v>
      </c>
      <c r="R1121" s="48">
        <v>0.75</v>
      </c>
      <c r="S1121" s="48">
        <v>0.75</v>
      </c>
      <c r="T1121" s="48">
        <v>0.75</v>
      </c>
      <c r="U1121" s="48">
        <v>0.75</v>
      </c>
      <c r="V1121" s="48">
        <v>0.75</v>
      </c>
      <c r="W1121" s="48">
        <v>0.75</v>
      </c>
      <c r="X1121" s="48">
        <v>0.79166666666666674</v>
      </c>
      <c r="Y1121" s="48">
        <v>0.75</v>
      </c>
      <c r="Z1121" s="48">
        <v>0.75</v>
      </c>
      <c r="AA1121" s="48">
        <v>0.75</v>
      </c>
      <c r="AB1121" s="48">
        <v>0.75</v>
      </c>
      <c r="AC1121" s="48">
        <v>0.75</v>
      </c>
      <c r="AD1121" s="48">
        <v>0.75</v>
      </c>
      <c r="AE1121" s="48">
        <v>0.75</v>
      </c>
      <c r="AF1121" s="48">
        <v>0.75</v>
      </c>
      <c r="AG1121" s="48">
        <v>0.75</v>
      </c>
      <c r="AH1121" s="48">
        <v>0.75</v>
      </c>
      <c r="AI1121" s="48">
        <v>0.75</v>
      </c>
      <c r="AJ1121" s="48">
        <v>0.75</v>
      </c>
      <c r="AK1121" s="48">
        <v>0.75</v>
      </c>
      <c r="AL1121" s="48" t="s">
        <v>320</v>
      </c>
      <c r="AM1121">
        <v>30</v>
      </c>
      <c r="AO1121">
        <v>3.9999999999999982</v>
      </c>
    </row>
    <row r="1122" spans="1:41" hidden="1" x14ac:dyDescent="0.25">
      <c r="A1122">
        <v>1121</v>
      </c>
      <c r="B1122">
        <v>2025</v>
      </c>
      <c r="C1122">
        <v>12</v>
      </c>
      <c r="D1122" t="s">
        <v>155</v>
      </c>
      <c r="E1122">
        <v>31</v>
      </c>
      <c r="F1122">
        <v>11</v>
      </c>
      <c r="G1122" t="s">
        <v>430</v>
      </c>
      <c r="H1122" s="48" t="s">
        <v>377</v>
      </c>
      <c r="I1122" s="48" t="s">
        <v>377</v>
      </c>
      <c r="J1122" s="48" t="s">
        <v>377</v>
      </c>
      <c r="K1122" s="48" t="s">
        <v>377</v>
      </c>
      <c r="L1122" s="48" t="s">
        <v>377</v>
      </c>
      <c r="M1122" s="48" t="s">
        <v>377</v>
      </c>
      <c r="N1122" s="48" t="s">
        <v>377</v>
      </c>
      <c r="O1122" s="48" t="s">
        <v>377</v>
      </c>
      <c r="P1122" s="48" t="s">
        <v>377</v>
      </c>
      <c r="Q1122" s="48" t="s">
        <v>377</v>
      </c>
      <c r="R1122" s="48" t="s">
        <v>377</v>
      </c>
      <c r="S1122" s="48" t="s">
        <v>377</v>
      </c>
      <c r="T1122" s="48" t="s">
        <v>377</v>
      </c>
      <c r="U1122" s="48" t="s">
        <v>377</v>
      </c>
      <c r="V1122" s="48" t="s">
        <v>377</v>
      </c>
      <c r="W1122" s="48" t="s">
        <v>377</v>
      </c>
      <c r="X1122" s="48" t="s">
        <v>377</v>
      </c>
      <c r="Y1122" s="48" t="s">
        <v>377</v>
      </c>
      <c r="Z1122" s="48" t="s">
        <v>377</v>
      </c>
      <c r="AA1122" s="48" t="s">
        <v>377</v>
      </c>
      <c r="AB1122" s="48" t="s">
        <v>377</v>
      </c>
      <c r="AC1122" s="48" t="s">
        <v>377</v>
      </c>
      <c r="AD1122" s="48" t="s">
        <v>377</v>
      </c>
      <c r="AE1122" s="48" t="s">
        <v>377</v>
      </c>
      <c r="AF1122" s="48" t="s">
        <v>377</v>
      </c>
      <c r="AG1122" s="48" t="s">
        <v>377</v>
      </c>
      <c r="AH1122" s="48" t="s">
        <v>377</v>
      </c>
      <c r="AI1122" s="48" t="s">
        <v>377</v>
      </c>
      <c r="AJ1122" s="48" t="s">
        <v>377</v>
      </c>
      <c r="AK1122" s="48" t="s">
        <v>377</v>
      </c>
      <c r="AL1122" s="48" t="s">
        <v>320</v>
      </c>
    </row>
    <row r="1123" spans="1:41" hidden="1" x14ac:dyDescent="0.25">
      <c r="A1123">
        <v>1122</v>
      </c>
      <c r="B1123">
        <v>2025</v>
      </c>
      <c r="C1123">
        <v>12</v>
      </c>
      <c r="D1123" t="s">
        <v>155</v>
      </c>
      <c r="E1123">
        <v>31</v>
      </c>
      <c r="F1123">
        <v>11</v>
      </c>
      <c r="G1123" t="s">
        <v>431</v>
      </c>
      <c r="H1123" s="48">
        <v>0.77083333333333326</v>
      </c>
      <c r="I1123" s="48">
        <v>0.8125</v>
      </c>
      <c r="J1123" s="48">
        <v>0.77083333333333326</v>
      </c>
      <c r="K1123" s="48">
        <v>0.85416666666666663</v>
      </c>
      <c r="L1123" s="48">
        <v>0.85416666666666663</v>
      </c>
      <c r="M1123" s="48">
        <v>0.77083333333333326</v>
      </c>
      <c r="N1123" s="48">
        <v>0.77083333333333326</v>
      </c>
      <c r="O1123" s="48">
        <v>0.85416666666666663</v>
      </c>
      <c r="P1123" s="48">
        <v>0.8125</v>
      </c>
      <c r="Q1123" s="48">
        <v>0.85416666666666663</v>
      </c>
      <c r="R1123" s="48">
        <v>0.85416666666666663</v>
      </c>
      <c r="S1123" s="48">
        <v>0.8125</v>
      </c>
      <c r="T1123" s="48">
        <v>0.8125</v>
      </c>
      <c r="U1123" s="48">
        <v>0.77083333333333326</v>
      </c>
      <c r="V1123" s="48">
        <v>0.77083333333333326</v>
      </c>
      <c r="W1123" s="48">
        <v>0.85416666666666663</v>
      </c>
      <c r="X1123" s="48">
        <v>0.8125</v>
      </c>
      <c r="Y1123" s="48">
        <v>0.85416666666666663</v>
      </c>
      <c r="Z1123" s="48">
        <v>0.85416666666666663</v>
      </c>
      <c r="AA1123" s="48">
        <v>0.8125</v>
      </c>
      <c r="AB1123" s="48">
        <v>0.77083333333333326</v>
      </c>
      <c r="AC1123" s="48">
        <v>0.77083333333333326</v>
      </c>
      <c r="AD1123" s="48">
        <v>0.8125</v>
      </c>
      <c r="AE1123" s="48">
        <v>0.8125</v>
      </c>
      <c r="AF1123" s="48">
        <v>0.85416666666666663</v>
      </c>
      <c r="AG1123" s="48">
        <v>0.77083333333333326</v>
      </c>
      <c r="AH1123" s="48">
        <v>0.77083333333333326</v>
      </c>
      <c r="AI1123" s="48">
        <v>0.77083333333333326</v>
      </c>
      <c r="AJ1123" s="48">
        <v>0.77083333333333326</v>
      </c>
      <c r="AK1123" s="48">
        <v>0.77083333333333326</v>
      </c>
      <c r="AL1123" s="48" t="s">
        <v>320</v>
      </c>
      <c r="AM1123">
        <v>30</v>
      </c>
      <c r="AO1123">
        <v>86</v>
      </c>
    </row>
    <row r="1124" spans="1:41" hidden="1" x14ac:dyDescent="0.25">
      <c r="A1124">
        <v>1123</v>
      </c>
      <c r="B1124">
        <v>2025</v>
      </c>
      <c r="C1124">
        <v>12</v>
      </c>
      <c r="D1124" t="s">
        <v>180</v>
      </c>
      <c r="E1124">
        <v>31</v>
      </c>
      <c r="F1124">
        <v>11</v>
      </c>
      <c r="G1124" t="s">
        <v>430</v>
      </c>
      <c r="H1124" s="48" t="s">
        <v>375</v>
      </c>
      <c r="I1124" s="48" t="s">
        <v>375</v>
      </c>
      <c r="J1124" s="48" t="s">
        <v>375</v>
      </c>
      <c r="K1124" s="48" t="s">
        <v>375</v>
      </c>
      <c r="L1124" s="48" t="s">
        <v>375</v>
      </c>
      <c r="M1124" s="48" t="s">
        <v>375</v>
      </c>
      <c r="N1124" s="48" t="s">
        <v>375</v>
      </c>
      <c r="O1124" s="48" t="s">
        <v>375</v>
      </c>
      <c r="P1124" s="48" t="s">
        <v>375</v>
      </c>
      <c r="Q1124" s="48" t="s">
        <v>375</v>
      </c>
      <c r="R1124" s="48" t="s">
        <v>375</v>
      </c>
      <c r="S1124" s="48" t="s">
        <v>375</v>
      </c>
      <c r="T1124" s="48" t="s">
        <v>375</v>
      </c>
      <c r="U1124" s="48" t="s">
        <v>320</v>
      </c>
      <c r="V1124" s="48" t="s">
        <v>375</v>
      </c>
      <c r="W1124" s="48" t="s">
        <v>375</v>
      </c>
      <c r="X1124" s="48" t="s">
        <v>375</v>
      </c>
      <c r="Y1124" s="48" t="s">
        <v>375</v>
      </c>
      <c r="Z1124" s="48" t="s">
        <v>375</v>
      </c>
      <c r="AA1124" s="48" t="s">
        <v>375</v>
      </c>
      <c r="AB1124" s="48" t="s">
        <v>375</v>
      </c>
      <c r="AC1124" s="48" t="s">
        <v>375</v>
      </c>
      <c r="AD1124" s="48" t="s">
        <v>375</v>
      </c>
      <c r="AE1124" s="48" t="s">
        <v>375</v>
      </c>
      <c r="AF1124" s="48" t="s">
        <v>375</v>
      </c>
      <c r="AG1124" s="48" t="s">
        <v>375</v>
      </c>
      <c r="AH1124" s="48" t="s">
        <v>375</v>
      </c>
      <c r="AI1124" s="48">
        <v>0</v>
      </c>
      <c r="AJ1124" s="48" t="s">
        <v>375</v>
      </c>
      <c r="AK1124" s="48" t="s">
        <v>375</v>
      </c>
      <c r="AL1124" s="48" t="s">
        <v>320</v>
      </c>
    </row>
    <row r="1125" spans="1:41" hidden="1" x14ac:dyDescent="0.25">
      <c r="A1125">
        <v>1124</v>
      </c>
      <c r="B1125">
        <v>2025</v>
      </c>
      <c r="C1125">
        <v>12</v>
      </c>
      <c r="D1125" t="s">
        <v>180</v>
      </c>
      <c r="E1125">
        <v>31</v>
      </c>
      <c r="F1125">
        <v>11</v>
      </c>
      <c r="G1125" t="s">
        <v>431</v>
      </c>
      <c r="H1125" s="48">
        <v>0.75</v>
      </c>
      <c r="I1125" s="48">
        <v>0.75</v>
      </c>
      <c r="J1125" s="48">
        <v>0.75</v>
      </c>
      <c r="K1125" s="48">
        <v>0.75</v>
      </c>
      <c r="L1125" s="48">
        <v>0.75</v>
      </c>
      <c r="M1125" s="48">
        <v>0.75</v>
      </c>
      <c r="N1125" s="48">
        <v>0.75</v>
      </c>
      <c r="O1125" s="48">
        <v>0.75</v>
      </c>
      <c r="P1125" s="48">
        <v>0.75</v>
      </c>
      <c r="Q1125" s="48">
        <v>0.75</v>
      </c>
      <c r="R1125" s="48">
        <v>0.75</v>
      </c>
      <c r="S1125" s="48">
        <v>0.75</v>
      </c>
      <c r="T1125" s="48">
        <v>0.75</v>
      </c>
      <c r="U1125" s="48" t="s">
        <v>320</v>
      </c>
      <c r="V1125" s="48">
        <v>0.75</v>
      </c>
      <c r="W1125" s="48">
        <v>0.75</v>
      </c>
      <c r="X1125" s="48">
        <v>0.75</v>
      </c>
      <c r="Y1125" s="48">
        <v>0.75</v>
      </c>
      <c r="Z1125" s="48">
        <v>0.75</v>
      </c>
      <c r="AA1125" s="48">
        <v>0.75</v>
      </c>
      <c r="AB1125" s="48">
        <v>0.75</v>
      </c>
      <c r="AC1125" s="48">
        <v>0.75</v>
      </c>
      <c r="AD1125" s="48">
        <v>0.75</v>
      </c>
      <c r="AE1125" s="48">
        <v>0.75</v>
      </c>
      <c r="AF1125" s="48">
        <v>0.75</v>
      </c>
      <c r="AG1125" s="48">
        <v>0.75</v>
      </c>
      <c r="AH1125" s="48">
        <v>0.75</v>
      </c>
      <c r="AI1125" s="48" t="s">
        <v>320</v>
      </c>
      <c r="AJ1125" s="48">
        <v>0.75</v>
      </c>
      <c r="AK1125" s="48">
        <v>0.75</v>
      </c>
      <c r="AL1125" s="48" t="s">
        <v>320</v>
      </c>
      <c r="AM1125">
        <v>28</v>
      </c>
    </row>
    <row r="1126" spans="1:41" hidden="1" x14ac:dyDescent="0.25">
      <c r="A1126">
        <v>1125</v>
      </c>
      <c r="B1126">
        <v>2025</v>
      </c>
      <c r="C1126">
        <v>12</v>
      </c>
      <c r="D1126" t="s">
        <v>176</v>
      </c>
      <c r="E1126">
        <v>31</v>
      </c>
      <c r="F1126">
        <v>11</v>
      </c>
      <c r="G1126" t="s">
        <v>430</v>
      </c>
      <c r="H1126" s="48" t="s">
        <v>382</v>
      </c>
      <c r="I1126" s="48" t="s">
        <v>382</v>
      </c>
      <c r="J1126" s="48" t="s">
        <v>382</v>
      </c>
      <c r="K1126" s="48" t="s">
        <v>382</v>
      </c>
      <c r="L1126" s="48" t="s">
        <v>382</v>
      </c>
      <c r="M1126" s="48" t="s">
        <v>382</v>
      </c>
      <c r="N1126" s="48" t="s">
        <v>382</v>
      </c>
      <c r="O1126" s="48" t="s">
        <v>382</v>
      </c>
      <c r="P1126" s="48" t="s">
        <v>382</v>
      </c>
      <c r="Q1126" s="48" t="s">
        <v>382</v>
      </c>
      <c r="R1126" s="48" t="s">
        <v>382</v>
      </c>
      <c r="S1126" s="48" t="s">
        <v>382</v>
      </c>
      <c r="T1126" s="48" t="s">
        <v>382</v>
      </c>
      <c r="U1126" s="48" t="s">
        <v>382</v>
      </c>
      <c r="V1126" s="48" t="s">
        <v>382</v>
      </c>
      <c r="W1126" s="48" t="s">
        <v>382</v>
      </c>
      <c r="X1126" s="48" t="s">
        <v>382</v>
      </c>
      <c r="Y1126" s="48" t="s">
        <v>382</v>
      </c>
      <c r="Z1126" s="48" t="s">
        <v>382</v>
      </c>
      <c r="AA1126" s="48" t="s">
        <v>382</v>
      </c>
      <c r="AB1126" s="48" t="s">
        <v>382</v>
      </c>
      <c r="AC1126" s="48" t="s">
        <v>382</v>
      </c>
      <c r="AD1126" s="48" t="s">
        <v>382</v>
      </c>
      <c r="AE1126" s="48" t="s">
        <v>382</v>
      </c>
      <c r="AF1126" s="48" t="s">
        <v>382</v>
      </c>
      <c r="AG1126" s="48" t="s">
        <v>382</v>
      </c>
      <c r="AH1126" s="48" t="s">
        <v>382</v>
      </c>
      <c r="AI1126" s="48" t="s">
        <v>382</v>
      </c>
      <c r="AJ1126" s="48" t="s">
        <v>382</v>
      </c>
      <c r="AK1126" s="48" t="s">
        <v>382</v>
      </c>
      <c r="AL1126" s="48" t="s">
        <v>320</v>
      </c>
    </row>
    <row r="1127" spans="1:41" hidden="1" x14ac:dyDescent="0.25">
      <c r="A1127">
        <v>1126</v>
      </c>
      <c r="B1127">
        <v>2025</v>
      </c>
      <c r="C1127">
        <v>12</v>
      </c>
      <c r="D1127" t="s">
        <v>176</v>
      </c>
      <c r="E1127">
        <v>31</v>
      </c>
      <c r="F1127">
        <v>11</v>
      </c>
      <c r="G1127" t="s">
        <v>431</v>
      </c>
      <c r="H1127" s="48">
        <v>0.79166666666666674</v>
      </c>
      <c r="I1127" s="48">
        <v>0.79166666666666674</v>
      </c>
      <c r="J1127" s="48">
        <v>0.79166666666666674</v>
      </c>
      <c r="K1127" s="48">
        <v>0.79166666666666674</v>
      </c>
      <c r="L1127" s="48">
        <v>0.79166666666666674</v>
      </c>
      <c r="M1127" s="48">
        <v>0.79166666666666674</v>
      </c>
      <c r="N1127" s="48">
        <v>0.79166666666666674</v>
      </c>
      <c r="O1127" s="48">
        <v>0.79166666666666674</v>
      </c>
      <c r="P1127" s="48">
        <v>0.79166666666666674</v>
      </c>
      <c r="Q1127" s="48">
        <v>0.79166666666666674</v>
      </c>
      <c r="R1127" s="48">
        <v>0.79166666666666674</v>
      </c>
      <c r="S1127" s="48">
        <v>0.79166666666666674</v>
      </c>
      <c r="T1127" s="48">
        <v>0.79166666666666674</v>
      </c>
      <c r="U1127" s="48">
        <v>0.79166666666666674</v>
      </c>
      <c r="V1127" s="48">
        <v>0.79166666666666674</v>
      </c>
      <c r="W1127" s="48">
        <v>0.79166666666666674</v>
      </c>
      <c r="X1127" s="48">
        <v>0.79166666666666674</v>
      </c>
      <c r="Y1127" s="48">
        <v>0.79166666666666674</v>
      </c>
      <c r="Z1127" s="48">
        <v>0.79166666666666674</v>
      </c>
      <c r="AA1127" s="48">
        <v>0.79166666666666674</v>
      </c>
      <c r="AB1127" s="48">
        <v>0.79166666666666674</v>
      </c>
      <c r="AC1127" s="48">
        <v>0.79166666666666674</v>
      </c>
      <c r="AD1127" s="48">
        <v>0.79166666666666674</v>
      </c>
      <c r="AE1127" s="48">
        <v>0.79166666666666674</v>
      </c>
      <c r="AF1127" s="48">
        <v>0.79166666666666674</v>
      </c>
      <c r="AG1127" s="48">
        <v>0.79166666666666674</v>
      </c>
      <c r="AH1127" s="48">
        <v>0.79166666666666674</v>
      </c>
      <c r="AI1127" s="48">
        <v>0.79166666666666674</v>
      </c>
      <c r="AJ1127" s="48">
        <v>0.79166666666666674</v>
      </c>
      <c r="AK1127" s="48">
        <v>0.79166666666666674</v>
      </c>
      <c r="AL1127" s="48" t="s">
        <v>320</v>
      </c>
      <c r="AM1127">
        <v>30</v>
      </c>
      <c r="AO1127">
        <v>90</v>
      </c>
    </row>
    <row r="1128" spans="1:41" hidden="1" x14ac:dyDescent="0.25">
      <c r="A1128">
        <v>1127</v>
      </c>
      <c r="B1128">
        <v>2025</v>
      </c>
      <c r="C1128">
        <v>12</v>
      </c>
      <c r="D1128" t="s">
        <v>162</v>
      </c>
      <c r="E1128">
        <v>31</v>
      </c>
      <c r="F1128">
        <v>11</v>
      </c>
      <c r="G1128" t="s">
        <v>430</v>
      </c>
      <c r="H1128" s="48" t="s">
        <v>382</v>
      </c>
      <c r="I1128" s="48" t="s">
        <v>382</v>
      </c>
      <c r="J1128" s="48" t="s">
        <v>382</v>
      </c>
      <c r="K1128" s="48" t="s">
        <v>382</v>
      </c>
      <c r="L1128" s="48" t="s">
        <v>382</v>
      </c>
      <c r="M1128" s="48" t="s">
        <v>382</v>
      </c>
      <c r="N1128" s="48" t="s">
        <v>320</v>
      </c>
      <c r="O1128" s="48" t="s">
        <v>382</v>
      </c>
      <c r="P1128" s="48" t="s">
        <v>382</v>
      </c>
      <c r="Q1128" s="48" t="s">
        <v>382</v>
      </c>
      <c r="R1128" s="48" t="s">
        <v>382</v>
      </c>
      <c r="S1128" s="48" t="s">
        <v>382</v>
      </c>
      <c r="T1128" s="48" t="s">
        <v>382</v>
      </c>
      <c r="U1128" s="48" t="s">
        <v>382</v>
      </c>
      <c r="V1128" s="48" t="s">
        <v>382</v>
      </c>
      <c r="W1128" s="48" t="s">
        <v>382</v>
      </c>
      <c r="X1128" s="48" t="s">
        <v>382</v>
      </c>
      <c r="Y1128" s="48" t="s">
        <v>382</v>
      </c>
      <c r="Z1128" s="48" t="s">
        <v>382</v>
      </c>
      <c r="AA1128" s="48" t="s">
        <v>382</v>
      </c>
      <c r="AB1128" s="48" t="s">
        <v>382</v>
      </c>
      <c r="AC1128" s="48" t="s">
        <v>382</v>
      </c>
      <c r="AD1128" s="48" t="s">
        <v>382</v>
      </c>
      <c r="AE1128" s="48" t="s">
        <v>382</v>
      </c>
      <c r="AF1128" s="48" t="s">
        <v>382</v>
      </c>
      <c r="AG1128" s="48" t="s">
        <v>382</v>
      </c>
      <c r="AH1128" s="48" t="s">
        <v>382</v>
      </c>
      <c r="AI1128" s="48" t="s">
        <v>382</v>
      </c>
      <c r="AJ1128" s="48" t="s">
        <v>382</v>
      </c>
      <c r="AK1128" s="48" t="s">
        <v>382</v>
      </c>
      <c r="AL1128" s="48" t="s">
        <v>382</v>
      </c>
    </row>
    <row r="1129" spans="1:41" hidden="1" x14ac:dyDescent="0.25">
      <c r="A1129">
        <v>1128</v>
      </c>
      <c r="B1129">
        <v>2025</v>
      </c>
      <c r="C1129">
        <v>12</v>
      </c>
      <c r="D1129" t="s">
        <v>162</v>
      </c>
      <c r="E1129">
        <v>31</v>
      </c>
      <c r="F1129">
        <v>11</v>
      </c>
      <c r="G1129" t="s">
        <v>431</v>
      </c>
      <c r="H1129" s="48">
        <v>0.79166666666666674</v>
      </c>
      <c r="I1129" s="48">
        <v>0.79166666666666674</v>
      </c>
      <c r="J1129" s="48">
        <v>0.79166666666666674</v>
      </c>
      <c r="K1129" s="48">
        <v>0.79166666666666674</v>
      </c>
      <c r="L1129" s="48">
        <v>0.79166666666666674</v>
      </c>
      <c r="M1129" s="48">
        <v>0.79166666666666674</v>
      </c>
      <c r="N1129" s="48" t="s">
        <v>320</v>
      </c>
      <c r="O1129" s="48">
        <v>0.79166666666666674</v>
      </c>
      <c r="P1129" s="48">
        <v>0.79166666666666674</v>
      </c>
      <c r="Q1129" s="48">
        <v>0.79166666666666674</v>
      </c>
      <c r="R1129" s="48">
        <v>0.79166666666666674</v>
      </c>
      <c r="S1129" s="48">
        <v>0.79166666666666674</v>
      </c>
      <c r="T1129" s="48">
        <v>0.79166666666666674</v>
      </c>
      <c r="U1129" s="48">
        <v>0.79166666666666674</v>
      </c>
      <c r="V1129" s="48">
        <v>0.79166666666666674</v>
      </c>
      <c r="W1129" s="48">
        <v>0.79166666666666674</v>
      </c>
      <c r="X1129" s="48">
        <v>0.79166666666666674</v>
      </c>
      <c r="Y1129" s="48">
        <v>0.79166666666666674</v>
      </c>
      <c r="Z1129" s="48">
        <v>0.79166666666666674</v>
      </c>
      <c r="AA1129" s="48">
        <v>0.79166666666666674</v>
      </c>
      <c r="AB1129" s="48">
        <v>0.79166666666666674</v>
      </c>
      <c r="AC1129" s="48">
        <v>0.79166666666666674</v>
      </c>
      <c r="AD1129" s="48">
        <v>0.79166666666666674</v>
      </c>
      <c r="AE1129" s="48">
        <v>0.79166666666666674</v>
      </c>
      <c r="AF1129" s="48">
        <v>0.79166666666666674</v>
      </c>
      <c r="AG1129" s="48">
        <v>0.79166666666666674</v>
      </c>
      <c r="AH1129" s="48">
        <v>0.79166666666666674</v>
      </c>
      <c r="AI1129" s="48">
        <v>0.79166666666666674</v>
      </c>
      <c r="AJ1129" s="48">
        <v>0.79166666666666674</v>
      </c>
      <c r="AK1129" s="48">
        <v>0.79166666666666674</v>
      </c>
      <c r="AL1129" s="48">
        <v>0.79166666666666674</v>
      </c>
      <c r="AM1129">
        <v>30</v>
      </c>
      <c r="AO1129">
        <v>90</v>
      </c>
    </row>
    <row r="1130" spans="1:41" hidden="1" x14ac:dyDescent="0.25">
      <c r="A1130">
        <v>1129</v>
      </c>
      <c r="B1130">
        <v>2025</v>
      </c>
      <c r="C1130">
        <v>12</v>
      </c>
      <c r="D1130" t="s">
        <v>171</v>
      </c>
      <c r="E1130">
        <v>31</v>
      </c>
      <c r="F1130">
        <v>11</v>
      </c>
      <c r="G1130" t="s">
        <v>430</v>
      </c>
      <c r="H1130" s="48" t="s">
        <v>375</v>
      </c>
      <c r="I1130" s="48" t="s">
        <v>375</v>
      </c>
      <c r="J1130" s="48" t="s">
        <v>375</v>
      </c>
      <c r="K1130" s="48" t="s">
        <v>375</v>
      </c>
      <c r="L1130" s="48" t="s">
        <v>375</v>
      </c>
      <c r="M1130" s="48" t="s">
        <v>375</v>
      </c>
      <c r="N1130" s="48" t="s">
        <v>320</v>
      </c>
      <c r="O1130" s="48" t="s">
        <v>375</v>
      </c>
      <c r="P1130" s="48" t="s">
        <v>388</v>
      </c>
      <c r="Q1130" s="48" t="s">
        <v>388</v>
      </c>
      <c r="R1130" s="48" t="s">
        <v>388</v>
      </c>
      <c r="S1130" s="48" t="s">
        <v>388</v>
      </c>
      <c r="T1130" s="48" t="s">
        <v>388</v>
      </c>
      <c r="U1130" s="48" t="s">
        <v>320</v>
      </c>
      <c r="V1130" s="48" t="s">
        <v>376</v>
      </c>
      <c r="W1130" s="48" t="s">
        <v>388</v>
      </c>
      <c r="X1130" s="48" t="s">
        <v>388</v>
      </c>
      <c r="Y1130" s="48" t="s">
        <v>388</v>
      </c>
      <c r="Z1130" s="48" t="s">
        <v>388</v>
      </c>
      <c r="AA1130" s="48" t="s">
        <v>388</v>
      </c>
      <c r="AB1130" s="48" t="s">
        <v>388</v>
      </c>
      <c r="AC1130" s="48" t="s">
        <v>388</v>
      </c>
      <c r="AD1130" s="48" t="s">
        <v>388</v>
      </c>
      <c r="AE1130" s="48" t="s">
        <v>388</v>
      </c>
      <c r="AF1130" s="48" t="s">
        <v>388</v>
      </c>
      <c r="AG1130" s="48" t="s">
        <v>388</v>
      </c>
      <c r="AH1130" s="48" t="s">
        <v>388</v>
      </c>
      <c r="AI1130" s="48" t="s">
        <v>388</v>
      </c>
      <c r="AJ1130" s="48" t="s">
        <v>375</v>
      </c>
      <c r="AK1130" s="48" t="s">
        <v>375</v>
      </c>
      <c r="AL1130" s="48" t="s">
        <v>320</v>
      </c>
    </row>
    <row r="1131" spans="1:41" hidden="1" x14ac:dyDescent="0.25">
      <c r="A1131">
        <v>1130</v>
      </c>
      <c r="B1131">
        <v>2025</v>
      </c>
      <c r="C1131">
        <v>12</v>
      </c>
      <c r="D1131" t="s">
        <v>171</v>
      </c>
      <c r="E1131">
        <v>31</v>
      </c>
      <c r="F1131">
        <v>11</v>
      </c>
      <c r="G1131" t="s">
        <v>431</v>
      </c>
      <c r="H1131" s="48">
        <v>0.75</v>
      </c>
      <c r="I1131" s="48">
        <v>0.875</v>
      </c>
      <c r="J1131" s="48">
        <v>0.75</v>
      </c>
      <c r="K1131" s="48">
        <v>0.75</v>
      </c>
      <c r="L1131" s="48">
        <v>0.75</v>
      </c>
      <c r="M1131" s="48">
        <v>0.875</v>
      </c>
      <c r="N1131" s="48" t="s">
        <v>320</v>
      </c>
      <c r="O1131" s="48">
        <v>0.875</v>
      </c>
      <c r="P1131" s="48">
        <v>1.25</v>
      </c>
      <c r="Q1131" s="48">
        <v>1.25</v>
      </c>
      <c r="R1131" s="48">
        <v>1.25</v>
      </c>
      <c r="S1131" s="48">
        <v>1.25</v>
      </c>
      <c r="T1131" s="48">
        <v>1.375</v>
      </c>
      <c r="U1131" s="48" t="s">
        <v>320</v>
      </c>
      <c r="V1131" s="48">
        <v>1.3333333333333335</v>
      </c>
      <c r="W1131" s="48">
        <v>1.25</v>
      </c>
      <c r="X1131" s="48">
        <v>1.375</v>
      </c>
      <c r="Y1131" s="48">
        <v>1.3333333333333333</v>
      </c>
      <c r="Z1131" s="48">
        <v>1.375</v>
      </c>
      <c r="AA1131" s="48">
        <v>1.4166666666666665</v>
      </c>
      <c r="AB1131" s="48">
        <v>1.3333333333333333</v>
      </c>
      <c r="AC1131" s="48">
        <v>1.3333333333333333</v>
      </c>
      <c r="AD1131" s="48">
        <v>1.375</v>
      </c>
      <c r="AE1131" s="48">
        <v>1.2916666666666665</v>
      </c>
      <c r="AF1131" s="48">
        <v>1.3333333333333333</v>
      </c>
      <c r="AG1131" s="48">
        <v>1.2916666666666665</v>
      </c>
      <c r="AH1131" s="48">
        <v>1.375</v>
      </c>
      <c r="AI1131" s="48">
        <v>1.3333333333333333</v>
      </c>
      <c r="AJ1131" s="48">
        <v>0.75</v>
      </c>
      <c r="AK1131" s="48">
        <v>0.75</v>
      </c>
      <c r="AL1131" s="48" t="s">
        <v>320</v>
      </c>
      <c r="AM1131">
        <v>28</v>
      </c>
      <c r="AO1131">
        <v>43</v>
      </c>
    </row>
    <row r="1132" spans="1:41" hidden="1" x14ac:dyDescent="0.25">
      <c r="A1132">
        <v>1131</v>
      </c>
      <c r="B1132">
        <v>2025</v>
      </c>
      <c r="C1132">
        <v>12</v>
      </c>
      <c r="D1132" t="s">
        <v>649</v>
      </c>
      <c r="E1132">
        <v>31</v>
      </c>
      <c r="F1132">
        <v>11</v>
      </c>
      <c r="G1132" t="s">
        <v>430</v>
      </c>
      <c r="H1132" s="48" t="s">
        <v>320</v>
      </c>
      <c r="I1132" s="48" t="s">
        <v>320</v>
      </c>
      <c r="J1132" s="48" t="s">
        <v>320</v>
      </c>
      <c r="K1132" s="48" t="s">
        <v>320</v>
      </c>
      <c r="L1132" s="48" t="s">
        <v>320</v>
      </c>
      <c r="M1132" s="48" t="s">
        <v>320</v>
      </c>
      <c r="N1132" s="48" t="s">
        <v>320</v>
      </c>
      <c r="O1132" s="48" t="s">
        <v>320</v>
      </c>
      <c r="P1132" s="48" t="s">
        <v>320</v>
      </c>
      <c r="Q1132" s="48" t="s">
        <v>320</v>
      </c>
      <c r="R1132" s="48" t="s">
        <v>320</v>
      </c>
      <c r="S1132" s="48" t="s">
        <v>320</v>
      </c>
      <c r="T1132" s="48" t="s">
        <v>320</v>
      </c>
      <c r="U1132" s="48" t="s">
        <v>320</v>
      </c>
      <c r="V1132" s="48" t="s">
        <v>320</v>
      </c>
      <c r="W1132" s="48" t="s">
        <v>320</v>
      </c>
      <c r="X1132" s="48">
        <v>0.29166666666666669</v>
      </c>
      <c r="Y1132" s="48">
        <v>0.29166666666666669</v>
      </c>
      <c r="Z1132" s="48">
        <v>0.29166666666666669</v>
      </c>
      <c r="AA1132" s="48">
        <v>0.29166666666666669</v>
      </c>
      <c r="AB1132" s="48">
        <v>0.29166666666666669</v>
      </c>
      <c r="AC1132" s="48">
        <v>0.29166666666666669</v>
      </c>
      <c r="AD1132" s="48">
        <v>0.29166666666666669</v>
      </c>
      <c r="AE1132" s="48">
        <v>0.29166666666666669</v>
      </c>
      <c r="AF1132" s="48">
        <v>0.29166666666666669</v>
      </c>
      <c r="AG1132" s="48">
        <v>0.29166666666666669</v>
      </c>
      <c r="AH1132" s="48">
        <v>0.29166666666666669</v>
      </c>
      <c r="AI1132" s="48">
        <v>0.29166666666666669</v>
      </c>
      <c r="AJ1132" s="48">
        <v>0.29166666666666669</v>
      </c>
      <c r="AK1132" s="48">
        <v>0.29166666666666669</v>
      </c>
      <c r="AL1132" s="48" t="s">
        <v>320</v>
      </c>
    </row>
    <row r="1133" spans="1:41" hidden="1" x14ac:dyDescent="0.25">
      <c r="A1133">
        <v>1132</v>
      </c>
      <c r="B1133">
        <v>2025</v>
      </c>
      <c r="C1133">
        <v>12</v>
      </c>
      <c r="D1133" t="s">
        <v>649</v>
      </c>
      <c r="E1133">
        <v>31</v>
      </c>
      <c r="F1133">
        <v>11</v>
      </c>
      <c r="G1133" t="s">
        <v>431</v>
      </c>
      <c r="H1133" s="48" t="s">
        <v>320</v>
      </c>
      <c r="I1133" s="48" t="s">
        <v>320</v>
      </c>
      <c r="J1133" s="48" t="s">
        <v>320</v>
      </c>
      <c r="K1133" s="48" t="s">
        <v>320</v>
      </c>
      <c r="L1133" s="48" t="s">
        <v>320</v>
      </c>
      <c r="M1133" s="48" t="s">
        <v>320</v>
      </c>
      <c r="N1133" s="48" t="s">
        <v>320</v>
      </c>
      <c r="O1133" s="48" t="s">
        <v>320</v>
      </c>
      <c r="P1133" s="48" t="s">
        <v>320</v>
      </c>
      <c r="Q1133" s="48" t="s">
        <v>320</v>
      </c>
      <c r="R1133" s="48" t="s">
        <v>320</v>
      </c>
      <c r="S1133" s="48" t="s">
        <v>320</v>
      </c>
      <c r="T1133" s="48" t="s">
        <v>320</v>
      </c>
      <c r="U1133" s="48" t="s">
        <v>320</v>
      </c>
      <c r="V1133" s="48" t="s">
        <v>320</v>
      </c>
      <c r="W1133" s="48" t="s">
        <v>320</v>
      </c>
      <c r="X1133" s="48">
        <v>0.75</v>
      </c>
      <c r="Y1133" s="48">
        <v>0.75</v>
      </c>
      <c r="Z1133" s="48">
        <v>0.75</v>
      </c>
      <c r="AA1133" s="48">
        <v>0.75</v>
      </c>
      <c r="AB1133" s="48">
        <v>0.75</v>
      </c>
      <c r="AC1133" s="48">
        <v>0.75</v>
      </c>
      <c r="AD1133" s="48">
        <v>0.75</v>
      </c>
      <c r="AE1133" s="48">
        <v>0.75</v>
      </c>
      <c r="AF1133" s="48">
        <v>0.75</v>
      </c>
      <c r="AG1133" s="48">
        <v>0.75</v>
      </c>
      <c r="AH1133" s="48">
        <v>0.75</v>
      </c>
      <c r="AI1133" s="48">
        <v>0.75</v>
      </c>
      <c r="AJ1133" s="48">
        <v>0.75</v>
      </c>
      <c r="AK1133" s="48">
        <v>0.75</v>
      </c>
      <c r="AL1133" s="48" t="s">
        <v>320</v>
      </c>
      <c r="AM1133">
        <v>14</v>
      </c>
    </row>
    <row r="1134" spans="1:41" hidden="1" x14ac:dyDescent="0.25">
      <c r="A1134">
        <v>1133</v>
      </c>
      <c r="B1134">
        <v>2025</v>
      </c>
      <c r="C1134">
        <v>12</v>
      </c>
      <c r="D1134" t="s">
        <v>178</v>
      </c>
      <c r="E1134">
        <v>31</v>
      </c>
      <c r="F1134">
        <v>11</v>
      </c>
      <c r="G1134" t="s">
        <v>430</v>
      </c>
      <c r="H1134" s="48" t="s">
        <v>375</v>
      </c>
      <c r="I1134" s="48" t="s">
        <v>375</v>
      </c>
      <c r="J1134" s="48" t="s">
        <v>375</v>
      </c>
      <c r="K1134" s="48" t="s">
        <v>375</v>
      </c>
      <c r="L1134" s="48" t="s">
        <v>375</v>
      </c>
      <c r="M1134" s="48" t="s">
        <v>375</v>
      </c>
      <c r="N1134" s="48" t="s">
        <v>375</v>
      </c>
      <c r="O1134" s="48" t="s">
        <v>375</v>
      </c>
      <c r="P1134" s="48" t="s">
        <v>375</v>
      </c>
      <c r="Q1134" s="48" t="s">
        <v>375</v>
      </c>
      <c r="R1134" s="48" t="s">
        <v>375</v>
      </c>
      <c r="S1134" s="48" t="s">
        <v>375</v>
      </c>
      <c r="T1134" s="48" t="s">
        <v>375</v>
      </c>
      <c r="U1134" s="48" t="s">
        <v>375</v>
      </c>
      <c r="V1134" s="48" t="s">
        <v>375</v>
      </c>
      <c r="W1134" s="48" t="s">
        <v>375</v>
      </c>
      <c r="X1134" s="48" t="s">
        <v>375</v>
      </c>
      <c r="Y1134" s="48" t="s">
        <v>375</v>
      </c>
      <c r="Z1134" s="48" t="s">
        <v>375</v>
      </c>
      <c r="AA1134" s="48" t="s">
        <v>375</v>
      </c>
      <c r="AB1134" s="48" t="s">
        <v>320</v>
      </c>
      <c r="AC1134" s="48" t="s">
        <v>375</v>
      </c>
      <c r="AD1134" s="48" t="s">
        <v>375</v>
      </c>
      <c r="AE1134" s="48" t="s">
        <v>375</v>
      </c>
      <c r="AF1134" s="48" t="s">
        <v>375</v>
      </c>
      <c r="AG1134" s="48" t="s">
        <v>375</v>
      </c>
      <c r="AH1134" s="48" t="s">
        <v>375</v>
      </c>
      <c r="AI1134" s="48" t="s">
        <v>375</v>
      </c>
      <c r="AJ1134" s="48" t="s">
        <v>375</v>
      </c>
      <c r="AK1134" s="48" t="s">
        <v>375</v>
      </c>
      <c r="AL1134" s="48" t="s">
        <v>375</v>
      </c>
    </row>
    <row r="1135" spans="1:41" hidden="1" x14ac:dyDescent="0.25">
      <c r="A1135">
        <v>1134</v>
      </c>
      <c r="B1135">
        <v>2025</v>
      </c>
      <c r="C1135">
        <v>12</v>
      </c>
      <c r="D1135" t="s">
        <v>178</v>
      </c>
      <c r="E1135">
        <v>31</v>
      </c>
      <c r="F1135">
        <v>11</v>
      </c>
      <c r="G1135" t="s">
        <v>431</v>
      </c>
      <c r="H1135" s="48">
        <v>0.875</v>
      </c>
      <c r="I1135" s="48">
        <v>0.875</v>
      </c>
      <c r="J1135" s="48">
        <v>0.875</v>
      </c>
      <c r="K1135" s="48">
        <v>0.875</v>
      </c>
      <c r="L1135" s="48">
        <v>0.875</v>
      </c>
      <c r="M1135" s="48">
        <v>0.875</v>
      </c>
      <c r="N1135" s="48">
        <v>0.875</v>
      </c>
      <c r="O1135" s="48">
        <v>0.875</v>
      </c>
      <c r="P1135" s="48">
        <v>0.875</v>
      </c>
      <c r="Q1135" s="48">
        <v>0.875</v>
      </c>
      <c r="R1135" s="48">
        <v>0.875</v>
      </c>
      <c r="S1135" s="48">
        <v>0.875</v>
      </c>
      <c r="T1135" s="48">
        <v>0.875</v>
      </c>
      <c r="U1135" s="48">
        <v>0.875</v>
      </c>
      <c r="V1135" s="48">
        <v>0.875</v>
      </c>
      <c r="W1135" s="48">
        <v>0.875</v>
      </c>
      <c r="X1135" s="48">
        <v>0.875</v>
      </c>
      <c r="Y1135" s="48">
        <v>0.875</v>
      </c>
      <c r="Z1135" s="48">
        <v>0.875</v>
      </c>
      <c r="AA1135" s="48">
        <v>0.875</v>
      </c>
      <c r="AB1135" s="48" t="s">
        <v>320</v>
      </c>
      <c r="AC1135" s="48">
        <v>0.875</v>
      </c>
      <c r="AD1135" s="48">
        <v>0.875</v>
      </c>
      <c r="AE1135" s="48">
        <v>0.875</v>
      </c>
      <c r="AF1135" s="48">
        <v>0.875</v>
      </c>
      <c r="AG1135" s="48">
        <v>0.875</v>
      </c>
      <c r="AH1135" s="48">
        <v>0.875</v>
      </c>
      <c r="AI1135" s="48">
        <v>0.875</v>
      </c>
      <c r="AJ1135" s="48">
        <v>0.875</v>
      </c>
      <c r="AK1135" s="48">
        <v>0.875</v>
      </c>
      <c r="AL1135" s="48">
        <v>0.875</v>
      </c>
      <c r="AM1135">
        <v>30</v>
      </c>
      <c r="AO1135">
        <v>89.999999999999986</v>
      </c>
    </row>
    <row r="1136" spans="1:41" hidden="1" x14ac:dyDescent="0.25">
      <c r="A1136">
        <v>1135</v>
      </c>
      <c r="B1136">
        <v>2025</v>
      </c>
      <c r="C1136">
        <v>12</v>
      </c>
      <c r="D1136" t="s">
        <v>181</v>
      </c>
      <c r="E1136">
        <v>31</v>
      </c>
      <c r="F1136">
        <v>11</v>
      </c>
      <c r="G1136" t="s">
        <v>430</v>
      </c>
      <c r="H1136" s="48" t="s">
        <v>375</v>
      </c>
      <c r="I1136" s="48" t="s">
        <v>375</v>
      </c>
      <c r="J1136" s="48" t="s">
        <v>375</v>
      </c>
      <c r="K1136" s="48" t="s">
        <v>375</v>
      </c>
      <c r="L1136" s="48" t="s">
        <v>375</v>
      </c>
      <c r="M1136" s="48" t="s">
        <v>375</v>
      </c>
      <c r="N1136" s="48" t="s">
        <v>375</v>
      </c>
      <c r="O1136" s="48" t="s">
        <v>375</v>
      </c>
      <c r="P1136" s="48" t="s">
        <v>375</v>
      </c>
      <c r="Q1136" s="48" t="s">
        <v>375</v>
      </c>
      <c r="R1136" s="48" t="s">
        <v>375</v>
      </c>
      <c r="S1136" s="48" t="s">
        <v>375</v>
      </c>
      <c r="T1136" s="48" t="s">
        <v>375</v>
      </c>
      <c r="U1136" s="48" t="s">
        <v>320</v>
      </c>
      <c r="V1136" s="48" t="s">
        <v>375</v>
      </c>
      <c r="W1136" s="48" t="s">
        <v>375</v>
      </c>
      <c r="X1136" s="48" t="s">
        <v>375</v>
      </c>
      <c r="Y1136" s="48" t="s">
        <v>375</v>
      </c>
      <c r="Z1136" s="48" t="s">
        <v>375</v>
      </c>
      <c r="AA1136" s="48" t="s">
        <v>375</v>
      </c>
      <c r="AB1136" s="48" t="s">
        <v>375</v>
      </c>
      <c r="AC1136" s="48" t="s">
        <v>375</v>
      </c>
      <c r="AD1136" s="48" t="s">
        <v>375</v>
      </c>
      <c r="AE1136" s="48" t="s">
        <v>375</v>
      </c>
      <c r="AF1136" s="48" t="s">
        <v>375</v>
      </c>
      <c r="AG1136" s="48" t="s">
        <v>375</v>
      </c>
      <c r="AH1136" s="48" t="s">
        <v>375</v>
      </c>
      <c r="AI1136" s="48" t="s">
        <v>375</v>
      </c>
      <c r="AJ1136" s="48" t="s">
        <v>375</v>
      </c>
      <c r="AK1136" s="48" t="s">
        <v>375</v>
      </c>
      <c r="AL1136" s="48" t="s">
        <v>320</v>
      </c>
    </row>
    <row r="1137" spans="1:41" hidden="1" x14ac:dyDescent="0.25">
      <c r="A1137">
        <v>1136</v>
      </c>
      <c r="B1137">
        <v>2025</v>
      </c>
      <c r="C1137">
        <v>12</v>
      </c>
      <c r="D1137" t="s">
        <v>181</v>
      </c>
      <c r="E1137">
        <v>31</v>
      </c>
      <c r="F1137">
        <v>11</v>
      </c>
      <c r="G1137" t="s">
        <v>431</v>
      </c>
      <c r="H1137" s="48">
        <v>0.75</v>
      </c>
      <c r="I1137" s="48">
        <v>0.75</v>
      </c>
      <c r="J1137" s="48">
        <v>0.75</v>
      </c>
      <c r="K1137" s="48">
        <v>0.75</v>
      </c>
      <c r="L1137" s="48">
        <v>0.75</v>
      </c>
      <c r="M1137" s="48">
        <v>0.75</v>
      </c>
      <c r="N1137" s="48">
        <v>0.79166666666666674</v>
      </c>
      <c r="O1137" s="48">
        <v>0.75</v>
      </c>
      <c r="P1137" s="48">
        <v>0.75</v>
      </c>
      <c r="Q1137" s="48">
        <v>0.95833333333333326</v>
      </c>
      <c r="R1137" s="48">
        <v>1</v>
      </c>
      <c r="S1137" s="48">
        <v>0.75</v>
      </c>
      <c r="T1137" s="48">
        <v>0.75</v>
      </c>
      <c r="U1137" s="48" t="s">
        <v>320</v>
      </c>
      <c r="V1137" s="48">
        <v>0.75</v>
      </c>
      <c r="W1137" s="48">
        <v>0.875</v>
      </c>
      <c r="X1137" s="48">
        <v>0.75</v>
      </c>
      <c r="Y1137" s="48">
        <v>1</v>
      </c>
      <c r="Z1137" s="48">
        <v>0.75</v>
      </c>
      <c r="AA1137" s="48">
        <v>0.75</v>
      </c>
      <c r="AB1137" s="48">
        <v>0.75</v>
      </c>
      <c r="AC1137" s="48">
        <v>0.75</v>
      </c>
      <c r="AD1137" s="48">
        <v>0.79166666666666674</v>
      </c>
      <c r="AE1137" s="48">
        <v>0.75</v>
      </c>
      <c r="AF1137" s="48">
        <v>0.75</v>
      </c>
      <c r="AG1137" s="48">
        <v>0.75</v>
      </c>
      <c r="AH1137" s="48">
        <v>0.75</v>
      </c>
      <c r="AI1137" s="48">
        <v>0.75</v>
      </c>
      <c r="AJ1137" s="48">
        <v>0.91666666666666674</v>
      </c>
      <c r="AK1137" s="48">
        <v>1</v>
      </c>
      <c r="AL1137" s="48" t="s">
        <v>320</v>
      </c>
      <c r="AM1137">
        <v>29</v>
      </c>
      <c r="AO1137">
        <v>31.999999999999993</v>
      </c>
    </row>
    <row r="1138" spans="1:41" hidden="1" x14ac:dyDescent="0.25">
      <c r="A1138">
        <v>1137</v>
      </c>
      <c r="B1138">
        <v>2025</v>
      </c>
      <c r="C1138">
        <v>12</v>
      </c>
      <c r="D1138" t="s">
        <v>161</v>
      </c>
      <c r="E1138">
        <v>31</v>
      </c>
      <c r="F1138">
        <v>11</v>
      </c>
      <c r="G1138" t="s">
        <v>430</v>
      </c>
      <c r="H1138" s="48" t="s">
        <v>375</v>
      </c>
      <c r="I1138" s="48" t="s">
        <v>375</v>
      </c>
      <c r="J1138" s="48" t="s">
        <v>375</v>
      </c>
      <c r="K1138" s="48" t="s">
        <v>375</v>
      </c>
      <c r="L1138" s="48" t="s">
        <v>375</v>
      </c>
      <c r="M1138" s="48" t="s">
        <v>375</v>
      </c>
      <c r="N1138" s="48" t="s">
        <v>375</v>
      </c>
      <c r="O1138" s="48" t="s">
        <v>375</v>
      </c>
      <c r="P1138" s="48" t="s">
        <v>375</v>
      </c>
      <c r="Q1138" s="48" t="s">
        <v>375</v>
      </c>
      <c r="R1138" s="48" t="s">
        <v>375</v>
      </c>
      <c r="S1138" s="48" t="s">
        <v>375</v>
      </c>
      <c r="T1138" s="48" t="s">
        <v>375</v>
      </c>
      <c r="U1138" s="48" t="s">
        <v>375</v>
      </c>
      <c r="V1138" s="48" t="s">
        <v>375</v>
      </c>
      <c r="W1138" s="48" t="s">
        <v>375</v>
      </c>
      <c r="X1138" s="48" t="s">
        <v>375</v>
      </c>
      <c r="Y1138" s="48" t="s">
        <v>375</v>
      </c>
      <c r="Z1138" s="48" t="s">
        <v>375</v>
      </c>
      <c r="AA1138" s="48" t="s">
        <v>375</v>
      </c>
      <c r="AB1138" s="48" t="s">
        <v>320</v>
      </c>
      <c r="AC1138" s="48" t="s">
        <v>375</v>
      </c>
      <c r="AD1138" s="48" t="s">
        <v>375</v>
      </c>
      <c r="AE1138" s="48" t="s">
        <v>375</v>
      </c>
      <c r="AF1138" s="48" t="s">
        <v>375</v>
      </c>
      <c r="AG1138" s="48" t="s">
        <v>375</v>
      </c>
      <c r="AH1138" s="48" t="s">
        <v>375</v>
      </c>
      <c r="AI1138" s="48" t="s">
        <v>375</v>
      </c>
      <c r="AJ1138" s="48" t="s">
        <v>375</v>
      </c>
      <c r="AK1138" s="48" t="s">
        <v>375</v>
      </c>
      <c r="AL1138" s="48" t="s">
        <v>320</v>
      </c>
    </row>
    <row r="1139" spans="1:41" hidden="1" x14ac:dyDescent="0.25">
      <c r="A1139">
        <v>1138</v>
      </c>
      <c r="B1139">
        <v>2025</v>
      </c>
      <c r="C1139">
        <v>12</v>
      </c>
      <c r="D1139" t="s">
        <v>161</v>
      </c>
      <c r="E1139">
        <v>31</v>
      </c>
      <c r="F1139">
        <v>11</v>
      </c>
      <c r="G1139" t="s">
        <v>431</v>
      </c>
      <c r="H1139" s="48">
        <v>0.75</v>
      </c>
      <c r="I1139" s="48">
        <v>0.91666666666666674</v>
      </c>
      <c r="J1139" s="48">
        <v>0.75</v>
      </c>
      <c r="K1139" s="48">
        <v>1</v>
      </c>
      <c r="L1139" s="48">
        <v>0.75</v>
      </c>
      <c r="M1139" s="48">
        <v>0.75</v>
      </c>
      <c r="N1139" s="48">
        <v>0.75</v>
      </c>
      <c r="O1139" s="48">
        <v>0.79166666666666674</v>
      </c>
      <c r="P1139" s="48">
        <v>0.83333333333333326</v>
      </c>
      <c r="Q1139" s="48">
        <v>0.75</v>
      </c>
      <c r="R1139" s="48">
        <v>0.75</v>
      </c>
      <c r="S1139" s="48">
        <v>0.75</v>
      </c>
      <c r="T1139" s="48">
        <v>0.95833333333333326</v>
      </c>
      <c r="U1139" s="48">
        <v>0.75</v>
      </c>
      <c r="V1139" s="48">
        <v>0.75</v>
      </c>
      <c r="W1139" s="48">
        <v>0.91666666666666674</v>
      </c>
      <c r="X1139" s="48">
        <v>0.79166666666666674</v>
      </c>
      <c r="Y1139" s="48">
        <v>0.75</v>
      </c>
      <c r="Z1139" s="48">
        <v>0.79166666666666674</v>
      </c>
      <c r="AA1139" s="48">
        <v>0.75</v>
      </c>
      <c r="AB1139" s="48" t="s">
        <v>320</v>
      </c>
      <c r="AC1139" s="48">
        <v>0.83333333333333326</v>
      </c>
      <c r="AD1139" s="48">
        <v>0.91666666666666674</v>
      </c>
      <c r="AE1139" s="48">
        <v>0.75</v>
      </c>
      <c r="AF1139" s="48">
        <v>0.83333333333333326</v>
      </c>
      <c r="AG1139" s="48">
        <v>0.75</v>
      </c>
      <c r="AH1139" s="48">
        <v>0.95833333333333326</v>
      </c>
      <c r="AI1139" s="48">
        <v>0.75</v>
      </c>
      <c r="AJ1139" s="48">
        <v>0.875</v>
      </c>
      <c r="AK1139" s="48">
        <v>0.75</v>
      </c>
      <c r="AL1139" s="48" t="s">
        <v>320</v>
      </c>
      <c r="AM1139">
        <v>29</v>
      </c>
      <c r="AO1139">
        <v>39.999999999999986</v>
      </c>
    </row>
    <row r="1140" spans="1:41" hidden="1" x14ac:dyDescent="0.25">
      <c r="A1140">
        <v>1139</v>
      </c>
      <c r="B1140">
        <v>2025</v>
      </c>
      <c r="C1140">
        <v>12</v>
      </c>
      <c r="D1140" t="s">
        <v>352</v>
      </c>
      <c r="E1140">
        <v>31</v>
      </c>
      <c r="F1140">
        <v>11</v>
      </c>
      <c r="G1140" t="s">
        <v>430</v>
      </c>
      <c r="H1140" s="48" t="s">
        <v>375</v>
      </c>
      <c r="I1140" s="48" t="s">
        <v>375</v>
      </c>
      <c r="J1140" s="48" t="s">
        <v>375</v>
      </c>
      <c r="K1140" s="48" t="s">
        <v>375</v>
      </c>
      <c r="L1140" s="48" t="s">
        <v>375</v>
      </c>
      <c r="M1140" s="48" t="s">
        <v>375</v>
      </c>
      <c r="N1140" s="48" t="s">
        <v>375</v>
      </c>
      <c r="O1140" s="48" t="s">
        <v>375</v>
      </c>
      <c r="P1140" s="48" t="s">
        <v>375</v>
      </c>
      <c r="Q1140" s="48" t="s">
        <v>375</v>
      </c>
      <c r="R1140" s="48" t="s">
        <v>375</v>
      </c>
      <c r="S1140" s="48" t="s">
        <v>375</v>
      </c>
      <c r="T1140" s="48" t="s">
        <v>375</v>
      </c>
      <c r="U1140" s="48" t="s">
        <v>375</v>
      </c>
      <c r="V1140" s="48" t="s">
        <v>375</v>
      </c>
      <c r="W1140" s="48" t="s">
        <v>375</v>
      </c>
      <c r="X1140" s="48" t="s">
        <v>375</v>
      </c>
      <c r="Y1140" s="48" t="s">
        <v>375</v>
      </c>
      <c r="Z1140" s="48" t="s">
        <v>375</v>
      </c>
      <c r="AA1140" s="48" t="s">
        <v>375</v>
      </c>
      <c r="AB1140" s="48" t="s">
        <v>375</v>
      </c>
      <c r="AC1140" s="48" t="s">
        <v>375</v>
      </c>
      <c r="AD1140" s="48" t="s">
        <v>375</v>
      </c>
      <c r="AE1140" s="48" t="s">
        <v>375</v>
      </c>
      <c r="AF1140" s="48" t="s">
        <v>375</v>
      </c>
      <c r="AG1140" s="48" t="s">
        <v>375</v>
      </c>
      <c r="AH1140" s="48" t="s">
        <v>375</v>
      </c>
      <c r="AI1140" s="48" t="s">
        <v>375</v>
      </c>
      <c r="AJ1140" s="48" t="s">
        <v>375</v>
      </c>
      <c r="AK1140" s="48" t="s">
        <v>375</v>
      </c>
      <c r="AL1140" s="48" t="s">
        <v>320</v>
      </c>
    </row>
    <row r="1141" spans="1:41" hidden="1" x14ac:dyDescent="0.25">
      <c r="A1141">
        <v>1140</v>
      </c>
      <c r="B1141">
        <v>2025</v>
      </c>
      <c r="C1141">
        <v>12</v>
      </c>
      <c r="D1141" t="s">
        <v>352</v>
      </c>
      <c r="E1141">
        <v>31</v>
      </c>
      <c r="F1141">
        <v>11</v>
      </c>
      <c r="G1141" t="s">
        <v>431</v>
      </c>
      <c r="H1141" s="48">
        <v>0.75</v>
      </c>
      <c r="I1141" s="48">
        <v>0.75</v>
      </c>
      <c r="J1141" s="48">
        <v>0.75</v>
      </c>
      <c r="K1141" s="48">
        <v>0.95833333333333326</v>
      </c>
      <c r="L1141" s="48">
        <v>0.75</v>
      </c>
      <c r="M1141" s="48">
        <v>0.75</v>
      </c>
      <c r="N1141" s="48">
        <v>0.75</v>
      </c>
      <c r="O1141" s="48">
        <v>0.875</v>
      </c>
      <c r="P1141" s="48">
        <v>0.75</v>
      </c>
      <c r="Q1141" s="48">
        <v>0.75</v>
      </c>
      <c r="R1141" s="48">
        <v>0.75</v>
      </c>
      <c r="S1141" s="48">
        <v>0.75</v>
      </c>
      <c r="T1141" s="48">
        <v>0.79166666666666674</v>
      </c>
      <c r="U1141" s="48">
        <v>0.75</v>
      </c>
      <c r="V1141" s="48">
        <v>0.75</v>
      </c>
      <c r="W1141" s="48">
        <v>0.75</v>
      </c>
      <c r="X1141" s="48">
        <v>0.95833333333333326</v>
      </c>
      <c r="Y1141" s="48">
        <v>0.95833333333333326</v>
      </c>
      <c r="Z1141" s="48">
        <v>0.95833333333333326</v>
      </c>
      <c r="AA1141" s="48">
        <v>0.95833333333333326</v>
      </c>
      <c r="AB1141" s="48">
        <v>0.75</v>
      </c>
      <c r="AC1141" s="48">
        <v>0.95833333333333326</v>
      </c>
      <c r="AD1141" s="48">
        <v>0.875</v>
      </c>
      <c r="AE1141" s="48">
        <v>0.75</v>
      </c>
      <c r="AF1141" s="48">
        <v>0.75</v>
      </c>
      <c r="AG1141" s="48">
        <v>0.75</v>
      </c>
      <c r="AH1141" s="48">
        <v>0.875</v>
      </c>
      <c r="AI1141" s="48">
        <v>0.75</v>
      </c>
      <c r="AJ1141" s="48">
        <v>0.75</v>
      </c>
      <c r="AK1141" s="48">
        <v>0.75</v>
      </c>
      <c r="AL1141" s="48" t="s">
        <v>320</v>
      </c>
      <c r="AM1141">
        <v>30</v>
      </c>
      <c r="AO1141">
        <v>39.999999999999972</v>
      </c>
    </row>
    <row r="1142" spans="1:41" hidden="1" x14ac:dyDescent="0.25">
      <c r="A1142">
        <v>1141</v>
      </c>
      <c r="B1142">
        <v>2025</v>
      </c>
      <c r="C1142">
        <v>12</v>
      </c>
      <c r="D1142" t="s">
        <v>157</v>
      </c>
      <c r="E1142">
        <v>31</v>
      </c>
      <c r="F1142">
        <v>11</v>
      </c>
      <c r="G1142" t="s">
        <v>430</v>
      </c>
      <c r="H1142" s="48">
        <v>0.29166666666666669</v>
      </c>
      <c r="I1142" s="48">
        <v>0.29166666666666669</v>
      </c>
      <c r="J1142" s="48">
        <v>0.29166666666666669</v>
      </c>
      <c r="K1142" s="48">
        <v>0.29166666666666669</v>
      </c>
      <c r="L1142" s="48">
        <v>0.29166666666666669</v>
      </c>
      <c r="M1142" s="48">
        <v>0.29166666666666669</v>
      </c>
      <c r="N1142" s="48">
        <v>0.29166666666666669</v>
      </c>
      <c r="O1142" s="48">
        <v>0.29166666666666669</v>
      </c>
      <c r="P1142" s="48">
        <v>0.29166666666666669</v>
      </c>
      <c r="Q1142" s="48">
        <v>0.29166666666666669</v>
      </c>
      <c r="R1142" s="48">
        <v>0.29166666666666669</v>
      </c>
      <c r="S1142" s="48">
        <v>0.29166666666666669</v>
      </c>
      <c r="T1142" s="48">
        <v>0.29166666666666669</v>
      </c>
      <c r="U1142" s="48">
        <v>0.29166666666666669</v>
      </c>
      <c r="V1142" s="48">
        <v>0.29166666666666669</v>
      </c>
      <c r="W1142" s="48">
        <v>0.29166666666666669</v>
      </c>
      <c r="X1142" s="48">
        <v>0.29166666666666669</v>
      </c>
      <c r="Y1142" s="48">
        <v>0.29166666666666669</v>
      </c>
      <c r="Z1142" s="48">
        <v>0.29166666666666669</v>
      </c>
      <c r="AA1142" s="48">
        <v>0.29166666666666669</v>
      </c>
      <c r="AB1142" s="48">
        <v>0.29166666666666669</v>
      </c>
      <c r="AC1142" s="48">
        <v>0.29166666666666669</v>
      </c>
      <c r="AD1142" s="48">
        <v>0.29166666666666669</v>
      </c>
      <c r="AE1142" s="48">
        <v>0.29166666666666669</v>
      </c>
      <c r="AF1142" s="48">
        <v>0.29166666666666669</v>
      </c>
      <c r="AG1142" s="48">
        <v>0.29166666666666669</v>
      </c>
      <c r="AH1142" s="48">
        <v>0.29166666666666669</v>
      </c>
      <c r="AI1142" s="48">
        <v>0.29166666666666669</v>
      </c>
      <c r="AJ1142" s="48">
        <v>0.29166666666666669</v>
      </c>
      <c r="AK1142" s="48">
        <v>0.29166666666666669</v>
      </c>
      <c r="AL1142" s="48">
        <v>0.29166666666666669</v>
      </c>
    </row>
    <row r="1143" spans="1:41" hidden="1" x14ac:dyDescent="0.25">
      <c r="A1143">
        <v>1142</v>
      </c>
      <c r="B1143">
        <v>2025</v>
      </c>
      <c r="C1143">
        <v>12</v>
      </c>
      <c r="D1143" t="s">
        <v>157</v>
      </c>
      <c r="E1143">
        <v>31</v>
      </c>
      <c r="F1143">
        <v>11</v>
      </c>
      <c r="G1143" t="s">
        <v>431</v>
      </c>
      <c r="H1143" s="48">
        <v>0.75</v>
      </c>
      <c r="I1143" s="48">
        <v>0.75</v>
      </c>
      <c r="J1143" s="48">
        <v>0.75</v>
      </c>
      <c r="K1143" s="48">
        <v>0.75</v>
      </c>
      <c r="L1143" s="48">
        <v>0.75</v>
      </c>
      <c r="M1143" s="48">
        <v>0.75</v>
      </c>
      <c r="N1143" s="48">
        <v>0.75</v>
      </c>
      <c r="O1143" s="48">
        <v>0.75</v>
      </c>
      <c r="P1143" s="48">
        <v>0.75</v>
      </c>
      <c r="Q1143" s="48">
        <v>0.75</v>
      </c>
      <c r="R1143" s="48">
        <v>0.75</v>
      </c>
      <c r="S1143" s="48">
        <v>0.75</v>
      </c>
      <c r="T1143" s="48">
        <v>0.75</v>
      </c>
      <c r="U1143" s="48">
        <v>0.75</v>
      </c>
      <c r="V1143" s="48">
        <v>0.75</v>
      </c>
      <c r="W1143" s="48">
        <v>0.75</v>
      </c>
      <c r="X1143" s="48">
        <v>0.75</v>
      </c>
      <c r="Y1143" s="48">
        <v>0.75</v>
      </c>
      <c r="Z1143" s="48">
        <v>0.75</v>
      </c>
      <c r="AA1143" s="48">
        <v>0.75</v>
      </c>
      <c r="AB1143" s="48">
        <v>0.75</v>
      </c>
      <c r="AC1143" s="48">
        <v>0.75</v>
      </c>
      <c r="AD1143" s="48">
        <v>0.75</v>
      </c>
      <c r="AE1143" s="48">
        <v>0.75</v>
      </c>
      <c r="AF1143" s="48">
        <v>0.75</v>
      </c>
      <c r="AG1143" s="48">
        <v>0.75</v>
      </c>
      <c r="AH1143" s="48">
        <v>0.75</v>
      </c>
      <c r="AI1143" s="48">
        <v>0.75</v>
      </c>
      <c r="AJ1143" s="48">
        <v>0.75</v>
      </c>
      <c r="AK1143" s="48">
        <v>0.75</v>
      </c>
      <c r="AL1143" s="48">
        <v>0.75</v>
      </c>
      <c r="AM1143">
        <v>30</v>
      </c>
    </row>
    <row r="1144" spans="1:41" hidden="1" x14ac:dyDescent="0.25">
      <c r="A1144">
        <v>1143</v>
      </c>
      <c r="B1144">
        <v>2025</v>
      </c>
      <c r="C1144">
        <v>12</v>
      </c>
      <c r="D1144" t="s">
        <v>182</v>
      </c>
      <c r="E1144">
        <v>31</v>
      </c>
      <c r="F1144">
        <v>11</v>
      </c>
      <c r="G1144" t="s">
        <v>430</v>
      </c>
      <c r="H1144" s="48">
        <v>0.29166666666666669</v>
      </c>
      <c r="I1144" s="48">
        <v>0.29166666666666669</v>
      </c>
      <c r="J1144" s="48">
        <v>0.29166666666666669</v>
      </c>
      <c r="K1144" s="48">
        <v>0.29166666666666669</v>
      </c>
      <c r="L1144" s="48">
        <v>0.29166666666666669</v>
      </c>
      <c r="M1144" s="48">
        <v>0.29166666666666669</v>
      </c>
      <c r="N1144" s="48">
        <v>0.29166666666666669</v>
      </c>
      <c r="O1144" s="48">
        <v>0.29166666666666669</v>
      </c>
      <c r="P1144" s="48">
        <v>0.29166666666666669</v>
      </c>
      <c r="Q1144" s="48">
        <v>0.29166666666666669</v>
      </c>
      <c r="R1144" s="48">
        <v>0.29166666666666669</v>
      </c>
      <c r="S1144" s="48">
        <v>0.29166666666666669</v>
      </c>
      <c r="T1144" s="48">
        <v>0.29166666666666669</v>
      </c>
      <c r="U1144" s="48">
        <v>0.29166666666666669</v>
      </c>
      <c r="V1144" s="48">
        <v>0.29166666666666669</v>
      </c>
      <c r="W1144" s="48">
        <v>0.29166666666666669</v>
      </c>
      <c r="X1144" s="48">
        <v>0.29166666666666669</v>
      </c>
      <c r="Y1144" s="48">
        <v>0.29166666666666669</v>
      </c>
      <c r="Z1144" s="48">
        <v>0.29166666666666669</v>
      </c>
      <c r="AA1144" s="48" t="s">
        <v>320</v>
      </c>
      <c r="AB1144" s="48" t="s">
        <v>320</v>
      </c>
      <c r="AC1144" s="48" t="s">
        <v>320</v>
      </c>
      <c r="AD1144" s="48" t="s">
        <v>320</v>
      </c>
      <c r="AE1144" s="48" t="s">
        <v>320</v>
      </c>
      <c r="AF1144" s="48" t="s">
        <v>320</v>
      </c>
      <c r="AG1144" s="48" t="s">
        <v>320</v>
      </c>
      <c r="AH1144" s="48" t="s">
        <v>320</v>
      </c>
      <c r="AI1144" s="48" t="s">
        <v>320</v>
      </c>
      <c r="AJ1144" s="48" t="s">
        <v>320</v>
      </c>
      <c r="AK1144" s="48" t="s">
        <v>320</v>
      </c>
      <c r="AL1144" s="48" t="s">
        <v>320</v>
      </c>
    </row>
    <row r="1145" spans="1:41" hidden="1" x14ac:dyDescent="0.25">
      <c r="A1145">
        <v>1144</v>
      </c>
      <c r="B1145">
        <v>2025</v>
      </c>
      <c r="C1145">
        <v>12</v>
      </c>
      <c r="D1145" t="s">
        <v>182</v>
      </c>
      <c r="E1145">
        <v>31</v>
      </c>
      <c r="F1145">
        <v>11</v>
      </c>
      <c r="G1145" t="s">
        <v>431</v>
      </c>
      <c r="H1145" s="48">
        <v>0.75</v>
      </c>
      <c r="I1145" s="48">
        <v>0.75</v>
      </c>
      <c r="J1145" s="48">
        <v>0.75</v>
      </c>
      <c r="K1145" s="48">
        <v>0.75</v>
      </c>
      <c r="L1145" s="48">
        <v>0.75</v>
      </c>
      <c r="M1145" s="48">
        <v>0.75</v>
      </c>
      <c r="N1145" s="48">
        <v>0.75</v>
      </c>
      <c r="O1145" s="48">
        <v>0.75</v>
      </c>
      <c r="P1145" s="48">
        <v>0.75</v>
      </c>
      <c r="Q1145" s="48">
        <v>0.75</v>
      </c>
      <c r="R1145" s="48">
        <v>0.75</v>
      </c>
      <c r="S1145" s="48">
        <v>0.75</v>
      </c>
      <c r="T1145" s="48">
        <v>0.75</v>
      </c>
      <c r="U1145" s="48">
        <v>0.75</v>
      </c>
      <c r="V1145" s="48">
        <v>0.75</v>
      </c>
      <c r="W1145" s="48">
        <v>0.75</v>
      </c>
      <c r="X1145" s="48">
        <v>0.75</v>
      </c>
      <c r="Y1145" s="48">
        <v>0.75</v>
      </c>
      <c r="Z1145" s="48">
        <v>0.75</v>
      </c>
      <c r="AA1145" s="48" t="s">
        <v>320</v>
      </c>
      <c r="AB1145" s="48" t="s">
        <v>320</v>
      </c>
      <c r="AC1145" s="48" t="s">
        <v>320</v>
      </c>
      <c r="AD1145" s="48" t="s">
        <v>320</v>
      </c>
      <c r="AE1145" s="48" t="s">
        <v>320</v>
      </c>
      <c r="AF1145" s="48" t="s">
        <v>320</v>
      </c>
      <c r="AG1145" s="48" t="s">
        <v>320</v>
      </c>
      <c r="AH1145" s="48" t="s">
        <v>320</v>
      </c>
      <c r="AI1145" s="48" t="s">
        <v>320</v>
      </c>
      <c r="AJ1145" s="48" t="s">
        <v>320</v>
      </c>
      <c r="AK1145" s="48" t="s">
        <v>320</v>
      </c>
      <c r="AL1145" s="48" t="s">
        <v>320</v>
      </c>
      <c r="AM1145">
        <v>19</v>
      </c>
    </row>
    <row r="1146" spans="1:41" hidden="1" x14ac:dyDescent="0.25">
      <c r="A1146">
        <v>1145</v>
      </c>
      <c r="B1146">
        <v>2025</v>
      </c>
      <c r="C1146">
        <v>12</v>
      </c>
      <c r="D1146" t="s">
        <v>648</v>
      </c>
      <c r="E1146">
        <v>31</v>
      </c>
      <c r="F1146">
        <v>11</v>
      </c>
      <c r="G1146" t="s">
        <v>430</v>
      </c>
      <c r="H1146" s="48" t="s">
        <v>320</v>
      </c>
      <c r="I1146" s="48" t="s">
        <v>320</v>
      </c>
      <c r="J1146" s="48" t="s">
        <v>320</v>
      </c>
      <c r="K1146" s="48" t="s">
        <v>320</v>
      </c>
      <c r="L1146" s="48" t="s">
        <v>320</v>
      </c>
      <c r="M1146" s="48" t="s">
        <v>320</v>
      </c>
      <c r="N1146" s="48" t="s">
        <v>320</v>
      </c>
      <c r="O1146" s="48" t="s">
        <v>320</v>
      </c>
      <c r="P1146" s="48" t="s">
        <v>320</v>
      </c>
      <c r="Q1146" s="48" t="s">
        <v>320</v>
      </c>
      <c r="R1146" s="48" t="s">
        <v>320</v>
      </c>
      <c r="S1146" s="48" t="s">
        <v>320</v>
      </c>
      <c r="T1146" s="48" t="s">
        <v>320</v>
      </c>
      <c r="U1146" s="48" t="s">
        <v>320</v>
      </c>
      <c r="V1146" s="48" t="s">
        <v>320</v>
      </c>
      <c r="W1146" s="48" t="s">
        <v>320</v>
      </c>
      <c r="X1146" s="48" t="s">
        <v>320</v>
      </c>
      <c r="Y1146" s="48" t="s">
        <v>320</v>
      </c>
      <c r="Z1146" s="48" t="s">
        <v>375</v>
      </c>
      <c r="AA1146" s="48" t="s">
        <v>375</v>
      </c>
      <c r="AB1146" s="48" t="s">
        <v>375</v>
      </c>
      <c r="AC1146" s="48" t="s">
        <v>375</v>
      </c>
      <c r="AD1146" s="48" t="s">
        <v>375</v>
      </c>
      <c r="AE1146" s="48" t="s">
        <v>375</v>
      </c>
      <c r="AF1146" s="48" t="s">
        <v>375</v>
      </c>
      <c r="AG1146" s="48" t="s">
        <v>375</v>
      </c>
      <c r="AH1146" s="48" t="s">
        <v>375</v>
      </c>
      <c r="AI1146" s="48" t="s">
        <v>375</v>
      </c>
      <c r="AJ1146" s="48" t="s">
        <v>375</v>
      </c>
      <c r="AK1146" s="48" t="s">
        <v>375</v>
      </c>
      <c r="AL1146" s="48" t="s">
        <v>320</v>
      </c>
    </row>
    <row r="1147" spans="1:41" hidden="1" x14ac:dyDescent="0.25">
      <c r="A1147">
        <v>1146</v>
      </c>
      <c r="B1147">
        <v>2025</v>
      </c>
      <c r="C1147">
        <v>12</v>
      </c>
      <c r="D1147" t="s">
        <v>648</v>
      </c>
      <c r="E1147">
        <v>31</v>
      </c>
      <c r="F1147">
        <v>11</v>
      </c>
      <c r="G1147" t="s">
        <v>431</v>
      </c>
      <c r="H1147" s="48" t="s">
        <v>320</v>
      </c>
      <c r="I1147" s="48" t="s">
        <v>320</v>
      </c>
      <c r="J1147" s="48" t="s">
        <v>320</v>
      </c>
      <c r="K1147" s="48" t="s">
        <v>320</v>
      </c>
      <c r="L1147" s="48" t="s">
        <v>320</v>
      </c>
      <c r="M1147" s="48" t="s">
        <v>320</v>
      </c>
      <c r="N1147" s="48" t="s">
        <v>320</v>
      </c>
      <c r="O1147" s="48" t="s">
        <v>320</v>
      </c>
      <c r="P1147" s="48" t="s">
        <v>320</v>
      </c>
      <c r="Q1147" s="48" t="s">
        <v>320</v>
      </c>
      <c r="R1147" s="48" t="s">
        <v>320</v>
      </c>
      <c r="S1147" s="48" t="s">
        <v>320</v>
      </c>
      <c r="T1147" s="48" t="s">
        <v>320</v>
      </c>
      <c r="U1147" s="48" t="s">
        <v>320</v>
      </c>
      <c r="V1147" s="48" t="s">
        <v>320</v>
      </c>
      <c r="W1147" s="48" t="s">
        <v>320</v>
      </c>
      <c r="X1147" s="48" t="s">
        <v>320</v>
      </c>
      <c r="Y1147" s="48" t="s">
        <v>320</v>
      </c>
      <c r="Z1147" s="48">
        <v>0.875</v>
      </c>
      <c r="AA1147" s="48">
        <v>0.875</v>
      </c>
      <c r="AB1147" s="48">
        <v>0.875</v>
      </c>
      <c r="AC1147" s="48">
        <v>0.875</v>
      </c>
      <c r="AD1147" s="48">
        <v>0.875</v>
      </c>
      <c r="AE1147" s="48">
        <v>0.875</v>
      </c>
      <c r="AF1147" s="48">
        <v>0.875</v>
      </c>
      <c r="AG1147" s="48">
        <v>0.875</v>
      </c>
      <c r="AH1147" s="48">
        <v>0.83333333333333326</v>
      </c>
      <c r="AI1147" s="48">
        <v>0.79166666666666674</v>
      </c>
      <c r="AJ1147" s="48">
        <v>0.91666666666666674</v>
      </c>
      <c r="AK1147" s="48">
        <v>0.83333333333333326</v>
      </c>
      <c r="AL1147" s="48" t="s">
        <v>320</v>
      </c>
      <c r="AM1147">
        <v>12</v>
      </c>
      <c r="AO1147">
        <v>32.999999999999979</v>
      </c>
    </row>
    <row r="1148" spans="1:41" hidden="1" x14ac:dyDescent="0.25">
      <c r="A1148">
        <v>1147</v>
      </c>
      <c r="B1148">
        <v>2025</v>
      </c>
      <c r="C1148">
        <v>12</v>
      </c>
      <c r="D1148" t="s">
        <v>183</v>
      </c>
      <c r="E1148">
        <v>31</v>
      </c>
      <c r="F1148">
        <v>11</v>
      </c>
      <c r="G1148" t="s">
        <v>430</v>
      </c>
      <c r="H1148" s="48">
        <v>0.29166666666666669</v>
      </c>
      <c r="I1148" s="48">
        <v>0.29166666666666669</v>
      </c>
      <c r="J1148" s="48">
        <v>0.29166666666666669</v>
      </c>
      <c r="K1148" s="48">
        <v>0.29166666666666669</v>
      </c>
      <c r="L1148" s="48">
        <v>0.29166666666666669</v>
      </c>
      <c r="M1148" s="48">
        <v>0.29166666666666669</v>
      </c>
      <c r="N1148" s="48">
        <v>0.29166666666666669</v>
      </c>
      <c r="O1148" s="48">
        <v>0.29166666666666669</v>
      </c>
      <c r="P1148" s="48">
        <v>0.29166666666666669</v>
      </c>
      <c r="Q1148" s="48">
        <v>0.29166666666666669</v>
      </c>
      <c r="R1148" s="48">
        <v>0.29166666666666669</v>
      </c>
      <c r="S1148" s="48">
        <v>0.29166666666666669</v>
      </c>
      <c r="T1148" s="48">
        <v>0.29166666666666669</v>
      </c>
      <c r="U1148" s="48">
        <v>0.29166666666666669</v>
      </c>
      <c r="V1148" s="48">
        <v>0.29166666666666669</v>
      </c>
      <c r="W1148" s="48">
        <v>0.29166666666666669</v>
      </c>
      <c r="X1148" s="48">
        <v>0.29166666666666669</v>
      </c>
      <c r="Y1148" s="48">
        <v>0.29166666666666669</v>
      </c>
      <c r="Z1148" s="48">
        <v>0.29166666666666669</v>
      </c>
      <c r="AA1148" s="48">
        <v>0.29166666666666669</v>
      </c>
      <c r="AB1148" s="48">
        <v>0.29166666666666669</v>
      </c>
      <c r="AC1148" s="48">
        <v>0.29166666666666669</v>
      </c>
      <c r="AD1148" s="48">
        <v>0.29166666666666669</v>
      </c>
      <c r="AE1148" s="48">
        <v>0.29166666666666669</v>
      </c>
      <c r="AF1148" s="48">
        <v>0.29166666666666669</v>
      </c>
      <c r="AG1148" s="48">
        <v>0.29166666666666669</v>
      </c>
      <c r="AH1148" s="48">
        <v>0.29166666666666669</v>
      </c>
      <c r="AI1148" s="48">
        <v>0.29166666666666669</v>
      </c>
      <c r="AJ1148" s="48">
        <v>0.29166666666666669</v>
      </c>
      <c r="AK1148" s="48">
        <v>0.29166666666666669</v>
      </c>
      <c r="AL1148" s="48">
        <v>0.29166666666666669</v>
      </c>
    </row>
    <row r="1149" spans="1:41" hidden="1" x14ac:dyDescent="0.25">
      <c r="A1149">
        <v>1148</v>
      </c>
      <c r="B1149">
        <v>2025</v>
      </c>
      <c r="C1149">
        <v>12</v>
      </c>
      <c r="D1149" t="s">
        <v>183</v>
      </c>
      <c r="E1149">
        <v>31</v>
      </c>
      <c r="F1149">
        <v>11</v>
      </c>
      <c r="G1149" t="s">
        <v>431</v>
      </c>
      <c r="H1149" s="48">
        <v>0.75</v>
      </c>
      <c r="I1149" s="48">
        <v>0.75</v>
      </c>
      <c r="J1149" s="48">
        <v>0.75</v>
      </c>
      <c r="K1149" s="48">
        <v>0.75</v>
      </c>
      <c r="L1149" s="48">
        <v>0.75</v>
      </c>
      <c r="M1149" s="48">
        <v>0.75</v>
      </c>
      <c r="N1149" s="48">
        <v>0.75</v>
      </c>
      <c r="O1149" s="48">
        <v>0.75</v>
      </c>
      <c r="P1149" s="48">
        <v>0.75</v>
      </c>
      <c r="Q1149" s="48">
        <v>0.75</v>
      </c>
      <c r="R1149" s="48">
        <v>0.75</v>
      </c>
      <c r="S1149" s="48">
        <v>0.75</v>
      </c>
      <c r="T1149" s="48">
        <v>0.75</v>
      </c>
      <c r="U1149" s="48">
        <v>0.75</v>
      </c>
      <c r="V1149" s="48">
        <v>0.75</v>
      </c>
      <c r="W1149" s="48">
        <v>0.75</v>
      </c>
      <c r="X1149" s="48">
        <v>0.75</v>
      </c>
      <c r="Y1149" s="48">
        <v>0.75</v>
      </c>
      <c r="Z1149" s="48">
        <v>0.75</v>
      </c>
      <c r="AA1149" s="48">
        <v>0.75</v>
      </c>
      <c r="AB1149" s="48">
        <v>0.75</v>
      </c>
      <c r="AC1149" s="48">
        <v>0.75</v>
      </c>
      <c r="AD1149" s="48">
        <v>0.75</v>
      </c>
      <c r="AE1149" s="48">
        <v>0.75</v>
      </c>
      <c r="AF1149" s="48">
        <v>0.75</v>
      </c>
      <c r="AG1149" s="48">
        <v>0.75</v>
      </c>
      <c r="AH1149" s="48">
        <v>0.75</v>
      </c>
      <c r="AI1149" s="48">
        <v>0.75</v>
      </c>
      <c r="AJ1149" s="48">
        <v>0.75</v>
      </c>
      <c r="AK1149" s="48">
        <v>0.75</v>
      </c>
      <c r="AL1149" s="48">
        <v>0.75</v>
      </c>
      <c r="AM1149">
        <v>30</v>
      </c>
    </row>
    <row r="1150" spans="1:41" hidden="1" x14ac:dyDescent="0.25">
      <c r="A1150">
        <v>1149</v>
      </c>
      <c r="B1150">
        <v>2025</v>
      </c>
      <c r="C1150">
        <v>12</v>
      </c>
      <c r="D1150" t="s">
        <v>173</v>
      </c>
      <c r="E1150">
        <v>31</v>
      </c>
      <c r="F1150">
        <v>11</v>
      </c>
      <c r="G1150" t="s">
        <v>430</v>
      </c>
      <c r="H1150" s="48">
        <v>0.25</v>
      </c>
      <c r="I1150" s="48" t="s">
        <v>406</v>
      </c>
      <c r="J1150" s="48" t="s">
        <v>406</v>
      </c>
      <c r="K1150" s="48" t="s">
        <v>406</v>
      </c>
      <c r="L1150" s="48" t="s">
        <v>406</v>
      </c>
      <c r="M1150" s="48" t="s">
        <v>406</v>
      </c>
      <c r="N1150" s="48">
        <v>0.25</v>
      </c>
      <c r="O1150" s="48" t="s">
        <v>406</v>
      </c>
      <c r="P1150" s="48" t="s">
        <v>406</v>
      </c>
      <c r="Q1150" s="48" t="s">
        <v>406</v>
      </c>
      <c r="R1150" s="48" t="s">
        <v>406</v>
      </c>
      <c r="S1150" s="48" t="s">
        <v>406</v>
      </c>
      <c r="T1150" s="48" t="s">
        <v>406</v>
      </c>
      <c r="U1150" s="48" t="s">
        <v>406</v>
      </c>
      <c r="V1150" s="48" t="s">
        <v>406</v>
      </c>
      <c r="W1150" s="48" t="s">
        <v>406</v>
      </c>
      <c r="X1150" s="48" t="s">
        <v>406</v>
      </c>
      <c r="Y1150" s="48" t="s">
        <v>406</v>
      </c>
      <c r="Z1150" s="48" t="s">
        <v>406</v>
      </c>
      <c r="AA1150" s="48" t="s">
        <v>406</v>
      </c>
      <c r="AB1150" s="48" t="s">
        <v>406</v>
      </c>
      <c r="AC1150" s="48" t="s">
        <v>406</v>
      </c>
      <c r="AD1150" s="48" t="s">
        <v>406</v>
      </c>
      <c r="AE1150" s="48" t="s">
        <v>406</v>
      </c>
      <c r="AF1150" s="48" t="s">
        <v>320</v>
      </c>
      <c r="AG1150" s="48" t="s">
        <v>320</v>
      </c>
      <c r="AH1150" s="48" t="s">
        <v>320</v>
      </c>
      <c r="AI1150" s="48" t="s">
        <v>320</v>
      </c>
      <c r="AJ1150" s="48" t="s">
        <v>320</v>
      </c>
      <c r="AK1150" s="48" t="s">
        <v>320</v>
      </c>
      <c r="AL1150" s="48" t="s">
        <v>320</v>
      </c>
    </row>
    <row r="1151" spans="1:41" hidden="1" x14ac:dyDescent="0.25">
      <c r="A1151">
        <v>1150</v>
      </c>
      <c r="B1151">
        <v>2025</v>
      </c>
      <c r="C1151">
        <v>12</v>
      </c>
      <c r="D1151" t="s">
        <v>173</v>
      </c>
      <c r="E1151">
        <v>31</v>
      </c>
      <c r="F1151">
        <v>11</v>
      </c>
      <c r="G1151" t="s">
        <v>431</v>
      </c>
      <c r="H1151" s="48">
        <v>0.875</v>
      </c>
      <c r="I1151" s="48">
        <v>0.875</v>
      </c>
      <c r="J1151" s="48">
        <v>0.875</v>
      </c>
      <c r="K1151" s="48">
        <v>0.875</v>
      </c>
      <c r="L1151" s="48">
        <v>0.875</v>
      </c>
      <c r="M1151" s="48">
        <v>0.875</v>
      </c>
      <c r="N1151" s="48">
        <v>0.70833333333333326</v>
      </c>
      <c r="O1151" s="48">
        <v>0.875</v>
      </c>
      <c r="P1151" s="48">
        <v>0.875</v>
      </c>
      <c r="Q1151" s="48">
        <v>0.875</v>
      </c>
      <c r="R1151" s="48">
        <v>0.875</v>
      </c>
      <c r="S1151" s="48">
        <v>0.875</v>
      </c>
      <c r="T1151" s="48">
        <v>0.875</v>
      </c>
      <c r="U1151" s="48">
        <v>0.875</v>
      </c>
      <c r="V1151" s="48">
        <v>0.875</v>
      </c>
      <c r="W1151" s="48">
        <v>0.875</v>
      </c>
      <c r="X1151" s="48">
        <v>0.875</v>
      </c>
      <c r="Y1151" s="48">
        <v>0.875</v>
      </c>
      <c r="Z1151" s="48">
        <v>0.875</v>
      </c>
      <c r="AA1151" s="48">
        <v>0.875</v>
      </c>
      <c r="AB1151" s="48">
        <v>0.875</v>
      </c>
      <c r="AC1151" s="48">
        <v>0.875</v>
      </c>
      <c r="AD1151" s="48">
        <v>0.875</v>
      </c>
      <c r="AE1151" s="48">
        <v>0.875</v>
      </c>
      <c r="AF1151" s="48" t="s">
        <v>320</v>
      </c>
      <c r="AG1151" s="48" t="s">
        <v>320</v>
      </c>
      <c r="AH1151" s="48" t="s">
        <v>320</v>
      </c>
      <c r="AI1151" s="48" t="s">
        <v>320</v>
      </c>
      <c r="AJ1151" s="48" t="s">
        <v>320</v>
      </c>
      <c r="AK1151" s="48" t="s">
        <v>320</v>
      </c>
      <c r="AL1151" s="48" t="s">
        <v>320</v>
      </c>
      <c r="AM1151">
        <v>24</v>
      </c>
      <c r="AO1151">
        <v>92</v>
      </c>
    </row>
    <row r="1152" spans="1:41" hidden="1" x14ac:dyDescent="0.25">
      <c r="A1152">
        <v>1151</v>
      </c>
      <c r="B1152">
        <v>2025</v>
      </c>
      <c r="C1152">
        <v>12</v>
      </c>
      <c r="D1152" t="s">
        <v>172</v>
      </c>
      <c r="E1152">
        <v>31</v>
      </c>
      <c r="F1152">
        <v>11</v>
      </c>
      <c r="G1152" t="s">
        <v>430</v>
      </c>
      <c r="H1152" s="48" t="s">
        <v>375</v>
      </c>
      <c r="I1152" s="48" t="s">
        <v>375</v>
      </c>
      <c r="J1152" s="48" t="s">
        <v>375</v>
      </c>
      <c r="K1152" s="48" t="s">
        <v>375</v>
      </c>
      <c r="L1152" s="48" t="s">
        <v>375</v>
      </c>
      <c r="M1152" s="48" t="s">
        <v>375</v>
      </c>
      <c r="N1152" s="48" t="s">
        <v>375</v>
      </c>
      <c r="O1152" s="48" t="s">
        <v>375</v>
      </c>
      <c r="P1152" s="48" t="s">
        <v>375</v>
      </c>
      <c r="Q1152" s="48" t="s">
        <v>375</v>
      </c>
      <c r="R1152" s="48" t="s">
        <v>375</v>
      </c>
      <c r="S1152" s="48" t="s">
        <v>375</v>
      </c>
      <c r="T1152" s="48" t="s">
        <v>375</v>
      </c>
      <c r="U1152" s="48" t="s">
        <v>320</v>
      </c>
      <c r="V1152" s="48" t="s">
        <v>375</v>
      </c>
      <c r="W1152" s="48" t="s">
        <v>375</v>
      </c>
      <c r="X1152" s="48" t="s">
        <v>375</v>
      </c>
      <c r="Y1152" s="48" t="s">
        <v>375</v>
      </c>
      <c r="Z1152" s="48" t="s">
        <v>375</v>
      </c>
      <c r="AA1152" s="48" t="s">
        <v>375</v>
      </c>
      <c r="AB1152" s="48" t="s">
        <v>375</v>
      </c>
      <c r="AC1152" s="48" t="s">
        <v>375</v>
      </c>
      <c r="AD1152" s="48" t="s">
        <v>375</v>
      </c>
      <c r="AE1152" s="48" t="s">
        <v>375</v>
      </c>
      <c r="AF1152" s="48" t="s">
        <v>375</v>
      </c>
      <c r="AG1152" s="48" t="s">
        <v>375</v>
      </c>
      <c r="AH1152" s="48" t="s">
        <v>375</v>
      </c>
      <c r="AI1152" s="48" t="s">
        <v>375</v>
      </c>
      <c r="AJ1152" s="48" t="s">
        <v>375</v>
      </c>
      <c r="AK1152" s="48" t="s">
        <v>320</v>
      </c>
      <c r="AL1152" s="48" t="s">
        <v>320</v>
      </c>
    </row>
    <row r="1153" spans="1:41" hidden="1" x14ac:dyDescent="0.25">
      <c r="A1153">
        <v>1152</v>
      </c>
      <c r="B1153">
        <v>2025</v>
      </c>
      <c r="C1153">
        <v>12</v>
      </c>
      <c r="D1153" t="s">
        <v>172</v>
      </c>
      <c r="E1153">
        <v>31</v>
      </c>
      <c r="F1153">
        <v>11</v>
      </c>
      <c r="G1153" t="s">
        <v>431</v>
      </c>
      <c r="H1153" s="48">
        <v>0.75</v>
      </c>
      <c r="I1153" s="48">
        <v>0.75</v>
      </c>
      <c r="J1153" s="48">
        <v>0.75</v>
      </c>
      <c r="K1153" s="48">
        <v>0.75</v>
      </c>
      <c r="L1153" s="48">
        <v>0.75</v>
      </c>
      <c r="M1153" s="48">
        <v>0.75</v>
      </c>
      <c r="N1153" s="48">
        <v>0.75</v>
      </c>
      <c r="O1153" s="48">
        <v>0.875</v>
      </c>
      <c r="P1153" s="48">
        <v>0.79166666666666674</v>
      </c>
      <c r="Q1153" s="48">
        <v>0.75</v>
      </c>
      <c r="R1153" s="48">
        <v>0.75</v>
      </c>
      <c r="S1153" s="48">
        <v>0.75</v>
      </c>
      <c r="T1153" s="48">
        <v>0.75</v>
      </c>
      <c r="U1153" s="48" t="s">
        <v>320</v>
      </c>
      <c r="V1153" s="48">
        <v>0.75</v>
      </c>
      <c r="W1153" s="48">
        <v>0.75</v>
      </c>
      <c r="X1153" s="48">
        <v>0.75</v>
      </c>
      <c r="Y1153" s="48">
        <v>0.91666666666666674</v>
      </c>
      <c r="Z1153" s="48">
        <v>0.75</v>
      </c>
      <c r="AA1153" s="48">
        <v>0.75</v>
      </c>
      <c r="AB1153" s="48">
        <v>0.75</v>
      </c>
      <c r="AC1153" s="48">
        <v>0.75</v>
      </c>
      <c r="AD1153" s="48">
        <v>0.75</v>
      </c>
      <c r="AE1153" s="48">
        <v>0.75</v>
      </c>
      <c r="AF1153" s="48">
        <v>0.75</v>
      </c>
      <c r="AG1153" s="48">
        <v>0.75</v>
      </c>
      <c r="AH1153" s="48">
        <v>0.75</v>
      </c>
      <c r="AI1153" s="48">
        <v>0.75</v>
      </c>
      <c r="AJ1153" s="48">
        <v>0.75</v>
      </c>
      <c r="AK1153" s="48" t="s">
        <v>320</v>
      </c>
      <c r="AL1153" s="48" t="s">
        <v>320</v>
      </c>
      <c r="AM1153">
        <v>28</v>
      </c>
      <c r="AO1153">
        <v>7.9999999999999982</v>
      </c>
    </row>
    <row r="1154" spans="1:41" hidden="1" x14ac:dyDescent="0.25">
      <c r="A1154">
        <v>1153</v>
      </c>
      <c r="B1154">
        <v>2025</v>
      </c>
      <c r="C1154">
        <v>12</v>
      </c>
      <c r="D1154" t="s">
        <v>167</v>
      </c>
      <c r="E1154">
        <v>31</v>
      </c>
      <c r="F1154">
        <v>11</v>
      </c>
      <c r="G1154" t="s">
        <v>430</v>
      </c>
      <c r="H1154" s="48" t="s">
        <v>375</v>
      </c>
      <c r="I1154" s="48" t="s">
        <v>375</v>
      </c>
      <c r="J1154" s="48" t="s">
        <v>375</v>
      </c>
      <c r="K1154" s="48" t="s">
        <v>375</v>
      </c>
      <c r="L1154" s="48" t="s">
        <v>375</v>
      </c>
      <c r="M1154" s="48" t="s">
        <v>375</v>
      </c>
      <c r="N1154" s="48" t="s">
        <v>320</v>
      </c>
      <c r="O1154" s="48" t="s">
        <v>375</v>
      </c>
      <c r="P1154" s="48" t="s">
        <v>375</v>
      </c>
      <c r="Q1154" s="48" t="s">
        <v>375</v>
      </c>
      <c r="R1154" s="48" t="s">
        <v>375</v>
      </c>
      <c r="S1154" s="48" t="s">
        <v>375</v>
      </c>
      <c r="T1154" s="48" t="s">
        <v>375</v>
      </c>
      <c r="U1154" s="48" t="s">
        <v>320</v>
      </c>
      <c r="V1154" s="48" t="s">
        <v>375</v>
      </c>
      <c r="W1154" s="48" t="s">
        <v>375</v>
      </c>
      <c r="X1154" s="48" t="s">
        <v>375</v>
      </c>
      <c r="Y1154" s="48" t="s">
        <v>375</v>
      </c>
      <c r="Z1154" s="48" t="s">
        <v>375</v>
      </c>
      <c r="AA1154" s="48" t="s">
        <v>375</v>
      </c>
      <c r="AB1154" s="48" t="s">
        <v>375</v>
      </c>
      <c r="AC1154" s="48" t="s">
        <v>375</v>
      </c>
      <c r="AD1154" s="48" t="s">
        <v>375</v>
      </c>
      <c r="AE1154" s="48" t="s">
        <v>375</v>
      </c>
      <c r="AF1154" s="48" t="s">
        <v>375</v>
      </c>
      <c r="AG1154" s="48" t="s">
        <v>375</v>
      </c>
      <c r="AH1154" s="48" t="s">
        <v>375</v>
      </c>
      <c r="AI1154" s="48" t="s">
        <v>375</v>
      </c>
      <c r="AJ1154" s="48" t="s">
        <v>375</v>
      </c>
      <c r="AK1154" s="48" t="s">
        <v>375</v>
      </c>
      <c r="AL1154" s="48" t="s">
        <v>320</v>
      </c>
    </row>
    <row r="1155" spans="1:41" hidden="1" x14ac:dyDescent="0.25">
      <c r="A1155">
        <v>1154</v>
      </c>
      <c r="B1155">
        <v>2025</v>
      </c>
      <c r="C1155">
        <v>12</v>
      </c>
      <c r="D1155" t="s">
        <v>167</v>
      </c>
      <c r="E1155">
        <v>31</v>
      </c>
      <c r="F1155">
        <v>11</v>
      </c>
      <c r="G1155" t="s">
        <v>431</v>
      </c>
      <c r="H1155" s="48">
        <v>0.91666666666666674</v>
      </c>
      <c r="I1155" s="48">
        <v>0.83333333333333326</v>
      </c>
      <c r="J1155" s="48">
        <v>0.875</v>
      </c>
      <c r="K1155" s="48">
        <v>0.91666666666666674</v>
      </c>
      <c r="L1155" s="48">
        <v>0.875</v>
      </c>
      <c r="M1155" s="48">
        <v>0.83333333333333326</v>
      </c>
      <c r="N1155" s="48" t="s">
        <v>320</v>
      </c>
      <c r="O1155" s="48">
        <v>0.91666666666666674</v>
      </c>
      <c r="P1155" s="48">
        <v>0.91666666666666674</v>
      </c>
      <c r="Q1155" s="48">
        <v>0.83333333333333326</v>
      </c>
      <c r="R1155" s="48">
        <v>0.83333333333333326</v>
      </c>
      <c r="S1155" s="48">
        <v>0.875</v>
      </c>
      <c r="T1155" s="48">
        <v>0.83333333333333326</v>
      </c>
      <c r="U1155" s="48" t="s">
        <v>320</v>
      </c>
      <c r="V1155" s="48">
        <v>0.875</v>
      </c>
      <c r="W1155" s="48">
        <v>0.91666666666666674</v>
      </c>
      <c r="X1155" s="48">
        <v>0.79166666666666674</v>
      </c>
      <c r="Y1155" s="48">
        <v>0.83333333333333326</v>
      </c>
      <c r="Z1155" s="48">
        <v>0.875</v>
      </c>
      <c r="AA1155" s="48">
        <v>0.875</v>
      </c>
      <c r="AB1155" s="48">
        <v>0.83333333333333326</v>
      </c>
      <c r="AC1155" s="48">
        <v>0.83333333333333326</v>
      </c>
      <c r="AD1155" s="48">
        <v>0.875</v>
      </c>
      <c r="AE1155" s="48">
        <v>0.875</v>
      </c>
      <c r="AF1155" s="48">
        <v>0.875</v>
      </c>
      <c r="AG1155" s="48">
        <v>0.875</v>
      </c>
      <c r="AH1155" s="48">
        <v>0.875</v>
      </c>
      <c r="AI1155" s="48">
        <v>0.83333333333333326</v>
      </c>
      <c r="AJ1155" s="48">
        <v>0.875</v>
      </c>
      <c r="AK1155" s="48">
        <v>0.75</v>
      </c>
      <c r="AL1155" s="48" t="s">
        <v>320</v>
      </c>
      <c r="AM1155">
        <v>28</v>
      </c>
      <c r="AO1155">
        <v>74.999999999999972</v>
      </c>
    </row>
    <row r="1156" spans="1:41" hidden="1" x14ac:dyDescent="0.25">
      <c r="A1156">
        <v>1155</v>
      </c>
      <c r="B1156">
        <v>2025</v>
      </c>
      <c r="C1156">
        <v>12</v>
      </c>
      <c r="D1156" t="s">
        <v>160</v>
      </c>
      <c r="E1156">
        <v>31</v>
      </c>
      <c r="F1156">
        <v>11</v>
      </c>
      <c r="G1156" t="s">
        <v>430</v>
      </c>
      <c r="H1156" s="48" t="s">
        <v>375</v>
      </c>
      <c r="I1156" s="48" t="s">
        <v>375</v>
      </c>
      <c r="J1156" s="48" t="s">
        <v>375</v>
      </c>
      <c r="K1156" s="48" t="s">
        <v>375</v>
      </c>
      <c r="L1156" s="48" t="s">
        <v>375</v>
      </c>
      <c r="M1156" s="48" t="s">
        <v>375</v>
      </c>
      <c r="N1156" s="48" t="s">
        <v>375</v>
      </c>
      <c r="O1156" s="48" t="s">
        <v>375</v>
      </c>
      <c r="P1156" s="48" t="s">
        <v>375</v>
      </c>
      <c r="Q1156" s="48" t="s">
        <v>375</v>
      </c>
      <c r="R1156" s="48" t="s">
        <v>375</v>
      </c>
      <c r="S1156" s="48" t="s">
        <v>375</v>
      </c>
      <c r="T1156" s="48" t="s">
        <v>375</v>
      </c>
      <c r="U1156" s="48" t="s">
        <v>375</v>
      </c>
      <c r="V1156" s="48" t="s">
        <v>375</v>
      </c>
      <c r="W1156" s="48" t="s">
        <v>375</v>
      </c>
      <c r="X1156" s="48" t="s">
        <v>375</v>
      </c>
      <c r="Y1156" s="48" t="s">
        <v>375</v>
      </c>
      <c r="Z1156" s="48" t="s">
        <v>375</v>
      </c>
      <c r="AA1156" s="48" t="s">
        <v>375</v>
      </c>
      <c r="AB1156" s="48" t="s">
        <v>375</v>
      </c>
      <c r="AC1156" s="48" t="s">
        <v>375</v>
      </c>
      <c r="AD1156" s="48" t="s">
        <v>375</v>
      </c>
      <c r="AE1156" s="48" t="s">
        <v>375</v>
      </c>
      <c r="AF1156" s="48" t="s">
        <v>375</v>
      </c>
      <c r="AG1156" s="48" t="s">
        <v>375</v>
      </c>
      <c r="AH1156" s="48" t="s">
        <v>375</v>
      </c>
      <c r="AI1156" s="48" t="s">
        <v>375</v>
      </c>
      <c r="AJ1156" s="48" t="s">
        <v>375</v>
      </c>
      <c r="AK1156" s="48" t="s">
        <v>375</v>
      </c>
      <c r="AL1156" s="48" t="s">
        <v>320</v>
      </c>
    </row>
    <row r="1157" spans="1:41" hidden="1" x14ac:dyDescent="0.25">
      <c r="A1157">
        <v>1156</v>
      </c>
      <c r="B1157">
        <v>2025</v>
      </c>
      <c r="C1157">
        <v>12</v>
      </c>
      <c r="D1157" t="s">
        <v>160</v>
      </c>
      <c r="E1157">
        <v>31</v>
      </c>
      <c r="F1157">
        <v>11</v>
      </c>
      <c r="G1157" t="s">
        <v>431</v>
      </c>
      <c r="H1157" s="48">
        <v>0.75</v>
      </c>
      <c r="I1157" s="48">
        <v>0.75</v>
      </c>
      <c r="J1157" s="48">
        <v>0.75</v>
      </c>
      <c r="K1157" s="48">
        <v>0.75</v>
      </c>
      <c r="L1157" s="48">
        <v>0.75</v>
      </c>
      <c r="M1157" s="48">
        <v>0.75</v>
      </c>
      <c r="N1157" s="48">
        <v>0.75</v>
      </c>
      <c r="O1157" s="48">
        <v>0.75</v>
      </c>
      <c r="P1157" s="48">
        <v>0.75</v>
      </c>
      <c r="Q1157" s="48">
        <v>0.75</v>
      </c>
      <c r="R1157" s="48">
        <v>0.75</v>
      </c>
      <c r="S1157" s="48">
        <v>0.75</v>
      </c>
      <c r="T1157" s="48">
        <v>0.75</v>
      </c>
      <c r="U1157" s="48">
        <v>0.75</v>
      </c>
      <c r="V1157" s="48">
        <v>0.75</v>
      </c>
      <c r="W1157" s="48">
        <v>0.75</v>
      </c>
      <c r="X1157" s="48">
        <v>0.75</v>
      </c>
      <c r="Y1157" s="48">
        <v>0.75</v>
      </c>
      <c r="Z1157" s="48">
        <v>0.75</v>
      </c>
      <c r="AA1157" s="48">
        <v>0.75</v>
      </c>
      <c r="AB1157" s="48">
        <v>0.75</v>
      </c>
      <c r="AC1157" s="48">
        <v>0.75</v>
      </c>
      <c r="AD1157" s="48">
        <v>0.75</v>
      </c>
      <c r="AE1157" s="48">
        <v>0.75</v>
      </c>
      <c r="AF1157" s="48">
        <v>0.75</v>
      </c>
      <c r="AG1157" s="48">
        <v>0.75</v>
      </c>
      <c r="AH1157" s="48">
        <v>0.75</v>
      </c>
      <c r="AI1157" s="48">
        <v>0.75</v>
      </c>
      <c r="AJ1157" s="48">
        <v>0.75</v>
      </c>
      <c r="AK1157" s="48">
        <v>0.75</v>
      </c>
      <c r="AL1157" s="48" t="s">
        <v>320</v>
      </c>
      <c r="AM1157">
        <v>30</v>
      </c>
    </row>
    <row r="1158" spans="1:41" hidden="1" x14ac:dyDescent="0.25">
      <c r="A1158">
        <v>1157</v>
      </c>
      <c r="B1158">
        <v>2025</v>
      </c>
      <c r="C1158">
        <v>12</v>
      </c>
      <c r="D1158" t="s">
        <v>177</v>
      </c>
      <c r="E1158">
        <v>31</v>
      </c>
      <c r="F1158">
        <v>11</v>
      </c>
      <c r="G1158" t="s">
        <v>430</v>
      </c>
      <c r="H1158" s="48" t="s">
        <v>429</v>
      </c>
      <c r="I1158" s="48" t="s">
        <v>429</v>
      </c>
      <c r="J1158" s="48" t="s">
        <v>429</v>
      </c>
      <c r="K1158" s="48" t="s">
        <v>429</v>
      </c>
      <c r="L1158" s="48" t="s">
        <v>429</v>
      </c>
      <c r="M1158" s="48" t="s">
        <v>652</v>
      </c>
      <c r="N1158" s="48" t="s">
        <v>429</v>
      </c>
      <c r="O1158" s="48" t="s">
        <v>429</v>
      </c>
      <c r="P1158" s="48" t="s">
        <v>429</v>
      </c>
      <c r="Q1158" s="48" t="s">
        <v>652</v>
      </c>
      <c r="R1158" s="48" t="s">
        <v>429</v>
      </c>
      <c r="S1158" s="48" t="s">
        <v>429</v>
      </c>
      <c r="T1158" s="48" t="s">
        <v>429</v>
      </c>
      <c r="U1158" s="48" t="s">
        <v>429</v>
      </c>
      <c r="V1158" s="48" t="s">
        <v>429</v>
      </c>
      <c r="W1158" s="48" t="s">
        <v>429</v>
      </c>
      <c r="X1158" s="48" t="s">
        <v>429</v>
      </c>
      <c r="Y1158" s="48" t="s">
        <v>375</v>
      </c>
      <c r="Z1158" s="48" t="s">
        <v>375</v>
      </c>
      <c r="AA1158" s="48" t="s">
        <v>375</v>
      </c>
      <c r="AB1158" s="48" t="s">
        <v>375</v>
      </c>
      <c r="AC1158" s="48" t="s">
        <v>375</v>
      </c>
      <c r="AD1158" s="48" t="s">
        <v>375</v>
      </c>
      <c r="AE1158" s="48" t="s">
        <v>429</v>
      </c>
      <c r="AF1158" s="48" t="s">
        <v>429</v>
      </c>
      <c r="AG1158" s="48" t="s">
        <v>429</v>
      </c>
      <c r="AH1158" s="48" t="s">
        <v>429</v>
      </c>
      <c r="AI1158" s="48" t="s">
        <v>429</v>
      </c>
      <c r="AJ1158" s="48" t="s">
        <v>429</v>
      </c>
      <c r="AK1158" s="48" t="s">
        <v>429</v>
      </c>
      <c r="AL1158" s="48" t="s">
        <v>320</v>
      </c>
    </row>
    <row r="1159" spans="1:41" hidden="1" x14ac:dyDescent="0.25">
      <c r="A1159">
        <v>1158</v>
      </c>
      <c r="B1159">
        <v>2025</v>
      </c>
      <c r="C1159">
        <v>12</v>
      </c>
      <c r="D1159" t="s">
        <v>177</v>
      </c>
      <c r="E1159">
        <v>31</v>
      </c>
      <c r="F1159">
        <v>11</v>
      </c>
      <c r="G1159" t="s">
        <v>431</v>
      </c>
      <c r="H1159" s="48">
        <v>1.125</v>
      </c>
      <c r="I1159" s="48">
        <v>1.125</v>
      </c>
      <c r="J1159" s="48">
        <v>1.125</v>
      </c>
      <c r="K1159" s="48">
        <v>1.25</v>
      </c>
      <c r="L1159" s="48">
        <v>1.0416666666666665</v>
      </c>
      <c r="M1159" s="48">
        <v>1.0416666666666667</v>
      </c>
      <c r="N1159" s="48">
        <v>1.0416666666666665</v>
      </c>
      <c r="O1159" s="48">
        <v>1</v>
      </c>
      <c r="P1159" s="48">
        <v>1.0833333333333333</v>
      </c>
      <c r="Q1159" s="48">
        <v>0.79166666666666663</v>
      </c>
      <c r="R1159" s="48">
        <v>1.0833333333333333</v>
      </c>
      <c r="S1159" s="48">
        <v>1</v>
      </c>
      <c r="T1159" s="48">
        <v>1.125</v>
      </c>
      <c r="U1159" s="48">
        <v>1</v>
      </c>
      <c r="V1159" s="48">
        <v>1.0416666666666665</v>
      </c>
      <c r="W1159" s="48">
        <v>1.0416666666666665</v>
      </c>
      <c r="X1159" s="48">
        <v>1</v>
      </c>
      <c r="Y1159" s="48">
        <v>1</v>
      </c>
      <c r="Z1159" s="48">
        <v>0.75</v>
      </c>
      <c r="AA1159" s="48">
        <v>0.91666666666666674</v>
      </c>
      <c r="AB1159" s="48">
        <v>1</v>
      </c>
      <c r="AC1159" s="48">
        <v>0.91666666666666674</v>
      </c>
      <c r="AD1159" s="48">
        <v>0.79166666666666674</v>
      </c>
      <c r="AE1159" s="48">
        <v>1.25</v>
      </c>
      <c r="AF1159" s="48">
        <v>1.0833333333333333</v>
      </c>
      <c r="AG1159" s="48">
        <v>1.0833333333333333</v>
      </c>
      <c r="AH1159" s="48">
        <v>1.25</v>
      </c>
      <c r="AI1159" s="48">
        <v>1.0416666666666665</v>
      </c>
      <c r="AJ1159" s="48">
        <v>1.0833333333333333</v>
      </c>
      <c r="AK1159" s="48">
        <v>1</v>
      </c>
      <c r="AL1159" s="48" t="s">
        <v>320</v>
      </c>
      <c r="AM1159">
        <v>30</v>
      </c>
      <c r="AO1159">
        <v>71.999999999999986</v>
      </c>
    </row>
    <row r="1160" spans="1:41" hidden="1" x14ac:dyDescent="0.25">
      <c r="A1160">
        <v>1159</v>
      </c>
      <c r="B1160">
        <v>2025</v>
      </c>
      <c r="C1160">
        <v>12</v>
      </c>
      <c r="D1160" t="s">
        <v>169</v>
      </c>
      <c r="E1160">
        <v>31</v>
      </c>
      <c r="F1160">
        <v>11</v>
      </c>
      <c r="G1160" t="s">
        <v>430</v>
      </c>
      <c r="H1160" s="48" t="s">
        <v>375</v>
      </c>
      <c r="I1160" s="48" t="s">
        <v>375</v>
      </c>
      <c r="J1160" s="48" t="s">
        <v>320</v>
      </c>
      <c r="K1160" s="48" t="s">
        <v>375</v>
      </c>
      <c r="L1160" s="48" t="s">
        <v>375</v>
      </c>
      <c r="M1160" s="48" t="s">
        <v>375</v>
      </c>
      <c r="N1160" s="48" t="s">
        <v>375</v>
      </c>
      <c r="O1160" s="48" t="s">
        <v>375</v>
      </c>
      <c r="P1160" s="48" t="s">
        <v>375</v>
      </c>
      <c r="Q1160" s="48" t="s">
        <v>375</v>
      </c>
      <c r="R1160" s="48" t="s">
        <v>375</v>
      </c>
      <c r="S1160" s="48" t="s">
        <v>375</v>
      </c>
      <c r="T1160" s="48" t="s">
        <v>375</v>
      </c>
      <c r="U1160" s="48" t="s">
        <v>320</v>
      </c>
      <c r="V1160" s="48" t="s">
        <v>375</v>
      </c>
      <c r="W1160" s="48" t="s">
        <v>375</v>
      </c>
      <c r="X1160" s="48" t="s">
        <v>375</v>
      </c>
      <c r="Y1160" s="48" t="s">
        <v>375</v>
      </c>
      <c r="Z1160" s="48" t="s">
        <v>375</v>
      </c>
      <c r="AA1160" s="48" t="s">
        <v>375</v>
      </c>
      <c r="AB1160" s="48" t="s">
        <v>375</v>
      </c>
      <c r="AC1160" s="48" t="s">
        <v>375</v>
      </c>
      <c r="AD1160" s="48" t="s">
        <v>375</v>
      </c>
      <c r="AE1160" s="48" t="s">
        <v>375</v>
      </c>
      <c r="AF1160" s="48" t="s">
        <v>375</v>
      </c>
      <c r="AG1160" s="48" t="s">
        <v>375</v>
      </c>
      <c r="AH1160" s="48" t="s">
        <v>375</v>
      </c>
      <c r="AI1160" s="48" t="s">
        <v>375</v>
      </c>
      <c r="AJ1160" s="48" t="s">
        <v>375</v>
      </c>
      <c r="AK1160" s="48" t="s">
        <v>375</v>
      </c>
      <c r="AL1160" s="48" t="s">
        <v>320</v>
      </c>
    </row>
    <row r="1161" spans="1:41" hidden="1" x14ac:dyDescent="0.25">
      <c r="A1161">
        <v>1160</v>
      </c>
      <c r="B1161">
        <v>2025</v>
      </c>
      <c r="C1161">
        <v>12</v>
      </c>
      <c r="D1161" t="s">
        <v>169</v>
      </c>
      <c r="E1161">
        <v>31</v>
      </c>
      <c r="F1161">
        <v>11</v>
      </c>
      <c r="G1161" t="s">
        <v>431</v>
      </c>
      <c r="H1161" s="48">
        <v>0.75</v>
      </c>
      <c r="I1161" s="48">
        <v>0.75</v>
      </c>
      <c r="J1161" s="48" t="s">
        <v>320</v>
      </c>
      <c r="K1161" s="48">
        <v>0.75</v>
      </c>
      <c r="L1161" s="48">
        <v>0.75</v>
      </c>
      <c r="M1161" s="48">
        <v>0.75</v>
      </c>
      <c r="N1161" s="48">
        <v>0.75</v>
      </c>
      <c r="O1161" s="48">
        <v>0.75</v>
      </c>
      <c r="P1161" s="48">
        <v>0.75</v>
      </c>
      <c r="Q1161" s="48">
        <v>0.75</v>
      </c>
      <c r="R1161" s="48">
        <v>0.75</v>
      </c>
      <c r="S1161" s="48">
        <v>0.75</v>
      </c>
      <c r="T1161" s="48">
        <v>0.75</v>
      </c>
      <c r="U1161" s="48" t="s">
        <v>320</v>
      </c>
      <c r="V1161" s="48">
        <v>0.75</v>
      </c>
      <c r="W1161" s="48">
        <v>0.79166666666666674</v>
      </c>
      <c r="X1161" s="48">
        <v>0.79166666666666674</v>
      </c>
      <c r="Y1161" s="48">
        <v>0.75</v>
      </c>
      <c r="Z1161" s="48">
        <v>0.75</v>
      </c>
      <c r="AA1161" s="48">
        <v>0.75</v>
      </c>
      <c r="AB1161" s="48">
        <v>0.75</v>
      </c>
      <c r="AC1161" s="48">
        <v>0.83333333333333326</v>
      </c>
      <c r="AD1161" s="48">
        <v>0.79166666666666674</v>
      </c>
      <c r="AE1161" s="48">
        <v>0.75</v>
      </c>
      <c r="AF1161" s="48">
        <v>0.75</v>
      </c>
      <c r="AG1161" s="48">
        <v>0.75</v>
      </c>
      <c r="AH1161" s="48">
        <v>0.79166666666666674</v>
      </c>
      <c r="AI1161" s="48">
        <v>0.75</v>
      </c>
      <c r="AJ1161" s="48">
        <v>0.75</v>
      </c>
      <c r="AK1161" s="48">
        <v>0.75</v>
      </c>
      <c r="AL1161" s="48" t="s">
        <v>320</v>
      </c>
      <c r="AM1161">
        <v>28</v>
      </c>
      <c r="AO1161">
        <v>5.9999999999999964</v>
      </c>
    </row>
    <row r="1162" spans="1:41" hidden="1" x14ac:dyDescent="0.25">
      <c r="A1162">
        <v>1161</v>
      </c>
      <c r="B1162">
        <v>2025</v>
      </c>
      <c r="C1162">
        <v>12</v>
      </c>
      <c r="D1162" t="s">
        <v>170</v>
      </c>
      <c r="E1162">
        <v>31</v>
      </c>
      <c r="F1162">
        <v>11</v>
      </c>
      <c r="G1162" t="s">
        <v>430</v>
      </c>
      <c r="H1162" s="48" t="s">
        <v>375</v>
      </c>
      <c r="I1162" s="48" t="s">
        <v>375</v>
      </c>
      <c r="J1162" s="48" t="s">
        <v>375</v>
      </c>
      <c r="K1162" s="48" t="s">
        <v>375</v>
      </c>
      <c r="L1162" s="48" t="s">
        <v>375</v>
      </c>
      <c r="M1162" s="48" t="s">
        <v>375</v>
      </c>
      <c r="N1162" s="48" t="s">
        <v>375</v>
      </c>
      <c r="O1162" s="48" t="s">
        <v>375</v>
      </c>
      <c r="P1162" s="48" t="s">
        <v>375</v>
      </c>
      <c r="Q1162" s="48" t="s">
        <v>375</v>
      </c>
      <c r="R1162" s="48" t="s">
        <v>375</v>
      </c>
      <c r="S1162" s="48" t="s">
        <v>375</v>
      </c>
      <c r="T1162" s="48" t="s">
        <v>375</v>
      </c>
      <c r="U1162" s="48" t="s">
        <v>375</v>
      </c>
      <c r="V1162" s="48" t="s">
        <v>375</v>
      </c>
      <c r="W1162" s="48" t="s">
        <v>375</v>
      </c>
      <c r="X1162" s="48" t="s">
        <v>375</v>
      </c>
      <c r="Y1162" s="48" t="s">
        <v>375</v>
      </c>
      <c r="Z1162" s="48" t="s">
        <v>375</v>
      </c>
      <c r="AA1162" s="48" t="s">
        <v>375</v>
      </c>
      <c r="AB1162" s="48" t="s">
        <v>375</v>
      </c>
      <c r="AC1162" s="48" t="s">
        <v>375</v>
      </c>
      <c r="AD1162" s="48" t="s">
        <v>375</v>
      </c>
      <c r="AE1162" s="48" t="s">
        <v>375</v>
      </c>
      <c r="AF1162" s="48" t="s">
        <v>375</v>
      </c>
      <c r="AG1162" s="48" t="s">
        <v>375</v>
      </c>
      <c r="AH1162" s="48" t="s">
        <v>375</v>
      </c>
      <c r="AI1162" s="48" t="s">
        <v>375</v>
      </c>
      <c r="AJ1162" s="48" t="s">
        <v>375</v>
      </c>
      <c r="AK1162" s="48" t="s">
        <v>375</v>
      </c>
      <c r="AL1162" s="48" t="s">
        <v>320</v>
      </c>
    </row>
    <row r="1163" spans="1:41" hidden="1" x14ac:dyDescent="0.25">
      <c r="A1163">
        <v>1162</v>
      </c>
      <c r="B1163">
        <v>2025</v>
      </c>
      <c r="C1163">
        <v>12</v>
      </c>
      <c r="D1163" t="s">
        <v>170</v>
      </c>
      <c r="E1163">
        <v>31</v>
      </c>
      <c r="F1163">
        <v>11</v>
      </c>
      <c r="G1163" t="s">
        <v>431</v>
      </c>
      <c r="H1163" s="48">
        <v>0.875</v>
      </c>
      <c r="I1163" s="48">
        <v>0.875</v>
      </c>
      <c r="J1163" s="48">
        <v>0.875</v>
      </c>
      <c r="K1163" s="48">
        <v>0.83333333333333326</v>
      </c>
      <c r="L1163" s="48">
        <v>0.91666666666666674</v>
      </c>
      <c r="M1163" s="48">
        <v>0.91666666666666674</v>
      </c>
      <c r="N1163" s="48">
        <v>0.875</v>
      </c>
      <c r="O1163" s="48">
        <v>0.875</v>
      </c>
      <c r="P1163" s="48">
        <v>0.875</v>
      </c>
      <c r="Q1163" s="48">
        <v>0.875</v>
      </c>
      <c r="R1163" s="48">
        <v>0.875</v>
      </c>
      <c r="S1163" s="48">
        <v>0.875</v>
      </c>
      <c r="T1163" s="48">
        <v>0.875</v>
      </c>
      <c r="U1163" s="48">
        <v>0.75</v>
      </c>
      <c r="V1163" s="48">
        <v>0.875</v>
      </c>
      <c r="W1163" s="48">
        <v>0.875</v>
      </c>
      <c r="X1163" s="48">
        <v>0.875</v>
      </c>
      <c r="Y1163" s="48">
        <v>0.875</v>
      </c>
      <c r="Z1163" s="48">
        <v>0.875</v>
      </c>
      <c r="AA1163" s="48">
        <v>0.91666666666666674</v>
      </c>
      <c r="AB1163" s="48">
        <v>0.83333333333333326</v>
      </c>
      <c r="AC1163" s="48">
        <v>0.875</v>
      </c>
      <c r="AD1163" s="48">
        <v>0.875</v>
      </c>
      <c r="AE1163" s="48">
        <v>0.875</v>
      </c>
      <c r="AF1163" s="48">
        <v>0.875</v>
      </c>
      <c r="AG1163" s="48">
        <v>0.91666666666666674</v>
      </c>
      <c r="AH1163" s="48">
        <v>0.875</v>
      </c>
      <c r="AI1163" s="48">
        <v>0.875</v>
      </c>
      <c r="AJ1163" s="48">
        <v>0.91666666666666674</v>
      </c>
      <c r="AK1163" s="48">
        <v>0.875</v>
      </c>
      <c r="AL1163" s="48" t="s">
        <v>320</v>
      </c>
      <c r="AM1163">
        <v>30</v>
      </c>
      <c r="AO1163">
        <v>89.999999999999986</v>
      </c>
    </row>
    <row r="1164" spans="1:41" hidden="1" x14ac:dyDescent="0.25">
      <c r="A1164">
        <v>1163</v>
      </c>
      <c r="B1164">
        <v>2025</v>
      </c>
      <c r="C1164">
        <v>12</v>
      </c>
      <c r="D1164" t="s">
        <v>158</v>
      </c>
      <c r="E1164">
        <v>31</v>
      </c>
      <c r="F1164">
        <v>11</v>
      </c>
      <c r="G1164" t="s">
        <v>430</v>
      </c>
      <c r="H1164" s="48">
        <v>0.29166666666666669</v>
      </c>
      <c r="I1164" s="48">
        <v>0.29166666666666669</v>
      </c>
      <c r="J1164" s="48">
        <v>0.29166666666666669</v>
      </c>
      <c r="K1164" s="48">
        <v>0.29166666666666669</v>
      </c>
      <c r="L1164" s="48">
        <v>0.29166666666666669</v>
      </c>
      <c r="M1164" s="48">
        <v>0.29166666666666669</v>
      </c>
      <c r="N1164" s="48">
        <v>0.29166666666666669</v>
      </c>
      <c r="O1164" s="48">
        <v>0</v>
      </c>
      <c r="P1164" s="48">
        <v>0.29166666666666669</v>
      </c>
      <c r="Q1164" s="48">
        <v>0.29166666666666669</v>
      </c>
      <c r="R1164" s="48">
        <v>0.29166666666666669</v>
      </c>
      <c r="S1164" s="48">
        <v>0.29166666666666669</v>
      </c>
      <c r="T1164" s="48">
        <v>0.29166666666666669</v>
      </c>
      <c r="U1164" s="48">
        <v>0.29166666666666669</v>
      </c>
      <c r="V1164" s="48">
        <v>0.29166666666666669</v>
      </c>
      <c r="W1164" s="48">
        <v>0.29166666666666669</v>
      </c>
      <c r="X1164" s="48">
        <v>0.29166666666666669</v>
      </c>
      <c r="Y1164" s="48">
        <v>0.29166666666666669</v>
      </c>
      <c r="Z1164" s="48">
        <v>0.29166666666666669</v>
      </c>
      <c r="AA1164" s="48">
        <v>0.29166666666666669</v>
      </c>
      <c r="AB1164" s="48">
        <v>0.29166666666666669</v>
      </c>
      <c r="AC1164" s="48">
        <v>0.29166666666666669</v>
      </c>
      <c r="AD1164" s="48">
        <v>0.29166666666666669</v>
      </c>
      <c r="AE1164" s="48">
        <v>0.29166666666666669</v>
      </c>
      <c r="AF1164" s="48">
        <v>0.29166666666666669</v>
      </c>
      <c r="AG1164" s="48">
        <v>0.29166666666666669</v>
      </c>
      <c r="AH1164" s="48">
        <v>0.29166666666666669</v>
      </c>
      <c r="AI1164" s="48">
        <v>0.29166666666666669</v>
      </c>
      <c r="AJ1164" s="48">
        <v>0.29166666666666669</v>
      </c>
      <c r="AK1164" s="48">
        <v>0.29166666666666669</v>
      </c>
      <c r="AL1164" s="48">
        <v>0.29166666666666669</v>
      </c>
    </row>
    <row r="1165" spans="1:41" hidden="1" x14ac:dyDescent="0.25">
      <c r="A1165">
        <v>1164</v>
      </c>
      <c r="B1165">
        <v>2025</v>
      </c>
      <c r="C1165">
        <v>12</v>
      </c>
      <c r="D1165" t="s">
        <v>158</v>
      </c>
      <c r="E1165">
        <v>31</v>
      </c>
      <c r="F1165">
        <v>11</v>
      </c>
      <c r="G1165" t="s">
        <v>431</v>
      </c>
      <c r="H1165" s="48">
        <v>0.875</v>
      </c>
      <c r="I1165" s="48">
        <v>0.75</v>
      </c>
      <c r="J1165" s="48">
        <v>0.75</v>
      </c>
      <c r="K1165" s="48">
        <v>0.75</v>
      </c>
      <c r="L1165" s="48">
        <v>0.75</v>
      </c>
      <c r="M1165" s="48">
        <v>0.75</v>
      </c>
      <c r="N1165" s="48">
        <v>0.75</v>
      </c>
      <c r="O1165" s="48" t="s">
        <v>320</v>
      </c>
      <c r="P1165" s="48">
        <v>0.75</v>
      </c>
      <c r="Q1165" s="48">
        <v>0.75</v>
      </c>
      <c r="R1165" s="48">
        <v>0.75</v>
      </c>
      <c r="S1165" s="48">
        <v>0.75</v>
      </c>
      <c r="T1165" s="48">
        <v>0.75</v>
      </c>
      <c r="U1165" s="48">
        <v>0.75</v>
      </c>
      <c r="V1165" s="48">
        <v>0.75</v>
      </c>
      <c r="W1165" s="48">
        <v>0.75</v>
      </c>
      <c r="X1165" s="48">
        <v>0.75</v>
      </c>
      <c r="Y1165" s="48">
        <v>0.75</v>
      </c>
      <c r="Z1165" s="48">
        <v>0.75</v>
      </c>
      <c r="AA1165" s="48">
        <v>0.75</v>
      </c>
      <c r="AB1165" s="48">
        <v>0.75</v>
      </c>
      <c r="AC1165" s="48">
        <v>0.75</v>
      </c>
      <c r="AD1165" s="48">
        <v>0.75</v>
      </c>
      <c r="AE1165" s="48">
        <v>0.75</v>
      </c>
      <c r="AF1165" s="48">
        <v>0.75</v>
      </c>
      <c r="AG1165" s="48">
        <v>0.75</v>
      </c>
      <c r="AH1165" s="48">
        <v>0.75</v>
      </c>
      <c r="AI1165" s="48">
        <v>0.75</v>
      </c>
      <c r="AJ1165" s="48">
        <v>0.75</v>
      </c>
      <c r="AK1165" s="48">
        <v>0.75</v>
      </c>
      <c r="AL1165" s="48">
        <v>0.75</v>
      </c>
      <c r="AM1165">
        <v>30</v>
      </c>
    </row>
    <row r="1166" spans="1:41" hidden="1" x14ac:dyDescent="0.25">
      <c r="A1166">
        <v>1165</v>
      </c>
      <c r="B1166">
        <v>2025</v>
      </c>
      <c r="C1166">
        <v>12</v>
      </c>
      <c r="D1166" t="s">
        <v>353</v>
      </c>
      <c r="E1166">
        <v>31</v>
      </c>
      <c r="F1166">
        <v>11</v>
      </c>
      <c r="G1166" t="s">
        <v>430</v>
      </c>
      <c r="H1166" s="48" t="s">
        <v>375</v>
      </c>
      <c r="I1166" s="48" t="s">
        <v>375</v>
      </c>
      <c r="J1166" s="48" t="s">
        <v>375</v>
      </c>
      <c r="K1166" s="48" t="s">
        <v>375</v>
      </c>
      <c r="L1166" s="48" t="s">
        <v>375</v>
      </c>
      <c r="M1166" s="48" t="s">
        <v>375</v>
      </c>
      <c r="N1166" s="48" t="s">
        <v>375</v>
      </c>
      <c r="O1166" s="48" t="s">
        <v>375</v>
      </c>
      <c r="P1166" s="48" t="s">
        <v>375</v>
      </c>
      <c r="Q1166" s="48" t="s">
        <v>375</v>
      </c>
      <c r="R1166" s="48" t="s">
        <v>375</v>
      </c>
      <c r="S1166" s="48" t="s">
        <v>375</v>
      </c>
      <c r="T1166" s="48" t="s">
        <v>375</v>
      </c>
      <c r="U1166" s="48" t="s">
        <v>375</v>
      </c>
      <c r="V1166" s="48" t="s">
        <v>375</v>
      </c>
      <c r="W1166" s="48" t="s">
        <v>375</v>
      </c>
      <c r="X1166" s="48" t="s">
        <v>375</v>
      </c>
      <c r="Y1166" s="48" t="s">
        <v>375</v>
      </c>
      <c r="Z1166" s="48" t="s">
        <v>375</v>
      </c>
      <c r="AA1166" s="48" t="s">
        <v>375</v>
      </c>
      <c r="AB1166" s="48" t="s">
        <v>375</v>
      </c>
      <c r="AC1166" s="48" t="s">
        <v>375</v>
      </c>
      <c r="AD1166" s="48" t="s">
        <v>320</v>
      </c>
      <c r="AE1166" s="48" t="s">
        <v>320</v>
      </c>
      <c r="AF1166" s="48" t="s">
        <v>320</v>
      </c>
      <c r="AG1166" s="48" t="s">
        <v>320</v>
      </c>
      <c r="AH1166" s="48" t="s">
        <v>320</v>
      </c>
      <c r="AI1166" s="48" t="s">
        <v>320</v>
      </c>
      <c r="AJ1166" s="48" t="s">
        <v>320</v>
      </c>
      <c r="AK1166" s="48" t="s">
        <v>320</v>
      </c>
      <c r="AL1166" s="48" t="s">
        <v>320</v>
      </c>
    </row>
    <row r="1167" spans="1:41" hidden="1" x14ac:dyDescent="0.25">
      <c r="A1167">
        <v>1166</v>
      </c>
      <c r="B1167">
        <v>2025</v>
      </c>
      <c r="C1167">
        <v>12</v>
      </c>
      <c r="D1167" t="s">
        <v>353</v>
      </c>
      <c r="E1167">
        <v>31</v>
      </c>
      <c r="F1167">
        <v>11</v>
      </c>
      <c r="G1167" t="s">
        <v>431</v>
      </c>
      <c r="H1167" s="48">
        <v>0.75</v>
      </c>
      <c r="I1167" s="48">
        <v>0.75</v>
      </c>
      <c r="J1167" s="48">
        <v>0.75</v>
      </c>
      <c r="K1167" s="48">
        <v>0.75</v>
      </c>
      <c r="L1167" s="48">
        <v>0.75</v>
      </c>
      <c r="M1167" s="48">
        <v>0.75</v>
      </c>
      <c r="N1167" s="48">
        <v>0.75</v>
      </c>
      <c r="O1167" s="48">
        <v>0.75</v>
      </c>
      <c r="P1167" s="48">
        <v>0.75</v>
      </c>
      <c r="Q1167" s="48">
        <v>0.75</v>
      </c>
      <c r="R1167" s="48">
        <v>0.75</v>
      </c>
      <c r="S1167" s="48">
        <v>0.75</v>
      </c>
      <c r="T1167" s="48">
        <v>0.75</v>
      </c>
      <c r="U1167" s="48">
        <v>0.75</v>
      </c>
      <c r="V1167" s="48">
        <v>0.75</v>
      </c>
      <c r="W1167" s="48">
        <v>0.75</v>
      </c>
      <c r="X1167" s="48">
        <v>0.75</v>
      </c>
      <c r="Y1167" s="48">
        <v>0.75</v>
      </c>
      <c r="Z1167" s="48">
        <v>0.75</v>
      </c>
      <c r="AA1167" s="48">
        <v>0.75</v>
      </c>
      <c r="AB1167" s="48">
        <v>0.75</v>
      </c>
      <c r="AC1167" s="48">
        <v>0.75</v>
      </c>
      <c r="AD1167" s="48" t="s">
        <v>320</v>
      </c>
      <c r="AE1167" s="48" t="s">
        <v>320</v>
      </c>
      <c r="AF1167" s="48" t="s">
        <v>320</v>
      </c>
      <c r="AG1167" s="48" t="s">
        <v>320</v>
      </c>
      <c r="AH1167" s="48" t="s">
        <v>320</v>
      </c>
      <c r="AI1167" s="48" t="s">
        <v>320</v>
      </c>
      <c r="AJ1167" s="48" t="s">
        <v>320</v>
      </c>
      <c r="AK1167" s="48" t="s">
        <v>320</v>
      </c>
      <c r="AL1167" s="48" t="s">
        <v>320</v>
      </c>
      <c r="AM1167">
        <v>22</v>
      </c>
    </row>
    <row r="1168" spans="1:41" hidden="1" x14ac:dyDescent="0.25">
      <c r="A1168">
        <v>1167</v>
      </c>
      <c r="B1168">
        <v>2025</v>
      </c>
      <c r="C1168">
        <v>12</v>
      </c>
      <c r="D1168" t="s">
        <v>354</v>
      </c>
      <c r="E1168">
        <v>31</v>
      </c>
      <c r="F1168">
        <v>11</v>
      </c>
      <c r="G1168" t="s">
        <v>430</v>
      </c>
      <c r="H1168" s="48" t="s">
        <v>375</v>
      </c>
      <c r="I1168" s="48" t="s">
        <v>375</v>
      </c>
      <c r="J1168" s="48" t="s">
        <v>375</v>
      </c>
      <c r="K1168" s="48" t="s">
        <v>375</v>
      </c>
      <c r="L1168" s="48" t="s">
        <v>375</v>
      </c>
      <c r="M1168" s="48" t="s">
        <v>375</v>
      </c>
      <c r="N1168" s="48">
        <v>0</v>
      </c>
      <c r="O1168" s="48" t="s">
        <v>375</v>
      </c>
      <c r="P1168" s="48" t="s">
        <v>375</v>
      </c>
      <c r="Q1168" s="48" t="s">
        <v>375</v>
      </c>
      <c r="R1168" s="48" t="s">
        <v>375</v>
      </c>
      <c r="S1168" s="48" t="s">
        <v>375</v>
      </c>
      <c r="T1168" s="48" t="s">
        <v>375</v>
      </c>
      <c r="U1168" s="48" t="s">
        <v>375</v>
      </c>
      <c r="V1168" s="48" t="s">
        <v>375</v>
      </c>
      <c r="W1168" s="48" t="s">
        <v>375</v>
      </c>
      <c r="X1168" s="48" t="s">
        <v>375</v>
      </c>
      <c r="Y1168" s="48" t="s">
        <v>375</v>
      </c>
      <c r="Z1168" s="48" t="s">
        <v>375</v>
      </c>
      <c r="AA1168" s="48" t="s">
        <v>375</v>
      </c>
      <c r="AB1168" s="48" t="s">
        <v>375</v>
      </c>
      <c r="AC1168" s="48" t="s">
        <v>375</v>
      </c>
      <c r="AD1168" s="48" t="s">
        <v>375</v>
      </c>
      <c r="AE1168" s="48" t="s">
        <v>375</v>
      </c>
      <c r="AF1168" s="48" t="s">
        <v>375</v>
      </c>
      <c r="AG1168" s="48" t="s">
        <v>375</v>
      </c>
      <c r="AH1168" s="48" t="s">
        <v>375</v>
      </c>
      <c r="AI1168" s="48" t="s">
        <v>375</v>
      </c>
      <c r="AJ1168" s="48" t="s">
        <v>375</v>
      </c>
      <c r="AK1168" s="48" t="s">
        <v>375</v>
      </c>
      <c r="AL1168" s="48" t="s">
        <v>320</v>
      </c>
    </row>
    <row r="1169" spans="1:41" hidden="1" x14ac:dyDescent="0.25">
      <c r="A1169">
        <v>1168</v>
      </c>
      <c r="B1169">
        <v>2025</v>
      </c>
      <c r="C1169">
        <v>12</v>
      </c>
      <c r="D1169" t="s">
        <v>354</v>
      </c>
      <c r="E1169">
        <v>31</v>
      </c>
      <c r="F1169">
        <v>11</v>
      </c>
      <c r="G1169" t="s">
        <v>431</v>
      </c>
      <c r="H1169" s="48">
        <v>0.875</v>
      </c>
      <c r="I1169" s="48">
        <v>0.75</v>
      </c>
      <c r="J1169" s="48">
        <v>0.95833333333333326</v>
      </c>
      <c r="K1169" s="48">
        <v>0.75</v>
      </c>
      <c r="L1169" s="48">
        <v>0.91666666666666674</v>
      </c>
      <c r="M1169" s="48">
        <v>0.75</v>
      </c>
      <c r="N1169" s="48" t="s">
        <v>320</v>
      </c>
      <c r="O1169" s="48">
        <v>0.95833333333333326</v>
      </c>
      <c r="P1169" s="48">
        <v>0.75</v>
      </c>
      <c r="Q1169" s="48">
        <v>0.75</v>
      </c>
      <c r="R1169" s="48">
        <v>1</v>
      </c>
      <c r="S1169" s="48">
        <v>0.875</v>
      </c>
      <c r="T1169" s="48">
        <v>0.75</v>
      </c>
      <c r="U1169" s="48">
        <v>0.75</v>
      </c>
      <c r="V1169" s="48">
        <v>0.95833333333333326</v>
      </c>
      <c r="W1169" s="48">
        <v>0.75</v>
      </c>
      <c r="X1169" s="48">
        <v>0.91666666666666674</v>
      </c>
      <c r="Y1169" s="48">
        <v>0.75</v>
      </c>
      <c r="Z1169" s="48">
        <v>0.95833333333333326</v>
      </c>
      <c r="AA1169" s="48">
        <v>0.75</v>
      </c>
      <c r="AB1169" s="48">
        <v>0.75</v>
      </c>
      <c r="AC1169" s="48">
        <v>0.91666666666666674</v>
      </c>
      <c r="AD1169" s="48">
        <v>0.75</v>
      </c>
      <c r="AE1169" s="48">
        <v>1</v>
      </c>
      <c r="AF1169" s="48">
        <v>0.75</v>
      </c>
      <c r="AG1169" s="48">
        <v>1</v>
      </c>
      <c r="AH1169" s="48">
        <v>0.75</v>
      </c>
      <c r="AI1169" s="48">
        <v>0.95833333333333326</v>
      </c>
      <c r="AJ1169" s="48">
        <v>0.75</v>
      </c>
      <c r="AK1169" s="48">
        <v>0.75</v>
      </c>
      <c r="AL1169" s="48" t="s">
        <v>320</v>
      </c>
      <c r="AM1169">
        <v>29</v>
      </c>
      <c r="AO1169">
        <v>60.999999999999986</v>
      </c>
    </row>
    <row r="1170" spans="1:41" hidden="1" x14ac:dyDescent="0.25">
      <c r="A1170">
        <v>1169</v>
      </c>
      <c r="B1170">
        <v>2025</v>
      </c>
      <c r="C1170">
        <v>12</v>
      </c>
      <c r="D1170" t="s">
        <v>144</v>
      </c>
      <c r="E1170">
        <v>31</v>
      </c>
      <c r="F1170">
        <v>11</v>
      </c>
      <c r="G1170" t="s">
        <v>430</v>
      </c>
      <c r="H1170" s="48" t="s">
        <v>375</v>
      </c>
      <c r="I1170" s="48" t="s">
        <v>375</v>
      </c>
      <c r="J1170" s="48" t="s">
        <v>375</v>
      </c>
      <c r="K1170" s="48" t="s">
        <v>375</v>
      </c>
      <c r="L1170" s="48" t="s">
        <v>375</v>
      </c>
      <c r="M1170" s="48" t="s">
        <v>375</v>
      </c>
      <c r="N1170" s="48" t="s">
        <v>320</v>
      </c>
      <c r="O1170" s="48" t="s">
        <v>375</v>
      </c>
      <c r="P1170" s="48" t="s">
        <v>375</v>
      </c>
      <c r="Q1170" s="48" t="s">
        <v>375</v>
      </c>
      <c r="R1170" s="48" t="s">
        <v>375</v>
      </c>
      <c r="S1170" s="48" t="s">
        <v>375</v>
      </c>
      <c r="T1170" s="48" t="s">
        <v>375</v>
      </c>
      <c r="U1170" s="48" t="s">
        <v>375</v>
      </c>
      <c r="V1170" s="48" t="s">
        <v>375</v>
      </c>
      <c r="W1170" s="48" t="s">
        <v>375</v>
      </c>
      <c r="X1170" s="48" t="s">
        <v>375</v>
      </c>
      <c r="Y1170" s="48" t="s">
        <v>375</v>
      </c>
      <c r="Z1170" s="48" t="s">
        <v>375</v>
      </c>
      <c r="AA1170" s="48" t="s">
        <v>375</v>
      </c>
      <c r="AB1170" s="48" t="s">
        <v>375</v>
      </c>
      <c r="AC1170" s="48" t="s">
        <v>375</v>
      </c>
      <c r="AD1170" s="48" t="s">
        <v>375</v>
      </c>
      <c r="AE1170" s="48" t="s">
        <v>375</v>
      </c>
      <c r="AF1170" s="48" t="s">
        <v>375</v>
      </c>
      <c r="AG1170" s="48" t="s">
        <v>375</v>
      </c>
      <c r="AH1170" s="48" t="s">
        <v>375</v>
      </c>
      <c r="AI1170" s="48" t="s">
        <v>375</v>
      </c>
      <c r="AJ1170" s="48" t="s">
        <v>375</v>
      </c>
      <c r="AK1170" s="48" t="s">
        <v>375</v>
      </c>
      <c r="AL1170" s="48" t="s">
        <v>320</v>
      </c>
    </row>
    <row r="1171" spans="1:41" hidden="1" x14ac:dyDescent="0.25">
      <c r="A1171">
        <v>1170</v>
      </c>
      <c r="B1171">
        <v>2025</v>
      </c>
      <c r="C1171">
        <v>12</v>
      </c>
      <c r="D1171" t="s">
        <v>144</v>
      </c>
      <c r="E1171">
        <v>31</v>
      </c>
      <c r="F1171">
        <v>11</v>
      </c>
      <c r="G1171" t="s">
        <v>431</v>
      </c>
      <c r="H1171" s="48">
        <v>0.83333333333333326</v>
      </c>
      <c r="I1171" s="48">
        <v>0.75</v>
      </c>
      <c r="J1171" s="48">
        <v>1</v>
      </c>
      <c r="K1171" s="48">
        <v>0.91666666666666674</v>
      </c>
      <c r="L1171" s="48">
        <v>0.83333333333333326</v>
      </c>
      <c r="M1171" s="48">
        <v>0.95833333333333326</v>
      </c>
      <c r="N1171" s="48" t="s">
        <v>320</v>
      </c>
      <c r="O1171" s="48">
        <v>0.83333333333333326</v>
      </c>
      <c r="P1171" s="48">
        <v>0.875</v>
      </c>
      <c r="Q1171" s="48">
        <v>1</v>
      </c>
      <c r="R1171" s="48">
        <v>0.95833333333333326</v>
      </c>
      <c r="S1171" s="48">
        <v>0.91666666666666674</v>
      </c>
      <c r="T1171" s="48">
        <v>0.875</v>
      </c>
      <c r="U1171" s="48">
        <v>0.75</v>
      </c>
      <c r="V1171" s="48">
        <v>0.91666666666666674</v>
      </c>
      <c r="W1171" s="48">
        <v>0.75</v>
      </c>
      <c r="X1171" s="48">
        <v>0.83333333333333326</v>
      </c>
      <c r="Y1171" s="48">
        <v>0.79166666666666674</v>
      </c>
      <c r="Z1171" s="48">
        <v>0.95833333333333326</v>
      </c>
      <c r="AA1171" s="48">
        <v>0.875</v>
      </c>
      <c r="AB1171" s="48">
        <v>0.75</v>
      </c>
      <c r="AC1171" s="48">
        <v>0.875</v>
      </c>
      <c r="AD1171" s="48">
        <v>0.75</v>
      </c>
      <c r="AE1171" s="48">
        <v>0.95833333333333326</v>
      </c>
      <c r="AF1171" s="48">
        <v>0.79166666666666674</v>
      </c>
      <c r="AG1171" s="48">
        <v>0.95833333333333326</v>
      </c>
      <c r="AH1171" s="48">
        <v>1</v>
      </c>
      <c r="AI1171" s="48">
        <v>0.95833333333333326</v>
      </c>
      <c r="AJ1171" s="48">
        <v>0.75</v>
      </c>
      <c r="AK1171" s="48">
        <v>0.75</v>
      </c>
      <c r="AL1171" s="48" t="s">
        <v>320</v>
      </c>
      <c r="AM1171">
        <v>29</v>
      </c>
      <c r="AO1171">
        <v>81.999999999999986</v>
      </c>
    </row>
    <row r="1172" spans="1:41" hidden="1" x14ac:dyDescent="0.25">
      <c r="A1172">
        <v>1171</v>
      </c>
      <c r="B1172">
        <v>2025</v>
      </c>
      <c r="C1172">
        <v>12</v>
      </c>
      <c r="D1172" t="s">
        <v>129</v>
      </c>
      <c r="E1172">
        <v>31</v>
      </c>
      <c r="F1172">
        <v>11</v>
      </c>
      <c r="G1172" t="s">
        <v>430</v>
      </c>
      <c r="H1172" s="48" t="s">
        <v>375</v>
      </c>
      <c r="I1172" s="48" t="s">
        <v>375</v>
      </c>
      <c r="J1172" s="48" t="s">
        <v>375</v>
      </c>
      <c r="K1172" s="48" t="s">
        <v>375</v>
      </c>
      <c r="L1172" s="48" t="s">
        <v>375</v>
      </c>
      <c r="M1172" s="48" t="s">
        <v>375</v>
      </c>
      <c r="N1172" s="48">
        <v>0</v>
      </c>
      <c r="O1172" s="48" t="s">
        <v>375</v>
      </c>
      <c r="P1172" s="48" t="s">
        <v>375</v>
      </c>
      <c r="Q1172" s="48" t="s">
        <v>375</v>
      </c>
      <c r="R1172" s="48" t="s">
        <v>375</v>
      </c>
      <c r="S1172" s="48" t="s">
        <v>375</v>
      </c>
      <c r="T1172" s="48" t="s">
        <v>375</v>
      </c>
      <c r="U1172" s="48" t="s">
        <v>320</v>
      </c>
      <c r="V1172" s="48" t="s">
        <v>375</v>
      </c>
      <c r="W1172" s="48" t="s">
        <v>375</v>
      </c>
      <c r="X1172" s="48" t="s">
        <v>375</v>
      </c>
      <c r="Y1172" s="48" t="s">
        <v>375</v>
      </c>
      <c r="Z1172" s="48" t="s">
        <v>375</v>
      </c>
      <c r="AA1172" s="48" t="s">
        <v>375</v>
      </c>
      <c r="AB1172" s="48" t="s">
        <v>375</v>
      </c>
      <c r="AC1172" s="48" t="s">
        <v>375</v>
      </c>
      <c r="AD1172" s="48" t="s">
        <v>375</v>
      </c>
      <c r="AE1172" s="48" t="s">
        <v>375</v>
      </c>
      <c r="AF1172" s="48" t="s">
        <v>375</v>
      </c>
      <c r="AG1172" s="48" t="s">
        <v>375</v>
      </c>
      <c r="AH1172" s="48" t="s">
        <v>375</v>
      </c>
      <c r="AI1172" s="48" t="s">
        <v>375</v>
      </c>
      <c r="AJ1172" s="48" t="s">
        <v>375</v>
      </c>
      <c r="AK1172" s="48" t="s">
        <v>375</v>
      </c>
      <c r="AL1172" s="48" t="s">
        <v>320</v>
      </c>
    </row>
    <row r="1173" spans="1:41" hidden="1" x14ac:dyDescent="0.25">
      <c r="A1173">
        <v>1172</v>
      </c>
      <c r="B1173">
        <v>2025</v>
      </c>
      <c r="C1173">
        <v>12</v>
      </c>
      <c r="D1173" t="s">
        <v>129</v>
      </c>
      <c r="E1173">
        <v>31</v>
      </c>
      <c r="F1173">
        <v>11</v>
      </c>
      <c r="G1173" t="s">
        <v>431</v>
      </c>
      <c r="H1173" s="48">
        <v>0.75</v>
      </c>
      <c r="I1173" s="48">
        <v>0.75</v>
      </c>
      <c r="J1173" s="48">
        <v>0.75</v>
      </c>
      <c r="K1173" s="48">
        <v>0.75</v>
      </c>
      <c r="L1173" s="48">
        <v>0.75</v>
      </c>
      <c r="M1173" s="48">
        <v>0.75</v>
      </c>
      <c r="N1173" s="48" t="s">
        <v>320</v>
      </c>
      <c r="O1173" s="48">
        <v>0.75</v>
      </c>
      <c r="P1173" s="48">
        <v>0.875</v>
      </c>
      <c r="Q1173" s="48">
        <v>0.75</v>
      </c>
      <c r="R1173" s="48">
        <v>0.83333333333333326</v>
      </c>
      <c r="S1173" s="48">
        <v>0.75</v>
      </c>
      <c r="T1173" s="48">
        <v>0.79166666666666674</v>
      </c>
      <c r="U1173" s="48" t="s">
        <v>320</v>
      </c>
      <c r="V1173" s="48">
        <v>0.79166666666666674</v>
      </c>
      <c r="W1173" s="48">
        <v>0.75</v>
      </c>
      <c r="X1173" s="48">
        <v>0.75</v>
      </c>
      <c r="Y1173" s="48">
        <v>0.75</v>
      </c>
      <c r="Z1173" s="48">
        <v>0.79166666666666674</v>
      </c>
      <c r="AA1173" s="48">
        <v>0.75</v>
      </c>
      <c r="AB1173" s="48">
        <v>0.75</v>
      </c>
      <c r="AC1173" s="48">
        <v>0.79166666666666674</v>
      </c>
      <c r="AD1173" s="48">
        <v>0.75</v>
      </c>
      <c r="AE1173" s="48">
        <v>0.83333333333333326</v>
      </c>
      <c r="AF1173" s="48">
        <v>0.75</v>
      </c>
      <c r="AG1173" s="48">
        <v>0.875</v>
      </c>
      <c r="AH1173" s="48">
        <v>0.875</v>
      </c>
      <c r="AI1173" s="48">
        <v>0.79166666666666674</v>
      </c>
      <c r="AJ1173" s="48">
        <v>0.83333333333333326</v>
      </c>
      <c r="AK1173" s="48">
        <v>0.75</v>
      </c>
      <c r="AL1173" s="48" t="s">
        <v>320</v>
      </c>
      <c r="AM1173">
        <v>28</v>
      </c>
      <c r="AO1173">
        <v>19.999999999999982</v>
      </c>
    </row>
    <row r="1174" spans="1:41" hidden="1" x14ac:dyDescent="0.25">
      <c r="A1174">
        <v>1173</v>
      </c>
      <c r="B1174">
        <v>2025</v>
      </c>
      <c r="C1174">
        <v>12</v>
      </c>
      <c r="D1174" t="s">
        <v>355</v>
      </c>
      <c r="E1174">
        <v>31</v>
      </c>
      <c r="F1174">
        <v>11</v>
      </c>
      <c r="G1174" t="s">
        <v>430</v>
      </c>
      <c r="H1174" s="48" t="s">
        <v>375</v>
      </c>
      <c r="I1174" s="48" t="s">
        <v>375</v>
      </c>
      <c r="J1174" s="48" t="s">
        <v>375</v>
      </c>
      <c r="K1174" s="48" t="s">
        <v>375</v>
      </c>
      <c r="L1174" s="48" t="s">
        <v>375</v>
      </c>
      <c r="M1174" s="48" t="s">
        <v>375</v>
      </c>
      <c r="N1174" s="48" t="s">
        <v>375</v>
      </c>
      <c r="O1174" s="48" t="s">
        <v>375</v>
      </c>
      <c r="P1174" s="48" t="s">
        <v>375</v>
      </c>
      <c r="Q1174" s="48" t="s">
        <v>375</v>
      </c>
      <c r="R1174" s="48" t="s">
        <v>375</v>
      </c>
      <c r="S1174" s="48" t="s">
        <v>375</v>
      </c>
      <c r="T1174" s="48" t="s">
        <v>375</v>
      </c>
      <c r="U1174" s="48" t="s">
        <v>375</v>
      </c>
      <c r="V1174" s="48" t="s">
        <v>375</v>
      </c>
      <c r="W1174" s="48" t="s">
        <v>375</v>
      </c>
      <c r="X1174" s="48" t="s">
        <v>375</v>
      </c>
      <c r="Y1174" s="48" t="s">
        <v>375</v>
      </c>
      <c r="Z1174" s="48" t="s">
        <v>375</v>
      </c>
      <c r="AA1174" s="48" t="s">
        <v>375</v>
      </c>
      <c r="AB1174" s="48" t="s">
        <v>375</v>
      </c>
      <c r="AC1174" s="48" t="s">
        <v>375</v>
      </c>
      <c r="AD1174" s="48" t="s">
        <v>375</v>
      </c>
      <c r="AE1174" s="48" t="s">
        <v>375</v>
      </c>
      <c r="AF1174" s="48" t="s">
        <v>375</v>
      </c>
      <c r="AG1174" s="48" t="s">
        <v>375</v>
      </c>
      <c r="AH1174" s="48" t="s">
        <v>375</v>
      </c>
      <c r="AI1174" s="48" t="s">
        <v>375</v>
      </c>
      <c r="AJ1174" s="48" t="s">
        <v>375</v>
      </c>
      <c r="AK1174" s="48" t="s">
        <v>375</v>
      </c>
      <c r="AL1174" s="48" t="s">
        <v>320</v>
      </c>
    </row>
    <row r="1175" spans="1:41" hidden="1" x14ac:dyDescent="0.25">
      <c r="A1175">
        <v>1174</v>
      </c>
      <c r="B1175">
        <v>2025</v>
      </c>
      <c r="C1175">
        <v>12</v>
      </c>
      <c r="D1175" t="s">
        <v>355</v>
      </c>
      <c r="E1175">
        <v>31</v>
      </c>
      <c r="F1175">
        <v>11</v>
      </c>
      <c r="G1175" t="s">
        <v>431</v>
      </c>
      <c r="H1175" s="48">
        <v>0.95833333333333326</v>
      </c>
      <c r="I1175" s="48">
        <v>0.75</v>
      </c>
      <c r="J1175" s="48">
        <v>0.75</v>
      </c>
      <c r="K1175" s="48">
        <v>0.83333333333333326</v>
      </c>
      <c r="L1175" s="48">
        <v>0.875</v>
      </c>
      <c r="M1175" s="48">
        <v>0.75</v>
      </c>
      <c r="N1175" s="48">
        <v>0.75</v>
      </c>
      <c r="O1175" s="48">
        <v>0.75</v>
      </c>
      <c r="P1175" s="48">
        <v>0.91666666666666674</v>
      </c>
      <c r="Q1175" s="48">
        <v>0.75</v>
      </c>
      <c r="R1175" s="48">
        <v>0.83333333333333326</v>
      </c>
      <c r="S1175" s="48">
        <v>0.75</v>
      </c>
      <c r="T1175" s="48">
        <v>1</v>
      </c>
      <c r="U1175" s="48">
        <v>0.75</v>
      </c>
      <c r="V1175" s="48">
        <v>0.75</v>
      </c>
      <c r="W1175" s="48">
        <v>0.83333333333333326</v>
      </c>
      <c r="X1175" s="48">
        <v>0.875</v>
      </c>
      <c r="Y1175" s="48">
        <v>0.875</v>
      </c>
      <c r="Z1175" s="48">
        <v>1</v>
      </c>
      <c r="AA1175" s="48">
        <v>0.75</v>
      </c>
      <c r="AB1175" s="48">
        <v>0.75</v>
      </c>
      <c r="AC1175" s="48">
        <v>0.75</v>
      </c>
      <c r="AD1175" s="48">
        <v>0.875</v>
      </c>
      <c r="AE1175" s="48">
        <v>0.75</v>
      </c>
      <c r="AF1175" s="48">
        <v>0.75</v>
      </c>
      <c r="AG1175" s="48">
        <v>0.75</v>
      </c>
      <c r="AH1175" s="48">
        <v>0.83333333333333326</v>
      </c>
      <c r="AI1175" s="48">
        <v>0.75</v>
      </c>
      <c r="AJ1175" s="48">
        <v>0.75</v>
      </c>
      <c r="AK1175" s="48">
        <v>0.75</v>
      </c>
      <c r="AL1175" s="48" t="s">
        <v>320</v>
      </c>
      <c r="AM1175">
        <v>30</v>
      </c>
      <c r="AO1175">
        <v>40.999999999999972</v>
      </c>
    </row>
    <row r="1176" spans="1:41" hidden="1" x14ac:dyDescent="0.25">
      <c r="A1176">
        <v>1175</v>
      </c>
      <c r="B1176">
        <v>2025</v>
      </c>
      <c r="C1176">
        <v>12</v>
      </c>
      <c r="D1176" t="s">
        <v>159</v>
      </c>
      <c r="E1176">
        <v>31</v>
      </c>
      <c r="F1176">
        <v>11</v>
      </c>
      <c r="G1176" t="s">
        <v>430</v>
      </c>
      <c r="H1176" s="48" t="s">
        <v>375</v>
      </c>
      <c r="I1176" s="48" t="s">
        <v>375</v>
      </c>
      <c r="J1176" s="48" t="s">
        <v>375</v>
      </c>
      <c r="K1176" s="48" t="s">
        <v>375</v>
      </c>
      <c r="L1176" s="48" t="s">
        <v>375</v>
      </c>
      <c r="M1176" s="48" t="s">
        <v>375</v>
      </c>
      <c r="N1176" s="48" t="s">
        <v>320</v>
      </c>
      <c r="O1176" s="48" t="s">
        <v>375</v>
      </c>
      <c r="P1176" s="48" t="s">
        <v>375</v>
      </c>
      <c r="Q1176" s="48" t="s">
        <v>375</v>
      </c>
      <c r="R1176" s="48" t="s">
        <v>375</v>
      </c>
      <c r="S1176" s="48" t="s">
        <v>375</v>
      </c>
      <c r="T1176" s="48" t="s">
        <v>375</v>
      </c>
      <c r="U1176" s="48" t="s">
        <v>320</v>
      </c>
      <c r="V1176" s="48" t="s">
        <v>375</v>
      </c>
      <c r="W1176" s="48" t="s">
        <v>375</v>
      </c>
      <c r="X1176" s="48" t="s">
        <v>375</v>
      </c>
      <c r="Y1176" s="48" t="s">
        <v>375</v>
      </c>
      <c r="Z1176" s="48" t="s">
        <v>375</v>
      </c>
      <c r="AA1176" s="48" t="s">
        <v>375</v>
      </c>
      <c r="AB1176" s="48" t="s">
        <v>375</v>
      </c>
      <c r="AC1176" s="48" t="s">
        <v>375</v>
      </c>
      <c r="AD1176" s="48" t="s">
        <v>375</v>
      </c>
      <c r="AE1176" s="48" t="s">
        <v>375</v>
      </c>
      <c r="AF1176" s="48" t="s">
        <v>375</v>
      </c>
      <c r="AG1176" s="48" t="s">
        <v>375</v>
      </c>
      <c r="AH1176" s="48" t="s">
        <v>375</v>
      </c>
      <c r="AI1176" s="48" t="s">
        <v>375</v>
      </c>
      <c r="AJ1176" s="48" t="s">
        <v>375</v>
      </c>
      <c r="AK1176" s="48" t="s">
        <v>375</v>
      </c>
      <c r="AL1176" s="48">
        <v>0</v>
      </c>
    </row>
    <row r="1177" spans="1:41" hidden="1" x14ac:dyDescent="0.25">
      <c r="A1177">
        <v>1176</v>
      </c>
      <c r="B1177">
        <v>2025</v>
      </c>
      <c r="C1177">
        <v>12</v>
      </c>
      <c r="D1177" t="s">
        <v>159</v>
      </c>
      <c r="E1177">
        <v>31</v>
      </c>
      <c r="F1177">
        <v>11</v>
      </c>
      <c r="G1177" t="s">
        <v>431</v>
      </c>
      <c r="H1177" s="48">
        <v>1.1666666666666667</v>
      </c>
      <c r="I1177" s="48">
        <v>1.1666666666666667</v>
      </c>
      <c r="J1177" s="48">
        <v>1.1666666666666667</v>
      </c>
      <c r="K1177" s="48">
        <v>1.1666666666666667</v>
      </c>
      <c r="L1177" s="48">
        <v>1.1666666666666667</v>
      </c>
      <c r="M1177" s="48">
        <v>1.1666666666666667</v>
      </c>
      <c r="N1177" s="48" t="s">
        <v>320</v>
      </c>
      <c r="O1177" s="48">
        <v>1.1666666666666667</v>
      </c>
      <c r="P1177" s="48">
        <v>1.1666666666666667</v>
      </c>
      <c r="Q1177" s="48">
        <v>1.1666666666666667</v>
      </c>
      <c r="R1177" s="48">
        <v>1.1666666666666667</v>
      </c>
      <c r="S1177" s="48">
        <v>1.1666666666666667</v>
      </c>
      <c r="T1177" s="48">
        <v>1.1666666666666667</v>
      </c>
      <c r="U1177" s="48" t="s">
        <v>320</v>
      </c>
      <c r="V1177" s="48">
        <v>1.1666666666666667</v>
      </c>
      <c r="W1177" s="48">
        <v>1.1666666666666667</v>
      </c>
      <c r="X1177" s="48">
        <v>1.1666666666666667</v>
      </c>
      <c r="Y1177" s="48">
        <v>1.1666666666666667</v>
      </c>
      <c r="Z1177" s="48">
        <v>1.1666666666666667</v>
      </c>
      <c r="AA1177" s="48">
        <v>1.1666666666666667</v>
      </c>
      <c r="AB1177" s="48">
        <v>1.1666666666666667</v>
      </c>
      <c r="AC1177" s="48">
        <v>1.1666666666666667</v>
      </c>
      <c r="AD1177" s="48">
        <v>1.1666666666666667</v>
      </c>
      <c r="AE1177" s="48">
        <v>1.1666666666666667</v>
      </c>
      <c r="AF1177" s="48">
        <v>1.1666666666666667</v>
      </c>
      <c r="AG1177" s="48">
        <v>1.1666666666666667</v>
      </c>
      <c r="AH1177" s="48">
        <v>1.1666666666666667</v>
      </c>
      <c r="AI1177" s="48">
        <v>1.1666666666666667</v>
      </c>
      <c r="AJ1177" s="48">
        <v>1.1666666666666667</v>
      </c>
      <c r="AK1177" s="48">
        <v>1.1666666666666667</v>
      </c>
      <c r="AL1177" s="48" t="s">
        <v>320</v>
      </c>
      <c r="AN1177">
        <v>28</v>
      </c>
    </row>
    <row r="1178" spans="1:41" hidden="1" x14ac:dyDescent="0.25">
      <c r="A1178">
        <v>1177</v>
      </c>
      <c r="B1178">
        <v>2025</v>
      </c>
      <c r="C1178">
        <v>12</v>
      </c>
      <c r="D1178" t="s">
        <v>175</v>
      </c>
      <c r="E1178">
        <v>31</v>
      </c>
      <c r="F1178">
        <v>11</v>
      </c>
      <c r="G1178" t="s">
        <v>430</v>
      </c>
      <c r="H1178" s="48" t="s">
        <v>375</v>
      </c>
      <c r="I1178" s="48" t="s">
        <v>375</v>
      </c>
      <c r="J1178" s="48" t="s">
        <v>375</v>
      </c>
      <c r="K1178" s="48" t="s">
        <v>375</v>
      </c>
      <c r="L1178" s="48" t="s">
        <v>375</v>
      </c>
      <c r="M1178" s="48" t="s">
        <v>375</v>
      </c>
      <c r="N1178" s="48" t="s">
        <v>320</v>
      </c>
      <c r="O1178" s="48" t="s">
        <v>375</v>
      </c>
      <c r="P1178" s="48" t="s">
        <v>375</v>
      </c>
      <c r="Q1178" s="48" t="s">
        <v>375</v>
      </c>
      <c r="R1178" s="48" t="s">
        <v>375</v>
      </c>
      <c r="S1178" s="48" t="s">
        <v>375</v>
      </c>
      <c r="T1178" s="48" t="s">
        <v>375</v>
      </c>
      <c r="U1178" s="48" t="s">
        <v>375</v>
      </c>
      <c r="V1178" s="48" t="s">
        <v>375</v>
      </c>
      <c r="W1178" s="48" t="s">
        <v>375</v>
      </c>
      <c r="X1178" s="48" t="s">
        <v>375</v>
      </c>
      <c r="Y1178" s="48" t="s">
        <v>375</v>
      </c>
      <c r="Z1178" s="48" t="s">
        <v>375</v>
      </c>
      <c r="AA1178" s="48" t="s">
        <v>375</v>
      </c>
      <c r="AB1178" s="48" t="s">
        <v>375</v>
      </c>
      <c r="AC1178" s="48" t="s">
        <v>375</v>
      </c>
      <c r="AD1178" s="48" t="s">
        <v>375</v>
      </c>
      <c r="AE1178" s="48" t="s">
        <v>375</v>
      </c>
      <c r="AF1178" s="48" t="s">
        <v>375</v>
      </c>
      <c r="AG1178" s="48" t="s">
        <v>375</v>
      </c>
      <c r="AH1178" s="48" t="s">
        <v>375</v>
      </c>
      <c r="AI1178" s="48" t="s">
        <v>375</v>
      </c>
      <c r="AJ1178" s="48" t="s">
        <v>375</v>
      </c>
      <c r="AK1178" s="48" t="s">
        <v>375</v>
      </c>
      <c r="AL1178" s="48" t="s">
        <v>320</v>
      </c>
    </row>
    <row r="1179" spans="1:41" hidden="1" x14ac:dyDescent="0.25">
      <c r="A1179">
        <v>1178</v>
      </c>
      <c r="B1179">
        <v>2025</v>
      </c>
      <c r="C1179">
        <v>12</v>
      </c>
      <c r="D1179" t="s">
        <v>175</v>
      </c>
      <c r="E1179">
        <v>31</v>
      </c>
      <c r="F1179">
        <v>11</v>
      </c>
      <c r="G1179" t="s">
        <v>431</v>
      </c>
      <c r="H1179" s="48">
        <v>0.83333333333333326</v>
      </c>
      <c r="I1179" s="48">
        <v>0.83333333333333326</v>
      </c>
      <c r="J1179" s="48">
        <v>0.83333333333333326</v>
      </c>
      <c r="K1179" s="48">
        <v>0.83333333333333326</v>
      </c>
      <c r="L1179" s="48">
        <v>0.83333333333333326</v>
      </c>
      <c r="M1179" s="48">
        <v>0.83333333333333326</v>
      </c>
      <c r="N1179" s="48" t="s">
        <v>320</v>
      </c>
      <c r="O1179" s="48">
        <v>0.875</v>
      </c>
      <c r="P1179" s="48">
        <v>0.875</v>
      </c>
      <c r="Q1179" s="48">
        <v>0.875</v>
      </c>
      <c r="R1179" s="48">
        <v>0.875</v>
      </c>
      <c r="S1179" s="48">
        <v>0.875</v>
      </c>
      <c r="T1179" s="48">
        <v>0.875</v>
      </c>
      <c r="U1179" s="48">
        <v>0.875</v>
      </c>
      <c r="V1179" s="48">
        <v>0.875</v>
      </c>
      <c r="W1179" s="48">
        <v>0.875</v>
      </c>
      <c r="X1179" s="48">
        <v>0.875</v>
      </c>
      <c r="Y1179" s="48">
        <v>0.875</v>
      </c>
      <c r="Z1179" s="48">
        <v>0.875</v>
      </c>
      <c r="AA1179" s="48">
        <v>0.875</v>
      </c>
      <c r="AB1179" s="48">
        <v>0.875</v>
      </c>
      <c r="AC1179" s="48">
        <v>0.875</v>
      </c>
      <c r="AD1179" s="48">
        <v>0.875</v>
      </c>
      <c r="AE1179" s="48">
        <v>0.875</v>
      </c>
      <c r="AF1179" s="48">
        <v>0.875</v>
      </c>
      <c r="AG1179" s="48">
        <v>0.875</v>
      </c>
      <c r="AH1179" s="48">
        <v>0.875</v>
      </c>
      <c r="AI1179" s="48">
        <v>0.875</v>
      </c>
      <c r="AJ1179" s="48">
        <v>0.875</v>
      </c>
      <c r="AK1179" s="48">
        <v>0.875</v>
      </c>
      <c r="AL1179" s="48" t="s">
        <v>320</v>
      </c>
      <c r="AM1179">
        <v>29</v>
      </c>
      <c r="AO1179">
        <v>80.999999999999972</v>
      </c>
    </row>
    <row r="1180" spans="1:41" hidden="1" x14ac:dyDescent="0.25">
      <c r="A1180">
        <v>1179</v>
      </c>
      <c r="B1180">
        <v>2025</v>
      </c>
      <c r="C1180">
        <v>12</v>
      </c>
      <c r="D1180" t="s">
        <v>179</v>
      </c>
      <c r="E1180">
        <v>31</v>
      </c>
      <c r="F1180">
        <v>11</v>
      </c>
      <c r="G1180" t="s">
        <v>430</v>
      </c>
      <c r="H1180" s="48" t="s">
        <v>375</v>
      </c>
      <c r="I1180" s="48" t="s">
        <v>375</v>
      </c>
      <c r="J1180" s="48" t="s">
        <v>375</v>
      </c>
      <c r="K1180" s="48" t="s">
        <v>375</v>
      </c>
      <c r="L1180" s="48" t="s">
        <v>375</v>
      </c>
      <c r="M1180" s="48" t="s">
        <v>375</v>
      </c>
      <c r="N1180" s="48" t="s">
        <v>375</v>
      </c>
      <c r="O1180" s="48" t="s">
        <v>375</v>
      </c>
      <c r="P1180" s="48" t="s">
        <v>375</v>
      </c>
      <c r="Q1180" s="48" t="s">
        <v>375</v>
      </c>
      <c r="R1180" s="48" t="s">
        <v>375</v>
      </c>
      <c r="S1180" s="48" t="s">
        <v>375</v>
      </c>
      <c r="T1180" s="48" t="s">
        <v>375</v>
      </c>
      <c r="U1180" s="48" t="s">
        <v>375</v>
      </c>
      <c r="V1180" s="48" t="s">
        <v>375</v>
      </c>
      <c r="W1180" s="48" t="s">
        <v>375</v>
      </c>
      <c r="X1180" s="48" t="s">
        <v>375</v>
      </c>
      <c r="Y1180" s="48" t="s">
        <v>375</v>
      </c>
      <c r="Z1180" s="48" t="s">
        <v>375</v>
      </c>
      <c r="AA1180" s="48" t="s">
        <v>375</v>
      </c>
      <c r="AB1180" s="48" t="s">
        <v>375</v>
      </c>
      <c r="AC1180" s="48" t="s">
        <v>375</v>
      </c>
      <c r="AD1180" s="48" t="s">
        <v>375</v>
      </c>
      <c r="AE1180" s="48" t="s">
        <v>375</v>
      </c>
      <c r="AF1180" s="48" t="s">
        <v>375</v>
      </c>
      <c r="AG1180" s="48" t="s">
        <v>375</v>
      </c>
      <c r="AH1180" s="48" t="s">
        <v>375</v>
      </c>
      <c r="AI1180" s="48" t="s">
        <v>375</v>
      </c>
      <c r="AJ1180" s="48" t="s">
        <v>375</v>
      </c>
      <c r="AK1180" s="48" t="s">
        <v>375</v>
      </c>
      <c r="AL1180" s="48" t="s">
        <v>320</v>
      </c>
    </row>
    <row r="1181" spans="1:41" hidden="1" x14ac:dyDescent="0.25">
      <c r="A1181">
        <v>1180</v>
      </c>
      <c r="B1181">
        <v>2025</v>
      </c>
      <c r="C1181">
        <v>12</v>
      </c>
      <c r="D1181" t="s">
        <v>179</v>
      </c>
      <c r="E1181">
        <v>31</v>
      </c>
      <c r="F1181">
        <v>11</v>
      </c>
      <c r="G1181" t="s">
        <v>431</v>
      </c>
      <c r="H1181" s="48">
        <v>0.75</v>
      </c>
      <c r="I1181" s="48">
        <v>0.91666666666666674</v>
      </c>
      <c r="J1181" s="48">
        <v>0.75</v>
      </c>
      <c r="K1181" s="48">
        <v>0.75</v>
      </c>
      <c r="L1181" s="48">
        <v>0.75</v>
      </c>
      <c r="M1181" s="48">
        <v>0.75</v>
      </c>
      <c r="N1181" s="48">
        <v>0.75</v>
      </c>
      <c r="O1181" s="48">
        <v>0.75</v>
      </c>
      <c r="P1181" s="48">
        <v>0.75</v>
      </c>
      <c r="Q1181" s="48">
        <v>0.75</v>
      </c>
      <c r="R1181" s="48">
        <v>0.75</v>
      </c>
      <c r="S1181" s="48">
        <v>0.75</v>
      </c>
      <c r="T1181" s="48">
        <v>0.75</v>
      </c>
      <c r="U1181" s="48">
        <v>0.75</v>
      </c>
      <c r="V1181" s="48">
        <v>0.75</v>
      </c>
      <c r="W1181" s="48">
        <v>0.83333333333333326</v>
      </c>
      <c r="X1181" s="48">
        <v>0.75</v>
      </c>
      <c r="Y1181" s="48">
        <v>0.83333333333333326</v>
      </c>
      <c r="Z1181" s="48">
        <v>0.75</v>
      </c>
      <c r="AA1181" s="48">
        <v>0.91666666666666674</v>
      </c>
      <c r="AB1181" s="48">
        <v>0.875</v>
      </c>
      <c r="AC1181" s="48">
        <v>0.75</v>
      </c>
      <c r="AD1181" s="48">
        <v>0.75</v>
      </c>
      <c r="AE1181" s="48">
        <v>0.75</v>
      </c>
      <c r="AF1181" s="48">
        <v>0.75</v>
      </c>
      <c r="AG1181" s="48">
        <v>0.75</v>
      </c>
      <c r="AH1181" s="48">
        <v>0.75</v>
      </c>
      <c r="AI1181" s="48">
        <v>0.75</v>
      </c>
      <c r="AJ1181" s="48">
        <v>0.75</v>
      </c>
      <c r="AK1181" s="48">
        <v>0.75</v>
      </c>
      <c r="AL1181" s="48" t="s">
        <v>320</v>
      </c>
      <c r="AM1181">
        <v>30</v>
      </c>
      <c r="AO1181">
        <v>14.999999999999991</v>
      </c>
    </row>
    <row r="1182" spans="1:41" hidden="1" x14ac:dyDescent="0.25">
      <c r="A1182">
        <v>1181</v>
      </c>
      <c r="B1182">
        <v>2025</v>
      </c>
      <c r="C1182">
        <v>12</v>
      </c>
      <c r="D1182" t="s">
        <v>156</v>
      </c>
      <c r="E1182">
        <v>31</v>
      </c>
      <c r="F1182">
        <v>11</v>
      </c>
      <c r="G1182" t="s">
        <v>430</v>
      </c>
      <c r="H1182" s="48" t="s">
        <v>382</v>
      </c>
      <c r="I1182" s="48" t="s">
        <v>382</v>
      </c>
      <c r="J1182" s="48" t="s">
        <v>382</v>
      </c>
      <c r="K1182" s="48" t="s">
        <v>382</v>
      </c>
      <c r="L1182" s="48" t="s">
        <v>382</v>
      </c>
      <c r="M1182" s="48" t="s">
        <v>382</v>
      </c>
      <c r="N1182" s="48" t="s">
        <v>382</v>
      </c>
      <c r="O1182" s="48" t="s">
        <v>382</v>
      </c>
      <c r="P1182" s="48" t="s">
        <v>382</v>
      </c>
      <c r="Q1182" s="48" t="s">
        <v>382</v>
      </c>
      <c r="R1182" s="48" t="s">
        <v>382</v>
      </c>
      <c r="S1182" s="48" t="s">
        <v>382</v>
      </c>
      <c r="T1182" s="48" t="s">
        <v>382</v>
      </c>
      <c r="U1182" s="48" t="s">
        <v>382</v>
      </c>
      <c r="V1182" s="48" t="s">
        <v>382</v>
      </c>
      <c r="W1182" s="48" t="s">
        <v>382</v>
      </c>
      <c r="X1182" s="48" t="s">
        <v>382</v>
      </c>
      <c r="Y1182" s="48" t="s">
        <v>382</v>
      </c>
      <c r="Z1182" s="48" t="s">
        <v>382</v>
      </c>
      <c r="AA1182" s="48" t="s">
        <v>382</v>
      </c>
      <c r="AB1182" s="48" t="s">
        <v>382</v>
      </c>
      <c r="AC1182" s="48" t="s">
        <v>382</v>
      </c>
      <c r="AD1182" s="48" t="s">
        <v>382</v>
      </c>
      <c r="AE1182" s="48" t="s">
        <v>382</v>
      </c>
      <c r="AF1182" s="48" t="s">
        <v>382</v>
      </c>
      <c r="AG1182" s="48" t="s">
        <v>382</v>
      </c>
      <c r="AH1182" s="48" t="s">
        <v>382</v>
      </c>
      <c r="AI1182" s="48" t="s">
        <v>382</v>
      </c>
      <c r="AJ1182" s="48" t="s">
        <v>382</v>
      </c>
      <c r="AK1182" s="48" t="s">
        <v>382</v>
      </c>
      <c r="AL1182" s="48" t="s">
        <v>320</v>
      </c>
    </row>
    <row r="1183" spans="1:41" hidden="1" x14ac:dyDescent="0.25">
      <c r="A1183">
        <v>1182</v>
      </c>
      <c r="B1183">
        <v>2025</v>
      </c>
      <c r="C1183">
        <v>12</v>
      </c>
      <c r="D1183" t="s">
        <v>156</v>
      </c>
      <c r="E1183">
        <v>31</v>
      </c>
      <c r="F1183">
        <v>11</v>
      </c>
      <c r="G1183" t="s">
        <v>431</v>
      </c>
      <c r="H1183" s="48">
        <v>0.83333333333333337</v>
      </c>
      <c r="I1183" s="48">
        <v>0.83333333333333337</v>
      </c>
      <c r="J1183" s="48">
        <v>0.83333333333333337</v>
      </c>
      <c r="K1183" s="48">
        <v>0.83333333333333337</v>
      </c>
      <c r="L1183" s="48">
        <v>0.83333333333333337</v>
      </c>
      <c r="M1183" s="48">
        <v>0.83333333333333337</v>
      </c>
      <c r="N1183" s="48">
        <v>0.83333333333333337</v>
      </c>
      <c r="O1183" s="48">
        <v>0.83333333333333337</v>
      </c>
      <c r="P1183" s="48">
        <v>0.83333333333333337</v>
      </c>
      <c r="Q1183" s="48">
        <v>0.83333333333333337</v>
      </c>
      <c r="R1183" s="48">
        <v>0.83333333333333337</v>
      </c>
      <c r="S1183" s="48">
        <v>0.83333333333333337</v>
      </c>
      <c r="T1183" s="48">
        <v>0.83333333333333337</v>
      </c>
      <c r="U1183" s="48">
        <v>0.83333333333333337</v>
      </c>
      <c r="V1183" s="48">
        <v>0.83333333333333337</v>
      </c>
      <c r="W1183" s="48">
        <v>0.83333333333333337</v>
      </c>
      <c r="X1183" s="48">
        <v>0.83333333333333337</v>
      </c>
      <c r="Y1183" s="48">
        <v>0.83333333333333337</v>
      </c>
      <c r="Z1183" s="48">
        <v>0.83333333333333337</v>
      </c>
      <c r="AA1183" s="48">
        <v>0.83333333333333337</v>
      </c>
      <c r="AB1183" s="48">
        <v>0.83333333333333337</v>
      </c>
      <c r="AC1183" s="48">
        <v>0.83333333333333337</v>
      </c>
      <c r="AD1183" s="48">
        <v>0.83333333333333337</v>
      </c>
      <c r="AE1183" s="48">
        <v>0.83333333333333337</v>
      </c>
      <c r="AF1183" s="48">
        <v>0.83333333333333337</v>
      </c>
      <c r="AG1183" s="48">
        <v>0.83333333333333337</v>
      </c>
      <c r="AH1183" s="48">
        <v>0.83333333333333337</v>
      </c>
      <c r="AI1183" s="48">
        <v>0.83333333333333337</v>
      </c>
      <c r="AJ1183" s="48">
        <v>0.83333333333333337</v>
      </c>
      <c r="AK1183" s="48">
        <v>0.83333333333333337</v>
      </c>
      <c r="AL1183" s="48" t="s">
        <v>320</v>
      </c>
      <c r="AM1183">
        <v>30</v>
      </c>
      <c r="AO1183">
        <v>120</v>
      </c>
    </row>
    <row r="1184" spans="1:41" hidden="1" x14ac:dyDescent="0.25">
      <c r="A1184">
        <v>1183</v>
      </c>
      <c r="B1184">
        <v>2025</v>
      </c>
      <c r="C1184">
        <v>12</v>
      </c>
      <c r="D1184" t="s">
        <v>168</v>
      </c>
      <c r="E1184">
        <v>31</v>
      </c>
      <c r="F1184">
        <v>11</v>
      </c>
      <c r="G1184" t="s">
        <v>430</v>
      </c>
      <c r="H1184" s="48" t="s">
        <v>375</v>
      </c>
      <c r="I1184" s="48" t="s">
        <v>375</v>
      </c>
      <c r="J1184" s="48" t="s">
        <v>375</v>
      </c>
      <c r="K1184" s="48" t="s">
        <v>375</v>
      </c>
      <c r="L1184" s="48" t="s">
        <v>375</v>
      </c>
      <c r="M1184" s="48" t="s">
        <v>375</v>
      </c>
      <c r="N1184" s="48" t="s">
        <v>320</v>
      </c>
      <c r="O1184" s="48" t="s">
        <v>375</v>
      </c>
      <c r="P1184" s="48" t="s">
        <v>375</v>
      </c>
      <c r="Q1184" s="48" t="s">
        <v>375</v>
      </c>
      <c r="R1184" s="48" t="s">
        <v>375</v>
      </c>
      <c r="S1184" s="48" t="s">
        <v>375</v>
      </c>
      <c r="T1184" s="48" t="s">
        <v>375</v>
      </c>
      <c r="U1184" s="48" t="s">
        <v>375</v>
      </c>
      <c r="V1184" s="48" t="s">
        <v>375</v>
      </c>
      <c r="W1184" s="48" t="s">
        <v>375</v>
      </c>
      <c r="X1184" s="48" t="s">
        <v>375</v>
      </c>
      <c r="Y1184" s="48" t="s">
        <v>375</v>
      </c>
      <c r="Z1184" s="48" t="s">
        <v>375</v>
      </c>
      <c r="AA1184" s="48" t="s">
        <v>375</v>
      </c>
      <c r="AB1184" s="48" t="s">
        <v>375</v>
      </c>
      <c r="AC1184" s="48" t="s">
        <v>375</v>
      </c>
      <c r="AD1184" s="48" t="s">
        <v>375</v>
      </c>
      <c r="AE1184" s="48" t="s">
        <v>375</v>
      </c>
      <c r="AF1184" s="48" t="s">
        <v>375</v>
      </c>
      <c r="AG1184" s="48" t="s">
        <v>375</v>
      </c>
      <c r="AH1184" s="48" t="s">
        <v>375</v>
      </c>
      <c r="AI1184" s="48" t="s">
        <v>375</v>
      </c>
      <c r="AJ1184" s="48" t="s">
        <v>375</v>
      </c>
      <c r="AK1184" s="48" t="s">
        <v>375</v>
      </c>
      <c r="AL1184" s="48" t="s">
        <v>320</v>
      </c>
    </row>
    <row r="1185" spans="1:45" hidden="1" x14ac:dyDescent="0.25">
      <c r="A1185">
        <v>1184</v>
      </c>
      <c r="B1185">
        <v>2025</v>
      </c>
      <c r="C1185">
        <v>12</v>
      </c>
      <c r="D1185" t="s">
        <v>168</v>
      </c>
      <c r="E1185">
        <v>31</v>
      </c>
      <c r="F1185">
        <v>11</v>
      </c>
      <c r="G1185" t="s">
        <v>431</v>
      </c>
      <c r="H1185" s="48">
        <v>0.95833333333333326</v>
      </c>
      <c r="I1185" s="48">
        <v>0.83333333333333326</v>
      </c>
      <c r="J1185" s="48">
        <v>0.75</v>
      </c>
      <c r="K1185" s="48">
        <v>0.75</v>
      </c>
      <c r="L1185" s="48">
        <v>0.75</v>
      </c>
      <c r="M1185" s="48">
        <v>0.83333333333333326</v>
      </c>
      <c r="N1185" s="48" t="s">
        <v>320</v>
      </c>
      <c r="O1185" s="48">
        <v>0.79166666666666674</v>
      </c>
      <c r="P1185" s="48">
        <v>0.95833333333333326</v>
      </c>
      <c r="Q1185" s="48">
        <v>0.75</v>
      </c>
      <c r="R1185" s="48">
        <v>0.75</v>
      </c>
      <c r="S1185" s="48">
        <v>0.75</v>
      </c>
      <c r="T1185" s="48">
        <v>0.75</v>
      </c>
      <c r="U1185" s="48">
        <v>0.75</v>
      </c>
      <c r="V1185" s="48">
        <v>0.875</v>
      </c>
      <c r="W1185" s="48">
        <v>0.83333333333333326</v>
      </c>
      <c r="X1185" s="48">
        <v>0.75</v>
      </c>
      <c r="Y1185" s="48">
        <v>0.75</v>
      </c>
      <c r="Z1185" s="48">
        <v>0.75</v>
      </c>
      <c r="AA1185" s="48">
        <v>0.75</v>
      </c>
      <c r="AB1185" s="48">
        <v>0.75</v>
      </c>
      <c r="AC1185" s="48">
        <v>0.91666666666666674</v>
      </c>
      <c r="AD1185" s="48">
        <v>0.83333333333333326</v>
      </c>
      <c r="AE1185" s="48">
        <v>0.95833333333333326</v>
      </c>
      <c r="AF1185" s="48">
        <v>0.75</v>
      </c>
      <c r="AG1185" s="48">
        <v>0.91666666666666674</v>
      </c>
      <c r="AH1185" s="48">
        <v>0.75</v>
      </c>
      <c r="AI1185" s="48">
        <v>0.75</v>
      </c>
      <c r="AJ1185" s="48">
        <v>0.75</v>
      </c>
      <c r="AK1185" s="48">
        <v>0.75</v>
      </c>
      <c r="AL1185" s="48" t="s">
        <v>320</v>
      </c>
      <c r="AM1185">
        <v>29</v>
      </c>
      <c r="AO1185">
        <v>34.999999999999972</v>
      </c>
    </row>
    <row r="1186" spans="1:45" hidden="1" x14ac:dyDescent="0.25">
      <c r="A1186">
        <v>1185</v>
      </c>
      <c r="B1186">
        <v>2025</v>
      </c>
      <c r="C1186">
        <v>12</v>
      </c>
      <c r="D1186" t="s">
        <v>164</v>
      </c>
      <c r="E1186">
        <v>31</v>
      </c>
      <c r="F1186">
        <v>11</v>
      </c>
      <c r="G1186" t="s">
        <v>430</v>
      </c>
      <c r="H1186" s="48" t="s">
        <v>375</v>
      </c>
      <c r="I1186" s="48" t="s">
        <v>375</v>
      </c>
      <c r="J1186" s="48" t="s">
        <v>375</v>
      </c>
      <c r="K1186" s="48" t="s">
        <v>375</v>
      </c>
      <c r="L1186" s="48" t="s">
        <v>375</v>
      </c>
      <c r="M1186" s="48" t="s">
        <v>375</v>
      </c>
      <c r="N1186" s="48" t="s">
        <v>375</v>
      </c>
      <c r="O1186" s="48" t="s">
        <v>375</v>
      </c>
      <c r="P1186" s="48" t="s">
        <v>375</v>
      </c>
      <c r="Q1186" s="48" t="s">
        <v>375</v>
      </c>
      <c r="R1186" s="48" t="s">
        <v>375</v>
      </c>
      <c r="S1186" s="48" t="s">
        <v>375</v>
      </c>
      <c r="T1186" s="48" t="s">
        <v>375</v>
      </c>
      <c r="U1186" s="48" t="s">
        <v>375</v>
      </c>
      <c r="V1186" s="48" t="s">
        <v>375</v>
      </c>
      <c r="W1186" s="48" t="s">
        <v>375</v>
      </c>
      <c r="X1186" s="48" t="s">
        <v>375</v>
      </c>
      <c r="Y1186" s="48" t="s">
        <v>375</v>
      </c>
      <c r="Z1186" s="48" t="s">
        <v>375</v>
      </c>
      <c r="AA1186" s="48" t="s">
        <v>375</v>
      </c>
      <c r="AB1186" s="48" t="s">
        <v>375</v>
      </c>
      <c r="AC1186" s="48" t="s">
        <v>375</v>
      </c>
      <c r="AD1186" s="48" t="s">
        <v>375</v>
      </c>
      <c r="AE1186" s="48" t="s">
        <v>375</v>
      </c>
      <c r="AF1186" s="48" t="s">
        <v>375</v>
      </c>
      <c r="AG1186" s="48" t="s">
        <v>375</v>
      </c>
      <c r="AH1186" s="48" t="s">
        <v>375</v>
      </c>
      <c r="AI1186" s="48" t="s">
        <v>375</v>
      </c>
      <c r="AJ1186" s="48" t="s">
        <v>375</v>
      </c>
      <c r="AK1186" s="48" t="s">
        <v>375</v>
      </c>
      <c r="AL1186" s="48" t="s">
        <v>320</v>
      </c>
    </row>
    <row r="1187" spans="1:45" hidden="1" x14ac:dyDescent="0.25">
      <c r="A1187">
        <v>1186</v>
      </c>
      <c r="B1187">
        <v>2025</v>
      </c>
      <c r="C1187">
        <v>12</v>
      </c>
      <c r="D1187" t="s">
        <v>164</v>
      </c>
      <c r="E1187">
        <v>31</v>
      </c>
      <c r="F1187">
        <v>11</v>
      </c>
      <c r="G1187" t="s">
        <v>431</v>
      </c>
      <c r="H1187" s="48">
        <v>0.875</v>
      </c>
      <c r="I1187" s="48">
        <v>0.875</v>
      </c>
      <c r="J1187" s="48">
        <v>0.875</v>
      </c>
      <c r="K1187" s="48">
        <v>0.875</v>
      </c>
      <c r="L1187" s="48">
        <v>0.875</v>
      </c>
      <c r="M1187" s="48">
        <v>0.91666666666666674</v>
      </c>
      <c r="N1187" s="48">
        <v>0.875</v>
      </c>
      <c r="O1187" s="48">
        <v>0.875</v>
      </c>
      <c r="P1187" s="48">
        <v>1</v>
      </c>
      <c r="Q1187" s="48">
        <v>0.95833333333333326</v>
      </c>
      <c r="R1187" s="48">
        <v>1</v>
      </c>
      <c r="S1187" s="48">
        <v>0.875</v>
      </c>
      <c r="T1187" s="48">
        <v>0.875</v>
      </c>
      <c r="U1187" s="48">
        <v>0.875</v>
      </c>
      <c r="V1187" s="48">
        <v>0.875</v>
      </c>
      <c r="W1187" s="48">
        <v>0.875</v>
      </c>
      <c r="X1187" s="48">
        <v>0.875</v>
      </c>
      <c r="Y1187" s="48">
        <v>1</v>
      </c>
      <c r="Z1187" s="48">
        <v>1</v>
      </c>
      <c r="AA1187" s="48">
        <v>1</v>
      </c>
      <c r="AB1187" s="48">
        <v>1</v>
      </c>
      <c r="AC1187" s="48">
        <v>0.875</v>
      </c>
      <c r="AD1187" s="48">
        <v>0.875</v>
      </c>
      <c r="AE1187" s="48">
        <v>0.875</v>
      </c>
      <c r="AF1187" s="48">
        <v>1</v>
      </c>
      <c r="AG1187" s="48">
        <v>0.83333333333333326</v>
      </c>
      <c r="AH1187" s="48">
        <v>0.875</v>
      </c>
      <c r="AI1187" s="48">
        <v>0.875</v>
      </c>
      <c r="AJ1187" s="48">
        <v>0.875</v>
      </c>
      <c r="AK1187" s="48">
        <v>1</v>
      </c>
      <c r="AL1187" s="48" t="s">
        <v>320</v>
      </c>
      <c r="AM1187">
        <v>30</v>
      </c>
      <c r="AO1187">
        <v>115.99999999999999</v>
      </c>
    </row>
    <row r="1188" spans="1:45" hidden="1" x14ac:dyDescent="0.25">
      <c r="A1188">
        <v>1187</v>
      </c>
      <c r="B1188">
        <v>2025</v>
      </c>
      <c r="C1188">
        <v>12</v>
      </c>
      <c r="D1188" t="s">
        <v>163</v>
      </c>
      <c r="E1188">
        <v>31</v>
      </c>
      <c r="F1188">
        <v>11</v>
      </c>
      <c r="G1188" t="s">
        <v>430</v>
      </c>
      <c r="H1188" s="48" t="s">
        <v>377</v>
      </c>
      <c r="I1188" s="48" t="s">
        <v>377</v>
      </c>
      <c r="J1188" s="48" t="s">
        <v>377</v>
      </c>
      <c r="K1188" s="48" t="s">
        <v>377</v>
      </c>
      <c r="L1188" s="48" t="s">
        <v>377</v>
      </c>
      <c r="M1188" s="48" t="s">
        <v>377</v>
      </c>
      <c r="N1188" s="48" t="s">
        <v>377</v>
      </c>
      <c r="O1188" s="48" t="s">
        <v>377</v>
      </c>
      <c r="P1188" s="48" t="s">
        <v>377</v>
      </c>
      <c r="Q1188" s="48" t="s">
        <v>377</v>
      </c>
      <c r="R1188" s="48" t="s">
        <v>377</v>
      </c>
      <c r="S1188" s="48" t="s">
        <v>377</v>
      </c>
      <c r="T1188" s="48" t="s">
        <v>377</v>
      </c>
      <c r="U1188" s="48" t="s">
        <v>377</v>
      </c>
      <c r="V1188" s="48" t="s">
        <v>377</v>
      </c>
      <c r="W1188" s="48" t="s">
        <v>377</v>
      </c>
      <c r="X1188" s="48" t="s">
        <v>377</v>
      </c>
      <c r="Y1188" s="48" t="s">
        <v>377</v>
      </c>
      <c r="Z1188" s="48" t="s">
        <v>377</v>
      </c>
      <c r="AA1188" s="48" t="s">
        <v>377</v>
      </c>
      <c r="AB1188" s="48" t="s">
        <v>377</v>
      </c>
      <c r="AC1188" s="48" t="s">
        <v>377</v>
      </c>
      <c r="AD1188" s="48" t="s">
        <v>377</v>
      </c>
      <c r="AE1188" s="48" t="s">
        <v>377</v>
      </c>
      <c r="AF1188" s="48" t="s">
        <v>377</v>
      </c>
      <c r="AG1188" s="48" t="s">
        <v>377</v>
      </c>
      <c r="AH1188" s="48" t="s">
        <v>377</v>
      </c>
      <c r="AI1188" s="48" t="s">
        <v>377</v>
      </c>
      <c r="AJ1188" s="48" t="s">
        <v>377</v>
      </c>
      <c r="AK1188" s="48" t="s">
        <v>377</v>
      </c>
      <c r="AL1188" s="48" t="s">
        <v>320</v>
      </c>
    </row>
    <row r="1189" spans="1:45" hidden="1" x14ac:dyDescent="0.25">
      <c r="A1189">
        <v>1188</v>
      </c>
      <c r="B1189">
        <v>2025</v>
      </c>
      <c r="C1189">
        <v>12</v>
      </c>
      <c r="D1189" t="s">
        <v>163</v>
      </c>
      <c r="E1189">
        <v>31</v>
      </c>
      <c r="F1189">
        <v>11</v>
      </c>
      <c r="G1189" t="s">
        <v>431</v>
      </c>
      <c r="H1189" s="48">
        <v>0.8125</v>
      </c>
      <c r="I1189" s="48">
        <v>0.8125</v>
      </c>
      <c r="J1189" s="48">
        <v>0.8125</v>
      </c>
      <c r="K1189" s="48">
        <v>0.8125</v>
      </c>
      <c r="L1189" s="48">
        <v>0.8125</v>
      </c>
      <c r="M1189" s="48">
        <v>0.8125</v>
      </c>
      <c r="N1189" s="48">
        <v>0.8125</v>
      </c>
      <c r="O1189" s="48">
        <v>0.8125</v>
      </c>
      <c r="P1189" s="48">
        <v>0.8125</v>
      </c>
      <c r="Q1189" s="48">
        <v>0.8125</v>
      </c>
      <c r="R1189" s="48">
        <v>0.8125</v>
      </c>
      <c r="S1189" s="48">
        <v>0.8125</v>
      </c>
      <c r="T1189" s="48">
        <v>0.8125</v>
      </c>
      <c r="U1189" s="48">
        <v>0.8125</v>
      </c>
      <c r="V1189" s="48">
        <v>0.8125</v>
      </c>
      <c r="W1189" s="48">
        <v>0.8125</v>
      </c>
      <c r="X1189" s="48">
        <v>0.8125</v>
      </c>
      <c r="Y1189" s="48">
        <v>0.8125</v>
      </c>
      <c r="Z1189" s="48">
        <v>0.8125</v>
      </c>
      <c r="AA1189" s="48">
        <v>0.8125</v>
      </c>
      <c r="AB1189" s="48">
        <v>0.8125</v>
      </c>
      <c r="AC1189" s="48">
        <v>0.8125</v>
      </c>
      <c r="AD1189" s="48">
        <v>0.8125</v>
      </c>
      <c r="AE1189" s="48">
        <v>0.8125</v>
      </c>
      <c r="AF1189" s="48">
        <v>0.8125</v>
      </c>
      <c r="AG1189" s="48">
        <v>0.8125</v>
      </c>
      <c r="AH1189" s="48">
        <v>0.8125</v>
      </c>
      <c r="AI1189" s="48">
        <v>0.8125</v>
      </c>
      <c r="AJ1189" s="48">
        <v>0.8125</v>
      </c>
      <c r="AK1189" s="48">
        <v>0.8125</v>
      </c>
      <c r="AL1189" s="48" t="s">
        <v>320</v>
      </c>
      <c r="AM1189">
        <v>30</v>
      </c>
      <c r="AO1189">
        <v>90</v>
      </c>
    </row>
    <row r="1190" spans="1:45" hidden="1" x14ac:dyDescent="0.25">
      <c r="A1190">
        <v>1189</v>
      </c>
      <c r="B1190">
        <v>2025</v>
      </c>
      <c r="C1190">
        <v>12</v>
      </c>
      <c r="D1190" t="s">
        <v>131</v>
      </c>
      <c r="E1190">
        <v>31</v>
      </c>
      <c r="F1190">
        <v>11</v>
      </c>
      <c r="G1190" t="s">
        <v>430</v>
      </c>
      <c r="H1190" s="48" t="s">
        <v>375</v>
      </c>
      <c r="I1190" s="48" t="s">
        <v>375</v>
      </c>
      <c r="J1190" s="48" t="s">
        <v>375</v>
      </c>
      <c r="K1190" s="48" t="s">
        <v>375</v>
      </c>
      <c r="L1190" s="48" t="s">
        <v>375</v>
      </c>
      <c r="M1190" s="48" t="s">
        <v>375</v>
      </c>
      <c r="N1190" s="48" t="s">
        <v>375</v>
      </c>
      <c r="O1190" s="48" t="s">
        <v>375</v>
      </c>
      <c r="P1190" s="48" t="s">
        <v>375</v>
      </c>
      <c r="Q1190" s="48" t="s">
        <v>375</v>
      </c>
      <c r="R1190" s="48" t="s">
        <v>375</v>
      </c>
      <c r="S1190" s="48" t="s">
        <v>375</v>
      </c>
      <c r="T1190" s="48" t="s">
        <v>375</v>
      </c>
      <c r="U1190" s="48" t="s">
        <v>375</v>
      </c>
      <c r="V1190" s="48" t="s">
        <v>375</v>
      </c>
      <c r="W1190" s="48" t="s">
        <v>375</v>
      </c>
      <c r="X1190" s="48" t="s">
        <v>375</v>
      </c>
      <c r="Y1190" s="48" t="s">
        <v>375</v>
      </c>
      <c r="Z1190" s="48" t="s">
        <v>375</v>
      </c>
      <c r="AA1190" s="48" t="s">
        <v>375</v>
      </c>
      <c r="AB1190" s="48" t="s">
        <v>375</v>
      </c>
      <c r="AC1190" s="48" t="s">
        <v>375</v>
      </c>
      <c r="AD1190" s="48" t="s">
        <v>375</v>
      </c>
      <c r="AE1190" s="48" t="s">
        <v>375</v>
      </c>
      <c r="AF1190" s="48" t="s">
        <v>375</v>
      </c>
      <c r="AG1190" s="48" t="s">
        <v>375</v>
      </c>
      <c r="AH1190" s="48" t="s">
        <v>375</v>
      </c>
      <c r="AI1190" s="48" t="s">
        <v>375</v>
      </c>
      <c r="AJ1190" s="48" t="s">
        <v>375</v>
      </c>
      <c r="AK1190" s="48" t="s">
        <v>375</v>
      </c>
      <c r="AL1190" s="48" t="s">
        <v>320</v>
      </c>
    </row>
    <row r="1191" spans="1:45" hidden="1" x14ac:dyDescent="0.25">
      <c r="A1191">
        <v>1190</v>
      </c>
      <c r="B1191">
        <v>2025</v>
      </c>
      <c r="C1191">
        <v>12</v>
      </c>
      <c r="D1191" t="s">
        <v>131</v>
      </c>
      <c r="E1191">
        <v>31</v>
      </c>
      <c r="F1191">
        <v>11</v>
      </c>
      <c r="G1191" t="s">
        <v>431</v>
      </c>
      <c r="H1191" s="48">
        <v>0.875</v>
      </c>
      <c r="I1191" s="48">
        <v>0.91666666666666674</v>
      </c>
      <c r="J1191" s="48">
        <v>0.875</v>
      </c>
      <c r="K1191" s="48">
        <v>0.875</v>
      </c>
      <c r="L1191" s="48">
        <v>0.875</v>
      </c>
      <c r="M1191" s="48">
        <v>0.79166666666666674</v>
      </c>
      <c r="N1191" s="48">
        <v>0.875</v>
      </c>
      <c r="O1191" s="48">
        <v>0.875</v>
      </c>
      <c r="P1191" s="48">
        <v>0.875</v>
      </c>
      <c r="Q1191" s="48">
        <v>0.91666666666666674</v>
      </c>
      <c r="R1191" s="48">
        <v>0.91666666666666674</v>
      </c>
      <c r="S1191" s="48">
        <v>0.91666666666666674</v>
      </c>
      <c r="T1191" s="48">
        <v>0.91666666666666674</v>
      </c>
      <c r="U1191" s="48">
        <v>0.83333333333333326</v>
      </c>
      <c r="V1191" s="48">
        <v>0.83333333333333326</v>
      </c>
      <c r="W1191" s="48">
        <v>0.875</v>
      </c>
      <c r="X1191" s="48">
        <v>0.91666666666666674</v>
      </c>
      <c r="Y1191" s="48">
        <v>0.91666666666666674</v>
      </c>
      <c r="Z1191" s="48">
        <v>0.91666666666666674</v>
      </c>
      <c r="AA1191" s="48">
        <v>0.95833333333333326</v>
      </c>
      <c r="AB1191" s="48">
        <v>0.95833333333333326</v>
      </c>
      <c r="AC1191" s="48">
        <v>0.95833333333333326</v>
      </c>
      <c r="AD1191" s="48">
        <v>0.83333333333333326</v>
      </c>
      <c r="AE1191" s="48">
        <v>0.95833333333333326</v>
      </c>
      <c r="AF1191" s="48">
        <v>0.83333333333333326</v>
      </c>
      <c r="AG1191" s="48">
        <v>0.95833333333333326</v>
      </c>
      <c r="AH1191" s="48">
        <v>0.95833333333333326</v>
      </c>
      <c r="AI1191" s="48">
        <v>0.95833333333333326</v>
      </c>
      <c r="AJ1191" s="48">
        <v>0.95833333333333326</v>
      </c>
      <c r="AK1191" s="48">
        <v>0.95833333333333326</v>
      </c>
      <c r="AL1191" s="48" t="s">
        <v>320</v>
      </c>
      <c r="AM1191">
        <v>30</v>
      </c>
      <c r="AO1191">
        <v>109.99999999999999</v>
      </c>
    </row>
    <row r="1192" spans="1:45" hidden="1" x14ac:dyDescent="0.25">
      <c r="A1192">
        <v>1191</v>
      </c>
      <c r="B1192">
        <v>2025</v>
      </c>
      <c r="C1192">
        <v>12</v>
      </c>
      <c r="D1192" t="s">
        <v>174</v>
      </c>
      <c r="E1192">
        <v>31</v>
      </c>
      <c r="F1192">
        <v>11</v>
      </c>
      <c r="G1192" t="s">
        <v>430</v>
      </c>
      <c r="H1192" s="48" t="s">
        <v>425</v>
      </c>
      <c r="I1192" s="48" t="s">
        <v>375</v>
      </c>
      <c r="J1192" s="48" t="s">
        <v>424</v>
      </c>
      <c r="K1192" s="48" t="s">
        <v>375</v>
      </c>
      <c r="L1192" s="48" t="s">
        <v>375</v>
      </c>
      <c r="M1192" s="48" t="s">
        <v>375</v>
      </c>
      <c r="N1192" s="48" t="s">
        <v>375</v>
      </c>
      <c r="O1192" s="48" t="s">
        <v>375</v>
      </c>
      <c r="P1192" s="48" t="s">
        <v>423</v>
      </c>
      <c r="Q1192" s="48" t="s">
        <v>375</v>
      </c>
      <c r="R1192" s="48" t="s">
        <v>375</v>
      </c>
      <c r="S1192" s="48" t="s">
        <v>375</v>
      </c>
      <c r="T1192" s="48" t="s">
        <v>420</v>
      </c>
      <c r="U1192" s="48" t="s">
        <v>375</v>
      </c>
      <c r="V1192" s="48" t="s">
        <v>375</v>
      </c>
      <c r="W1192" s="48" t="s">
        <v>375</v>
      </c>
      <c r="X1192" s="48" t="s">
        <v>375</v>
      </c>
      <c r="Y1192" s="48" t="s">
        <v>375</v>
      </c>
      <c r="Z1192" s="48" t="s">
        <v>375</v>
      </c>
      <c r="AA1192" s="48" t="s">
        <v>425</v>
      </c>
      <c r="AB1192" s="48" t="s">
        <v>425</v>
      </c>
      <c r="AC1192" s="48" t="s">
        <v>375</v>
      </c>
      <c r="AD1192" s="48" t="s">
        <v>375</v>
      </c>
      <c r="AE1192" s="48" t="s">
        <v>425</v>
      </c>
      <c r="AF1192" s="48" t="s">
        <v>379</v>
      </c>
      <c r="AG1192" s="48" t="s">
        <v>375</v>
      </c>
      <c r="AH1192" s="48" t="s">
        <v>375</v>
      </c>
      <c r="AI1192" s="48" t="s">
        <v>375</v>
      </c>
      <c r="AJ1192" s="48" t="s">
        <v>420</v>
      </c>
      <c r="AK1192" s="48" t="s">
        <v>375</v>
      </c>
      <c r="AL1192" s="48" t="s">
        <v>320</v>
      </c>
    </row>
    <row r="1193" spans="1:45" hidden="1" x14ac:dyDescent="0.25">
      <c r="A1193">
        <v>1192</v>
      </c>
      <c r="B1193">
        <v>2025</v>
      </c>
      <c r="C1193">
        <v>12</v>
      </c>
      <c r="D1193" t="s">
        <v>174</v>
      </c>
      <c r="E1193">
        <v>31</v>
      </c>
      <c r="F1193">
        <v>11</v>
      </c>
      <c r="G1193" t="s">
        <v>431</v>
      </c>
      <c r="H1193" s="48">
        <v>0.83333333333333337</v>
      </c>
      <c r="I1193" s="48">
        <v>0.75</v>
      </c>
      <c r="J1193" s="48">
        <v>0.75</v>
      </c>
      <c r="K1193" s="48">
        <v>0.79166666666666674</v>
      </c>
      <c r="L1193" s="48">
        <v>0.83333333333333326</v>
      </c>
      <c r="M1193" s="48">
        <v>0.75</v>
      </c>
      <c r="N1193" s="48">
        <v>0.75</v>
      </c>
      <c r="O1193" s="48">
        <v>0.91666666666666674</v>
      </c>
      <c r="P1193" s="48">
        <v>0.95833333333333326</v>
      </c>
      <c r="Q1193" s="48">
        <v>1.0416666666666667</v>
      </c>
      <c r="R1193" s="48">
        <v>0.91666666666666674</v>
      </c>
      <c r="S1193" s="48">
        <v>0.875</v>
      </c>
      <c r="T1193" s="48">
        <v>1.75</v>
      </c>
      <c r="U1193" s="48">
        <v>0.75</v>
      </c>
      <c r="V1193" s="48">
        <v>1</v>
      </c>
      <c r="W1193" s="48">
        <v>0.75</v>
      </c>
      <c r="X1193" s="48">
        <v>0.75</v>
      </c>
      <c r="Y1193" s="48">
        <v>0.75</v>
      </c>
      <c r="Z1193" s="48">
        <v>0.75</v>
      </c>
      <c r="AA1193" s="48">
        <v>0.75</v>
      </c>
      <c r="AB1193" s="48">
        <v>0.75</v>
      </c>
      <c r="AC1193" s="48">
        <v>0.75</v>
      </c>
      <c r="AD1193" s="48">
        <v>0.91666666666666674</v>
      </c>
      <c r="AE1193" s="48">
        <v>0.75</v>
      </c>
      <c r="AF1193" s="48">
        <v>0.75</v>
      </c>
      <c r="AG1193" s="48">
        <v>0.83333333333333326</v>
      </c>
      <c r="AH1193" s="48">
        <v>0.95833333333333326</v>
      </c>
      <c r="AI1193" s="48">
        <v>0.83333333333333326</v>
      </c>
      <c r="AJ1193" s="48">
        <v>1.75</v>
      </c>
      <c r="AK1193" s="48">
        <v>0.75</v>
      </c>
      <c r="AL1193" s="48" t="s">
        <v>320</v>
      </c>
      <c r="AM1193">
        <v>30</v>
      </c>
      <c r="AO1193">
        <v>97</v>
      </c>
    </row>
    <row r="1194" spans="1:45" hidden="1" x14ac:dyDescent="0.25">
      <c r="A1194">
        <v>1193</v>
      </c>
      <c r="B1194">
        <v>2025</v>
      </c>
      <c r="C1194">
        <v>12</v>
      </c>
      <c r="D1194" t="s">
        <v>184</v>
      </c>
      <c r="E1194">
        <v>31</v>
      </c>
      <c r="F1194">
        <v>11</v>
      </c>
      <c r="G1194" t="s">
        <v>432</v>
      </c>
      <c r="H1194" s="48">
        <v>337424</v>
      </c>
      <c r="I1194" s="48">
        <v>337468</v>
      </c>
      <c r="J1194" s="48">
        <v>337499</v>
      </c>
      <c r="K1194" s="48">
        <v>337523</v>
      </c>
      <c r="L1194" s="48">
        <v>337554</v>
      </c>
      <c r="M1194" s="48">
        <v>337590</v>
      </c>
      <c r="N1194" s="48">
        <v>337693</v>
      </c>
      <c r="O1194" s="48">
        <v>337882</v>
      </c>
      <c r="P1194" s="48">
        <v>337970</v>
      </c>
      <c r="Q1194" s="48">
        <v>337990</v>
      </c>
      <c r="R1194" s="48">
        <v>338046</v>
      </c>
      <c r="S1194" s="48">
        <v>338123</v>
      </c>
      <c r="T1194" s="48">
        <v>338151</v>
      </c>
      <c r="U1194" s="48">
        <v>338176</v>
      </c>
      <c r="V1194" s="48">
        <v>338198</v>
      </c>
      <c r="W1194" s="48">
        <v>338255</v>
      </c>
      <c r="X1194" s="48">
        <v>338367</v>
      </c>
      <c r="Y1194" s="48">
        <v>338476</v>
      </c>
      <c r="Z1194" s="48">
        <v>338534</v>
      </c>
      <c r="AA1194" s="48">
        <v>338574</v>
      </c>
      <c r="AB1194" s="48">
        <v>338596</v>
      </c>
      <c r="AC1194" s="48">
        <v>338708</v>
      </c>
      <c r="AD1194" s="48">
        <v>338746</v>
      </c>
      <c r="AE1194" s="48">
        <v>338796</v>
      </c>
      <c r="AF1194" s="48">
        <v>338835</v>
      </c>
      <c r="AG1194" s="48">
        <v>338864</v>
      </c>
      <c r="AH1194" s="48">
        <v>338983</v>
      </c>
      <c r="AI1194" s="48">
        <v>339018</v>
      </c>
      <c r="AJ1194" s="48">
        <v>339039</v>
      </c>
      <c r="AK1194" s="48">
        <v>339067</v>
      </c>
      <c r="AL1194" s="48">
        <v>0</v>
      </c>
    </row>
    <row r="1195" spans="1:45" hidden="1" x14ac:dyDescent="0.25">
      <c r="A1195">
        <v>1194</v>
      </c>
      <c r="B1195">
        <v>2025</v>
      </c>
      <c r="C1195">
        <v>12</v>
      </c>
      <c r="D1195" t="s">
        <v>184</v>
      </c>
      <c r="E1195">
        <v>31</v>
      </c>
      <c r="F1195">
        <v>11</v>
      </c>
      <c r="G1195" t="s">
        <v>433</v>
      </c>
      <c r="H1195" s="48">
        <v>337468</v>
      </c>
      <c r="I1195" s="48">
        <v>337499</v>
      </c>
      <c r="J1195" s="48">
        <v>337523</v>
      </c>
      <c r="K1195" s="48">
        <v>337554</v>
      </c>
      <c r="L1195" s="48">
        <v>337590</v>
      </c>
      <c r="M1195" s="48">
        <v>337693</v>
      </c>
      <c r="N1195" s="48">
        <v>337882</v>
      </c>
      <c r="O1195" s="48">
        <v>337970</v>
      </c>
      <c r="P1195" s="48">
        <v>337990</v>
      </c>
      <c r="Q1195" s="48">
        <v>338046</v>
      </c>
      <c r="R1195" s="48">
        <v>338123</v>
      </c>
      <c r="S1195" s="48">
        <v>338151</v>
      </c>
      <c r="T1195" s="48">
        <v>338176</v>
      </c>
      <c r="U1195" s="48">
        <v>338198</v>
      </c>
      <c r="V1195" s="48">
        <v>338255</v>
      </c>
      <c r="W1195" s="48">
        <v>338367</v>
      </c>
      <c r="X1195" s="48">
        <v>338476</v>
      </c>
      <c r="Y1195" s="48">
        <v>338534</v>
      </c>
      <c r="Z1195" s="48">
        <v>338574</v>
      </c>
      <c r="AA1195" s="48">
        <v>338596</v>
      </c>
      <c r="AB1195" s="48">
        <v>338708</v>
      </c>
      <c r="AC1195" s="48">
        <v>338746</v>
      </c>
      <c r="AD1195" s="48">
        <v>338796</v>
      </c>
      <c r="AE1195" s="48">
        <v>338835</v>
      </c>
      <c r="AF1195" s="48">
        <v>338864</v>
      </c>
      <c r="AG1195" s="48">
        <v>338983</v>
      </c>
      <c r="AH1195" s="48">
        <v>339018</v>
      </c>
      <c r="AI1195" s="48">
        <v>339039</v>
      </c>
      <c r="AJ1195" s="48">
        <v>339067</v>
      </c>
      <c r="AK1195" s="48">
        <v>339112</v>
      </c>
      <c r="AL1195" s="48">
        <v>0</v>
      </c>
      <c r="AP1195">
        <v>253.2</v>
      </c>
      <c r="AQ1195">
        <v>15</v>
      </c>
      <c r="AS1195">
        <v>1688</v>
      </c>
    </row>
    <row r="1196" spans="1:45" hidden="1" x14ac:dyDescent="0.25">
      <c r="A1196">
        <v>1195</v>
      </c>
      <c r="B1196">
        <v>2025</v>
      </c>
      <c r="C1196">
        <v>12</v>
      </c>
      <c r="D1196" t="s">
        <v>155</v>
      </c>
      <c r="E1196">
        <v>31</v>
      </c>
      <c r="F1196">
        <v>11</v>
      </c>
      <c r="G1196" t="s">
        <v>432</v>
      </c>
      <c r="H1196" s="48">
        <v>391803</v>
      </c>
      <c r="I1196" s="48">
        <v>391960</v>
      </c>
      <c r="J1196" s="48">
        <v>392123</v>
      </c>
      <c r="K1196" s="48">
        <v>392294</v>
      </c>
      <c r="L1196" s="48">
        <v>392461</v>
      </c>
      <c r="M1196" s="48">
        <v>392615</v>
      </c>
      <c r="N1196" s="48">
        <v>392773</v>
      </c>
      <c r="O1196" s="48">
        <v>392917</v>
      </c>
      <c r="P1196" s="48">
        <v>393078</v>
      </c>
      <c r="Q1196" s="48">
        <v>393244</v>
      </c>
      <c r="R1196" s="48">
        <v>393396</v>
      </c>
      <c r="S1196" s="48">
        <v>393574</v>
      </c>
      <c r="T1196" s="48">
        <v>394139</v>
      </c>
      <c r="U1196" s="48">
        <v>394296</v>
      </c>
      <c r="V1196" s="48">
        <v>394439</v>
      </c>
      <c r="W1196" s="48">
        <v>394591</v>
      </c>
      <c r="X1196" s="48">
        <v>394740</v>
      </c>
      <c r="Y1196" s="48">
        <v>394896</v>
      </c>
      <c r="Z1196" s="48">
        <v>395060</v>
      </c>
      <c r="AA1196" s="48">
        <v>395233</v>
      </c>
      <c r="AB1196" s="48">
        <v>395411</v>
      </c>
      <c r="AC1196" s="48">
        <v>395557</v>
      </c>
      <c r="AD1196" s="48">
        <v>395718</v>
      </c>
      <c r="AE1196" s="48">
        <v>395890</v>
      </c>
      <c r="AF1196" s="48">
        <v>396067</v>
      </c>
      <c r="AG1196" s="48">
        <v>396249</v>
      </c>
      <c r="AH1196" s="48">
        <v>396423</v>
      </c>
      <c r="AI1196" s="48">
        <v>396587</v>
      </c>
      <c r="AJ1196" s="48">
        <v>396713</v>
      </c>
      <c r="AK1196" s="48">
        <v>396846</v>
      </c>
      <c r="AL1196" s="48">
        <v>0</v>
      </c>
    </row>
    <row r="1197" spans="1:45" hidden="1" x14ac:dyDescent="0.25">
      <c r="A1197">
        <v>1196</v>
      </c>
      <c r="B1197">
        <v>2025</v>
      </c>
      <c r="C1197">
        <v>12</v>
      </c>
      <c r="D1197" t="s">
        <v>155</v>
      </c>
      <c r="E1197">
        <v>31</v>
      </c>
      <c r="F1197">
        <v>11</v>
      </c>
      <c r="G1197" t="s">
        <v>433</v>
      </c>
      <c r="H1197" s="48">
        <v>391960</v>
      </c>
      <c r="I1197" s="48">
        <v>392123</v>
      </c>
      <c r="J1197" s="48">
        <v>392294</v>
      </c>
      <c r="K1197" s="48">
        <v>392461</v>
      </c>
      <c r="L1197" s="48">
        <v>392615</v>
      </c>
      <c r="M1197" s="48">
        <v>392773</v>
      </c>
      <c r="N1197" s="48">
        <v>392917</v>
      </c>
      <c r="O1197" s="48">
        <v>393078</v>
      </c>
      <c r="P1197" s="48">
        <v>393244</v>
      </c>
      <c r="Q1197" s="48">
        <v>393396</v>
      </c>
      <c r="R1197" s="48">
        <v>393574</v>
      </c>
      <c r="S1197" s="48">
        <v>393739</v>
      </c>
      <c r="T1197" s="48">
        <v>394296</v>
      </c>
      <c r="U1197" s="48">
        <v>394439</v>
      </c>
      <c r="V1197" s="48">
        <v>394591</v>
      </c>
      <c r="W1197" s="48">
        <v>394740</v>
      </c>
      <c r="X1197" s="48">
        <v>394896</v>
      </c>
      <c r="Y1197" s="48">
        <v>395060</v>
      </c>
      <c r="Z1197" s="48">
        <v>395233</v>
      </c>
      <c r="AA1197" s="48">
        <v>395411</v>
      </c>
      <c r="AB1197" s="48">
        <v>395557</v>
      </c>
      <c r="AC1197" s="48">
        <v>395718</v>
      </c>
      <c r="AD1197" s="48">
        <v>395890</v>
      </c>
      <c r="AE1197" s="48">
        <v>396067</v>
      </c>
      <c r="AF1197" s="48">
        <v>396249</v>
      </c>
      <c r="AG1197" s="48">
        <v>396423</v>
      </c>
      <c r="AH1197" s="48">
        <v>396587</v>
      </c>
      <c r="AI1197" s="48">
        <v>396713</v>
      </c>
      <c r="AJ1197" s="48">
        <v>396846</v>
      </c>
      <c r="AK1197" s="48">
        <v>396994</v>
      </c>
      <c r="AL1197" s="48">
        <v>0</v>
      </c>
      <c r="AP1197">
        <v>718.65</v>
      </c>
      <c r="AQ1197">
        <v>15</v>
      </c>
      <c r="AS1197">
        <v>4791</v>
      </c>
    </row>
    <row r="1198" spans="1:45" hidden="1" x14ac:dyDescent="0.25">
      <c r="A1198">
        <v>1197</v>
      </c>
      <c r="B1198">
        <v>2025</v>
      </c>
      <c r="C1198">
        <v>12</v>
      </c>
      <c r="D1198" t="s">
        <v>180</v>
      </c>
      <c r="E1198">
        <v>31</v>
      </c>
      <c r="F1198">
        <v>11</v>
      </c>
      <c r="G1198" t="s">
        <v>432</v>
      </c>
      <c r="H1198" s="48">
        <v>509133</v>
      </c>
      <c r="I1198" s="48">
        <v>509166</v>
      </c>
      <c r="J1198" s="48">
        <v>509204</v>
      </c>
      <c r="K1198" s="48">
        <v>509233</v>
      </c>
      <c r="L1198" s="48">
        <v>509267</v>
      </c>
      <c r="M1198" s="48">
        <v>509309</v>
      </c>
      <c r="N1198" s="48">
        <v>509351</v>
      </c>
      <c r="O1198" s="48">
        <v>509369</v>
      </c>
      <c r="P1198" s="48">
        <v>509456</v>
      </c>
      <c r="Q1198" s="48">
        <v>509541</v>
      </c>
      <c r="R1198" s="48">
        <v>509580</v>
      </c>
      <c r="S1198" s="48">
        <v>509615</v>
      </c>
      <c r="T1198" s="48">
        <v>509646</v>
      </c>
      <c r="U1198" s="48">
        <v>0</v>
      </c>
      <c r="V1198" s="48">
        <v>510173</v>
      </c>
      <c r="W1198" s="48">
        <v>510229</v>
      </c>
      <c r="X1198" s="48">
        <v>510271</v>
      </c>
      <c r="Y1198" s="48">
        <v>510346</v>
      </c>
      <c r="Z1198" s="48">
        <v>510411</v>
      </c>
      <c r="AA1198" s="48">
        <v>510447</v>
      </c>
      <c r="AB1198" s="48">
        <v>510480</v>
      </c>
      <c r="AC1198" s="48">
        <v>510500</v>
      </c>
      <c r="AD1198" s="48">
        <v>510534</v>
      </c>
      <c r="AE1198" s="48">
        <v>510564</v>
      </c>
      <c r="AF1198" s="48">
        <v>510629</v>
      </c>
      <c r="AG1198" s="48">
        <v>510748</v>
      </c>
      <c r="AH1198" s="48">
        <v>510907</v>
      </c>
      <c r="AI1198" s="48">
        <v>0</v>
      </c>
      <c r="AJ1198" s="48">
        <v>510944</v>
      </c>
      <c r="AK1198" s="48">
        <v>510972</v>
      </c>
      <c r="AL1198" s="48">
        <v>0</v>
      </c>
    </row>
    <row r="1199" spans="1:45" hidden="1" x14ac:dyDescent="0.25">
      <c r="A1199">
        <v>1198</v>
      </c>
      <c r="B1199">
        <v>2025</v>
      </c>
      <c r="C1199">
        <v>12</v>
      </c>
      <c r="D1199" t="s">
        <v>180</v>
      </c>
      <c r="E1199">
        <v>31</v>
      </c>
      <c r="F1199">
        <v>11</v>
      </c>
      <c r="G1199" t="s">
        <v>433</v>
      </c>
      <c r="H1199" s="48">
        <v>509166</v>
      </c>
      <c r="I1199" s="48">
        <v>509204</v>
      </c>
      <c r="J1199" s="48">
        <v>509233</v>
      </c>
      <c r="K1199" s="48">
        <v>509267</v>
      </c>
      <c r="L1199" s="48">
        <v>509309</v>
      </c>
      <c r="M1199" s="48">
        <v>509351</v>
      </c>
      <c r="N1199" s="48">
        <v>509369</v>
      </c>
      <c r="O1199" s="48">
        <v>509456</v>
      </c>
      <c r="P1199" s="48">
        <v>509541</v>
      </c>
      <c r="Q1199" s="48">
        <v>509580</v>
      </c>
      <c r="R1199" s="48">
        <v>509615</v>
      </c>
      <c r="S1199" s="48">
        <v>509646</v>
      </c>
      <c r="T1199" s="48">
        <v>509746</v>
      </c>
      <c r="U1199" s="48">
        <v>0</v>
      </c>
      <c r="V1199" s="48">
        <v>510229</v>
      </c>
      <c r="W1199" s="48">
        <v>510271</v>
      </c>
      <c r="X1199" s="48">
        <v>510346</v>
      </c>
      <c r="Y1199" s="48">
        <v>510411</v>
      </c>
      <c r="Z1199" s="48">
        <v>510447</v>
      </c>
      <c r="AA1199" s="48">
        <v>510480</v>
      </c>
      <c r="AB1199" s="48">
        <v>510500</v>
      </c>
      <c r="AC1199" s="48">
        <v>510534</v>
      </c>
      <c r="AD1199" s="48">
        <v>510564</v>
      </c>
      <c r="AE1199" s="48">
        <v>510629</v>
      </c>
      <c r="AF1199" s="48">
        <v>510748</v>
      </c>
      <c r="AG1199" s="48">
        <v>510907</v>
      </c>
      <c r="AH1199" s="48">
        <v>510944</v>
      </c>
      <c r="AI1199" s="48">
        <v>0</v>
      </c>
      <c r="AJ1199" s="48">
        <v>510972</v>
      </c>
      <c r="AK1199" s="48">
        <v>510988</v>
      </c>
      <c r="AL1199" s="48">
        <v>0</v>
      </c>
      <c r="AP1199">
        <v>214.2</v>
      </c>
      <c r="AQ1199">
        <v>15</v>
      </c>
      <c r="AS1199">
        <v>1428</v>
      </c>
    </row>
    <row r="1200" spans="1:45" hidden="1" x14ac:dyDescent="0.25">
      <c r="A1200">
        <v>1199</v>
      </c>
      <c r="B1200">
        <v>2025</v>
      </c>
      <c r="C1200">
        <v>12</v>
      </c>
      <c r="D1200" t="s">
        <v>176</v>
      </c>
      <c r="E1200">
        <v>31</v>
      </c>
      <c r="F1200">
        <v>11</v>
      </c>
      <c r="G1200" t="s">
        <v>432</v>
      </c>
      <c r="H1200" s="48">
        <v>236929</v>
      </c>
      <c r="I1200" s="48">
        <v>237066</v>
      </c>
      <c r="J1200" s="48">
        <v>237235</v>
      </c>
      <c r="K1200" s="48">
        <v>237407</v>
      </c>
      <c r="L1200" s="48">
        <v>237577</v>
      </c>
      <c r="M1200" s="48">
        <v>237748</v>
      </c>
      <c r="N1200" s="48">
        <v>237918</v>
      </c>
      <c r="O1200" s="48">
        <v>238091</v>
      </c>
      <c r="P1200" s="48">
        <v>238270</v>
      </c>
      <c r="Q1200" s="48">
        <v>238500</v>
      </c>
      <c r="R1200" s="48">
        <v>239000</v>
      </c>
      <c r="S1200" s="48">
        <v>239170</v>
      </c>
      <c r="T1200" s="48">
        <v>239376</v>
      </c>
      <c r="U1200" s="48">
        <v>239639</v>
      </c>
      <c r="V1200" s="48">
        <v>239807</v>
      </c>
      <c r="W1200" s="48">
        <v>240067</v>
      </c>
      <c r="X1200" s="48">
        <v>240313</v>
      </c>
      <c r="Y1200" s="48">
        <v>240500</v>
      </c>
      <c r="Z1200" s="48">
        <v>240689</v>
      </c>
      <c r="AA1200" s="48">
        <v>240714</v>
      </c>
      <c r="AB1200" s="48">
        <v>240885</v>
      </c>
      <c r="AC1200" s="48">
        <v>241130</v>
      </c>
      <c r="AD1200" s="48">
        <v>241299</v>
      </c>
      <c r="AE1200" s="48">
        <v>241478</v>
      </c>
      <c r="AF1200" s="48">
        <v>241649</v>
      </c>
      <c r="AG1200" s="48">
        <v>241902</v>
      </c>
      <c r="AH1200" s="48">
        <v>242072</v>
      </c>
      <c r="AI1200" s="48">
        <v>242244</v>
      </c>
      <c r="AJ1200" s="48">
        <v>242412</v>
      </c>
      <c r="AK1200" s="48">
        <v>242580</v>
      </c>
      <c r="AL1200" s="48">
        <v>0</v>
      </c>
    </row>
    <row r="1201" spans="1:45" hidden="1" x14ac:dyDescent="0.25">
      <c r="A1201">
        <v>1200</v>
      </c>
      <c r="B1201">
        <v>2025</v>
      </c>
      <c r="C1201">
        <v>12</v>
      </c>
      <c r="D1201" t="s">
        <v>176</v>
      </c>
      <c r="E1201">
        <v>31</v>
      </c>
      <c r="F1201">
        <v>11</v>
      </c>
      <c r="G1201" t="s">
        <v>433</v>
      </c>
      <c r="H1201" s="48">
        <v>237066</v>
      </c>
      <c r="I1201" s="48">
        <v>237235</v>
      </c>
      <c r="J1201" s="48">
        <v>237407</v>
      </c>
      <c r="K1201" s="48">
        <v>237577</v>
      </c>
      <c r="L1201" s="48">
        <v>237748</v>
      </c>
      <c r="M1201" s="48">
        <v>237918</v>
      </c>
      <c r="N1201" s="48">
        <v>238091</v>
      </c>
      <c r="O1201" s="48">
        <v>238270</v>
      </c>
      <c r="P1201" s="48">
        <v>238500</v>
      </c>
      <c r="Q1201" s="48">
        <v>239000</v>
      </c>
      <c r="R1201" s="48">
        <v>239170</v>
      </c>
      <c r="S1201" s="48">
        <v>239376</v>
      </c>
      <c r="T1201" s="48">
        <v>239639</v>
      </c>
      <c r="U1201" s="48">
        <v>239807</v>
      </c>
      <c r="V1201" s="48">
        <v>240067</v>
      </c>
      <c r="W1201" s="48">
        <v>240313</v>
      </c>
      <c r="X1201" s="48">
        <v>240500</v>
      </c>
      <c r="Y1201" s="48">
        <v>240689</v>
      </c>
      <c r="Z1201" s="48">
        <v>240714</v>
      </c>
      <c r="AA1201" s="48">
        <v>240885</v>
      </c>
      <c r="AB1201" s="48">
        <v>241130</v>
      </c>
      <c r="AC1201" s="48">
        <v>241299</v>
      </c>
      <c r="AD1201" s="48">
        <v>241478</v>
      </c>
      <c r="AE1201" s="48">
        <v>241649</v>
      </c>
      <c r="AF1201" s="48">
        <v>241902</v>
      </c>
      <c r="AG1201" s="48">
        <v>242072</v>
      </c>
      <c r="AH1201" s="48">
        <v>242244</v>
      </c>
      <c r="AI1201" s="48">
        <v>242412</v>
      </c>
      <c r="AJ1201" s="48">
        <v>242580</v>
      </c>
      <c r="AK1201" s="48">
        <v>242741</v>
      </c>
      <c r="AL1201" s="48">
        <v>0</v>
      </c>
      <c r="AP1201">
        <v>871.8</v>
      </c>
      <c r="AQ1201">
        <v>15</v>
      </c>
      <c r="AS1201">
        <v>5812</v>
      </c>
    </row>
    <row r="1202" spans="1:45" hidden="1" x14ac:dyDescent="0.25">
      <c r="A1202">
        <v>1201</v>
      </c>
      <c r="B1202">
        <v>2025</v>
      </c>
      <c r="C1202">
        <v>12</v>
      </c>
      <c r="D1202" t="s">
        <v>162</v>
      </c>
      <c r="E1202">
        <v>31</v>
      </c>
      <c r="F1202">
        <v>11</v>
      </c>
      <c r="G1202" t="s">
        <v>432</v>
      </c>
      <c r="H1202" s="48">
        <v>22644</v>
      </c>
      <c r="I1202" s="48">
        <v>22841</v>
      </c>
      <c r="J1202" s="48">
        <v>23013</v>
      </c>
      <c r="K1202" s="48">
        <v>23278</v>
      </c>
      <c r="L1202" s="48">
        <v>23470</v>
      </c>
      <c r="M1202" s="48">
        <v>23684</v>
      </c>
      <c r="O1202" s="48">
        <v>23870</v>
      </c>
      <c r="P1202" s="48">
        <v>24078</v>
      </c>
      <c r="Q1202" s="48">
        <v>24251</v>
      </c>
      <c r="R1202" s="48">
        <v>24436</v>
      </c>
      <c r="S1202" s="48">
        <v>24663</v>
      </c>
      <c r="T1202" s="48">
        <v>24849</v>
      </c>
      <c r="U1202" s="48">
        <v>25046</v>
      </c>
      <c r="V1202" s="48">
        <v>25261</v>
      </c>
      <c r="W1202" s="48">
        <v>25443</v>
      </c>
      <c r="X1202" s="48">
        <v>25611</v>
      </c>
      <c r="Y1202" s="48">
        <v>25790</v>
      </c>
      <c r="Z1202" s="48">
        <v>25982</v>
      </c>
      <c r="AA1202" s="48">
        <v>26195</v>
      </c>
      <c r="AB1202" s="48">
        <v>26443</v>
      </c>
      <c r="AC1202" s="48">
        <v>26625</v>
      </c>
      <c r="AD1202" s="48">
        <v>26853</v>
      </c>
      <c r="AE1202" s="48">
        <v>27067</v>
      </c>
      <c r="AF1202" s="48">
        <v>27260</v>
      </c>
      <c r="AG1202" s="48">
        <v>27498</v>
      </c>
      <c r="AH1202" s="48">
        <v>27712</v>
      </c>
      <c r="AI1202" s="48">
        <v>27910</v>
      </c>
      <c r="AJ1202" s="48">
        <v>28157</v>
      </c>
      <c r="AK1202" s="48">
        <v>28398</v>
      </c>
      <c r="AL1202" s="48">
        <v>28624</v>
      </c>
    </row>
    <row r="1203" spans="1:45" hidden="1" x14ac:dyDescent="0.25">
      <c r="A1203">
        <v>1202</v>
      </c>
      <c r="B1203">
        <v>2025</v>
      </c>
      <c r="C1203">
        <v>12</v>
      </c>
      <c r="D1203" t="s">
        <v>162</v>
      </c>
      <c r="E1203">
        <v>31</v>
      </c>
      <c r="F1203">
        <v>11</v>
      </c>
      <c r="G1203" t="s">
        <v>433</v>
      </c>
      <c r="H1203" s="48">
        <v>22841</v>
      </c>
      <c r="I1203" s="48">
        <v>23013</v>
      </c>
      <c r="J1203" s="48">
        <v>23278</v>
      </c>
      <c r="K1203" s="48">
        <v>23470</v>
      </c>
      <c r="L1203" s="48">
        <v>23684</v>
      </c>
      <c r="M1203" s="48">
        <v>23870</v>
      </c>
      <c r="O1203" s="48">
        <v>24078</v>
      </c>
      <c r="P1203" s="48">
        <v>24251</v>
      </c>
      <c r="Q1203" s="48">
        <v>24436</v>
      </c>
      <c r="R1203" s="48">
        <v>24663</v>
      </c>
      <c r="S1203" s="48">
        <v>24849</v>
      </c>
      <c r="T1203" s="48">
        <v>25046</v>
      </c>
      <c r="U1203" s="48">
        <v>25261</v>
      </c>
      <c r="V1203" s="48">
        <v>25443</v>
      </c>
      <c r="W1203" s="48">
        <v>25611</v>
      </c>
      <c r="X1203" s="48">
        <v>25790</v>
      </c>
      <c r="Y1203" s="48">
        <v>25982</v>
      </c>
      <c r="Z1203" s="48">
        <v>26195</v>
      </c>
      <c r="AA1203" s="48">
        <v>26443</v>
      </c>
      <c r="AB1203" s="48">
        <v>26625</v>
      </c>
      <c r="AC1203" s="48">
        <v>26853</v>
      </c>
      <c r="AD1203" s="48">
        <v>27067</v>
      </c>
      <c r="AE1203" s="48">
        <v>27260</v>
      </c>
      <c r="AF1203" s="48">
        <v>27498</v>
      </c>
      <c r="AG1203" s="48">
        <v>27712</v>
      </c>
      <c r="AH1203" s="48">
        <v>27910</v>
      </c>
      <c r="AI1203" s="48">
        <v>28157</v>
      </c>
      <c r="AJ1203" s="48">
        <v>28398</v>
      </c>
      <c r="AK1203" s="48">
        <v>28624</v>
      </c>
      <c r="AL1203" s="48">
        <v>28797</v>
      </c>
      <c r="AP1203">
        <v>922.94999999999982</v>
      </c>
      <c r="AQ1203">
        <v>14.999999999999998</v>
      </c>
      <c r="AS1203">
        <v>6153</v>
      </c>
    </row>
    <row r="1204" spans="1:45" hidden="1" x14ac:dyDescent="0.25">
      <c r="A1204">
        <v>1203</v>
      </c>
      <c r="B1204">
        <v>2025</v>
      </c>
      <c r="C1204">
        <v>12</v>
      </c>
      <c r="D1204" t="s">
        <v>171</v>
      </c>
      <c r="E1204">
        <v>31</v>
      </c>
      <c r="F1204">
        <v>11</v>
      </c>
      <c r="G1204" t="s">
        <v>432</v>
      </c>
      <c r="H1204" s="48">
        <v>203236</v>
      </c>
      <c r="I1204" s="48">
        <v>203260</v>
      </c>
      <c r="J1204" s="48">
        <v>203296</v>
      </c>
      <c r="K1204" s="48">
        <v>203317</v>
      </c>
      <c r="L1204" s="48">
        <v>203356</v>
      </c>
      <c r="M1204" s="48">
        <v>203399</v>
      </c>
      <c r="O1204" s="48">
        <v>203515</v>
      </c>
      <c r="P1204" s="48">
        <v>203573</v>
      </c>
      <c r="Q1204" s="48">
        <v>203616</v>
      </c>
      <c r="R1204" s="48">
        <v>203616</v>
      </c>
      <c r="S1204" s="48">
        <v>203616</v>
      </c>
      <c r="T1204" s="48">
        <v>203619</v>
      </c>
      <c r="U1204" s="48">
        <v>0</v>
      </c>
      <c r="V1204" s="48">
        <v>203738</v>
      </c>
      <c r="W1204" s="48">
        <v>203801</v>
      </c>
      <c r="X1204" s="48">
        <v>203811</v>
      </c>
      <c r="Y1204" s="48">
        <v>203929</v>
      </c>
      <c r="Z1204" s="48">
        <v>204037</v>
      </c>
      <c r="AA1204" s="48">
        <v>204192</v>
      </c>
      <c r="AB1204" s="48">
        <v>204319</v>
      </c>
      <c r="AC1204" s="48">
        <v>204409</v>
      </c>
      <c r="AD1204" s="48">
        <v>204508</v>
      </c>
      <c r="AE1204" s="48">
        <v>204599</v>
      </c>
      <c r="AF1204" s="48">
        <v>204792</v>
      </c>
      <c r="AG1204" s="48">
        <v>204877</v>
      </c>
      <c r="AH1204" s="48">
        <v>204953</v>
      </c>
      <c r="AI1204" s="48">
        <v>205034</v>
      </c>
      <c r="AJ1204" s="48">
        <v>205077</v>
      </c>
      <c r="AK1204" s="48">
        <v>205136</v>
      </c>
      <c r="AL1204" s="48">
        <v>0</v>
      </c>
    </row>
    <row r="1205" spans="1:45" hidden="1" x14ac:dyDescent="0.25">
      <c r="A1205">
        <v>1204</v>
      </c>
      <c r="B1205">
        <v>2025</v>
      </c>
      <c r="C1205">
        <v>12</v>
      </c>
      <c r="D1205" t="s">
        <v>171</v>
      </c>
      <c r="E1205">
        <v>31</v>
      </c>
      <c r="F1205">
        <v>11</v>
      </c>
      <c r="G1205" t="s">
        <v>433</v>
      </c>
      <c r="H1205" s="48">
        <v>203260</v>
      </c>
      <c r="I1205" s="48">
        <v>203296</v>
      </c>
      <c r="J1205" s="48">
        <v>203317</v>
      </c>
      <c r="K1205" s="48">
        <v>203356</v>
      </c>
      <c r="L1205" s="48">
        <v>203399</v>
      </c>
      <c r="M1205" s="48">
        <v>203475</v>
      </c>
      <c r="O1205" s="48">
        <v>203573</v>
      </c>
      <c r="P1205" s="48">
        <v>203616</v>
      </c>
      <c r="Q1205" s="48">
        <v>203616</v>
      </c>
      <c r="R1205" s="48">
        <v>203616</v>
      </c>
      <c r="S1205" s="48">
        <v>203619</v>
      </c>
      <c r="T1205" s="48">
        <v>203672</v>
      </c>
      <c r="U1205" s="48">
        <v>0</v>
      </c>
      <c r="V1205" s="48">
        <v>203801</v>
      </c>
      <c r="W1205" s="48">
        <v>203811</v>
      </c>
      <c r="X1205" s="48">
        <v>203901</v>
      </c>
      <c r="Y1205" s="48">
        <v>204030</v>
      </c>
      <c r="Z1205" s="48">
        <v>204153</v>
      </c>
      <c r="AA1205" s="48">
        <v>204319</v>
      </c>
      <c r="AB1205" s="48">
        <v>204409</v>
      </c>
      <c r="AC1205" s="48">
        <v>204508</v>
      </c>
      <c r="AD1205" s="48">
        <v>204599</v>
      </c>
      <c r="AE1205" s="48">
        <v>204684</v>
      </c>
      <c r="AF1205" s="48">
        <v>204877</v>
      </c>
      <c r="AG1205" s="48">
        <v>204953</v>
      </c>
      <c r="AH1205" s="48">
        <v>205034</v>
      </c>
      <c r="AI1205" s="48">
        <v>205077</v>
      </c>
      <c r="AJ1205" s="48">
        <v>205136</v>
      </c>
      <c r="AK1205" s="48">
        <v>205164</v>
      </c>
      <c r="AL1205" s="48">
        <v>0</v>
      </c>
      <c r="AP1205">
        <v>246</v>
      </c>
      <c r="AQ1205">
        <v>15</v>
      </c>
      <c r="AS1205">
        <v>1640</v>
      </c>
    </row>
    <row r="1206" spans="1:45" hidden="1" x14ac:dyDescent="0.25">
      <c r="A1206">
        <v>1205</v>
      </c>
      <c r="B1206">
        <v>2025</v>
      </c>
      <c r="C1206">
        <v>12</v>
      </c>
      <c r="D1206" t="s">
        <v>649</v>
      </c>
      <c r="E1206">
        <v>31</v>
      </c>
      <c r="F1206">
        <v>11</v>
      </c>
      <c r="G1206" t="s">
        <v>432</v>
      </c>
      <c r="X1206" s="48">
        <v>449608</v>
      </c>
      <c r="Y1206" s="48">
        <v>449623</v>
      </c>
      <c r="Z1206" s="48">
        <v>449643</v>
      </c>
      <c r="AA1206" s="48">
        <v>449658</v>
      </c>
      <c r="AB1206" s="48">
        <v>449688</v>
      </c>
      <c r="AC1206" s="48">
        <v>449708</v>
      </c>
      <c r="AD1206" s="48">
        <v>449778</v>
      </c>
      <c r="AE1206" s="48">
        <v>449848</v>
      </c>
      <c r="AF1206" s="48">
        <v>449918</v>
      </c>
      <c r="AG1206" s="48">
        <v>449988</v>
      </c>
      <c r="AH1206" s="48">
        <v>450058</v>
      </c>
      <c r="AI1206" s="48">
        <v>450128</v>
      </c>
      <c r="AJ1206" s="48">
        <v>450203</v>
      </c>
      <c r="AK1206" s="48">
        <v>450273</v>
      </c>
      <c r="AL1206" s="48">
        <v>0</v>
      </c>
    </row>
    <row r="1207" spans="1:45" hidden="1" x14ac:dyDescent="0.25">
      <c r="A1207">
        <v>1206</v>
      </c>
      <c r="B1207">
        <v>2025</v>
      </c>
      <c r="C1207">
        <v>12</v>
      </c>
      <c r="D1207" t="s">
        <v>649</v>
      </c>
      <c r="E1207">
        <v>31</v>
      </c>
      <c r="F1207">
        <v>11</v>
      </c>
      <c r="G1207" t="s">
        <v>433</v>
      </c>
      <c r="X1207" s="48">
        <v>449623</v>
      </c>
      <c r="Y1207" s="48">
        <v>449643</v>
      </c>
      <c r="Z1207" s="48">
        <v>449658</v>
      </c>
      <c r="AA1207" s="48">
        <v>449688</v>
      </c>
      <c r="AB1207" s="48">
        <v>449708</v>
      </c>
      <c r="AC1207" s="48">
        <v>449778</v>
      </c>
      <c r="AD1207" s="48">
        <v>449848</v>
      </c>
      <c r="AE1207" s="48">
        <v>449918</v>
      </c>
      <c r="AF1207" s="48">
        <v>449988</v>
      </c>
      <c r="AG1207" s="48">
        <v>450058</v>
      </c>
      <c r="AH1207" s="48">
        <v>450128</v>
      </c>
      <c r="AI1207" s="48">
        <v>450203</v>
      </c>
      <c r="AJ1207" s="48">
        <v>450273</v>
      </c>
      <c r="AK1207" s="48">
        <v>450343</v>
      </c>
      <c r="AL1207" s="48">
        <v>0</v>
      </c>
      <c r="AP1207">
        <v>110.25</v>
      </c>
      <c r="AQ1207">
        <v>15</v>
      </c>
      <c r="AS1207">
        <v>735</v>
      </c>
    </row>
    <row r="1208" spans="1:45" hidden="1" x14ac:dyDescent="0.25">
      <c r="A1208">
        <v>1207</v>
      </c>
      <c r="B1208">
        <v>2025</v>
      </c>
      <c r="C1208">
        <v>12</v>
      </c>
      <c r="D1208" t="s">
        <v>178</v>
      </c>
      <c r="E1208">
        <v>31</v>
      </c>
      <c r="F1208">
        <v>11</v>
      </c>
      <c r="G1208" t="s">
        <v>432</v>
      </c>
      <c r="H1208" s="48">
        <v>924661</v>
      </c>
      <c r="I1208" s="48">
        <v>924749</v>
      </c>
      <c r="J1208" s="48">
        <v>924847</v>
      </c>
      <c r="K1208" s="48">
        <v>924891</v>
      </c>
      <c r="L1208" s="48">
        <v>924954</v>
      </c>
      <c r="M1208" s="48">
        <v>925005</v>
      </c>
      <c r="N1208" s="48">
        <v>925052</v>
      </c>
      <c r="O1208" s="48">
        <v>925083</v>
      </c>
      <c r="P1208" s="48">
        <v>925133</v>
      </c>
      <c r="Q1208" s="48">
        <v>925161</v>
      </c>
      <c r="R1208" s="48">
        <v>925175</v>
      </c>
      <c r="S1208" s="48">
        <v>925207</v>
      </c>
      <c r="T1208" s="48">
        <v>925236</v>
      </c>
      <c r="U1208" s="48">
        <v>925297</v>
      </c>
      <c r="V1208" s="48">
        <v>925337</v>
      </c>
      <c r="W1208" s="48">
        <v>925392</v>
      </c>
      <c r="X1208" s="48">
        <v>925449</v>
      </c>
      <c r="Y1208" s="48">
        <v>925495</v>
      </c>
      <c r="Z1208" s="48">
        <v>925557</v>
      </c>
      <c r="AA1208" s="48">
        <v>925589</v>
      </c>
      <c r="AB1208" s="48">
        <v>0</v>
      </c>
      <c r="AC1208" s="48">
        <v>925606</v>
      </c>
      <c r="AD1208" s="48">
        <v>925649</v>
      </c>
      <c r="AE1208" s="48">
        <v>925666</v>
      </c>
      <c r="AF1208" s="48">
        <v>925714</v>
      </c>
      <c r="AG1208" s="48">
        <v>925754</v>
      </c>
      <c r="AH1208" s="48">
        <v>925825</v>
      </c>
      <c r="AI1208" s="48">
        <v>925874</v>
      </c>
      <c r="AJ1208" s="48">
        <v>925912</v>
      </c>
      <c r="AK1208" s="48">
        <v>926005</v>
      </c>
      <c r="AL1208" s="48">
        <v>926030</v>
      </c>
    </row>
    <row r="1209" spans="1:45" hidden="1" x14ac:dyDescent="0.25">
      <c r="A1209">
        <v>1208</v>
      </c>
      <c r="B1209">
        <v>2025</v>
      </c>
      <c r="C1209">
        <v>12</v>
      </c>
      <c r="D1209" t="s">
        <v>178</v>
      </c>
      <c r="E1209">
        <v>31</v>
      </c>
      <c r="F1209">
        <v>11</v>
      </c>
      <c r="G1209" t="s">
        <v>433</v>
      </c>
      <c r="H1209" s="48">
        <v>924749</v>
      </c>
      <c r="I1209" s="48">
        <v>924847</v>
      </c>
      <c r="J1209" s="48">
        <v>924891</v>
      </c>
      <c r="K1209" s="48">
        <v>924954</v>
      </c>
      <c r="L1209" s="48">
        <v>925005</v>
      </c>
      <c r="M1209" s="48">
        <v>925052</v>
      </c>
      <c r="N1209" s="48">
        <v>925083</v>
      </c>
      <c r="O1209" s="48">
        <v>925133</v>
      </c>
      <c r="P1209" s="48">
        <v>925161</v>
      </c>
      <c r="Q1209" s="48">
        <v>925175</v>
      </c>
      <c r="R1209" s="48">
        <v>925207</v>
      </c>
      <c r="S1209" s="48">
        <v>925236</v>
      </c>
      <c r="T1209" s="48">
        <v>925297</v>
      </c>
      <c r="U1209" s="48">
        <v>925337</v>
      </c>
      <c r="V1209" s="48">
        <v>925392</v>
      </c>
      <c r="W1209" s="48">
        <v>925449</v>
      </c>
      <c r="X1209" s="48">
        <v>925495</v>
      </c>
      <c r="Y1209" s="48">
        <v>925557</v>
      </c>
      <c r="Z1209" s="48">
        <v>925589</v>
      </c>
      <c r="AA1209" s="48">
        <v>925606</v>
      </c>
      <c r="AB1209" s="48">
        <v>0</v>
      </c>
      <c r="AC1209" s="48">
        <v>925649</v>
      </c>
      <c r="AD1209" s="48">
        <v>925666</v>
      </c>
      <c r="AE1209" s="48">
        <v>925714</v>
      </c>
      <c r="AF1209" s="48">
        <v>925754</v>
      </c>
      <c r="AG1209" s="48">
        <v>925825</v>
      </c>
      <c r="AH1209" s="48">
        <v>925874</v>
      </c>
      <c r="AI1209" s="48">
        <v>925912</v>
      </c>
      <c r="AJ1209" s="48">
        <v>926005</v>
      </c>
      <c r="AK1209" s="48">
        <v>926030</v>
      </c>
      <c r="AL1209" s="48">
        <v>926043</v>
      </c>
      <c r="AP1209">
        <v>207.3</v>
      </c>
      <c r="AQ1209">
        <v>15</v>
      </c>
      <c r="AS1209">
        <v>1382</v>
      </c>
    </row>
    <row r="1210" spans="1:45" hidden="1" x14ac:dyDescent="0.25">
      <c r="A1210">
        <v>1209</v>
      </c>
      <c r="B1210">
        <v>2025</v>
      </c>
      <c r="C1210">
        <v>12</v>
      </c>
      <c r="D1210" t="s">
        <v>181</v>
      </c>
      <c r="E1210">
        <v>31</v>
      </c>
      <c r="F1210">
        <v>11</v>
      </c>
      <c r="G1210" t="s">
        <v>432</v>
      </c>
      <c r="H1210" s="48">
        <v>129113</v>
      </c>
      <c r="I1210" s="48">
        <v>129246</v>
      </c>
      <c r="J1210" s="48">
        <v>129393</v>
      </c>
      <c r="K1210" s="48">
        <v>129530</v>
      </c>
      <c r="L1210" s="48">
        <v>129581</v>
      </c>
      <c r="M1210" s="48">
        <v>129628</v>
      </c>
      <c r="N1210" s="48">
        <v>129726</v>
      </c>
      <c r="O1210" s="48">
        <v>129830</v>
      </c>
      <c r="P1210" s="48">
        <v>129886</v>
      </c>
      <c r="Q1210" s="48">
        <v>129961</v>
      </c>
      <c r="R1210" s="48">
        <v>130050</v>
      </c>
      <c r="S1210" s="48">
        <v>130129</v>
      </c>
      <c r="T1210" s="48">
        <v>130187</v>
      </c>
      <c r="U1210" s="48">
        <v>0</v>
      </c>
      <c r="V1210" s="48">
        <v>130267</v>
      </c>
      <c r="W1210" s="48">
        <v>130360</v>
      </c>
      <c r="X1210" s="48">
        <v>130434</v>
      </c>
      <c r="Y1210" s="48">
        <v>130482</v>
      </c>
      <c r="Z1210" s="48">
        <v>130561</v>
      </c>
      <c r="AA1210" s="48">
        <v>130658</v>
      </c>
      <c r="AB1210" s="48">
        <v>130690</v>
      </c>
      <c r="AC1210" s="48">
        <v>130705</v>
      </c>
      <c r="AD1210" s="48">
        <v>130735</v>
      </c>
      <c r="AE1210" s="48">
        <v>130772</v>
      </c>
      <c r="AF1210" s="48">
        <v>130814</v>
      </c>
      <c r="AG1210" s="48">
        <v>130843</v>
      </c>
      <c r="AH1210" s="48">
        <v>131052</v>
      </c>
      <c r="AI1210" s="48">
        <v>131126</v>
      </c>
      <c r="AJ1210" s="48">
        <v>131234</v>
      </c>
      <c r="AK1210" s="48">
        <v>131325</v>
      </c>
      <c r="AL1210" s="48">
        <v>0</v>
      </c>
    </row>
    <row r="1211" spans="1:45" hidden="1" x14ac:dyDescent="0.25">
      <c r="A1211">
        <v>1210</v>
      </c>
      <c r="B1211">
        <v>2025</v>
      </c>
      <c r="C1211">
        <v>12</v>
      </c>
      <c r="D1211" t="s">
        <v>181</v>
      </c>
      <c r="E1211">
        <v>31</v>
      </c>
      <c r="F1211">
        <v>11</v>
      </c>
      <c r="G1211" t="s">
        <v>433</v>
      </c>
      <c r="H1211" s="48">
        <v>129246</v>
      </c>
      <c r="I1211" s="48">
        <v>129393</v>
      </c>
      <c r="J1211" s="48">
        <v>129530</v>
      </c>
      <c r="K1211" s="48">
        <v>129581</v>
      </c>
      <c r="L1211" s="48">
        <v>129628</v>
      </c>
      <c r="M1211" s="48">
        <v>129726</v>
      </c>
      <c r="N1211" s="48">
        <v>129830</v>
      </c>
      <c r="O1211" s="48">
        <v>129886</v>
      </c>
      <c r="P1211" s="48">
        <v>129961</v>
      </c>
      <c r="Q1211" s="48">
        <v>130050</v>
      </c>
      <c r="R1211" s="48">
        <v>130129</v>
      </c>
      <c r="S1211" s="48">
        <v>130187</v>
      </c>
      <c r="T1211" s="48">
        <v>130267</v>
      </c>
      <c r="U1211" s="48">
        <v>0</v>
      </c>
      <c r="V1211" s="48">
        <v>130360</v>
      </c>
      <c r="W1211" s="48">
        <v>130434</v>
      </c>
      <c r="X1211" s="48">
        <v>130482</v>
      </c>
      <c r="Y1211" s="48">
        <v>130561</v>
      </c>
      <c r="Z1211" s="48">
        <v>130658</v>
      </c>
      <c r="AA1211" s="48">
        <v>130690</v>
      </c>
      <c r="AB1211" s="48">
        <v>130705</v>
      </c>
      <c r="AC1211" s="48">
        <v>130735</v>
      </c>
      <c r="AD1211" s="48">
        <v>130772</v>
      </c>
      <c r="AE1211" s="48">
        <v>130814</v>
      </c>
      <c r="AF1211" s="48">
        <v>130843</v>
      </c>
      <c r="AG1211" s="48">
        <v>131052</v>
      </c>
      <c r="AH1211" s="48">
        <v>131126</v>
      </c>
      <c r="AI1211" s="48">
        <v>131234</v>
      </c>
      <c r="AJ1211" s="48">
        <v>131325</v>
      </c>
      <c r="AK1211" s="48">
        <v>131511</v>
      </c>
      <c r="AL1211" s="48">
        <v>0</v>
      </c>
      <c r="AP1211">
        <v>359.7</v>
      </c>
      <c r="AQ1211">
        <v>15</v>
      </c>
      <c r="AS1211">
        <v>2398</v>
      </c>
    </row>
    <row r="1212" spans="1:45" hidden="1" x14ac:dyDescent="0.25">
      <c r="A1212">
        <v>1211</v>
      </c>
      <c r="B1212">
        <v>2025</v>
      </c>
      <c r="C1212">
        <v>12</v>
      </c>
      <c r="D1212" t="s">
        <v>161</v>
      </c>
      <c r="E1212">
        <v>31</v>
      </c>
      <c r="F1212">
        <v>11</v>
      </c>
      <c r="G1212" t="s">
        <v>432</v>
      </c>
      <c r="H1212" s="48">
        <v>826164</v>
      </c>
      <c r="I1212" s="48">
        <v>826269</v>
      </c>
      <c r="J1212" s="48">
        <v>826367</v>
      </c>
      <c r="K1212" s="48">
        <v>826481</v>
      </c>
      <c r="L1212" s="48">
        <v>826604</v>
      </c>
      <c r="M1212" s="48">
        <v>826709</v>
      </c>
      <c r="N1212" s="48">
        <v>826800</v>
      </c>
      <c r="O1212" s="48">
        <v>826878</v>
      </c>
      <c r="P1212" s="48">
        <v>826974</v>
      </c>
      <c r="Q1212" s="48">
        <v>827077</v>
      </c>
      <c r="R1212" s="48">
        <v>827121</v>
      </c>
      <c r="S1212" s="48">
        <v>827213</v>
      </c>
      <c r="T1212" s="48">
        <v>827321</v>
      </c>
      <c r="U1212" s="48">
        <v>827433</v>
      </c>
      <c r="V1212" s="48">
        <v>827509</v>
      </c>
      <c r="W1212" s="48">
        <v>827615</v>
      </c>
      <c r="X1212" s="48">
        <v>827724</v>
      </c>
      <c r="Y1212" s="48">
        <v>827839</v>
      </c>
      <c r="Z1212" s="48">
        <v>827937</v>
      </c>
      <c r="AA1212" s="48">
        <v>828043</v>
      </c>
      <c r="AB1212" s="48">
        <v>0</v>
      </c>
      <c r="AC1212" s="48">
        <v>828141</v>
      </c>
      <c r="AD1212" s="48">
        <v>828255</v>
      </c>
      <c r="AE1212" s="48">
        <v>828359</v>
      </c>
      <c r="AF1212" s="48">
        <v>828472</v>
      </c>
      <c r="AG1212" s="48">
        <v>828565</v>
      </c>
      <c r="AH1212" s="48">
        <v>828663</v>
      </c>
      <c r="AI1212" s="48">
        <v>828778</v>
      </c>
      <c r="AJ1212" s="48">
        <v>828880</v>
      </c>
      <c r="AK1212" s="48">
        <v>828991</v>
      </c>
      <c r="AL1212" s="48">
        <v>0</v>
      </c>
    </row>
    <row r="1213" spans="1:45" hidden="1" x14ac:dyDescent="0.25">
      <c r="A1213">
        <v>1212</v>
      </c>
      <c r="B1213">
        <v>2025</v>
      </c>
      <c r="C1213">
        <v>12</v>
      </c>
      <c r="D1213" t="s">
        <v>161</v>
      </c>
      <c r="E1213">
        <v>31</v>
      </c>
      <c r="F1213">
        <v>11</v>
      </c>
      <c r="G1213" t="s">
        <v>433</v>
      </c>
      <c r="H1213" s="48">
        <v>826269</v>
      </c>
      <c r="I1213" s="48">
        <v>826367</v>
      </c>
      <c r="J1213" s="48">
        <v>826481</v>
      </c>
      <c r="K1213" s="48">
        <v>826604</v>
      </c>
      <c r="L1213" s="48">
        <v>826709</v>
      </c>
      <c r="M1213" s="48">
        <v>826800</v>
      </c>
      <c r="N1213" s="48">
        <v>826878</v>
      </c>
      <c r="O1213" s="48">
        <v>826974</v>
      </c>
      <c r="P1213" s="48">
        <v>827077</v>
      </c>
      <c r="Q1213" s="48">
        <v>827121</v>
      </c>
      <c r="R1213" s="48">
        <v>827213</v>
      </c>
      <c r="S1213" s="48">
        <v>827321</v>
      </c>
      <c r="T1213" s="48">
        <v>827433</v>
      </c>
      <c r="U1213" s="48">
        <v>827509</v>
      </c>
      <c r="V1213" s="48">
        <v>827615</v>
      </c>
      <c r="W1213" s="48">
        <v>827724</v>
      </c>
      <c r="X1213" s="48">
        <v>827839</v>
      </c>
      <c r="Y1213" s="48">
        <v>827937</v>
      </c>
      <c r="Z1213" s="48">
        <v>828043</v>
      </c>
      <c r="AA1213" s="48">
        <v>828141</v>
      </c>
      <c r="AB1213" s="48">
        <v>0</v>
      </c>
      <c r="AC1213" s="48">
        <v>828255</v>
      </c>
      <c r="AD1213" s="48">
        <v>828359</v>
      </c>
      <c r="AE1213" s="48">
        <v>828472</v>
      </c>
      <c r="AF1213" s="48">
        <v>828565</v>
      </c>
      <c r="AG1213" s="48">
        <v>828663</v>
      </c>
      <c r="AH1213" s="48">
        <v>828778</v>
      </c>
      <c r="AI1213" s="48">
        <v>828880</v>
      </c>
      <c r="AJ1213" s="48">
        <v>828991</v>
      </c>
      <c r="AK1213" s="48">
        <v>829088</v>
      </c>
      <c r="AL1213" s="48">
        <v>0</v>
      </c>
      <c r="AP1213">
        <v>438.6</v>
      </c>
      <c r="AQ1213">
        <v>15</v>
      </c>
      <c r="AS1213">
        <v>2924</v>
      </c>
    </row>
    <row r="1214" spans="1:45" hidden="1" x14ac:dyDescent="0.25">
      <c r="A1214">
        <v>1213</v>
      </c>
      <c r="B1214">
        <v>2025</v>
      </c>
      <c r="C1214">
        <v>12</v>
      </c>
      <c r="D1214" t="s">
        <v>352</v>
      </c>
      <c r="E1214">
        <v>31</v>
      </c>
      <c r="F1214">
        <v>11</v>
      </c>
      <c r="G1214" t="s">
        <v>432</v>
      </c>
      <c r="H1214" s="48">
        <v>763157</v>
      </c>
      <c r="I1214" s="48">
        <v>763216</v>
      </c>
      <c r="J1214" s="48">
        <v>763297</v>
      </c>
      <c r="K1214" s="48">
        <v>763405</v>
      </c>
      <c r="L1214" s="48">
        <v>763595</v>
      </c>
      <c r="M1214" s="48">
        <v>763718</v>
      </c>
      <c r="N1214" s="48">
        <v>763863</v>
      </c>
      <c r="O1214" s="48">
        <v>763999</v>
      </c>
      <c r="P1214" s="48">
        <v>764126</v>
      </c>
      <c r="Q1214" s="48">
        <v>764258</v>
      </c>
      <c r="R1214" s="48">
        <v>764306</v>
      </c>
      <c r="S1214" s="48">
        <v>764420</v>
      </c>
      <c r="T1214" s="48">
        <v>764477</v>
      </c>
      <c r="U1214" s="48">
        <v>764584</v>
      </c>
      <c r="V1214" s="48">
        <v>764684</v>
      </c>
      <c r="W1214" s="48">
        <v>764781</v>
      </c>
      <c r="X1214" s="48">
        <v>764947</v>
      </c>
      <c r="Y1214" s="48">
        <v>765059</v>
      </c>
      <c r="Z1214" s="48">
        <v>765227</v>
      </c>
      <c r="AA1214" s="48">
        <v>765350</v>
      </c>
      <c r="AB1214" s="48">
        <v>765469</v>
      </c>
      <c r="AC1214" s="48">
        <v>765530</v>
      </c>
      <c r="AD1214" s="48">
        <v>765648</v>
      </c>
      <c r="AE1214" s="48">
        <v>765768</v>
      </c>
      <c r="AF1214" s="48">
        <v>765839</v>
      </c>
      <c r="AG1214" s="48">
        <v>765925</v>
      </c>
      <c r="AH1214" s="48">
        <v>766084</v>
      </c>
      <c r="AI1214" s="48">
        <v>766289</v>
      </c>
      <c r="AJ1214" s="48">
        <v>766408</v>
      </c>
      <c r="AK1214" s="48">
        <v>766506</v>
      </c>
      <c r="AL1214" s="48">
        <v>0</v>
      </c>
    </row>
    <row r="1215" spans="1:45" hidden="1" x14ac:dyDescent="0.25">
      <c r="A1215">
        <v>1214</v>
      </c>
      <c r="B1215">
        <v>2025</v>
      </c>
      <c r="C1215">
        <v>12</v>
      </c>
      <c r="D1215" t="s">
        <v>352</v>
      </c>
      <c r="E1215">
        <v>31</v>
      </c>
      <c r="F1215">
        <v>11</v>
      </c>
      <c r="G1215" t="s">
        <v>433</v>
      </c>
      <c r="H1215" s="48">
        <v>763216</v>
      </c>
      <c r="I1215" s="48">
        <v>763297</v>
      </c>
      <c r="J1215" s="48">
        <v>763405</v>
      </c>
      <c r="K1215" s="48">
        <v>763595</v>
      </c>
      <c r="L1215" s="48">
        <v>763718</v>
      </c>
      <c r="M1215" s="48">
        <v>763863</v>
      </c>
      <c r="N1215" s="48">
        <v>763999</v>
      </c>
      <c r="O1215" s="48">
        <v>764126</v>
      </c>
      <c r="P1215" s="48">
        <v>764258</v>
      </c>
      <c r="Q1215" s="48">
        <v>764306</v>
      </c>
      <c r="R1215" s="48">
        <v>764420</v>
      </c>
      <c r="S1215" s="48">
        <v>764477</v>
      </c>
      <c r="T1215" s="48">
        <v>764584</v>
      </c>
      <c r="U1215" s="48">
        <v>764684</v>
      </c>
      <c r="V1215" s="48">
        <v>764781</v>
      </c>
      <c r="W1215" s="48">
        <v>764947</v>
      </c>
      <c r="X1215" s="48">
        <v>765059</v>
      </c>
      <c r="Y1215" s="48">
        <v>765227</v>
      </c>
      <c r="Z1215" s="48">
        <v>765350</v>
      </c>
      <c r="AA1215" s="48">
        <v>765469</v>
      </c>
      <c r="AB1215" s="48">
        <v>765530</v>
      </c>
      <c r="AC1215" s="48">
        <v>765648</v>
      </c>
      <c r="AD1215" s="48">
        <v>765768</v>
      </c>
      <c r="AE1215" s="48">
        <v>765839</v>
      </c>
      <c r="AF1215" s="48">
        <v>765925</v>
      </c>
      <c r="AG1215" s="48">
        <v>766084</v>
      </c>
      <c r="AH1215" s="48">
        <v>766289</v>
      </c>
      <c r="AI1215" s="48">
        <v>766408</v>
      </c>
      <c r="AJ1215" s="48">
        <v>766506</v>
      </c>
      <c r="AK1215" s="48">
        <v>766580</v>
      </c>
      <c r="AL1215" s="48">
        <v>0</v>
      </c>
      <c r="AP1215">
        <v>513.45000000000005</v>
      </c>
      <c r="AQ1215">
        <v>15</v>
      </c>
      <c r="AS1215">
        <v>3423</v>
      </c>
    </row>
    <row r="1216" spans="1:45" hidden="1" x14ac:dyDescent="0.25">
      <c r="A1216">
        <v>1215</v>
      </c>
      <c r="B1216">
        <v>2025</v>
      </c>
      <c r="C1216">
        <v>12</v>
      </c>
      <c r="D1216" t="s">
        <v>182</v>
      </c>
      <c r="E1216">
        <v>31</v>
      </c>
      <c r="F1216">
        <v>11</v>
      </c>
      <c r="G1216" t="s">
        <v>432</v>
      </c>
      <c r="H1216" s="48">
        <v>88779</v>
      </c>
      <c r="I1216" s="48">
        <v>88938</v>
      </c>
      <c r="J1216" s="48">
        <v>89103</v>
      </c>
      <c r="K1216" s="48">
        <v>89273</v>
      </c>
      <c r="L1216" s="48">
        <v>89436</v>
      </c>
      <c r="M1216" s="48">
        <v>89592</v>
      </c>
      <c r="N1216" s="48">
        <v>89761</v>
      </c>
      <c r="O1216" s="48">
        <v>89932</v>
      </c>
      <c r="P1216" s="48">
        <v>90099</v>
      </c>
      <c r="Q1216" s="48">
        <v>90279</v>
      </c>
      <c r="R1216" s="48">
        <v>90419</v>
      </c>
      <c r="S1216" s="48">
        <v>90582</v>
      </c>
      <c r="T1216" s="48">
        <v>90734</v>
      </c>
      <c r="U1216" s="48">
        <v>90900</v>
      </c>
      <c r="V1216" s="48">
        <v>91061</v>
      </c>
      <c r="W1216" s="48">
        <v>91214</v>
      </c>
      <c r="X1216" s="48">
        <v>91377</v>
      </c>
      <c r="Y1216" s="48">
        <v>91537</v>
      </c>
      <c r="Z1216" s="48">
        <v>91694</v>
      </c>
    </row>
    <row r="1217" spans="1:45" hidden="1" x14ac:dyDescent="0.25">
      <c r="A1217">
        <v>1216</v>
      </c>
      <c r="B1217">
        <v>2025</v>
      </c>
      <c r="C1217">
        <v>12</v>
      </c>
      <c r="D1217" t="s">
        <v>182</v>
      </c>
      <c r="E1217">
        <v>31</v>
      </c>
      <c r="F1217">
        <v>11</v>
      </c>
      <c r="G1217" t="s">
        <v>433</v>
      </c>
      <c r="H1217" s="48">
        <v>88938</v>
      </c>
      <c r="I1217" s="48">
        <v>89103</v>
      </c>
      <c r="J1217" s="48">
        <v>89273</v>
      </c>
      <c r="K1217" s="48">
        <v>89436</v>
      </c>
      <c r="L1217" s="48">
        <v>89592</v>
      </c>
      <c r="M1217" s="48">
        <v>89761</v>
      </c>
      <c r="N1217" s="48">
        <v>89932</v>
      </c>
      <c r="O1217" s="48">
        <v>90099</v>
      </c>
      <c r="P1217" s="48">
        <v>90279</v>
      </c>
      <c r="Q1217" s="48">
        <v>90419</v>
      </c>
      <c r="R1217" s="48">
        <v>90582</v>
      </c>
      <c r="S1217" s="48">
        <v>90734</v>
      </c>
      <c r="T1217" s="48">
        <v>90900</v>
      </c>
      <c r="U1217" s="48">
        <v>91061</v>
      </c>
      <c r="V1217" s="48">
        <v>91214</v>
      </c>
      <c r="W1217" s="48">
        <v>91377</v>
      </c>
      <c r="X1217" s="48">
        <v>91537</v>
      </c>
      <c r="Y1217" s="48">
        <v>91694</v>
      </c>
      <c r="Z1217" s="48">
        <v>91856</v>
      </c>
      <c r="AP1217" t="s">
        <v>320</v>
      </c>
      <c r="AQ1217" t="s">
        <v>320</v>
      </c>
      <c r="AS1217" t="s">
        <v>320</v>
      </c>
    </row>
    <row r="1218" spans="1:45" hidden="1" x14ac:dyDescent="0.25">
      <c r="A1218">
        <v>1217</v>
      </c>
      <c r="B1218">
        <v>2025</v>
      </c>
      <c r="C1218">
        <v>12</v>
      </c>
      <c r="D1218" t="s">
        <v>648</v>
      </c>
      <c r="E1218">
        <v>31</v>
      </c>
      <c r="F1218">
        <v>11</v>
      </c>
      <c r="G1218" t="s">
        <v>432</v>
      </c>
      <c r="Z1218" s="48">
        <v>360828</v>
      </c>
      <c r="AA1218" s="48">
        <v>360918</v>
      </c>
      <c r="AB1218" s="48">
        <v>361008</v>
      </c>
      <c r="AC1218" s="48">
        <v>361097</v>
      </c>
      <c r="AD1218" s="48">
        <v>361193</v>
      </c>
      <c r="AE1218" s="48">
        <v>361380</v>
      </c>
      <c r="AF1218" s="48">
        <v>361654</v>
      </c>
      <c r="AG1218" s="48">
        <v>361973</v>
      </c>
      <c r="AH1218" s="48">
        <v>362165</v>
      </c>
      <c r="AI1218" s="48">
        <v>362326</v>
      </c>
      <c r="AJ1218" s="48">
        <v>362487</v>
      </c>
      <c r="AK1218" s="48">
        <v>362677</v>
      </c>
      <c r="AL1218" s="48">
        <v>0</v>
      </c>
    </row>
    <row r="1219" spans="1:45" hidden="1" x14ac:dyDescent="0.25">
      <c r="A1219">
        <v>1218</v>
      </c>
      <c r="B1219">
        <v>2025</v>
      </c>
      <c r="C1219">
        <v>12</v>
      </c>
      <c r="D1219" t="s">
        <v>648</v>
      </c>
      <c r="E1219">
        <v>31</v>
      </c>
      <c r="F1219">
        <v>11</v>
      </c>
      <c r="G1219" t="s">
        <v>433</v>
      </c>
      <c r="Z1219" s="48">
        <v>360918</v>
      </c>
      <c r="AA1219" s="48">
        <v>361008</v>
      </c>
      <c r="AB1219" s="48">
        <v>361097</v>
      </c>
      <c r="AC1219" s="48">
        <v>361193</v>
      </c>
      <c r="AD1219" s="48">
        <v>361380</v>
      </c>
      <c r="AE1219" s="48">
        <v>361654</v>
      </c>
      <c r="AF1219" s="48">
        <v>361973</v>
      </c>
      <c r="AG1219" s="48">
        <v>362165</v>
      </c>
      <c r="AH1219" s="48">
        <v>362326</v>
      </c>
      <c r="AI1219" s="48">
        <v>362487</v>
      </c>
      <c r="AJ1219" s="48">
        <v>362677</v>
      </c>
      <c r="AK1219" s="48">
        <v>362863</v>
      </c>
      <c r="AL1219" s="48">
        <v>0</v>
      </c>
      <c r="AP1219">
        <v>366.3</v>
      </c>
      <c r="AQ1219">
        <v>18</v>
      </c>
      <c r="AS1219">
        <v>2035</v>
      </c>
    </row>
    <row r="1220" spans="1:45" hidden="1" x14ac:dyDescent="0.25">
      <c r="A1220">
        <v>1219</v>
      </c>
      <c r="B1220">
        <v>2025</v>
      </c>
      <c r="C1220">
        <v>12</v>
      </c>
      <c r="D1220" t="s">
        <v>173</v>
      </c>
      <c r="E1220">
        <v>31</v>
      </c>
      <c r="F1220">
        <v>11</v>
      </c>
      <c r="G1220" t="s">
        <v>432</v>
      </c>
      <c r="H1220" s="48">
        <v>363619</v>
      </c>
      <c r="I1220" s="48">
        <v>363890</v>
      </c>
      <c r="J1220" s="48">
        <v>364111</v>
      </c>
      <c r="K1220" s="48">
        <v>364337</v>
      </c>
      <c r="L1220" s="48">
        <v>364575</v>
      </c>
      <c r="M1220" s="48">
        <v>364807</v>
      </c>
      <c r="N1220" s="48">
        <v>364807</v>
      </c>
      <c r="O1220" s="48">
        <v>365045</v>
      </c>
      <c r="P1220" s="48">
        <v>365268</v>
      </c>
      <c r="Q1220" s="48">
        <v>365505</v>
      </c>
      <c r="R1220" s="48">
        <v>365727</v>
      </c>
      <c r="S1220" s="48">
        <v>365965</v>
      </c>
      <c r="T1220" s="48">
        <v>366184</v>
      </c>
      <c r="U1220" s="48">
        <v>366393</v>
      </c>
      <c r="V1220" s="48">
        <v>366589</v>
      </c>
      <c r="W1220" s="48">
        <v>366838</v>
      </c>
      <c r="X1220" s="48">
        <v>367076</v>
      </c>
      <c r="Y1220" s="48">
        <v>367315</v>
      </c>
      <c r="Z1220" s="48">
        <v>367535</v>
      </c>
      <c r="AA1220" s="48">
        <v>367760</v>
      </c>
      <c r="AB1220" s="48">
        <v>367979</v>
      </c>
      <c r="AC1220" s="48">
        <v>368079</v>
      </c>
      <c r="AD1220" s="48">
        <v>368199</v>
      </c>
      <c r="AE1220" s="48">
        <v>368329</v>
      </c>
      <c r="AF1220" s="48">
        <v>0</v>
      </c>
      <c r="AG1220" s="48">
        <v>0</v>
      </c>
      <c r="AH1220" s="48">
        <v>0</v>
      </c>
      <c r="AI1220" s="48">
        <v>0</v>
      </c>
      <c r="AJ1220" s="48">
        <v>0</v>
      </c>
      <c r="AK1220" s="48">
        <v>0</v>
      </c>
      <c r="AL1220" s="48">
        <v>0</v>
      </c>
    </row>
    <row r="1221" spans="1:45" hidden="1" x14ac:dyDescent="0.25">
      <c r="A1221">
        <v>1220</v>
      </c>
      <c r="B1221">
        <v>2025</v>
      </c>
      <c r="C1221">
        <v>12</v>
      </c>
      <c r="D1221" t="s">
        <v>173</v>
      </c>
      <c r="E1221">
        <v>31</v>
      </c>
      <c r="F1221">
        <v>11</v>
      </c>
      <c r="G1221" t="s">
        <v>433</v>
      </c>
      <c r="H1221" s="48">
        <v>363873</v>
      </c>
      <c r="I1221" s="48">
        <v>364110</v>
      </c>
      <c r="J1221" s="48">
        <v>364337</v>
      </c>
      <c r="K1221" s="48">
        <v>364575</v>
      </c>
      <c r="L1221" s="48">
        <v>364807</v>
      </c>
      <c r="M1221" s="48">
        <v>365045</v>
      </c>
      <c r="N1221" s="48">
        <v>365045</v>
      </c>
      <c r="O1221" s="48">
        <v>365268</v>
      </c>
      <c r="P1221" s="48">
        <v>365505</v>
      </c>
      <c r="Q1221" s="48">
        <v>365727</v>
      </c>
      <c r="R1221" s="48">
        <v>365965</v>
      </c>
      <c r="S1221" s="48">
        <v>366184</v>
      </c>
      <c r="T1221" s="48">
        <v>366393</v>
      </c>
      <c r="U1221" s="48">
        <v>366589</v>
      </c>
      <c r="V1221" s="48">
        <v>366824</v>
      </c>
      <c r="W1221" s="48">
        <v>367058</v>
      </c>
      <c r="X1221" s="48">
        <v>367295</v>
      </c>
      <c r="Y1221" s="48">
        <v>367534</v>
      </c>
      <c r="Z1221" s="48">
        <v>367760</v>
      </c>
      <c r="AA1221" s="48">
        <v>367979</v>
      </c>
      <c r="AB1221" s="48">
        <v>368079</v>
      </c>
      <c r="AC1221" s="48">
        <v>368199</v>
      </c>
      <c r="AD1221" s="48">
        <v>368329</v>
      </c>
      <c r="AE1221" s="48">
        <v>368459</v>
      </c>
      <c r="AF1221" s="48">
        <v>0</v>
      </c>
      <c r="AG1221" s="48">
        <v>0</v>
      </c>
      <c r="AH1221" s="48">
        <v>0</v>
      </c>
      <c r="AI1221" s="48">
        <v>0</v>
      </c>
      <c r="AJ1221" s="48">
        <v>0</v>
      </c>
      <c r="AK1221" s="48">
        <v>0</v>
      </c>
      <c r="AL1221" s="48">
        <v>0</v>
      </c>
      <c r="AP1221">
        <v>901.25999999999988</v>
      </c>
      <c r="AQ1221">
        <v>17.999999999999996</v>
      </c>
      <c r="AS1221">
        <v>5007</v>
      </c>
    </row>
    <row r="1222" spans="1:45" hidden="1" x14ac:dyDescent="0.25">
      <c r="A1222">
        <v>1221</v>
      </c>
      <c r="B1222">
        <v>2025</v>
      </c>
      <c r="C1222">
        <v>12</v>
      </c>
      <c r="D1222" t="s">
        <v>172</v>
      </c>
      <c r="E1222">
        <v>31</v>
      </c>
      <c r="F1222">
        <v>11</v>
      </c>
      <c r="G1222" t="s">
        <v>432</v>
      </c>
      <c r="H1222" s="48">
        <v>559287</v>
      </c>
      <c r="I1222" s="48">
        <v>559475</v>
      </c>
      <c r="J1222" s="48">
        <v>559524</v>
      </c>
      <c r="K1222" s="48">
        <v>559578</v>
      </c>
      <c r="L1222" s="48">
        <v>559622</v>
      </c>
      <c r="M1222" s="48">
        <v>559666</v>
      </c>
      <c r="N1222" s="48">
        <v>559736</v>
      </c>
      <c r="O1222" s="48">
        <v>559777</v>
      </c>
      <c r="P1222" s="48">
        <v>559848</v>
      </c>
      <c r="Q1222" s="48">
        <v>559907</v>
      </c>
      <c r="R1222" s="48">
        <v>559957</v>
      </c>
      <c r="S1222" s="48">
        <v>560010</v>
      </c>
      <c r="T1222" s="48">
        <v>560143</v>
      </c>
      <c r="V1222" s="48">
        <v>560236</v>
      </c>
      <c r="W1222" s="48">
        <v>560320</v>
      </c>
      <c r="X1222" s="48">
        <v>560361</v>
      </c>
      <c r="Y1222" s="48">
        <v>560413</v>
      </c>
      <c r="Z1222" s="48">
        <v>560481</v>
      </c>
      <c r="AA1222" s="48">
        <v>560516</v>
      </c>
      <c r="AB1222" s="48">
        <v>560556</v>
      </c>
      <c r="AC1222" s="48">
        <v>560594</v>
      </c>
      <c r="AD1222" s="48">
        <v>560654</v>
      </c>
      <c r="AE1222" s="48">
        <v>560713</v>
      </c>
      <c r="AF1222" s="48">
        <v>560766</v>
      </c>
      <c r="AG1222" s="48">
        <v>560838</v>
      </c>
      <c r="AH1222" s="48">
        <v>560923</v>
      </c>
      <c r="AI1222" s="48">
        <v>560969</v>
      </c>
      <c r="AJ1222" s="48">
        <v>561017</v>
      </c>
      <c r="AK1222" s="48">
        <v>0</v>
      </c>
      <c r="AL1222" s="48">
        <v>0</v>
      </c>
    </row>
    <row r="1223" spans="1:45" hidden="1" x14ac:dyDescent="0.25">
      <c r="A1223">
        <v>1222</v>
      </c>
      <c r="B1223">
        <v>2025</v>
      </c>
      <c r="C1223">
        <v>12</v>
      </c>
      <c r="D1223" t="s">
        <v>172</v>
      </c>
      <c r="E1223">
        <v>31</v>
      </c>
      <c r="F1223">
        <v>11</v>
      </c>
      <c r="G1223" t="s">
        <v>433</v>
      </c>
      <c r="H1223" s="48">
        <v>559475</v>
      </c>
      <c r="I1223" s="48">
        <v>559524</v>
      </c>
      <c r="J1223" s="48">
        <v>559578</v>
      </c>
      <c r="K1223" s="48">
        <v>559622</v>
      </c>
      <c r="L1223" s="48">
        <v>559666</v>
      </c>
      <c r="M1223" s="48">
        <v>559736</v>
      </c>
      <c r="N1223" s="48">
        <v>559777</v>
      </c>
      <c r="O1223" s="48">
        <v>559848</v>
      </c>
      <c r="P1223" s="48">
        <v>559907</v>
      </c>
      <c r="Q1223" s="48">
        <v>559957</v>
      </c>
      <c r="R1223" s="48">
        <v>560010</v>
      </c>
      <c r="S1223" s="48">
        <v>560143</v>
      </c>
      <c r="T1223" s="48">
        <v>560203</v>
      </c>
      <c r="V1223" s="48">
        <v>560320</v>
      </c>
      <c r="W1223" s="48">
        <v>560361</v>
      </c>
      <c r="X1223" s="48">
        <v>560413</v>
      </c>
      <c r="Y1223" s="48">
        <v>560481</v>
      </c>
      <c r="Z1223" s="48">
        <v>560516</v>
      </c>
      <c r="AA1223" s="48">
        <v>560556</v>
      </c>
      <c r="AB1223" s="48">
        <v>560594</v>
      </c>
      <c r="AC1223" s="48">
        <v>560654</v>
      </c>
      <c r="AD1223" s="48">
        <v>560713</v>
      </c>
      <c r="AE1223" s="48">
        <v>560766</v>
      </c>
      <c r="AF1223" s="48">
        <v>560838</v>
      </c>
      <c r="AG1223" s="48">
        <v>560923</v>
      </c>
      <c r="AH1223" s="48">
        <v>560969</v>
      </c>
      <c r="AI1223" s="48">
        <v>561017</v>
      </c>
      <c r="AJ1223" s="48">
        <v>561160</v>
      </c>
      <c r="AK1223" s="48">
        <v>0</v>
      </c>
      <c r="AL1223" s="48">
        <v>0</v>
      </c>
      <c r="AP1223">
        <v>276</v>
      </c>
      <c r="AQ1223">
        <v>15</v>
      </c>
      <c r="AS1223">
        <v>1840</v>
      </c>
    </row>
    <row r="1224" spans="1:45" hidden="1" x14ac:dyDescent="0.25">
      <c r="A1224">
        <v>1223</v>
      </c>
      <c r="B1224">
        <v>2025</v>
      </c>
      <c r="C1224">
        <v>12</v>
      </c>
      <c r="D1224" t="s">
        <v>167</v>
      </c>
      <c r="E1224">
        <v>31</v>
      </c>
      <c r="F1224">
        <v>11</v>
      </c>
      <c r="G1224" t="s">
        <v>432</v>
      </c>
      <c r="H1224" s="48">
        <v>215625</v>
      </c>
      <c r="I1224" s="48">
        <v>215680</v>
      </c>
      <c r="J1224" s="48">
        <v>215727</v>
      </c>
      <c r="K1224" s="48">
        <v>215795</v>
      </c>
      <c r="L1224" s="48">
        <v>215915</v>
      </c>
      <c r="M1224" s="48">
        <v>216044</v>
      </c>
      <c r="N1224" s="48">
        <v>0</v>
      </c>
      <c r="O1224" s="48">
        <v>216276</v>
      </c>
      <c r="P1224" s="48">
        <v>216416</v>
      </c>
      <c r="Q1224" s="48">
        <v>216591</v>
      </c>
      <c r="R1224" s="48">
        <v>216630</v>
      </c>
      <c r="S1224" s="48">
        <v>216683</v>
      </c>
      <c r="T1224" s="48">
        <v>216727</v>
      </c>
      <c r="V1224" s="48">
        <v>216823</v>
      </c>
      <c r="W1224" s="48">
        <v>216879</v>
      </c>
      <c r="X1224" s="48">
        <v>216932</v>
      </c>
      <c r="Y1224" s="48">
        <v>216968</v>
      </c>
      <c r="Z1224" s="48">
        <v>217079</v>
      </c>
      <c r="AA1224" s="48">
        <v>217176</v>
      </c>
      <c r="AB1224" s="48">
        <v>217228</v>
      </c>
      <c r="AC1224" s="48">
        <v>217279</v>
      </c>
      <c r="AD1224" s="48">
        <v>217386</v>
      </c>
      <c r="AE1224" s="48">
        <v>217526</v>
      </c>
      <c r="AF1224" s="48">
        <v>217631</v>
      </c>
      <c r="AG1224" s="48">
        <v>217777</v>
      </c>
      <c r="AH1224" s="48">
        <v>217849</v>
      </c>
      <c r="AI1224" s="48">
        <v>217937</v>
      </c>
      <c r="AJ1224" s="48">
        <v>218106</v>
      </c>
      <c r="AK1224" s="48">
        <v>218206</v>
      </c>
      <c r="AL1224" s="48">
        <v>0</v>
      </c>
    </row>
    <row r="1225" spans="1:45" hidden="1" x14ac:dyDescent="0.25">
      <c r="A1225">
        <v>1224</v>
      </c>
      <c r="B1225">
        <v>2025</v>
      </c>
      <c r="C1225">
        <v>12</v>
      </c>
      <c r="D1225" t="s">
        <v>167</v>
      </c>
      <c r="E1225">
        <v>31</v>
      </c>
      <c r="F1225">
        <v>11</v>
      </c>
      <c r="G1225" t="s">
        <v>433</v>
      </c>
      <c r="H1225" s="48">
        <v>215680</v>
      </c>
      <c r="I1225" s="48">
        <v>215727</v>
      </c>
      <c r="J1225" s="48">
        <v>215795</v>
      </c>
      <c r="K1225" s="48">
        <v>215915</v>
      </c>
      <c r="L1225" s="48">
        <v>216039</v>
      </c>
      <c r="M1225" s="48">
        <v>216141</v>
      </c>
      <c r="N1225" s="48">
        <v>0</v>
      </c>
      <c r="O1225" s="48">
        <v>216367</v>
      </c>
      <c r="P1225" s="48">
        <v>216506</v>
      </c>
      <c r="Q1225" s="48">
        <v>216630</v>
      </c>
      <c r="R1225" s="48">
        <v>216674</v>
      </c>
      <c r="S1225" s="48">
        <v>216727</v>
      </c>
      <c r="T1225" s="48">
        <v>216823</v>
      </c>
      <c r="V1225" s="48">
        <v>216879</v>
      </c>
      <c r="W1225" s="48">
        <v>216932</v>
      </c>
      <c r="X1225" s="48">
        <v>216968</v>
      </c>
      <c r="Y1225" s="48">
        <v>217079</v>
      </c>
      <c r="Z1225" s="48">
        <v>217176</v>
      </c>
      <c r="AA1225" s="48">
        <v>217228</v>
      </c>
      <c r="AB1225" s="48">
        <v>217279</v>
      </c>
      <c r="AC1225" s="48">
        <v>217386</v>
      </c>
      <c r="AD1225" s="48">
        <v>217526</v>
      </c>
      <c r="AE1225" s="48">
        <v>217631</v>
      </c>
      <c r="AF1225" s="48">
        <v>217764</v>
      </c>
      <c r="AG1225" s="48">
        <v>217849</v>
      </c>
      <c r="AH1225" s="48">
        <v>217937</v>
      </c>
      <c r="AI1225" s="48">
        <v>218055</v>
      </c>
      <c r="AJ1225" s="48">
        <v>218206</v>
      </c>
      <c r="AK1225" s="48">
        <v>218264</v>
      </c>
      <c r="AL1225" s="48">
        <v>0</v>
      </c>
      <c r="AP1225">
        <v>343.8</v>
      </c>
      <c r="AQ1225">
        <v>15</v>
      </c>
      <c r="AS1225">
        <v>2292</v>
      </c>
    </row>
    <row r="1226" spans="1:45" hidden="1" x14ac:dyDescent="0.25">
      <c r="A1226">
        <v>1225</v>
      </c>
      <c r="B1226">
        <v>2025</v>
      </c>
      <c r="C1226">
        <v>12</v>
      </c>
      <c r="D1226" t="s">
        <v>177</v>
      </c>
      <c r="E1226">
        <v>31</v>
      </c>
      <c r="F1226">
        <v>11</v>
      </c>
      <c r="G1226" t="s">
        <v>432</v>
      </c>
      <c r="H1226" s="48">
        <v>934444</v>
      </c>
      <c r="I1226" s="48">
        <v>934528</v>
      </c>
      <c r="J1226" s="48">
        <v>934596</v>
      </c>
      <c r="K1226" s="48">
        <v>934700</v>
      </c>
      <c r="L1226" s="48">
        <v>934821</v>
      </c>
      <c r="M1226" s="48">
        <v>934891</v>
      </c>
      <c r="N1226" s="48">
        <v>935038</v>
      </c>
      <c r="O1226" s="48">
        <v>935121</v>
      </c>
      <c r="P1226" s="48">
        <v>935192</v>
      </c>
      <c r="Q1226" s="48">
        <v>935291</v>
      </c>
      <c r="R1226" s="48">
        <v>935346</v>
      </c>
      <c r="S1226" s="48">
        <v>935451</v>
      </c>
      <c r="T1226" s="48">
        <v>935503</v>
      </c>
      <c r="U1226" s="48">
        <v>935594</v>
      </c>
      <c r="V1226" s="48">
        <v>935670</v>
      </c>
      <c r="W1226" s="48">
        <v>935738</v>
      </c>
      <c r="X1226" s="48">
        <v>935800</v>
      </c>
      <c r="Y1226" s="48">
        <v>935866</v>
      </c>
      <c r="Z1226" s="48">
        <v>935949</v>
      </c>
      <c r="AA1226" s="48">
        <v>936080</v>
      </c>
      <c r="AB1226" s="48">
        <v>936171</v>
      </c>
      <c r="AC1226" s="48">
        <v>936247</v>
      </c>
      <c r="AD1226" s="48">
        <v>936311</v>
      </c>
      <c r="AE1226" s="48">
        <v>936415</v>
      </c>
      <c r="AF1226" s="48">
        <v>936505</v>
      </c>
      <c r="AG1226" s="48">
        <v>936581</v>
      </c>
      <c r="AH1226" s="48">
        <v>936668</v>
      </c>
      <c r="AI1226" s="48">
        <v>936762</v>
      </c>
      <c r="AJ1226" s="48">
        <v>936847</v>
      </c>
      <c r="AK1226" s="48">
        <v>936945</v>
      </c>
      <c r="AL1226" s="48">
        <v>0</v>
      </c>
    </row>
    <row r="1227" spans="1:45" hidden="1" x14ac:dyDescent="0.25">
      <c r="A1227">
        <v>1226</v>
      </c>
      <c r="B1227">
        <v>2025</v>
      </c>
      <c r="C1227">
        <v>12</v>
      </c>
      <c r="D1227" t="s">
        <v>177</v>
      </c>
      <c r="E1227">
        <v>31</v>
      </c>
      <c r="F1227">
        <v>11</v>
      </c>
      <c r="G1227" t="s">
        <v>433</v>
      </c>
      <c r="H1227" s="48">
        <v>934528</v>
      </c>
      <c r="I1227" s="48">
        <v>934596</v>
      </c>
      <c r="J1227" s="48">
        <v>934700</v>
      </c>
      <c r="K1227" s="48">
        <v>934821</v>
      </c>
      <c r="L1227" s="48">
        <v>934891</v>
      </c>
      <c r="M1227" s="48">
        <v>935038</v>
      </c>
      <c r="N1227" s="48">
        <v>935121</v>
      </c>
      <c r="O1227" s="48">
        <v>935192</v>
      </c>
      <c r="P1227" s="48">
        <v>935291</v>
      </c>
      <c r="Q1227" s="48">
        <v>935346</v>
      </c>
      <c r="R1227" s="48">
        <v>935451</v>
      </c>
      <c r="S1227" s="48">
        <v>935503</v>
      </c>
      <c r="T1227" s="48">
        <v>935594</v>
      </c>
      <c r="U1227" s="48">
        <v>935670</v>
      </c>
      <c r="V1227" s="48">
        <v>935738</v>
      </c>
      <c r="W1227" s="48">
        <v>935800</v>
      </c>
      <c r="X1227" s="48">
        <v>935866</v>
      </c>
      <c r="Y1227" s="48">
        <v>935949</v>
      </c>
      <c r="Z1227" s="48">
        <v>936080</v>
      </c>
      <c r="AA1227" s="48">
        <v>936171</v>
      </c>
      <c r="AB1227" s="48">
        <v>936247</v>
      </c>
      <c r="AC1227" s="48">
        <v>936311</v>
      </c>
      <c r="AD1227" s="48">
        <v>936415</v>
      </c>
      <c r="AE1227" s="48">
        <v>936505</v>
      </c>
      <c r="AF1227" s="48">
        <v>936581</v>
      </c>
      <c r="AG1227" s="48">
        <v>936668</v>
      </c>
      <c r="AH1227" s="48">
        <v>936762</v>
      </c>
      <c r="AI1227" s="48">
        <v>936847</v>
      </c>
      <c r="AJ1227" s="48">
        <v>936945</v>
      </c>
      <c r="AK1227" s="48">
        <v>937069</v>
      </c>
      <c r="AL1227" s="48">
        <v>0</v>
      </c>
      <c r="AP1227">
        <v>393.75</v>
      </c>
      <c r="AQ1227">
        <v>15</v>
      </c>
      <c r="AS1227">
        <v>2625</v>
      </c>
    </row>
    <row r="1228" spans="1:45" hidden="1" x14ac:dyDescent="0.25">
      <c r="A1228">
        <v>1227</v>
      </c>
      <c r="B1228">
        <v>2025</v>
      </c>
      <c r="C1228">
        <v>12</v>
      </c>
      <c r="D1228" t="s">
        <v>169</v>
      </c>
      <c r="E1228">
        <v>31</v>
      </c>
      <c r="F1228">
        <v>11</v>
      </c>
      <c r="G1228" t="s">
        <v>432</v>
      </c>
      <c r="H1228" s="48">
        <v>249820</v>
      </c>
      <c r="I1228" s="48">
        <v>249836</v>
      </c>
      <c r="J1228" s="48">
        <v>0</v>
      </c>
      <c r="K1228" s="48">
        <v>249845</v>
      </c>
      <c r="L1228" s="48">
        <v>249993</v>
      </c>
      <c r="M1228" s="48">
        <v>250125</v>
      </c>
      <c r="N1228" s="48">
        <v>250265</v>
      </c>
      <c r="O1228" s="48">
        <v>250384</v>
      </c>
      <c r="P1228" s="48">
        <v>250546</v>
      </c>
      <c r="Q1228" s="48">
        <v>250706</v>
      </c>
      <c r="R1228" s="48">
        <v>250755</v>
      </c>
      <c r="S1228" s="48">
        <v>250845</v>
      </c>
      <c r="T1228" s="48">
        <v>250887</v>
      </c>
      <c r="V1228" s="48">
        <v>251032</v>
      </c>
      <c r="W1228" s="48">
        <v>251164</v>
      </c>
      <c r="X1228" s="48">
        <v>251308</v>
      </c>
      <c r="Y1228" s="48">
        <v>251473</v>
      </c>
      <c r="Z1228" s="48">
        <v>251649</v>
      </c>
      <c r="AA1228" s="48">
        <v>251761</v>
      </c>
      <c r="AB1228" s="48">
        <v>251955</v>
      </c>
      <c r="AC1228" s="48">
        <v>252099</v>
      </c>
      <c r="AD1228" s="48">
        <v>252252</v>
      </c>
      <c r="AE1228" s="48">
        <v>252529</v>
      </c>
      <c r="AF1228" s="48">
        <v>252674</v>
      </c>
      <c r="AG1228" s="48">
        <v>252851</v>
      </c>
      <c r="AH1228" s="48">
        <v>252981</v>
      </c>
      <c r="AI1228" s="48">
        <v>253029</v>
      </c>
      <c r="AJ1228" s="48">
        <v>253126</v>
      </c>
      <c r="AK1228" s="48">
        <v>253279</v>
      </c>
      <c r="AL1228" s="48">
        <v>0</v>
      </c>
    </row>
    <row r="1229" spans="1:45" hidden="1" x14ac:dyDescent="0.25">
      <c r="A1229">
        <v>1228</v>
      </c>
      <c r="B1229">
        <v>2025</v>
      </c>
      <c r="C1229">
        <v>12</v>
      </c>
      <c r="D1229" t="s">
        <v>169</v>
      </c>
      <c r="E1229">
        <v>31</v>
      </c>
      <c r="F1229">
        <v>11</v>
      </c>
      <c r="G1229" t="s">
        <v>433</v>
      </c>
      <c r="H1229" s="48">
        <v>249836</v>
      </c>
      <c r="I1229" s="48">
        <v>249845</v>
      </c>
      <c r="J1229" s="48">
        <v>0</v>
      </c>
      <c r="K1229" s="48">
        <v>249993</v>
      </c>
      <c r="L1229" s="48">
        <v>250123</v>
      </c>
      <c r="M1229" s="48">
        <v>250265</v>
      </c>
      <c r="N1229" s="48">
        <v>250384</v>
      </c>
      <c r="O1229" s="48">
        <v>250546</v>
      </c>
      <c r="P1229" s="48">
        <v>250706</v>
      </c>
      <c r="Q1229" s="48">
        <v>250755</v>
      </c>
      <c r="R1229" s="48">
        <v>250845</v>
      </c>
      <c r="S1229" s="48">
        <v>250887</v>
      </c>
      <c r="T1229" s="48">
        <v>251020</v>
      </c>
      <c r="V1229" s="48">
        <v>251164</v>
      </c>
      <c r="W1229" s="48">
        <v>251308</v>
      </c>
      <c r="X1229" s="48">
        <v>251473</v>
      </c>
      <c r="Y1229" s="48">
        <v>251606</v>
      </c>
      <c r="Z1229" s="48">
        <v>251761</v>
      </c>
      <c r="AA1229" s="48">
        <v>251928</v>
      </c>
      <c r="AB1229" s="48">
        <v>252099</v>
      </c>
      <c r="AC1229" s="48">
        <v>252252</v>
      </c>
      <c r="AD1229" s="48">
        <v>252417</v>
      </c>
      <c r="AE1229" s="48">
        <v>252674</v>
      </c>
      <c r="AF1229" s="48">
        <v>252831</v>
      </c>
      <c r="AG1229" s="48">
        <v>252981</v>
      </c>
      <c r="AH1229" s="48">
        <v>253029</v>
      </c>
      <c r="AI1229" s="48">
        <v>253126</v>
      </c>
      <c r="AJ1229" s="48">
        <v>253279</v>
      </c>
      <c r="AK1229" s="48">
        <v>253289</v>
      </c>
      <c r="AL1229" s="48">
        <v>0</v>
      </c>
      <c r="AP1229">
        <v>487.94999999999993</v>
      </c>
      <c r="AQ1229">
        <v>14.999999999999998</v>
      </c>
      <c r="AS1229">
        <v>3253</v>
      </c>
    </row>
    <row r="1230" spans="1:45" hidden="1" x14ac:dyDescent="0.25">
      <c r="A1230">
        <v>1229</v>
      </c>
      <c r="B1230">
        <v>2025</v>
      </c>
      <c r="C1230">
        <v>12</v>
      </c>
      <c r="D1230" t="s">
        <v>170</v>
      </c>
      <c r="E1230">
        <v>31</v>
      </c>
      <c r="F1230">
        <v>11</v>
      </c>
      <c r="G1230" t="s">
        <v>432</v>
      </c>
      <c r="H1230" s="48">
        <v>380401</v>
      </c>
      <c r="I1230" s="48">
        <v>380569</v>
      </c>
      <c r="J1230" s="48">
        <v>380706</v>
      </c>
      <c r="K1230" s="48">
        <v>380845</v>
      </c>
      <c r="L1230" s="48">
        <v>380982</v>
      </c>
      <c r="M1230" s="48">
        <v>381153</v>
      </c>
      <c r="N1230" s="48">
        <v>381355</v>
      </c>
      <c r="O1230" s="48">
        <v>381565</v>
      </c>
      <c r="P1230" s="48">
        <v>381735</v>
      </c>
      <c r="Q1230" s="48">
        <v>381871</v>
      </c>
      <c r="R1230" s="48">
        <v>382124</v>
      </c>
      <c r="S1230" s="48">
        <v>382262</v>
      </c>
      <c r="T1230" s="48">
        <v>382548</v>
      </c>
      <c r="U1230" s="48">
        <v>382548</v>
      </c>
      <c r="V1230" s="48">
        <v>382823</v>
      </c>
      <c r="W1230" s="48">
        <v>383084</v>
      </c>
      <c r="X1230" s="48">
        <v>383222</v>
      </c>
      <c r="Y1230" s="48">
        <v>383359</v>
      </c>
      <c r="Z1230" s="48">
        <v>383497</v>
      </c>
      <c r="AA1230" s="48">
        <v>383635</v>
      </c>
      <c r="AB1230" s="48">
        <v>383772</v>
      </c>
      <c r="AC1230" s="48">
        <v>383915</v>
      </c>
      <c r="AD1230" s="48">
        <v>384052</v>
      </c>
      <c r="AE1230" s="48">
        <v>384190</v>
      </c>
      <c r="AF1230" s="48">
        <v>384410</v>
      </c>
      <c r="AG1230" s="48">
        <v>384548</v>
      </c>
      <c r="AH1230" s="48">
        <v>384718</v>
      </c>
      <c r="AI1230" s="48">
        <v>384921</v>
      </c>
      <c r="AJ1230" s="48">
        <v>385126</v>
      </c>
      <c r="AK1230" s="48">
        <v>385328</v>
      </c>
      <c r="AL1230" s="48">
        <v>0</v>
      </c>
    </row>
    <row r="1231" spans="1:45" hidden="1" x14ac:dyDescent="0.25">
      <c r="A1231">
        <v>1230</v>
      </c>
      <c r="B1231">
        <v>2025</v>
      </c>
      <c r="C1231">
        <v>12</v>
      </c>
      <c r="D1231" t="s">
        <v>170</v>
      </c>
      <c r="E1231">
        <v>31</v>
      </c>
      <c r="F1231">
        <v>11</v>
      </c>
      <c r="G1231" t="s">
        <v>433</v>
      </c>
      <c r="H1231" s="48">
        <v>380569</v>
      </c>
      <c r="I1231" s="48">
        <v>380706</v>
      </c>
      <c r="J1231" s="48">
        <v>380845</v>
      </c>
      <c r="K1231" s="48">
        <v>380982</v>
      </c>
      <c r="L1231" s="48">
        <v>381153</v>
      </c>
      <c r="M1231" s="48">
        <v>381355</v>
      </c>
      <c r="N1231" s="48">
        <v>381561</v>
      </c>
      <c r="O1231" s="48">
        <v>381735</v>
      </c>
      <c r="P1231" s="48">
        <v>381871</v>
      </c>
      <c r="Q1231" s="48">
        <v>382124</v>
      </c>
      <c r="R1231" s="48">
        <v>382262</v>
      </c>
      <c r="S1231" s="48">
        <v>382548</v>
      </c>
      <c r="T1231" s="48">
        <v>382823</v>
      </c>
      <c r="U1231" s="48">
        <v>382823</v>
      </c>
      <c r="V1231" s="48">
        <v>383084</v>
      </c>
      <c r="W1231" s="48">
        <v>383222</v>
      </c>
      <c r="X1231" s="48">
        <v>383359</v>
      </c>
      <c r="Y1231" s="48">
        <v>383497</v>
      </c>
      <c r="Z1231" s="48">
        <v>383635</v>
      </c>
      <c r="AA1231" s="48">
        <v>383772</v>
      </c>
      <c r="AB1231" s="48">
        <v>383915</v>
      </c>
      <c r="AC1231" s="48">
        <v>384052</v>
      </c>
      <c r="AD1231" s="48">
        <v>384190</v>
      </c>
      <c r="AE1231" s="48">
        <v>384410</v>
      </c>
      <c r="AF1231" s="48">
        <v>384548</v>
      </c>
      <c r="AG1231" s="48">
        <v>384718</v>
      </c>
      <c r="AH1231" s="48">
        <v>384921</v>
      </c>
      <c r="AI1231" s="48">
        <v>385126</v>
      </c>
      <c r="AJ1231" s="48">
        <v>385328</v>
      </c>
      <c r="AK1231" s="48">
        <v>385535</v>
      </c>
      <c r="AL1231" s="48">
        <v>0</v>
      </c>
      <c r="AP1231">
        <v>972.89999999999986</v>
      </c>
      <c r="AQ1231">
        <v>17.999999999999996</v>
      </c>
      <c r="AS1231">
        <v>5405</v>
      </c>
    </row>
    <row r="1232" spans="1:45" hidden="1" x14ac:dyDescent="0.25">
      <c r="A1232">
        <v>1231</v>
      </c>
      <c r="B1232">
        <v>2025</v>
      </c>
      <c r="C1232">
        <v>12</v>
      </c>
      <c r="D1232" t="s">
        <v>353</v>
      </c>
      <c r="E1232">
        <v>31</v>
      </c>
      <c r="F1232">
        <v>11</v>
      </c>
      <c r="G1232" t="s">
        <v>432</v>
      </c>
      <c r="H1232" s="48">
        <v>316090</v>
      </c>
      <c r="I1232" s="48">
        <v>316162</v>
      </c>
      <c r="J1232" s="48">
        <v>316208</v>
      </c>
      <c r="K1232" s="48">
        <v>316223</v>
      </c>
      <c r="L1232" s="48">
        <v>316259</v>
      </c>
      <c r="M1232" s="48">
        <v>316284</v>
      </c>
      <c r="N1232" s="48">
        <v>316315</v>
      </c>
      <c r="O1232" s="48">
        <v>316449</v>
      </c>
      <c r="P1232" s="48">
        <v>316467</v>
      </c>
      <c r="Q1232" s="48">
        <v>316496</v>
      </c>
      <c r="R1232" s="48">
        <v>316514</v>
      </c>
      <c r="S1232" s="48">
        <v>316630</v>
      </c>
      <c r="T1232" s="48">
        <v>316674</v>
      </c>
      <c r="U1232" s="48">
        <v>316783</v>
      </c>
      <c r="V1232" s="48">
        <v>316905</v>
      </c>
      <c r="W1232" s="48">
        <v>316929</v>
      </c>
      <c r="X1232" s="48">
        <v>317054</v>
      </c>
      <c r="Y1232" s="48">
        <v>317056</v>
      </c>
      <c r="Z1232" s="48">
        <v>317081</v>
      </c>
      <c r="AA1232" s="48">
        <v>317096</v>
      </c>
      <c r="AB1232" s="48">
        <v>317108</v>
      </c>
      <c r="AC1232" s="48">
        <v>317121</v>
      </c>
      <c r="AD1232" s="48">
        <v>0</v>
      </c>
      <c r="AE1232" s="48">
        <v>0</v>
      </c>
      <c r="AF1232" s="48">
        <v>0</v>
      </c>
      <c r="AG1232" s="48">
        <v>0</v>
      </c>
      <c r="AH1232" s="48">
        <v>0</v>
      </c>
      <c r="AI1232" s="48">
        <v>0</v>
      </c>
      <c r="AJ1232" s="48">
        <v>0</v>
      </c>
      <c r="AK1232" s="48">
        <v>0</v>
      </c>
      <c r="AL1232" s="48">
        <v>0</v>
      </c>
    </row>
    <row r="1233" spans="1:45" hidden="1" x14ac:dyDescent="0.25">
      <c r="A1233">
        <v>1232</v>
      </c>
      <c r="B1233">
        <v>2025</v>
      </c>
      <c r="C1233">
        <v>12</v>
      </c>
      <c r="D1233" t="s">
        <v>353</v>
      </c>
      <c r="E1233">
        <v>31</v>
      </c>
      <c r="F1233">
        <v>11</v>
      </c>
      <c r="G1233" t="s">
        <v>433</v>
      </c>
      <c r="H1233" s="48">
        <v>316162</v>
      </c>
      <c r="I1233" s="48">
        <v>316208</v>
      </c>
      <c r="J1233" s="48">
        <v>316223</v>
      </c>
      <c r="K1233" s="48">
        <v>316259</v>
      </c>
      <c r="L1233" s="48">
        <v>316284</v>
      </c>
      <c r="M1233" s="48">
        <v>316315</v>
      </c>
      <c r="N1233" s="48">
        <v>316449</v>
      </c>
      <c r="O1233" s="48">
        <v>316467</v>
      </c>
      <c r="P1233" s="48">
        <v>316496</v>
      </c>
      <c r="Q1233" s="48">
        <v>316514</v>
      </c>
      <c r="R1233" s="48">
        <v>316630</v>
      </c>
      <c r="S1233" s="48">
        <v>316674</v>
      </c>
      <c r="T1233" s="48">
        <v>316783</v>
      </c>
      <c r="U1233" s="48">
        <v>316905</v>
      </c>
      <c r="V1233" s="48">
        <v>316929</v>
      </c>
      <c r="W1233" s="48">
        <v>317054</v>
      </c>
      <c r="X1233" s="48">
        <v>317056</v>
      </c>
      <c r="Y1233" s="48">
        <v>317081</v>
      </c>
      <c r="Z1233" s="48">
        <v>317096</v>
      </c>
      <c r="AA1233" s="48">
        <v>317108</v>
      </c>
      <c r="AB1233" s="48">
        <v>317121</v>
      </c>
      <c r="AC1233" s="48">
        <v>317125</v>
      </c>
      <c r="AD1233" s="48">
        <v>0</v>
      </c>
      <c r="AE1233" s="48">
        <v>0</v>
      </c>
      <c r="AF1233" s="48">
        <v>0</v>
      </c>
      <c r="AG1233" s="48">
        <v>0</v>
      </c>
      <c r="AH1233" s="48">
        <v>0</v>
      </c>
      <c r="AI1233" s="48">
        <v>0</v>
      </c>
      <c r="AJ1233" s="48">
        <v>0</v>
      </c>
      <c r="AK1233" s="48">
        <v>0</v>
      </c>
      <c r="AL1233" s="48">
        <v>0</v>
      </c>
      <c r="AP1233">
        <v>155.25</v>
      </c>
      <c r="AQ1233">
        <v>15</v>
      </c>
      <c r="AS1233">
        <v>1035</v>
      </c>
    </row>
    <row r="1234" spans="1:45" hidden="1" x14ac:dyDescent="0.25">
      <c r="A1234">
        <v>1233</v>
      </c>
      <c r="B1234">
        <v>2025</v>
      </c>
      <c r="C1234">
        <v>12</v>
      </c>
      <c r="D1234" t="s">
        <v>354</v>
      </c>
      <c r="E1234">
        <v>31</v>
      </c>
      <c r="F1234">
        <v>11</v>
      </c>
      <c r="G1234" t="s">
        <v>432</v>
      </c>
      <c r="H1234" s="48">
        <v>254716</v>
      </c>
      <c r="I1234" s="48">
        <v>254807</v>
      </c>
      <c r="J1234" s="48">
        <v>254895</v>
      </c>
      <c r="K1234" s="48">
        <v>254961</v>
      </c>
      <c r="L1234" s="48">
        <v>255025</v>
      </c>
      <c r="M1234" s="48">
        <v>255134</v>
      </c>
      <c r="N1234" s="48">
        <v>0</v>
      </c>
      <c r="O1234" s="48">
        <v>255213</v>
      </c>
      <c r="P1234" s="48">
        <v>255309</v>
      </c>
      <c r="Q1234" s="48">
        <v>255412</v>
      </c>
      <c r="R1234" s="48">
        <v>255546</v>
      </c>
      <c r="S1234" s="48">
        <v>255649</v>
      </c>
      <c r="T1234" s="48">
        <v>255725</v>
      </c>
      <c r="U1234" s="48">
        <v>255803</v>
      </c>
      <c r="V1234" s="48">
        <v>255902</v>
      </c>
      <c r="W1234" s="48">
        <v>256018</v>
      </c>
      <c r="X1234" s="48">
        <v>256118</v>
      </c>
      <c r="Y1234" s="48">
        <v>256210</v>
      </c>
      <c r="Z1234" s="48">
        <v>256287</v>
      </c>
      <c r="AA1234" s="48">
        <v>256392</v>
      </c>
      <c r="AB1234" s="48">
        <v>256488</v>
      </c>
      <c r="AC1234" s="48">
        <v>256571</v>
      </c>
      <c r="AD1234" s="48">
        <v>256685</v>
      </c>
      <c r="AE1234" s="48">
        <v>256797</v>
      </c>
      <c r="AF1234" s="48">
        <v>256923</v>
      </c>
      <c r="AG1234" s="48">
        <v>257028</v>
      </c>
      <c r="AH1234" s="48">
        <v>257122</v>
      </c>
      <c r="AI1234" s="48">
        <v>257231</v>
      </c>
      <c r="AJ1234" s="48">
        <v>257339</v>
      </c>
      <c r="AK1234" s="48">
        <v>257413</v>
      </c>
      <c r="AL1234" s="48">
        <v>0</v>
      </c>
    </row>
    <row r="1235" spans="1:45" hidden="1" x14ac:dyDescent="0.25">
      <c r="A1235">
        <v>1234</v>
      </c>
      <c r="B1235">
        <v>2025</v>
      </c>
      <c r="C1235">
        <v>12</v>
      </c>
      <c r="D1235" t="s">
        <v>354</v>
      </c>
      <c r="E1235">
        <v>31</v>
      </c>
      <c r="F1235">
        <v>11</v>
      </c>
      <c r="G1235" t="s">
        <v>433</v>
      </c>
      <c r="H1235" s="48">
        <v>254807</v>
      </c>
      <c r="I1235" s="48">
        <v>254895</v>
      </c>
      <c r="J1235" s="48">
        <v>254961</v>
      </c>
      <c r="K1235" s="48">
        <v>255025</v>
      </c>
      <c r="L1235" s="48">
        <v>255134</v>
      </c>
      <c r="M1235" s="48">
        <v>255213</v>
      </c>
      <c r="N1235" s="48">
        <v>0</v>
      </c>
      <c r="O1235" s="48">
        <v>255309</v>
      </c>
      <c r="P1235" s="48">
        <v>255412</v>
      </c>
      <c r="Q1235" s="48">
        <v>255546</v>
      </c>
      <c r="R1235" s="48">
        <v>255649</v>
      </c>
      <c r="S1235" s="48">
        <v>255725</v>
      </c>
      <c r="T1235" s="48">
        <v>255803</v>
      </c>
      <c r="U1235" s="48">
        <v>255902</v>
      </c>
      <c r="V1235" s="48">
        <v>256018</v>
      </c>
      <c r="W1235" s="48">
        <v>256118</v>
      </c>
      <c r="X1235" s="48">
        <v>256210</v>
      </c>
      <c r="Y1235" s="48">
        <v>256287</v>
      </c>
      <c r="Z1235" s="48">
        <v>256392</v>
      </c>
      <c r="AA1235" s="48">
        <v>256488</v>
      </c>
      <c r="AB1235" s="48">
        <v>256571</v>
      </c>
      <c r="AC1235" s="48">
        <v>256685</v>
      </c>
      <c r="AD1235" s="48">
        <v>256797</v>
      </c>
      <c r="AE1235" s="48">
        <v>256923</v>
      </c>
      <c r="AF1235" s="48">
        <v>257028</v>
      </c>
      <c r="AG1235" s="48">
        <v>257122</v>
      </c>
      <c r="AH1235" s="48">
        <v>257231</v>
      </c>
      <c r="AI1235" s="48">
        <v>257339</v>
      </c>
      <c r="AJ1235" s="48">
        <v>257413</v>
      </c>
      <c r="AK1235" s="48">
        <v>257536</v>
      </c>
      <c r="AL1235" s="48">
        <v>0</v>
      </c>
      <c r="AP1235">
        <v>423</v>
      </c>
      <c r="AQ1235">
        <v>15</v>
      </c>
      <c r="AS1235">
        <v>2820</v>
      </c>
    </row>
    <row r="1236" spans="1:45" hidden="1" x14ac:dyDescent="0.25">
      <c r="A1236">
        <v>1235</v>
      </c>
      <c r="B1236">
        <v>2025</v>
      </c>
      <c r="C1236">
        <v>12</v>
      </c>
      <c r="D1236" t="s">
        <v>144</v>
      </c>
      <c r="E1236">
        <v>31</v>
      </c>
      <c r="F1236">
        <v>11</v>
      </c>
      <c r="G1236" t="s">
        <v>432</v>
      </c>
      <c r="H1236" s="48">
        <v>382512</v>
      </c>
      <c r="I1236" s="48">
        <v>382566</v>
      </c>
      <c r="J1236" s="48">
        <v>382610</v>
      </c>
      <c r="K1236" s="48">
        <v>382826</v>
      </c>
      <c r="L1236" s="48">
        <v>382951</v>
      </c>
      <c r="M1236" s="48">
        <v>383016</v>
      </c>
      <c r="N1236" s="48">
        <v>0</v>
      </c>
      <c r="O1236" s="48">
        <v>383500</v>
      </c>
      <c r="P1236" s="48">
        <v>383699</v>
      </c>
      <c r="Q1236" s="48">
        <v>383864</v>
      </c>
      <c r="R1236" s="48">
        <v>384088</v>
      </c>
      <c r="S1236" s="48">
        <v>384440</v>
      </c>
      <c r="T1236" s="48">
        <v>384618</v>
      </c>
      <c r="U1236" s="48">
        <v>384789</v>
      </c>
      <c r="V1236" s="48">
        <v>385051</v>
      </c>
      <c r="W1236" s="48">
        <v>385391</v>
      </c>
      <c r="X1236" s="48">
        <v>385454</v>
      </c>
      <c r="Y1236" s="48">
        <v>385493</v>
      </c>
      <c r="Z1236" s="48">
        <v>385616</v>
      </c>
      <c r="AA1236" s="48">
        <v>385769</v>
      </c>
      <c r="AB1236" s="48">
        <v>386030</v>
      </c>
      <c r="AC1236" s="48">
        <v>386390</v>
      </c>
      <c r="AD1236" s="48">
        <v>386453</v>
      </c>
      <c r="AE1236" s="48">
        <v>386530</v>
      </c>
      <c r="AF1236" s="48">
        <v>386601</v>
      </c>
      <c r="AG1236" s="48">
        <v>386829</v>
      </c>
      <c r="AH1236" s="48">
        <v>387094</v>
      </c>
      <c r="AI1236" s="48">
        <v>387344</v>
      </c>
      <c r="AJ1236" s="48">
        <v>387619</v>
      </c>
      <c r="AK1236" s="48">
        <v>387691</v>
      </c>
      <c r="AL1236" s="48">
        <v>0</v>
      </c>
    </row>
    <row r="1237" spans="1:45" hidden="1" x14ac:dyDescent="0.25">
      <c r="A1237">
        <v>1236</v>
      </c>
      <c r="B1237">
        <v>2025</v>
      </c>
      <c r="C1237">
        <v>12</v>
      </c>
      <c r="D1237" t="s">
        <v>144</v>
      </c>
      <c r="E1237">
        <v>31</v>
      </c>
      <c r="F1237">
        <v>11</v>
      </c>
      <c r="G1237" t="s">
        <v>433</v>
      </c>
      <c r="H1237" s="48">
        <v>382566</v>
      </c>
      <c r="I1237" s="48">
        <v>382610</v>
      </c>
      <c r="J1237" s="48">
        <v>382826</v>
      </c>
      <c r="K1237" s="48">
        <v>382947</v>
      </c>
      <c r="L1237" s="48">
        <v>383016</v>
      </c>
      <c r="M1237" s="48">
        <v>383086</v>
      </c>
      <c r="N1237" s="48">
        <v>0</v>
      </c>
      <c r="O1237" s="48">
        <v>383699</v>
      </c>
      <c r="P1237" s="48">
        <v>383864</v>
      </c>
      <c r="Q1237" s="48">
        <v>384087</v>
      </c>
      <c r="R1237" s="48">
        <v>384440</v>
      </c>
      <c r="S1237" s="48">
        <v>384549</v>
      </c>
      <c r="T1237" s="48">
        <v>384738</v>
      </c>
      <c r="U1237" s="48">
        <v>384906</v>
      </c>
      <c r="V1237" s="48">
        <v>385187</v>
      </c>
      <c r="W1237" s="48">
        <v>385454</v>
      </c>
      <c r="X1237" s="48">
        <v>385493</v>
      </c>
      <c r="Y1237" s="48">
        <v>385550</v>
      </c>
      <c r="Z1237" s="48">
        <v>385769</v>
      </c>
      <c r="AA1237" s="48">
        <v>385891</v>
      </c>
      <c r="AB1237" s="48">
        <v>386237</v>
      </c>
      <c r="AC1237" s="48">
        <v>386453</v>
      </c>
      <c r="AD1237" s="48">
        <v>386530</v>
      </c>
      <c r="AE1237" s="48">
        <v>386601</v>
      </c>
      <c r="AF1237" s="48">
        <v>386766</v>
      </c>
      <c r="AG1237" s="48">
        <v>387011</v>
      </c>
      <c r="AH1237" s="48">
        <v>387344</v>
      </c>
      <c r="AI1237" s="48">
        <v>387619</v>
      </c>
      <c r="AJ1237" s="48">
        <v>387689</v>
      </c>
      <c r="AK1237" s="48">
        <v>387855</v>
      </c>
      <c r="AL1237" s="48">
        <v>0</v>
      </c>
      <c r="AP1237">
        <v>592.35</v>
      </c>
      <c r="AQ1237">
        <v>15</v>
      </c>
      <c r="AS1237">
        <v>3949</v>
      </c>
    </row>
    <row r="1238" spans="1:45" hidden="1" x14ac:dyDescent="0.25">
      <c r="A1238">
        <v>1237</v>
      </c>
      <c r="B1238">
        <v>2025</v>
      </c>
      <c r="C1238">
        <v>12</v>
      </c>
      <c r="D1238" t="s">
        <v>129</v>
      </c>
      <c r="E1238">
        <v>31</v>
      </c>
      <c r="F1238">
        <v>11</v>
      </c>
      <c r="G1238" t="s">
        <v>432</v>
      </c>
      <c r="H1238" s="48">
        <v>495180</v>
      </c>
      <c r="I1238" s="48">
        <v>495240</v>
      </c>
      <c r="J1238" s="48">
        <v>495266</v>
      </c>
      <c r="K1238" s="48">
        <v>495283</v>
      </c>
      <c r="L1238" s="48">
        <v>495326</v>
      </c>
      <c r="M1238" s="48">
        <v>495344</v>
      </c>
      <c r="N1238" s="48">
        <v>0</v>
      </c>
      <c r="O1238" s="48">
        <v>495565</v>
      </c>
      <c r="P1238" s="48">
        <v>495663</v>
      </c>
      <c r="Q1238" s="48">
        <v>495790</v>
      </c>
      <c r="R1238" s="48">
        <v>495881</v>
      </c>
      <c r="S1238" s="48">
        <v>496116</v>
      </c>
      <c r="T1238" s="48">
        <v>496127</v>
      </c>
      <c r="U1238" s="48">
        <v>0</v>
      </c>
      <c r="V1238" s="48">
        <v>496471</v>
      </c>
      <c r="W1238" s="48">
        <v>496509</v>
      </c>
      <c r="X1238" s="48">
        <v>496594</v>
      </c>
      <c r="Y1238" s="48">
        <v>496617</v>
      </c>
      <c r="Z1238" s="48">
        <v>496648</v>
      </c>
      <c r="AA1238" s="48">
        <v>496688</v>
      </c>
      <c r="AB1238" s="48">
        <v>496710</v>
      </c>
      <c r="AC1238" s="48">
        <v>496932</v>
      </c>
      <c r="AD1238" s="48">
        <v>497045</v>
      </c>
      <c r="AE1238" s="48">
        <v>497228</v>
      </c>
      <c r="AF1238" s="48">
        <v>497336</v>
      </c>
      <c r="AG1238" s="48">
        <v>497437</v>
      </c>
      <c r="AH1238" s="48">
        <v>497479</v>
      </c>
      <c r="AI1238" s="48">
        <v>497510</v>
      </c>
      <c r="AJ1238" s="48">
        <v>497536</v>
      </c>
      <c r="AK1238" s="48">
        <v>497578</v>
      </c>
      <c r="AL1238" s="48">
        <v>0</v>
      </c>
    </row>
    <row r="1239" spans="1:45" hidden="1" x14ac:dyDescent="0.25">
      <c r="A1239">
        <v>1238</v>
      </c>
      <c r="B1239">
        <v>2025</v>
      </c>
      <c r="C1239">
        <v>12</v>
      </c>
      <c r="D1239" t="s">
        <v>129</v>
      </c>
      <c r="E1239">
        <v>31</v>
      </c>
      <c r="F1239">
        <v>11</v>
      </c>
      <c r="G1239" t="s">
        <v>433</v>
      </c>
      <c r="H1239" s="48">
        <v>495240</v>
      </c>
      <c r="I1239" s="48">
        <v>495266</v>
      </c>
      <c r="J1239" s="48">
        <v>495283</v>
      </c>
      <c r="K1239" s="48">
        <v>495326</v>
      </c>
      <c r="L1239" s="48">
        <v>495344</v>
      </c>
      <c r="M1239" s="48">
        <v>495437</v>
      </c>
      <c r="N1239" s="48">
        <v>0</v>
      </c>
      <c r="O1239" s="48">
        <v>495663</v>
      </c>
      <c r="P1239" s="48">
        <v>495790</v>
      </c>
      <c r="Q1239" s="48">
        <v>495876</v>
      </c>
      <c r="R1239" s="48">
        <v>496115</v>
      </c>
      <c r="S1239" s="48">
        <v>496127</v>
      </c>
      <c r="T1239" s="48">
        <v>496229</v>
      </c>
      <c r="U1239" s="48">
        <v>0</v>
      </c>
      <c r="V1239" s="48">
        <v>496508</v>
      </c>
      <c r="W1239" s="48">
        <v>496592</v>
      </c>
      <c r="X1239" s="48">
        <v>496617</v>
      </c>
      <c r="Y1239" s="48">
        <v>496648</v>
      </c>
      <c r="Z1239" s="48">
        <v>496688</v>
      </c>
      <c r="AA1239" s="48">
        <v>496710</v>
      </c>
      <c r="AB1239" s="48">
        <v>496831</v>
      </c>
      <c r="AC1239" s="48">
        <v>497045</v>
      </c>
      <c r="AD1239" s="48">
        <v>497144</v>
      </c>
      <c r="AE1239" s="48">
        <v>497336</v>
      </c>
      <c r="AF1239" s="48">
        <v>497437</v>
      </c>
      <c r="AG1239" s="48">
        <v>497479</v>
      </c>
      <c r="AH1239" s="48">
        <v>497510</v>
      </c>
      <c r="AI1239" s="48">
        <v>497536</v>
      </c>
      <c r="AJ1239" s="48">
        <v>497578</v>
      </c>
      <c r="AK1239" s="48">
        <v>497676</v>
      </c>
      <c r="AL1239" s="48">
        <v>0</v>
      </c>
      <c r="AP1239">
        <v>289.8</v>
      </c>
      <c r="AQ1239">
        <v>15</v>
      </c>
      <c r="AS1239">
        <v>1932</v>
      </c>
    </row>
    <row r="1240" spans="1:45" hidden="1" x14ac:dyDescent="0.25">
      <c r="A1240">
        <v>1239</v>
      </c>
      <c r="B1240">
        <v>2025</v>
      </c>
      <c r="C1240">
        <v>12</v>
      </c>
      <c r="D1240" t="s">
        <v>355</v>
      </c>
      <c r="E1240">
        <v>31</v>
      </c>
      <c r="F1240">
        <v>11</v>
      </c>
      <c r="G1240" t="s">
        <v>432</v>
      </c>
      <c r="H1240" s="48">
        <v>261980</v>
      </c>
      <c r="I1240" s="48">
        <v>262018</v>
      </c>
      <c r="J1240" s="48">
        <v>262042</v>
      </c>
      <c r="K1240" s="48">
        <v>262074</v>
      </c>
      <c r="L1240" s="48">
        <v>262097</v>
      </c>
      <c r="M1240" s="48">
        <v>262140</v>
      </c>
      <c r="N1240" s="48">
        <v>262165</v>
      </c>
      <c r="O1240" s="48">
        <v>262182</v>
      </c>
      <c r="P1240" s="48">
        <v>262204</v>
      </c>
      <c r="Q1240" s="48">
        <v>262244</v>
      </c>
      <c r="R1240" s="48">
        <v>262256</v>
      </c>
      <c r="S1240" s="48">
        <v>262284</v>
      </c>
      <c r="T1240" s="48">
        <v>262395</v>
      </c>
      <c r="U1240" s="48">
        <v>262434</v>
      </c>
      <c r="V1240" s="48">
        <v>262444</v>
      </c>
      <c r="W1240" s="48">
        <v>262553</v>
      </c>
      <c r="X1240" s="48">
        <v>262639</v>
      </c>
      <c r="Y1240" s="48">
        <v>262669</v>
      </c>
      <c r="Z1240" s="48">
        <v>262702</v>
      </c>
      <c r="AA1240" s="48">
        <v>262889</v>
      </c>
      <c r="AB1240" s="48">
        <v>262917</v>
      </c>
      <c r="AC1240" s="48">
        <v>262938</v>
      </c>
      <c r="AD1240" s="48">
        <v>262961</v>
      </c>
      <c r="AE1240" s="48">
        <v>263003</v>
      </c>
      <c r="AF1240" s="48">
        <v>263025</v>
      </c>
      <c r="AG1240" s="48">
        <v>263056</v>
      </c>
      <c r="AH1240" s="48">
        <v>263085</v>
      </c>
      <c r="AI1240" s="48">
        <v>263115</v>
      </c>
      <c r="AJ1240" s="48">
        <v>263139</v>
      </c>
      <c r="AK1240" s="48">
        <v>263228</v>
      </c>
      <c r="AL1240" s="48">
        <v>0</v>
      </c>
    </row>
    <row r="1241" spans="1:45" hidden="1" x14ac:dyDescent="0.25">
      <c r="A1241">
        <v>1240</v>
      </c>
      <c r="B1241">
        <v>2025</v>
      </c>
      <c r="C1241">
        <v>12</v>
      </c>
      <c r="D1241" t="s">
        <v>355</v>
      </c>
      <c r="E1241">
        <v>31</v>
      </c>
      <c r="F1241">
        <v>11</v>
      </c>
      <c r="G1241" t="s">
        <v>433</v>
      </c>
      <c r="H1241" s="48">
        <v>262018</v>
      </c>
      <c r="I1241" s="48">
        <v>262042</v>
      </c>
      <c r="J1241" s="48">
        <v>262074</v>
      </c>
      <c r="K1241" s="48">
        <v>262097</v>
      </c>
      <c r="L1241" s="48">
        <v>262140</v>
      </c>
      <c r="M1241" s="48">
        <v>262165</v>
      </c>
      <c r="N1241" s="48">
        <v>262182</v>
      </c>
      <c r="O1241" s="48">
        <v>262203</v>
      </c>
      <c r="P1241" s="48">
        <v>262244</v>
      </c>
      <c r="Q1241" s="48">
        <v>262256</v>
      </c>
      <c r="R1241" s="48">
        <v>262284</v>
      </c>
      <c r="S1241" s="48">
        <v>262340</v>
      </c>
      <c r="T1241" s="48">
        <v>262434</v>
      </c>
      <c r="U1241" s="48">
        <v>262444</v>
      </c>
      <c r="V1241" s="48">
        <v>262531</v>
      </c>
      <c r="W1241" s="48">
        <v>262639</v>
      </c>
      <c r="X1241" s="48">
        <v>262669</v>
      </c>
      <c r="Y1241" s="48">
        <v>262702</v>
      </c>
      <c r="Z1241" s="48">
        <v>262889</v>
      </c>
      <c r="AA1241" s="48">
        <v>262917</v>
      </c>
      <c r="AB1241" s="48">
        <v>262938</v>
      </c>
      <c r="AC1241" s="48">
        <v>262961</v>
      </c>
      <c r="AD1241" s="48">
        <v>263003</v>
      </c>
      <c r="AE1241" s="48">
        <v>263025</v>
      </c>
      <c r="AF1241" s="48">
        <v>263056</v>
      </c>
      <c r="AG1241" s="48">
        <v>263085</v>
      </c>
      <c r="AH1241" s="48">
        <v>263115</v>
      </c>
      <c r="AI1241" s="48">
        <v>263139</v>
      </c>
      <c r="AJ1241" s="48">
        <v>263207</v>
      </c>
      <c r="AK1241" s="48">
        <v>263318</v>
      </c>
      <c r="AL1241" s="48">
        <v>0</v>
      </c>
      <c r="AP1241">
        <v>185.85</v>
      </c>
      <c r="AQ1241">
        <v>15</v>
      </c>
      <c r="AS1241">
        <v>1239</v>
      </c>
    </row>
    <row r="1242" spans="1:45" hidden="1" x14ac:dyDescent="0.25">
      <c r="A1242">
        <v>1241</v>
      </c>
      <c r="B1242">
        <v>2025</v>
      </c>
      <c r="C1242">
        <v>12</v>
      </c>
      <c r="D1242" t="s">
        <v>159</v>
      </c>
      <c r="E1242">
        <v>31</v>
      </c>
      <c r="F1242">
        <v>11</v>
      </c>
      <c r="G1242" t="s">
        <v>432</v>
      </c>
      <c r="H1242" s="48">
        <v>335591</v>
      </c>
      <c r="I1242" s="48">
        <v>335628</v>
      </c>
      <c r="J1242" s="48">
        <v>335693</v>
      </c>
      <c r="K1242" s="48">
        <v>335756</v>
      </c>
      <c r="L1242" s="48">
        <v>335854</v>
      </c>
      <c r="M1242" s="48">
        <v>335914</v>
      </c>
      <c r="N1242" s="48">
        <v>0</v>
      </c>
      <c r="O1242" s="48">
        <v>335973</v>
      </c>
      <c r="P1242" s="48">
        <v>336088</v>
      </c>
      <c r="Q1242" s="48">
        <v>336127</v>
      </c>
      <c r="R1242" s="48">
        <v>336163</v>
      </c>
      <c r="S1242" s="48">
        <v>336214</v>
      </c>
      <c r="T1242" s="48">
        <v>336241</v>
      </c>
      <c r="U1242" s="48">
        <v>0</v>
      </c>
      <c r="V1242" s="48">
        <v>336272</v>
      </c>
      <c r="W1242" s="48">
        <v>336300</v>
      </c>
      <c r="X1242" s="48">
        <v>336344</v>
      </c>
      <c r="Y1242" s="48">
        <v>336516</v>
      </c>
      <c r="Z1242" s="48">
        <v>336689</v>
      </c>
      <c r="AA1242" s="48">
        <v>336735</v>
      </c>
      <c r="AB1242" s="48">
        <v>336866</v>
      </c>
      <c r="AC1242" s="48">
        <v>336998</v>
      </c>
      <c r="AD1242" s="48">
        <v>337092</v>
      </c>
      <c r="AE1242" s="48">
        <v>337172</v>
      </c>
      <c r="AF1242" s="48">
        <v>337237</v>
      </c>
      <c r="AG1242" s="48">
        <v>337298</v>
      </c>
      <c r="AH1242" s="48">
        <v>337373</v>
      </c>
      <c r="AI1242" s="48">
        <v>337429</v>
      </c>
      <c r="AJ1242" s="48">
        <v>337567</v>
      </c>
      <c r="AK1242" s="48">
        <v>337634</v>
      </c>
      <c r="AL1242" s="48">
        <v>0</v>
      </c>
    </row>
    <row r="1243" spans="1:45" hidden="1" x14ac:dyDescent="0.25">
      <c r="A1243">
        <v>1242</v>
      </c>
      <c r="B1243">
        <v>2025</v>
      </c>
      <c r="C1243">
        <v>12</v>
      </c>
      <c r="D1243" t="s">
        <v>159</v>
      </c>
      <c r="E1243">
        <v>31</v>
      </c>
      <c r="F1243">
        <v>11</v>
      </c>
      <c r="G1243" t="s">
        <v>433</v>
      </c>
      <c r="H1243" s="48">
        <v>335616</v>
      </c>
      <c r="I1243" s="48">
        <v>335657</v>
      </c>
      <c r="J1243" s="48">
        <v>335726</v>
      </c>
      <c r="K1243" s="48">
        <v>335808</v>
      </c>
      <c r="L1243" s="48">
        <v>335880</v>
      </c>
      <c r="M1243" s="48">
        <v>335943</v>
      </c>
      <c r="N1243" s="48">
        <v>0</v>
      </c>
      <c r="O1243" s="48">
        <v>336025</v>
      </c>
      <c r="P1243" s="48">
        <v>336124</v>
      </c>
      <c r="Q1243" s="48">
        <v>336162</v>
      </c>
      <c r="R1243" s="48">
        <v>336214</v>
      </c>
      <c r="S1243" s="48">
        <v>336239</v>
      </c>
      <c r="T1243" s="48">
        <v>336272</v>
      </c>
      <c r="U1243" s="48">
        <v>0</v>
      </c>
      <c r="V1243" s="48">
        <v>336300</v>
      </c>
      <c r="W1243" s="48">
        <v>336333</v>
      </c>
      <c r="X1243" s="48">
        <v>336386</v>
      </c>
      <c r="Y1243" s="48">
        <v>336596</v>
      </c>
      <c r="Z1243" s="48">
        <v>336735</v>
      </c>
      <c r="AA1243" s="48">
        <v>336788</v>
      </c>
      <c r="AB1243" s="48">
        <v>336906</v>
      </c>
      <c r="AC1243" s="48">
        <v>337040</v>
      </c>
      <c r="AD1243" s="48">
        <v>337142</v>
      </c>
      <c r="AE1243" s="48">
        <v>337207</v>
      </c>
      <c r="AF1243" s="48">
        <v>337283</v>
      </c>
      <c r="AG1243" s="48">
        <v>337319</v>
      </c>
      <c r="AH1243" s="48">
        <v>337388</v>
      </c>
      <c r="AI1243" s="48">
        <v>337502</v>
      </c>
      <c r="AJ1243" s="48">
        <v>337589</v>
      </c>
      <c r="AK1243" s="48">
        <v>337706</v>
      </c>
      <c r="AL1243" s="48">
        <v>0</v>
      </c>
      <c r="AP1243">
        <v>168.3</v>
      </c>
      <c r="AQ1243">
        <v>15</v>
      </c>
      <c r="AS1243">
        <v>1122</v>
      </c>
    </row>
    <row r="1244" spans="1:45" hidden="1" x14ac:dyDescent="0.25">
      <c r="A1244">
        <v>1243</v>
      </c>
      <c r="B1244">
        <v>2025</v>
      </c>
      <c r="C1244">
        <v>12</v>
      </c>
      <c r="D1244" t="s">
        <v>175</v>
      </c>
      <c r="E1244">
        <v>31</v>
      </c>
      <c r="F1244">
        <v>11</v>
      </c>
      <c r="G1244" t="s">
        <v>432</v>
      </c>
      <c r="H1244" s="48">
        <v>875705</v>
      </c>
      <c r="I1244" s="48">
        <v>875787</v>
      </c>
      <c r="J1244" s="48">
        <v>875878</v>
      </c>
      <c r="K1244" s="48">
        <v>875962</v>
      </c>
      <c r="L1244" s="48">
        <v>876029</v>
      </c>
      <c r="M1244" s="48">
        <v>876089</v>
      </c>
      <c r="N1244" s="48">
        <v>0</v>
      </c>
      <c r="O1244" s="48">
        <v>876148</v>
      </c>
      <c r="P1244" s="48">
        <v>876188</v>
      </c>
      <c r="Q1244" s="48">
        <v>876247</v>
      </c>
      <c r="R1244" s="48">
        <v>876343</v>
      </c>
      <c r="S1244" s="48">
        <v>876430</v>
      </c>
      <c r="T1244" s="48">
        <v>876502</v>
      </c>
      <c r="U1244" s="48">
        <v>876589</v>
      </c>
      <c r="V1244" s="48">
        <v>876683</v>
      </c>
      <c r="W1244" s="48">
        <v>876731</v>
      </c>
      <c r="X1244" s="48">
        <v>876877</v>
      </c>
      <c r="Y1244" s="48">
        <v>876949</v>
      </c>
      <c r="Z1244" s="48">
        <v>877084</v>
      </c>
      <c r="AA1244" s="48">
        <v>877188</v>
      </c>
      <c r="AB1244" s="48">
        <v>877276</v>
      </c>
      <c r="AC1244" s="48">
        <v>877385</v>
      </c>
      <c r="AD1244" s="48">
        <v>877482</v>
      </c>
      <c r="AE1244" s="48">
        <v>877573</v>
      </c>
      <c r="AF1244" s="48">
        <v>877638</v>
      </c>
      <c r="AG1244" s="48">
        <v>877779</v>
      </c>
      <c r="AH1244" s="48">
        <v>877825</v>
      </c>
      <c r="AI1244" s="48">
        <v>877886</v>
      </c>
      <c r="AJ1244" s="48">
        <v>877977</v>
      </c>
      <c r="AK1244" s="48">
        <v>878036</v>
      </c>
      <c r="AL1244" s="48">
        <v>0</v>
      </c>
    </row>
    <row r="1245" spans="1:45" hidden="1" x14ac:dyDescent="0.25">
      <c r="A1245">
        <v>1244</v>
      </c>
      <c r="B1245">
        <v>2025</v>
      </c>
      <c r="C1245">
        <v>12</v>
      </c>
      <c r="D1245" t="s">
        <v>175</v>
      </c>
      <c r="E1245">
        <v>31</v>
      </c>
      <c r="F1245">
        <v>11</v>
      </c>
      <c r="G1245" t="s">
        <v>433</v>
      </c>
      <c r="H1245" s="48">
        <v>875787</v>
      </c>
      <c r="I1245" s="48">
        <v>875878</v>
      </c>
      <c r="J1245" s="48">
        <v>875962</v>
      </c>
      <c r="K1245" s="48">
        <v>876029</v>
      </c>
      <c r="L1245" s="48">
        <v>876089</v>
      </c>
      <c r="M1245" s="48">
        <v>876148</v>
      </c>
      <c r="N1245" s="48">
        <v>0</v>
      </c>
      <c r="O1245" s="48">
        <v>876188</v>
      </c>
      <c r="P1245" s="48">
        <v>876247</v>
      </c>
      <c r="Q1245" s="48">
        <v>876343</v>
      </c>
      <c r="R1245" s="48">
        <v>876430</v>
      </c>
      <c r="S1245" s="48">
        <v>876502</v>
      </c>
      <c r="T1245" s="48">
        <v>876589</v>
      </c>
      <c r="U1245" s="48">
        <v>876683</v>
      </c>
      <c r="V1245" s="48">
        <v>876731</v>
      </c>
      <c r="W1245" s="48">
        <v>876877</v>
      </c>
      <c r="X1245" s="48">
        <v>876949</v>
      </c>
      <c r="Y1245" s="48">
        <v>877084</v>
      </c>
      <c r="Z1245" s="48">
        <v>877188</v>
      </c>
      <c r="AA1245" s="48">
        <v>877276</v>
      </c>
      <c r="AB1245" s="48">
        <v>877385</v>
      </c>
      <c r="AC1245" s="48">
        <v>877482</v>
      </c>
      <c r="AD1245" s="48">
        <v>877573</v>
      </c>
      <c r="AE1245" s="48">
        <v>877638</v>
      </c>
      <c r="AF1245" s="48">
        <v>877779</v>
      </c>
      <c r="AG1245" s="48">
        <v>877825</v>
      </c>
      <c r="AH1245" s="48">
        <v>877886</v>
      </c>
      <c r="AI1245" s="48">
        <v>877977</v>
      </c>
      <c r="AJ1245" s="48">
        <v>878036</v>
      </c>
      <c r="AK1245" s="48">
        <v>878072</v>
      </c>
      <c r="AL1245" s="48">
        <v>0</v>
      </c>
      <c r="AP1245">
        <v>355.05</v>
      </c>
      <c r="AQ1245">
        <v>15</v>
      </c>
      <c r="AS1245">
        <v>2367</v>
      </c>
    </row>
    <row r="1246" spans="1:45" hidden="1" x14ac:dyDescent="0.25">
      <c r="A1246">
        <v>1245</v>
      </c>
      <c r="B1246">
        <v>2025</v>
      </c>
      <c r="C1246">
        <v>12</v>
      </c>
      <c r="D1246" t="s">
        <v>179</v>
      </c>
      <c r="E1246">
        <v>31</v>
      </c>
      <c r="F1246">
        <v>11</v>
      </c>
      <c r="G1246" t="s">
        <v>432</v>
      </c>
      <c r="H1246" s="48">
        <v>232769</v>
      </c>
      <c r="I1246" s="48">
        <v>232808</v>
      </c>
      <c r="J1246" s="48">
        <v>232916</v>
      </c>
      <c r="K1246" s="48">
        <v>232959</v>
      </c>
      <c r="L1246" s="48">
        <v>233005</v>
      </c>
      <c r="M1246" s="48">
        <v>233118</v>
      </c>
      <c r="N1246" s="48">
        <v>233231</v>
      </c>
      <c r="O1246" s="48">
        <v>233389</v>
      </c>
      <c r="P1246" s="48">
        <v>233503</v>
      </c>
      <c r="Q1246" s="48">
        <v>233548</v>
      </c>
      <c r="R1246" s="48">
        <v>233638</v>
      </c>
      <c r="S1246" s="48">
        <v>233731</v>
      </c>
      <c r="T1246" s="48">
        <v>233844</v>
      </c>
      <c r="U1246" s="48">
        <v>233953</v>
      </c>
      <c r="V1246" s="48">
        <v>234048</v>
      </c>
      <c r="W1246" s="48">
        <v>234090</v>
      </c>
      <c r="X1246" s="48">
        <v>234203</v>
      </c>
      <c r="Y1246" s="48">
        <v>234314</v>
      </c>
      <c r="Z1246" s="48">
        <v>234414</v>
      </c>
      <c r="AA1246" s="48">
        <v>234481</v>
      </c>
      <c r="AB1246" s="48">
        <v>234603</v>
      </c>
      <c r="AC1246" s="48">
        <v>234781</v>
      </c>
      <c r="AD1246" s="48">
        <v>234829</v>
      </c>
      <c r="AE1246" s="48">
        <v>234868</v>
      </c>
      <c r="AF1246" s="48">
        <v>234921</v>
      </c>
      <c r="AG1246" s="48">
        <v>235028</v>
      </c>
      <c r="AH1246" s="48">
        <v>235146</v>
      </c>
      <c r="AI1246" s="48">
        <v>235182</v>
      </c>
      <c r="AJ1246" s="48">
        <v>235205</v>
      </c>
      <c r="AK1246" s="48">
        <v>235236</v>
      </c>
      <c r="AL1246" s="48">
        <v>0</v>
      </c>
    </row>
    <row r="1247" spans="1:45" hidden="1" x14ac:dyDescent="0.25">
      <c r="A1247">
        <v>1246</v>
      </c>
      <c r="B1247">
        <v>2025</v>
      </c>
      <c r="C1247">
        <v>12</v>
      </c>
      <c r="D1247" t="s">
        <v>179</v>
      </c>
      <c r="E1247">
        <v>31</v>
      </c>
      <c r="F1247">
        <v>11</v>
      </c>
      <c r="G1247" t="s">
        <v>433</v>
      </c>
      <c r="H1247" s="48">
        <v>232808</v>
      </c>
      <c r="I1247" s="48">
        <v>232916</v>
      </c>
      <c r="J1247" s="48">
        <v>232959</v>
      </c>
      <c r="K1247" s="48">
        <v>233005</v>
      </c>
      <c r="L1247" s="48">
        <v>233118</v>
      </c>
      <c r="M1247" s="48">
        <v>233231</v>
      </c>
      <c r="N1247" s="48">
        <v>233389</v>
      </c>
      <c r="O1247" s="48">
        <v>233503</v>
      </c>
      <c r="P1247" s="48">
        <v>233548</v>
      </c>
      <c r="Q1247" s="48">
        <v>233638</v>
      </c>
      <c r="R1247" s="48">
        <v>233731</v>
      </c>
      <c r="S1247" s="48">
        <v>233844</v>
      </c>
      <c r="T1247" s="48">
        <v>233953</v>
      </c>
      <c r="U1247" s="48">
        <v>234048</v>
      </c>
      <c r="V1247" s="48">
        <v>234090</v>
      </c>
      <c r="W1247" s="48">
        <v>234203</v>
      </c>
      <c r="X1247" s="48">
        <v>234314</v>
      </c>
      <c r="Y1247" s="48">
        <v>234414</v>
      </c>
      <c r="Z1247" s="48">
        <v>234481</v>
      </c>
      <c r="AA1247" s="48">
        <v>234603</v>
      </c>
      <c r="AB1247" s="48">
        <v>234781</v>
      </c>
      <c r="AC1247" s="48">
        <v>234829</v>
      </c>
      <c r="AD1247" s="48">
        <v>234868</v>
      </c>
      <c r="AE1247" s="48">
        <v>234921</v>
      </c>
      <c r="AF1247" s="48">
        <v>235028</v>
      </c>
      <c r="AG1247" s="48">
        <v>235146</v>
      </c>
      <c r="AH1247" s="48">
        <v>235182</v>
      </c>
      <c r="AI1247" s="48">
        <v>235205</v>
      </c>
      <c r="AJ1247" s="48">
        <v>235236</v>
      </c>
      <c r="AK1247" s="48">
        <v>235329</v>
      </c>
      <c r="AL1247" s="48">
        <v>0</v>
      </c>
      <c r="AP1247">
        <v>384</v>
      </c>
      <c r="AQ1247">
        <v>15</v>
      </c>
      <c r="AS1247">
        <v>2560</v>
      </c>
    </row>
    <row r="1248" spans="1:45" hidden="1" x14ac:dyDescent="0.25">
      <c r="A1248">
        <v>1247</v>
      </c>
      <c r="B1248">
        <v>2025</v>
      </c>
      <c r="C1248">
        <v>12</v>
      </c>
      <c r="D1248" t="s">
        <v>156</v>
      </c>
      <c r="E1248">
        <v>31</v>
      </c>
      <c r="F1248">
        <v>11</v>
      </c>
      <c r="G1248" t="s">
        <v>432</v>
      </c>
      <c r="H1248" s="48">
        <v>819334</v>
      </c>
      <c r="I1248" s="48">
        <v>819471</v>
      </c>
      <c r="J1248" s="48">
        <v>819620</v>
      </c>
      <c r="K1248" s="48">
        <v>819770</v>
      </c>
      <c r="L1248" s="48">
        <v>819914</v>
      </c>
      <c r="M1248" s="48">
        <v>820069</v>
      </c>
      <c r="N1248" s="48">
        <v>820221</v>
      </c>
      <c r="O1248" s="48">
        <v>820331</v>
      </c>
      <c r="P1248" s="48">
        <v>820431</v>
      </c>
      <c r="Q1248" s="48">
        <v>820567</v>
      </c>
      <c r="R1248" s="48">
        <v>820702</v>
      </c>
      <c r="S1248" s="48">
        <v>820890</v>
      </c>
      <c r="T1248" s="48">
        <v>821025</v>
      </c>
      <c r="U1248" s="48">
        <v>821163</v>
      </c>
      <c r="V1248" s="48">
        <v>821302</v>
      </c>
      <c r="W1248" s="48">
        <v>821432</v>
      </c>
      <c r="X1248" s="48">
        <v>821579</v>
      </c>
      <c r="Y1248" s="48">
        <v>821659</v>
      </c>
      <c r="Z1248" s="48">
        <v>821768</v>
      </c>
      <c r="AA1248" s="48">
        <v>821894</v>
      </c>
      <c r="AB1248" s="48">
        <v>822030</v>
      </c>
      <c r="AC1248" s="48">
        <v>822167</v>
      </c>
      <c r="AD1248" s="48">
        <v>822364</v>
      </c>
      <c r="AE1248" s="48">
        <v>822499</v>
      </c>
      <c r="AF1248" s="48">
        <v>822637</v>
      </c>
      <c r="AG1248" s="48">
        <v>822773</v>
      </c>
      <c r="AH1248" s="48">
        <v>822908</v>
      </c>
      <c r="AI1248" s="48">
        <v>823045</v>
      </c>
      <c r="AJ1248" s="48">
        <v>823145</v>
      </c>
      <c r="AK1248" s="48">
        <v>823247</v>
      </c>
      <c r="AL1248" s="48">
        <v>0</v>
      </c>
    </row>
    <row r="1249" spans="1:45" hidden="1" x14ac:dyDescent="0.25">
      <c r="A1249">
        <v>1248</v>
      </c>
      <c r="B1249">
        <v>2025</v>
      </c>
      <c r="C1249">
        <v>12</v>
      </c>
      <c r="D1249" t="s">
        <v>156</v>
      </c>
      <c r="E1249">
        <v>31</v>
      </c>
      <c r="F1249">
        <v>11</v>
      </c>
      <c r="G1249" t="s">
        <v>433</v>
      </c>
      <c r="H1249" s="48">
        <v>819471</v>
      </c>
      <c r="I1249" s="48">
        <v>819620</v>
      </c>
      <c r="J1249" s="48">
        <v>819770</v>
      </c>
      <c r="K1249" s="48">
        <v>819914</v>
      </c>
      <c r="L1249" s="48">
        <v>820069</v>
      </c>
      <c r="M1249" s="48">
        <v>820221</v>
      </c>
      <c r="N1249" s="48">
        <v>820331</v>
      </c>
      <c r="O1249" s="48">
        <v>820431</v>
      </c>
      <c r="P1249" s="48">
        <v>820567</v>
      </c>
      <c r="Q1249" s="48">
        <v>820702</v>
      </c>
      <c r="R1249" s="48">
        <v>820890</v>
      </c>
      <c r="S1249" s="48">
        <v>821025</v>
      </c>
      <c r="T1249" s="48">
        <v>821163</v>
      </c>
      <c r="U1249" s="48">
        <v>821302</v>
      </c>
      <c r="V1249" s="48">
        <v>821432</v>
      </c>
      <c r="W1249" s="48">
        <v>821579</v>
      </c>
      <c r="X1249" s="48">
        <v>821659</v>
      </c>
      <c r="Y1249" s="48">
        <v>821768</v>
      </c>
      <c r="Z1249" s="48">
        <v>821894</v>
      </c>
      <c r="AA1249" s="48">
        <v>822030</v>
      </c>
      <c r="AB1249" s="48">
        <v>822167</v>
      </c>
      <c r="AC1249" s="48">
        <v>822364</v>
      </c>
      <c r="AD1249" s="48">
        <v>822499</v>
      </c>
      <c r="AE1249" s="48">
        <v>822637</v>
      </c>
      <c r="AF1249" s="48">
        <v>822773</v>
      </c>
      <c r="AG1249" s="48">
        <v>822908</v>
      </c>
      <c r="AH1249" s="48">
        <v>823045</v>
      </c>
      <c r="AI1249" s="48">
        <v>823145</v>
      </c>
      <c r="AJ1249" s="48">
        <v>823247</v>
      </c>
      <c r="AK1249" s="48">
        <v>823497</v>
      </c>
      <c r="AL1249" s="48">
        <v>0</v>
      </c>
      <c r="AP1249">
        <v>749.34</v>
      </c>
      <c r="AQ1249">
        <v>18</v>
      </c>
      <c r="AS1249">
        <v>4163</v>
      </c>
    </row>
    <row r="1250" spans="1:45" hidden="1" x14ac:dyDescent="0.25">
      <c r="A1250">
        <v>1249</v>
      </c>
      <c r="B1250">
        <v>2025</v>
      </c>
      <c r="C1250">
        <v>12</v>
      </c>
      <c r="D1250" t="s">
        <v>168</v>
      </c>
      <c r="E1250">
        <v>31</v>
      </c>
      <c r="F1250">
        <v>11</v>
      </c>
      <c r="G1250" t="s">
        <v>432</v>
      </c>
      <c r="H1250" s="48">
        <v>287272</v>
      </c>
      <c r="I1250" s="48">
        <v>287314</v>
      </c>
      <c r="J1250" s="48">
        <v>287358</v>
      </c>
      <c r="K1250" s="48">
        <v>287400</v>
      </c>
      <c r="L1250" s="48">
        <v>287498</v>
      </c>
      <c r="M1250" s="48">
        <v>287604</v>
      </c>
      <c r="N1250" s="48">
        <v>0</v>
      </c>
      <c r="O1250" s="48">
        <v>287719</v>
      </c>
      <c r="P1250" s="48">
        <v>287818</v>
      </c>
      <c r="Q1250" s="48">
        <v>287850</v>
      </c>
      <c r="R1250" s="48">
        <v>287860</v>
      </c>
      <c r="S1250" s="48">
        <v>287886</v>
      </c>
      <c r="T1250" s="48">
        <v>287912</v>
      </c>
      <c r="U1250" s="48">
        <v>288002</v>
      </c>
      <c r="V1250" s="48">
        <v>288082</v>
      </c>
      <c r="W1250" s="48">
        <v>288127</v>
      </c>
      <c r="X1250" s="48">
        <v>288148</v>
      </c>
      <c r="Y1250" s="48">
        <v>288168</v>
      </c>
      <c r="Z1250" s="48">
        <v>288197</v>
      </c>
      <c r="AA1250" s="48">
        <v>288307</v>
      </c>
      <c r="AB1250" s="48">
        <v>288419</v>
      </c>
      <c r="AC1250" s="48">
        <v>288442</v>
      </c>
      <c r="AD1250" s="48">
        <v>288464</v>
      </c>
      <c r="AE1250" s="48">
        <v>288489</v>
      </c>
      <c r="AF1250" s="48">
        <v>288590</v>
      </c>
      <c r="AG1250" s="48">
        <v>288610</v>
      </c>
      <c r="AH1250" s="48">
        <v>288642</v>
      </c>
      <c r="AI1250" s="48">
        <v>288668</v>
      </c>
      <c r="AJ1250" s="48">
        <v>288693</v>
      </c>
      <c r="AK1250" s="48">
        <v>288728</v>
      </c>
      <c r="AL1250" s="48">
        <v>0</v>
      </c>
    </row>
    <row r="1251" spans="1:45" hidden="1" x14ac:dyDescent="0.25">
      <c r="A1251">
        <v>1250</v>
      </c>
      <c r="B1251">
        <v>2025</v>
      </c>
      <c r="C1251">
        <v>12</v>
      </c>
      <c r="D1251" t="s">
        <v>168</v>
      </c>
      <c r="E1251">
        <v>31</v>
      </c>
      <c r="F1251">
        <v>11</v>
      </c>
      <c r="G1251" t="s">
        <v>433</v>
      </c>
      <c r="H1251" s="48">
        <v>287314</v>
      </c>
      <c r="I1251" s="48">
        <v>287358</v>
      </c>
      <c r="J1251" s="48">
        <v>287400</v>
      </c>
      <c r="K1251" s="48">
        <v>287498</v>
      </c>
      <c r="L1251" s="48">
        <v>287604</v>
      </c>
      <c r="M1251" s="48">
        <v>287719</v>
      </c>
      <c r="N1251" s="48">
        <v>0</v>
      </c>
      <c r="O1251" s="48">
        <v>287818</v>
      </c>
      <c r="P1251" s="48">
        <v>287850</v>
      </c>
      <c r="Q1251" s="48">
        <v>287860</v>
      </c>
      <c r="R1251" s="48">
        <v>287886</v>
      </c>
      <c r="S1251" s="48">
        <v>287912</v>
      </c>
      <c r="T1251" s="48">
        <v>288002</v>
      </c>
      <c r="U1251" s="48">
        <v>288082</v>
      </c>
      <c r="V1251" s="48">
        <v>288127</v>
      </c>
      <c r="W1251" s="48">
        <v>288148</v>
      </c>
      <c r="X1251" s="48">
        <v>288168</v>
      </c>
      <c r="Y1251" s="48">
        <v>288197</v>
      </c>
      <c r="Z1251" s="48">
        <v>288307</v>
      </c>
      <c r="AA1251" s="48">
        <v>288419</v>
      </c>
      <c r="AB1251" s="48">
        <v>288442</v>
      </c>
      <c r="AC1251" s="48">
        <v>288464</v>
      </c>
      <c r="AD1251" s="48">
        <v>288489</v>
      </c>
      <c r="AE1251" s="48">
        <v>288590</v>
      </c>
      <c r="AF1251" s="48">
        <v>288610</v>
      </c>
      <c r="AG1251" s="48">
        <v>288642</v>
      </c>
      <c r="AH1251" s="48">
        <v>288668</v>
      </c>
      <c r="AI1251" s="48">
        <v>288693</v>
      </c>
      <c r="AJ1251" s="48">
        <v>288728</v>
      </c>
      <c r="AK1251" s="48">
        <v>288817</v>
      </c>
      <c r="AL1251" s="48">
        <v>0</v>
      </c>
      <c r="AP1251">
        <v>231.75</v>
      </c>
      <c r="AQ1251">
        <v>15</v>
      </c>
      <c r="AS1251">
        <v>1545</v>
      </c>
    </row>
    <row r="1252" spans="1:45" hidden="1" x14ac:dyDescent="0.25">
      <c r="A1252">
        <v>1251</v>
      </c>
      <c r="B1252">
        <v>2025</v>
      </c>
      <c r="C1252">
        <v>12</v>
      </c>
      <c r="D1252" t="s">
        <v>164</v>
      </c>
      <c r="E1252">
        <v>31</v>
      </c>
      <c r="F1252">
        <v>11</v>
      </c>
      <c r="G1252" t="s">
        <v>432</v>
      </c>
      <c r="H1252" s="48">
        <v>31605</v>
      </c>
      <c r="I1252" s="48">
        <v>31658</v>
      </c>
      <c r="J1252" s="48">
        <v>31692</v>
      </c>
      <c r="K1252" s="48">
        <v>31740</v>
      </c>
      <c r="L1252" s="48">
        <v>31762</v>
      </c>
      <c r="M1252" s="48">
        <v>31800</v>
      </c>
      <c r="N1252" s="48">
        <v>31930</v>
      </c>
      <c r="O1252" s="48">
        <v>31984</v>
      </c>
      <c r="P1252" s="48">
        <v>32070</v>
      </c>
      <c r="Q1252" s="48">
        <v>32433</v>
      </c>
      <c r="R1252" s="48">
        <v>32574</v>
      </c>
      <c r="S1252" s="48">
        <v>32735</v>
      </c>
      <c r="T1252" s="48">
        <v>32771</v>
      </c>
      <c r="U1252" s="48">
        <v>32809</v>
      </c>
      <c r="V1252" s="48">
        <v>32845</v>
      </c>
      <c r="W1252" s="48">
        <v>32871</v>
      </c>
      <c r="X1252" s="48">
        <v>32897</v>
      </c>
      <c r="Y1252" s="48">
        <v>32914</v>
      </c>
      <c r="Z1252" s="48">
        <v>33090</v>
      </c>
      <c r="AA1252" s="48">
        <v>33280</v>
      </c>
      <c r="AB1252" s="48">
        <v>33420</v>
      </c>
      <c r="AC1252" s="48">
        <v>33590</v>
      </c>
      <c r="AD1252" s="48">
        <v>33610</v>
      </c>
      <c r="AE1252" s="48">
        <v>33650</v>
      </c>
      <c r="AF1252" s="48">
        <v>33680</v>
      </c>
      <c r="AG1252" s="48">
        <v>33836</v>
      </c>
      <c r="AH1252" s="48">
        <v>33851</v>
      </c>
      <c r="AI1252" s="48">
        <v>33871</v>
      </c>
      <c r="AJ1252" s="48">
        <v>33890</v>
      </c>
      <c r="AK1252" s="48">
        <v>33899</v>
      </c>
      <c r="AL1252" s="48">
        <v>0</v>
      </c>
    </row>
    <row r="1253" spans="1:45" hidden="1" x14ac:dyDescent="0.25">
      <c r="A1253">
        <v>1252</v>
      </c>
      <c r="B1253">
        <v>2025</v>
      </c>
      <c r="C1253">
        <v>12</v>
      </c>
      <c r="D1253" t="s">
        <v>164</v>
      </c>
      <c r="E1253">
        <v>31</v>
      </c>
      <c r="F1253">
        <v>11</v>
      </c>
      <c r="G1253" t="s">
        <v>433</v>
      </c>
      <c r="H1253" s="48">
        <v>31658</v>
      </c>
      <c r="I1253" s="48">
        <v>31692</v>
      </c>
      <c r="J1253" s="48">
        <v>31740</v>
      </c>
      <c r="K1253" s="48">
        <v>31762</v>
      </c>
      <c r="L1253" s="48">
        <v>31800</v>
      </c>
      <c r="M1253" s="48">
        <v>31930</v>
      </c>
      <c r="N1253" s="48">
        <v>31984</v>
      </c>
      <c r="O1253" s="48">
        <v>32070</v>
      </c>
      <c r="P1253" s="48">
        <v>32433</v>
      </c>
      <c r="Q1253" s="48">
        <v>32574</v>
      </c>
      <c r="R1253" s="48">
        <v>32735</v>
      </c>
      <c r="S1253" s="48">
        <v>32771</v>
      </c>
      <c r="T1253" s="48">
        <v>32809</v>
      </c>
      <c r="U1253" s="48">
        <v>32845</v>
      </c>
      <c r="V1253" s="48">
        <v>32871</v>
      </c>
      <c r="W1253" s="48">
        <v>32897</v>
      </c>
      <c r="X1253" s="48">
        <v>32914</v>
      </c>
      <c r="Y1253" s="48">
        <v>33090</v>
      </c>
      <c r="Z1253" s="48">
        <v>33280</v>
      </c>
      <c r="AA1253" s="48">
        <v>33420</v>
      </c>
      <c r="AB1253" s="48">
        <v>33590</v>
      </c>
      <c r="AC1253" s="48">
        <v>33610</v>
      </c>
      <c r="AD1253" s="48">
        <v>33650</v>
      </c>
      <c r="AE1253" s="48">
        <v>33680</v>
      </c>
      <c r="AF1253" s="48">
        <v>33836</v>
      </c>
      <c r="AG1253" s="48">
        <v>33851</v>
      </c>
      <c r="AH1253" s="48">
        <v>33871</v>
      </c>
      <c r="AI1253" s="48">
        <v>33890</v>
      </c>
      <c r="AJ1253" s="48">
        <v>33899</v>
      </c>
      <c r="AK1253" s="48">
        <v>34103</v>
      </c>
      <c r="AL1253" s="48">
        <v>0</v>
      </c>
      <c r="AP1253">
        <v>374.7</v>
      </c>
      <c r="AQ1253">
        <v>15</v>
      </c>
      <c r="AS1253">
        <v>2498</v>
      </c>
    </row>
    <row r="1254" spans="1:45" hidden="1" x14ac:dyDescent="0.25">
      <c r="A1254">
        <v>1253</v>
      </c>
      <c r="B1254">
        <v>2025</v>
      </c>
      <c r="C1254">
        <v>12</v>
      </c>
      <c r="D1254" t="s">
        <v>163</v>
      </c>
      <c r="E1254">
        <v>31</v>
      </c>
      <c r="F1254">
        <v>11</v>
      </c>
      <c r="G1254" t="s">
        <v>432</v>
      </c>
      <c r="H1254" s="48">
        <v>354034</v>
      </c>
      <c r="I1254" s="48">
        <v>354297</v>
      </c>
      <c r="J1254" s="48">
        <v>354463</v>
      </c>
      <c r="K1254" s="48">
        <v>354785</v>
      </c>
      <c r="L1254" s="48">
        <v>355064</v>
      </c>
      <c r="M1254" s="48">
        <v>355235</v>
      </c>
      <c r="N1254" s="48">
        <v>355509</v>
      </c>
      <c r="O1254" s="48">
        <v>355741</v>
      </c>
      <c r="P1254" s="48">
        <v>355977</v>
      </c>
      <c r="Q1254" s="48">
        <v>356145</v>
      </c>
      <c r="R1254" s="48">
        <v>356318</v>
      </c>
      <c r="S1254" s="48">
        <v>356579</v>
      </c>
      <c r="T1254" s="48">
        <v>356811</v>
      </c>
      <c r="U1254" s="48">
        <v>357092</v>
      </c>
      <c r="V1254" s="48">
        <v>357309</v>
      </c>
      <c r="W1254" s="48">
        <v>357542</v>
      </c>
      <c r="X1254" s="48">
        <v>357711</v>
      </c>
      <c r="Y1254" s="48">
        <v>357945</v>
      </c>
      <c r="Z1254" s="48">
        <v>358178</v>
      </c>
      <c r="AA1254" s="48">
        <v>358348</v>
      </c>
      <c r="AB1254" s="48">
        <v>358591</v>
      </c>
      <c r="AC1254" s="48">
        <v>358645</v>
      </c>
      <c r="AD1254" s="48">
        <v>358924</v>
      </c>
      <c r="AE1254" s="48">
        <v>359065</v>
      </c>
      <c r="AF1254" s="48">
        <v>359321</v>
      </c>
      <c r="AG1254" s="48">
        <v>359651</v>
      </c>
      <c r="AH1254" s="48">
        <v>359881</v>
      </c>
      <c r="AI1254" s="48">
        <v>360120</v>
      </c>
      <c r="AJ1254" s="48">
        <v>360324</v>
      </c>
      <c r="AK1254" s="48">
        <v>360623</v>
      </c>
      <c r="AL1254" s="48">
        <v>0</v>
      </c>
    </row>
    <row r="1255" spans="1:45" hidden="1" x14ac:dyDescent="0.25">
      <c r="A1255">
        <v>1254</v>
      </c>
      <c r="B1255">
        <v>2025</v>
      </c>
      <c r="C1255">
        <v>12</v>
      </c>
      <c r="D1255" t="s">
        <v>163</v>
      </c>
      <c r="E1255">
        <v>31</v>
      </c>
      <c r="F1255">
        <v>11</v>
      </c>
      <c r="G1255" t="s">
        <v>433</v>
      </c>
      <c r="H1255" s="48">
        <v>354297</v>
      </c>
      <c r="I1255" s="48">
        <v>354463</v>
      </c>
      <c r="J1255" s="48">
        <v>354736</v>
      </c>
      <c r="K1255" s="48">
        <v>355064</v>
      </c>
      <c r="L1255" s="48">
        <v>355235</v>
      </c>
      <c r="M1255" s="48">
        <v>355509</v>
      </c>
      <c r="N1255" s="48">
        <v>355741</v>
      </c>
      <c r="O1255" s="48">
        <v>355977</v>
      </c>
      <c r="P1255" s="48">
        <v>356145</v>
      </c>
      <c r="Q1255" s="48">
        <v>356318</v>
      </c>
      <c r="R1255" s="48">
        <v>356579</v>
      </c>
      <c r="S1255" s="48">
        <v>356811</v>
      </c>
      <c r="T1255" s="48">
        <v>357092</v>
      </c>
      <c r="U1255" s="48">
        <v>357309</v>
      </c>
      <c r="V1255" s="48">
        <v>357542</v>
      </c>
      <c r="W1255" s="48">
        <v>357711</v>
      </c>
      <c r="X1255" s="48">
        <v>357945</v>
      </c>
      <c r="Y1255" s="48">
        <v>358178</v>
      </c>
      <c r="Z1255" s="48">
        <v>358348</v>
      </c>
      <c r="AA1255" s="48">
        <v>358591</v>
      </c>
      <c r="AB1255" s="48">
        <v>358645</v>
      </c>
      <c r="AC1255" s="48">
        <v>358924</v>
      </c>
      <c r="AD1255" s="48">
        <v>359065</v>
      </c>
      <c r="AE1255" s="48">
        <v>359321</v>
      </c>
      <c r="AF1255" s="48">
        <v>359606</v>
      </c>
      <c r="AG1255" s="48">
        <v>359881</v>
      </c>
      <c r="AH1255" s="48">
        <v>360120</v>
      </c>
      <c r="AI1255" s="48">
        <v>360324</v>
      </c>
      <c r="AJ1255" s="48">
        <v>360623</v>
      </c>
      <c r="AK1255" s="48">
        <v>360919</v>
      </c>
      <c r="AL1255" s="48">
        <v>0</v>
      </c>
      <c r="AP1255">
        <v>1018.65</v>
      </c>
      <c r="AQ1255">
        <v>15</v>
      </c>
      <c r="AS1255">
        <v>6791</v>
      </c>
    </row>
    <row r="1256" spans="1:45" hidden="1" x14ac:dyDescent="0.25">
      <c r="A1256">
        <v>1255</v>
      </c>
      <c r="B1256">
        <v>2025</v>
      </c>
      <c r="C1256">
        <v>12</v>
      </c>
      <c r="D1256" t="s">
        <v>131</v>
      </c>
      <c r="E1256">
        <v>31</v>
      </c>
      <c r="F1256">
        <v>11</v>
      </c>
      <c r="G1256" t="s">
        <v>432</v>
      </c>
      <c r="H1256" s="48">
        <v>693500</v>
      </c>
      <c r="I1256" s="48">
        <v>693536</v>
      </c>
      <c r="J1256" s="48">
        <v>693584</v>
      </c>
      <c r="K1256" s="48">
        <v>693762</v>
      </c>
      <c r="L1256" s="48">
        <v>693800</v>
      </c>
      <c r="M1256" s="48">
        <v>693907</v>
      </c>
      <c r="N1256" s="48">
        <v>693971</v>
      </c>
      <c r="O1256" s="48">
        <v>693994</v>
      </c>
      <c r="P1256" s="48">
        <v>694014</v>
      </c>
      <c r="Q1256" s="48">
        <v>694051</v>
      </c>
      <c r="R1256" s="48">
        <v>694091</v>
      </c>
      <c r="S1256" s="48">
        <v>694106</v>
      </c>
      <c r="T1256" s="48">
        <v>694210</v>
      </c>
      <c r="U1256" s="48">
        <v>694217</v>
      </c>
      <c r="V1256" s="48">
        <v>694301</v>
      </c>
      <c r="W1256" s="48">
        <v>694384</v>
      </c>
      <c r="X1256" s="48">
        <v>694512</v>
      </c>
      <c r="Y1256" s="48">
        <v>694729</v>
      </c>
      <c r="Z1256" s="48">
        <v>694741</v>
      </c>
      <c r="AA1256" s="48">
        <v>694757</v>
      </c>
      <c r="AB1256" s="48">
        <v>694873</v>
      </c>
      <c r="AC1256" s="48">
        <v>694885</v>
      </c>
      <c r="AD1256" s="48">
        <v>695089</v>
      </c>
      <c r="AE1256" s="48">
        <v>695135</v>
      </c>
      <c r="AF1256" s="48">
        <v>695153</v>
      </c>
      <c r="AG1256" s="48">
        <v>695199</v>
      </c>
      <c r="AH1256" s="48">
        <v>695226</v>
      </c>
      <c r="AI1256" s="48">
        <v>695282</v>
      </c>
      <c r="AJ1256" s="48">
        <v>695392</v>
      </c>
      <c r="AK1256" s="48">
        <v>695424</v>
      </c>
      <c r="AL1256" s="48">
        <v>0</v>
      </c>
    </row>
    <row r="1257" spans="1:45" hidden="1" x14ac:dyDescent="0.25">
      <c r="A1257">
        <v>1256</v>
      </c>
      <c r="B1257">
        <v>2025</v>
      </c>
      <c r="C1257">
        <v>12</v>
      </c>
      <c r="D1257" t="s">
        <v>131</v>
      </c>
      <c r="E1257">
        <v>31</v>
      </c>
      <c r="F1257">
        <v>11</v>
      </c>
      <c r="G1257" t="s">
        <v>433</v>
      </c>
      <c r="H1257" s="48">
        <v>693536</v>
      </c>
      <c r="I1257" s="48">
        <v>693584</v>
      </c>
      <c r="J1257" s="48">
        <v>693614</v>
      </c>
      <c r="K1257" s="48">
        <v>693800</v>
      </c>
      <c r="L1257" s="48">
        <v>693866</v>
      </c>
      <c r="M1257" s="48">
        <v>693971</v>
      </c>
      <c r="N1257" s="48">
        <v>693994</v>
      </c>
      <c r="O1257" s="48">
        <v>694014</v>
      </c>
      <c r="P1257" s="48">
        <v>694051</v>
      </c>
      <c r="Q1257" s="48">
        <v>694091</v>
      </c>
      <c r="R1257" s="48">
        <v>694106</v>
      </c>
      <c r="S1257" s="48">
        <v>694210</v>
      </c>
      <c r="T1257" s="48">
        <v>694217</v>
      </c>
      <c r="U1257" s="48">
        <v>694301</v>
      </c>
      <c r="V1257" s="48">
        <v>694384</v>
      </c>
      <c r="W1257" s="48">
        <v>694512</v>
      </c>
      <c r="X1257" s="48">
        <v>694544</v>
      </c>
      <c r="Y1257" s="48">
        <v>694741</v>
      </c>
      <c r="Z1257" s="48">
        <v>694757</v>
      </c>
      <c r="AA1257" s="48">
        <v>694873</v>
      </c>
      <c r="AB1257" s="48">
        <v>694885</v>
      </c>
      <c r="AC1257" s="48">
        <v>694917</v>
      </c>
      <c r="AD1257" s="48">
        <v>695135</v>
      </c>
      <c r="AE1257" s="48">
        <v>695153</v>
      </c>
      <c r="AF1257" s="48">
        <v>695199</v>
      </c>
      <c r="AG1257" s="48">
        <v>695226</v>
      </c>
      <c r="AH1257" s="48">
        <v>695282</v>
      </c>
      <c r="AI1257" s="48">
        <v>695392</v>
      </c>
      <c r="AJ1257" s="48">
        <v>695424</v>
      </c>
      <c r="AK1257" s="48">
        <v>695540</v>
      </c>
      <c r="AL1257" s="48">
        <v>0</v>
      </c>
      <c r="AP1257">
        <v>224.1</v>
      </c>
      <c r="AQ1257">
        <v>15</v>
      </c>
      <c r="AS1257">
        <v>1494</v>
      </c>
    </row>
    <row r="1258" spans="1:45" hidden="1" x14ac:dyDescent="0.25">
      <c r="A1258">
        <v>1257</v>
      </c>
      <c r="B1258">
        <v>2025</v>
      </c>
      <c r="C1258">
        <v>12</v>
      </c>
      <c r="D1258" t="s">
        <v>174</v>
      </c>
      <c r="E1258">
        <v>31</v>
      </c>
      <c r="F1258">
        <v>11</v>
      </c>
      <c r="G1258" t="s">
        <v>432</v>
      </c>
      <c r="H1258" s="48">
        <v>992459</v>
      </c>
      <c r="I1258" s="48">
        <v>992930</v>
      </c>
      <c r="J1258" s="48">
        <v>993268</v>
      </c>
      <c r="K1258" s="48">
        <v>993593</v>
      </c>
      <c r="L1258" s="48">
        <v>993919</v>
      </c>
      <c r="M1258" s="48">
        <v>994403</v>
      </c>
      <c r="N1258" s="48">
        <v>994902</v>
      </c>
      <c r="O1258" s="48">
        <v>995218</v>
      </c>
      <c r="P1258" s="48">
        <v>995652</v>
      </c>
      <c r="Q1258" s="48">
        <v>996220</v>
      </c>
      <c r="R1258" s="48">
        <v>996559</v>
      </c>
      <c r="S1258" s="48">
        <v>996858</v>
      </c>
      <c r="T1258" s="48">
        <v>997069</v>
      </c>
      <c r="U1258" s="48">
        <v>997796</v>
      </c>
      <c r="V1258" s="48">
        <v>998102</v>
      </c>
      <c r="W1258" s="48">
        <v>998487</v>
      </c>
      <c r="X1258" s="48">
        <v>998634</v>
      </c>
      <c r="Y1258" s="48">
        <v>998964</v>
      </c>
      <c r="Z1258" s="48">
        <v>999279</v>
      </c>
      <c r="AA1258" s="48">
        <v>999531</v>
      </c>
      <c r="AB1258" s="48">
        <v>0</v>
      </c>
      <c r="AC1258" s="48">
        <v>328</v>
      </c>
      <c r="AD1258" s="48">
        <v>575</v>
      </c>
      <c r="AE1258" s="48">
        <v>874</v>
      </c>
      <c r="AF1258" s="48">
        <v>1276</v>
      </c>
      <c r="AG1258" s="48">
        <v>1579</v>
      </c>
      <c r="AH1258" s="48">
        <v>1954</v>
      </c>
      <c r="AI1258" s="48">
        <v>2436</v>
      </c>
      <c r="AJ1258" s="48">
        <v>2775</v>
      </c>
      <c r="AK1258" s="48">
        <v>3474</v>
      </c>
      <c r="AL1258" s="48">
        <v>0</v>
      </c>
    </row>
    <row r="1259" spans="1:45" hidden="1" x14ac:dyDescent="0.25">
      <c r="A1259">
        <v>1258</v>
      </c>
      <c r="B1259">
        <v>2025</v>
      </c>
      <c r="C1259">
        <v>12</v>
      </c>
      <c r="D1259" t="s">
        <v>174</v>
      </c>
      <c r="E1259">
        <v>31</v>
      </c>
      <c r="F1259">
        <v>11</v>
      </c>
      <c r="G1259" t="s">
        <v>433</v>
      </c>
      <c r="H1259" s="48">
        <v>992930</v>
      </c>
      <c r="I1259" s="48">
        <v>993268</v>
      </c>
      <c r="J1259" s="48">
        <v>993593</v>
      </c>
      <c r="K1259" s="48">
        <v>993919</v>
      </c>
      <c r="L1259" s="48">
        <v>994403</v>
      </c>
      <c r="M1259" s="48">
        <v>994902</v>
      </c>
      <c r="N1259" s="48">
        <v>995218</v>
      </c>
      <c r="O1259" s="48">
        <v>995652</v>
      </c>
      <c r="P1259" s="48">
        <v>996220</v>
      </c>
      <c r="Q1259" s="48">
        <v>996559</v>
      </c>
      <c r="R1259" s="48">
        <v>996858</v>
      </c>
      <c r="S1259" s="48">
        <v>997069</v>
      </c>
      <c r="T1259" s="48">
        <v>997796</v>
      </c>
      <c r="U1259" s="48">
        <v>998102</v>
      </c>
      <c r="V1259" s="48">
        <v>998487</v>
      </c>
      <c r="W1259" s="48">
        <v>998634</v>
      </c>
      <c r="X1259" s="48">
        <v>998964</v>
      </c>
      <c r="Y1259" s="48">
        <v>999182</v>
      </c>
      <c r="Z1259" s="48">
        <v>999531</v>
      </c>
      <c r="AA1259" s="48">
        <v>999999</v>
      </c>
      <c r="AB1259" s="48">
        <v>328</v>
      </c>
      <c r="AC1259" s="48">
        <v>575</v>
      </c>
      <c r="AD1259" s="48">
        <v>874</v>
      </c>
      <c r="AE1259" s="48">
        <v>1275</v>
      </c>
      <c r="AF1259" s="48">
        <v>1579</v>
      </c>
      <c r="AG1259" s="48">
        <v>1954</v>
      </c>
      <c r="AH1259" s="48">
        <v>2436</v>
      </c>
      <c r="AI1259" s="48">
        <v>2775</v>
      </c>
      <c r="AJ1259" s="48">
        <v>3396</v>
      </c>
      <c r="AK1259" s="48">
        <v>3740</v>
      </c>
      <c r="AL1259" s="48">
        <v>0</v>
      </c>
      <c r="AP1259">
        <v>1332.48</v>
      </c>
      <c r="AQ1259">
        <v>12</v>
      </c>
      <c r="AS1259">
        <v>11104</v>
      </c>
    </row>
    <row r="1260" spans="1:45" hidden="1" x14ac:dyDescent="0.25">
      <c r="A1260">
        <v>1259</v>
      </c>
      <c r="B1260">
        <v>2026</v>
      </c>
      <c r="C1260">
        <v>1</v>
      </c>
      <c r="D1260" t="s">
        <v>460</v>
      </c>
      <c r="E1260">
        <v>50</v>
      </c>
      <c r="F1260">
        <v>8</v>
      </c>
      <c r="G1260" t="s">
        <v>430</v>
      </c>
      <c r="I1260" s="48">
        <v>0.29166666666666669</v>
      </c>
      <c r="J1260" s="48">
        <v>0.29166666666666669</v>
      </c>
      <c r="K1260" s="48">
        <v>0.29166666666666669</v>
      </c>
      <c r="L1260" s="48">
        <v>0.29166666666666669</v>
      </c>
      <c r="M1260" s="48">
        <v>0.29166666666666669</v>
      </c>
      <c r="N1260" s="48">
        <v>0.29166666666666669</v>
      </c>
      <c r="O1260" s="48">
        <v>0.29166666666666669</v>
      </c>
      <c r="P1260" s="48">
        <v>0.29166666666666669</v>
      </c>
      <c r="Q1260" s="48">
        <v>0.29166666666666669</v>
      </c>
      <c r="R1260" s="48">
        <v>0.29166666666666669</v>
      </c>
      <c r="S1260" s="48">
        <v>0.29166666666666669</v>
      </c>
      <c r="T1260" s="48">
        <v>0.29166666666666669</v>
      </c>
      <c r="U1260" s="48">
        <v>0.29166666666666669</v>
      </c>
      <c r="V1260" s="48">
        <v>0.29166666666666669</v>
      </c>
      <c r="W1260" s="48">
        <v>0.29166666666666669</v>
      </c>
      <c r="X1260" s="48">
        <v>0.29166666666666669</v>
      </c>
      <c r="Y1260" s="48">
        <v>0.29166666666666669</v>
      </c>
      <c r="AA1260" s="48">
        <v>0.29166666666666669</v>
      </c>
      <c r="AB1260" s="48">
        <v>0.29166666666666669</v>
      </c>
      <c r="AC1260" s="48">
        <v>0.29166666666666669</v>
      </c>
      <c r="AD1260" s="48">
        <v>0.29166666666666669</v>
      </c>
      <c r="AE1260" s="48">
        <v>0.29166666666666669</v>
      </c>
      <c r="AF1260" s="48">
        <v>0.29166666666666669</v>
      </c>
      <c r="AG1260" s="48">
        <v>0.29166666666666669</v>
      </c>
      <c r="AH1260" s="48">
        <v>0.29166666666666669</v>
      </c>
      <c r="AI1260" s="48">
        <v>0.29166666666666669</v>
      </c>
      <c r="AJ1260" s="48">
        <v>0.29166666666666669</v>
      </c>
      <c r="AK1260" s="48">
        <v>0.29166666666666669</v>
      </c>
      <c r="AL1260" s="48">
        <v>0.29166666666666669</v>
      </c>
    </row>
    <row r="1261" spans="1:45" hidden="1" x14ac:dyDescent="0.25">
      <c r="A1261">
        <v>1260</v>
      </c>
      <c r="B1261">
        <v>2026</v>
      </c>
      <c r="C1261">
        <v>1</v>
      </c>
      <c r="D1261" t="s">
        <v>460</v>
      </c>
      <c r="E1261">
        <v>50</v>
      </c>
      <c r="F1261">
        <v>8</v>
      </c>
      <c r="G1261" t="s">
        <v>431</v>
      </c>
      <c r="I1261" s="48">
        <v>0.75</v>
      </c>
      <c r="J1261" s="48">
        <v>0.75</v>
      </c>
      <c r="K1261" s="48">
        <v>0.75</v>
      </c>
      <c r="L1261" s="48">
        <v>0.75</v>
      </c>
      <c r="M1261" s="48">
        <v>0.75</v>
      </c>
      <c r="N1261" s="48">
        <v>0.75</v>
      </c>
      <c r="O1261" s="48">
        <v>0.75</v>
      </c>
      <c r="P1261" s="48">
        <v>0.75</v>
      </c>
      <c r="Q1261" s="48">
        <v>0.75</v>
      </c>
      <c r="R1261" s="48">
        <v>0.75</v>
      </c>
      <c r="S1261" s="48">
        <v>0.75</v>
      </c>
      <c r="T1261" s="48">
        <v>0.75</v>
      </c>
      <c r="U1261" s="48">
        <v>0.75</v>
      </c>
      <c r="V1261" s="48">
        <v>0.75</v>
      </c>
      <c r="W1261" s="48">
        <v>0.75</v>
      </c>
      <c r="X1261" s="48">
        <v>0.75</v>
      </c>
      <c r="Y1261" s="48">
        <v>0.75</v>
      </c>
      <c r="AA1261" s="48">
        <v>0.75</v>
      </c>
      <c r="AB1261" s="48">
        <v>0.75</v>
      </c>
      <c r="AC1261" s="48">
        <v>0.75</v>
      </c>
      <c r="AD1261" s="48">
        <v>0.75</v>
      </c>
      <c r="AE1261" s="48">
        <v>0.75</v>
      </c>
      <c r="AF1261" s="48">
        <v>0.75</v>
      </c>
      <c r="AG1261" s="48">
        <v>0.75</v>
      </c>
      <c r="AH1261" s="48">
        <v>0.75</v>
      </c>
      <c r="AI1261" s="48">
        <v>0.75</v>
      </c>
      <c r="AJ1261" s="48">
        <v>0.75</v>
      </c>
      <c r="AK1261" s="48">
        <v>0.75</v>
      </c>
      <c r="AL1261" s="48">
        <v>0.75</v>
      </c>
      <c r="AM1261" cm="1">
        <f t="array" ref="AM1261">SUM(_xlfn.LET(_xlpm.r,((IFERROR(H1261:AL1261-H1260:AL1260,0))*24)/10,IF(_xlpm.r&gt;1,1,_xlpm.r)))</f>
        <v>29</v>
      </c>
    </row>
    <row r="1262" spans="1:45" hidden="1" x14ac:dyDescent="0.25">
      <c r="A1262">
        <v>1261</v>
      </c>
      <c r="B1262">
        <v>2026</v>
      </c>
      <c r="C1262">
        <v>1</v>
      </c>
      <c r="D1262" t="s">
        <v>634</v>
      </c>
      <c r="E1262">
        <v>51</v>
      </c>
      <c r="F1262">
        <v>6</v>
      </c>
      <c r="G1262" t="s">
        <v>430</v>
      </c>
      <c r="I1262" s="48">
        <v>0.29166666666666669</v>
      </c>
      <c r="J1262" s="48">
        <v>0.29166666666666669</v>
      </c>
      <c r="K1262" s="48">
        <v>0.29166666666666669</v>
      </c>
      <c r="L1262" s="48">
        <v>0.29166666666666669</v>
      </c>
      <c r="M1262" s="48">
        <v>0.29166666666666669</v>
      </c>
      <c r="N1262" s="48">
        <v>0.29166666666666669</v>
      </c>
      <c r="O1262" s="48">
        <v>0.29166666666666669</v>
      </c>
      <c r="P1262" s="48">
        <v>0.29166666666666669</v>
      </c>
      <c r="AL1262" s="48" t="s">
        <v>320</v>
      </c>
    </row>
    <row r="1263" spans="1:45" hidden="1" x14ac:dyDescent="0.25">
      <c r="A1263">
        <v>1262</v>
      </c>
      <c r="B1263">
        <v>2026</v>
      </c>
      <c r="C1263">
        <v>1</v>
      </c>
      <c r="D1263" t="s">
        <v>634</v>
      </c>
      <c r="E1263">
        <v>51</v>
      </c>
      <c r="F1263">
        <v>6</v>
      </c>
      <c r="G1263" t="s">
        <v>431</v>
      </c>
      <c r="I1263" s="48">
        <v>0.75</v>
      </c>
      <c r="J1263" s="48">
        <v>0.75</v>
      </c>
      <c r="K1263" s="48">
        <v>0.75</v>
      </c>
      <c r="L1263" s="48">
        <v>0.75</v>
      </c>
      <c r="M1263" s="48">
        <v>0.75</v>
      </c>
      <c r="N1263" s="48">
        <v>0.75</v>
      </c>
      <c r="O1263" s="48">
        <v>0.75</v>
      </c>
      <c r="P1263" s="48">
        <v>0.75</v>
      </c>
      <c r="AL1263" s="48" t="s">
        <v>320</v>
      </c>
      <c r="AM1263" cm="1">
        <f t="array" ref="AM1263">SUM(_xlfn.LET(_xlpm.r,((IFERROR(H1263:AL1263-H1262:AL1262,0))*24)/10,IF(_xlpm.r&gt;1,1,_xlpm.r)))</f>
        <v>8</v>
      </c>
    </row>
    <row r="1264" spans="1:45" hidden="1" x14ac:dyDescent="0.25">
      <c r="A1264">
        <v>1263</v>
      </c>
      <c r="B1264">
        <v>2026</v>
      </c>
      <c r="C1264">
        <v>1</v>
      </c>
      <c r="D1264" t="s">
        <v>478</v>
      </c>
      <c r="E1264">
        <v>65</v>
      </c>
      <c r="F1264">
        <v>9</v>
      </c>
      <c r="G1264" t="s">
        <v>430</v>
      </c>
      <c r="I1264" s="48">
        <v>0.29166666666666669</v>
      </c>
      <c r="J1264" s="48">
        <v>0.29166666666666669</v>
      </c>
      <c r="K1264" s="48">
        <v>0.29166666666666669</v>
      </c>
      <c r="L1264" s="48">
        <v>0.29166666666666669</v>
      </c>
      <c r="M1264" s="48">
        <v>0.29166666666666669</v>
      </c>
      <c r="N1264" s="48">
        <v>0.29166666666666669</v>
      </c>
      <c r="O1264" s="48">
        <v>0.29166666666666669</v>
      </c>
      <c r="P1264" s="48">
        <v>0.29166666666666669</v>
      </c>
    </row>
    <row r="1265" spans="1:41" hidden="1" x14ac:dyDescent="0.25">
      <c r="A1265">
        <v>1264</v>
      </c>
      <c r="B1265">
        <v>2026</v>
      </c>
      <c r="C1265">
        <v>1</v>
      </c>
      <c r="D1265" t="s">
        <v>478</v>
      </c>
      <c r="E1265">
        <v>65</v>
      </c>
      <c r="F1265">
        <v>9</v>
      </c>
      <c r="G1265" t="s">
        <v>431</v>
      </c>
      <c r="I1265" s="48">
        <v>0.75</v>
      </c>
      <c r="J1265" s="48">
        <v>0.75</v>
      </c>
      <c r="K1265" s="48">
        <v>0.75</v>
      </c>
      <c r="L1265" s="48">
        <v>0.75</v>
      </c>
      <c r="M1265" s="48">
        <v>0.75</v>
      </c>
      <c r="N1265" s="48">
        <v>0.75</v>
      </c>
      <c r="O1265" s="48">
        <v>0.75</v>
      </c>
      <c r="P1265" s="48">
        <v>0.75</v>
      </c>
      <c r="AM1265" cm="1">
        <f t="array" ref="AM1265">SUM(_xlfn.LET(_xlpm.r,((IFERROR(H1265:AL1265-H1264:AL1264,0))*24)/10,IF(_xlpm.r&gt;1,1,_xlpm.r)))</f>
        <v>8</v>
      </c>
    </row>
    <row r="1266" spans="1:41" hidden="1" x14ac:dyDescent="0.25">
      <c r="A1266">
        <v>1265</v>
      </c>
      <c r="B1266">
        <v>2026</v>
      </c>
      <c r="C1266">
        <v>1</v>
      </c>
      <c r="D1266" t="s">
        <v>477</v>
      </c>
      <c r="E1266">
        <v>65</v>
      </c>
      <c r="F1266">
        <v>9</v>
      </c>
      <c r="G1266" t="s">
        <v>430</v>
      </c>
      <c r="M1266" s="48">
        <v>0.29166666666666669</v>
      </c>
      <c r="N1266" s="48">
        <v>0.29166666666666669</v>
      </c>
      <c r="O1266" s="48">
        <v>0.29166666666666669</v>
      </c>
      <c r="P1266" s="48">
        <v>0.29166666666666669</v>
      </c>
      <c r="Q1266" s="48">
        <v>0.29166666666666669</v>
      </c>
      <c r="R1266" s="48">
        <v>0.29166666666666669</v>
      </c>
      <c r="S1266" s="48">
        <v>0.29166666666666669</v>
      </c>
      <c r="T1266" s="48">
        <v>0.29166666666666669</v>
      </c>
      <c r="U1266" s="48">
        <v>0.29166666666666669</v>
      </c>
      <c r="V1266" s="48">
        <v>0.29166666666666669</v>
      </c>
      <c r="W1266" s="48">
        <v>0.29166666666666669</v>
      </c>
      <c r="X1266" s="48">
        <v>0.29166666666666669</v>
      </c>
      <c r="Z1266" s="48">
        <v>0.29166666666666669</v>
      </c>
      <c r="AA1266" s="48">
        <v>0.29166666666666669</v>
      </c>
      <c r="AB1266" s="48">
        <v>0.29166666666666669</v>
      </c>
      <c r="AC1266" s="48">
        <v>0.29166666666666669</v>
      </c>
      <c r="AD1266" s="48">
        <v>0.29166666666666669</v>
      </c>
      <c r="AE1266" s="48">
        <v>0.29166666666666669</v>
      </c>
      <c r="AF1266" s="48">
        <v>0.29166666666666669</v>
      </c>
      <c r="AG1266" s="48">
        <v>0.29166666666666669</v>
      </c>
      <c r="AH1266" s="48">
        <v>0.29166666666666669</v>
      </c>
      <c r="AI1266" s="48">
        <v>0.29166666666666669</v>
      </c>
      <c r="AJ1266" s="48">
        <v>0.29166666666666669</v>
      </c>
      <c r="AK1266" s="48">
        <v>0.29166666666666669</v>
      </c>
      <c r="AL1266" s="48">
        <v>0.29166666666666669</v>
      </c>
    </row>
    <row r="1267" spans="1:41" hidden="1" x14ac:dyDescent="0.25">
      <c r="A1267">
        <v>1266</v>
      </c>
      <c r="B1267">
        <v>2026</v>
      </c>
      <c r="C1267">
        <v>1</v>
      </c>
      <c r="D1267" t="s">
        <v>477</v>
      </c>
      <c r="E1267">
        <v>65</v>
      </c>
      <c r="F1267">
        <v>9</v>
      </c>
      <c r="G1267" t="s">
        <v>431</v>
      </c>
      <c r="M1267" s="48">
        <v>0.75</v>
      </c>
      <c r="N1267" s="48">
        <v>0.75</v>
      </c>
      <c r="O1267" s="48">
        <v>0.75</v>
      </c>
      <c r="P1267" s="48">
        <v>0.75</v>
      </c>
      <c r="Q1267" s="48">
        <v>0.75</v>
      </c>
      <c r="R1267" s="48">
        <v>0.75</v>
      </c>
      <c r="S1267" s="48">
        <v>0.75</v>
      </c>
      <c r="T1267" s="48">
        <v>0.75</v>
      </c>
      <c r="U1267" s="48">
        <v>0.75</v>
      </c>
      <c r="V1267" s="48">
        <v>0.75</v>
      </c>
      <c r="W1267" s="48">
        <v>0.75</v>
      </c>
      <c r="X1267" s="48">
        <v>0.75</v>
      </c>
      <c r="Z1267" s="48">
        <v>0.75</v>
      </c>
      <c r="AA1267" s="48">
        <v>0.75</v>
      </c>
      <c r="AB1267" s="48">
        <v>0.75</v>
      </c>
      <c r="AC1267" s="48">
        <v>0.75</v>
      </c>
      <c r="AD1267" s="48">
        <v>0.75</v>
      </c>
      <c r="AE1267" s="48">
        <v>0.75</v>
      </c>
      <c r="AF1267" s="48">
        <v>0.75</v>
      </c>
      <c r="AG1267" s="48">
        <v>0.75</v>
      </c>
      <c r="AH1267" s="48">
        <v>0.75</v>
      </c>
      <c r="AI1267" s="48">
        <v>0.75</v>
      </c>
      <c r="AJ1267" s="48">
        <v>0.75</v>
      </c>
      <c r="AK1267" s="48">
        <v>0.75</v>
      </c>
      <c r="AL1267" s="48">
        <v>0.75</v>
      </c>
      <c r="AM1267" cm="1">
        <f t="array" ref="AM1267">SUM(_xlfn.LET(_xlpm.r,((IFERROR(H1267:AL1267-H1266:AL1266,0))*24)/10,IF(_xlpm.r&gt;1,1,_xlpm.r)))</f>
        <v>25</v>
      </c>
    </row>
    <row r="1268" spans="1:41" hidden="1" x14ac:dyDescent="0.25">
      <c r="A1268">
        <v>1267</v>
      </c>
      <c r="B1268">
        <v>2026</v>
      </c>
      <c r="C1268">
        <v>1</v>
      </c>
      <c r="D1268" t="s">
        <v>481</v>
      </c>
      <c r="E1268">
        <v>85</v>
      </c>
      <c r="F1268">
        <v>8</v>
      </c>
      <c r="G1268" t="s">
        <v>430</v>
      </c>
      <c r="I1268" s="48">
        <v>0.29166666666666669</v>
      </c>
      <c r="J1268" s="48">
        <v>0.29166666666666669</v>
      </c>
      <c r="K1268" s="48">
        <v>0.29166666666666669</v>
      </c>
      <c r="L1268" s="48">
        <v>0.29166666666666669</v>
      </c>
      <c r="M1268" s="48">
        <v>0.29166666666666669</v>
      </c>
      <c r="N1268" s="48">
        <v>0.29166666666666669</v>
      </c>
      <c r="O1268" s="48">
        <v>0.29166666666666669</v>
      </c>
      <c r="P1268" s="48">
        <v>0.29166666666666669</v>
      </c>
      <c r="Q1268" s="48">
        <v>0.29166666666666669</v>
      </c>
      <c r="R1268" s="48">
        <v>0.29166666666666669</v>
      </c>
      <c r="S1268" s="48">
        <v>0.29166666666666669</v>
      </c>
      <c r="T1268" s="48">
        <v>0.29166666666666669</v>
      </c>
      <c r="U1268" s="48">
        <v>0.29166666666666669</v>
      </c>
      <c r="V1268" s="48">
        <v>0.29166666666666669</v>
      </c>
      <c r="W1268" s="48">
        <v>0.29166666666666669</v>
      </c>
      <c r="X1268" s="48">
        <v>0.29166666666666669</v>
      </c>
      <c r="Z1268" s="48">
        <v>0.29166666666666669</v>
      </c>
      <c r="AA1268" s="48">
        <v>0.29166666666666669</v>
      </c>
      <c r="AB1268" s="48">
        <v>0.29166666666666669</v>
      </c>
      <c r="AC1268" s="48">
        <v>0.29166666666666669</v>
      </c>
      <c r="AD1268" s="48">
        <v>0.29166666666666669</v>
      </c>
      <c r="AE1268" s="48">
        <v>0.29166666666666669</v>
      </c>
      <c r="AF1268" s="48">
        <v>0.29166666666666669</v>
      </c>
      <c r="AG1268" s="48">
        <v>0.29166666666666669</v>
      </c>
      <c r="AH1268" s="48">
        <v>0.29166666666666669</v>
      </c>
      <c r="AI1268" s="48">
        <v>0.29166666666666669</v>
      </c>
      <c r="AJ1268" s="48">
        <v>0.29166666666666669</v>
      </c>
      <c r="AK1268" s="48">
        <v>0.29166666666666669</v>
      </c>
      <c r="AL1268" s="48">
        <v>0.29166666666666669</v>
      </c>
    </row>
    <row r="1269" spans="1:41" hidden="1" x14ac:dyDescent="0.25">
      <c r="A1269">
        <v>1268</v>
      </c>
      <c r="B1269">
        <v>2026</v>
      </c>
      <c r="C1269">
        <v>1</v>
      </c>
      <c r="D1269" t="s">
        <v>481</v>
      </c>
      <c r="E1269">
        <v>85</v>
      </c>
      <c r="F1269">
        <v>8</v>
      </c>
      <c r="G1269" t="s">
        <v>431</v>
      </c>
      <c r="I1269" s="48">
        <v>0.875</v>
      </c>
      <c r="J1269" s="48">
        <v>0.83333333333333337</v>
      </c>
      <c r="K1269" s="48">
        <v>0.79166666666666663</v>
      </c>
      <c r="L1269" s="48">
        <v>0.875</v>
      </c>
      <c r="M1269" s="48">
        <v>0.79166666666666663</v>
      </c>
      <c r="N1269" s="48">
        <v>0.875</v>
      </c>
      <c r="O1269" s="48">
        <v>0.75</v>
      </c>
      <c r="P1269" s="48">
        <v>0.875</v>
      </c>
      <c r="Q1269" s="48">
        <v>0.75</v>
      </c>
      <c r="R1269" s="48">
        <v>0.79166666666666663</v>
      </c>
      <c r="S1269" s="48">
        <v>0.75</v>
      </c>
      <c r="T1269" s="48">
        <v>0.83333333333333337</v>
      </c>
      <c r="U1269" s="48">
        <v>0.91666666666666663</v>
      </c>
      <c r="V1269" s="48">
        <v>0.79166666666666663</v>
      </c>
      <c r="W1269" s="48">
        <v>0.875</v>
      </c>
      <c r="X1269" s="48">
        <v>0.83333333333333337</v>
      </c>
      <c r="Z1269" s="48">
        <v>0.79166666666666663</v>
      </c>
      <c r="AA1269" s="48">
        <v>0.875</v>
      </c>
      <c r="AB1269" s="48">
        <v>0.79166666666666663</v>
      </c>
      <c r="AC1269" s="48">
        <v>0.875</v>
      </c>
      <c r="AD1269" s="48">
        <v>0.83333333333333337</v>
      </c>
      <c r="AE1269" s="48">
        <v>1.125</v>
      </c>
      <c r="AF1269" s="48">
        <v>0.75</v>
      </c>
      <c r="AG1269" s="48">
        <v>0.83333333333333337</v>
      </c>
      <c r="AH1269" s="48">
        <v>0.875</v>
      </c>
      <c r="AI1269" s="48">
        <v>0.79166666666666663</v>
      </c>
      <c r="AJ1269" s="48">
        <v>1.0833333333333333</v>
      </c>
      <c r="AK1269" s="48">
        <v>0.83333333333333337</v>
      </c>
      <c r="AL1269" s="48">
        <v>0.75</v>
      </c>
      <c r="AM1269" cm="1">
        <f t="array" ref="AM1269">SUM(_xlfn.LET(_xlpm.r,((IFERROR(H1269:AL1269-H1268:AL1268,0))*24)/10,IF(_xlpm.r&gt;1,1,_xlpm.r)))</f>
        <v>29</v>
      </c>
      <c r="AO1269" cm="1">
        <f t="array" ref="AO1269">SUM(IFERROR(MOD((H1269:AL1269-H1268:AL1268)*24,11),""))</f>
        <v>63.999999999999986</v>
      </c>
    </row>
    <row r="1270" spans="1:41" hidden="1" x14ac:dyDescent="0.25">
      <c r="A1270">
        <v>1269</v>
      </c>
      <c r="B1270">
        <v>2026</v>
      </c>
      <c r="C1270">
        <v>1</v>
      </c>
      <c r="D1270" t="s">
        <v>494</v>
      </c>
      <c r="E1270">
        <v>95</v>
      </c>
      <c r="F1270">
        <v>7</v>
      </c>
      <c r="G1270" t="s">
        <v>430</v>
      </c>
      <c r="V1270" s="48">
        <v>0</v>
      </c>
      <c r="W1270" s="48">
        <v>0.29166666666666669</v>
      </c>
      <c r="X1270" s="48">
        <v>0.29166666666666669</v>
      </c>
      <c r="Z1270" s="48">
        <v>0.29166666666666669</v>
      </c>
      <c r="AA1270" s="48">
        <v>0.29166666666666669</v>
      </c>
      <c r="AB1270" s="48">
        <v>0.29166666666666669</v>
      </c>
      <c r="AC1270" s="48">
        <v>0.29166666666666669</v>
      </c>
      <c r="AD1270" s="48">
        <v>0.29166666666666669</v>
      </c>
      <c r="AE1270" s="48">
        <v>0.29166666666666669</v>
      </c>
      <c r="AF1270" s="48">
        <v>0.29166666666666669</v>
      </c>
      <c r="AG1270" s="48">
        <v>0.29166666666666669</v>
      </c>
      <c r="AH1270" s="48">
        <v>0.29166666666666669</v>
      </c>
      <c r="AI1270" s="48">
        <v>0.29166666666666669</v>
      </c>
      <c r="AJ1270" s="48">
        <v>0.29166666666666669</v>
      </c>
      <c r="AK1270" s="48">
        <v>0.29166666666666669</v>
      </c>
      <c r="AL1270" s="48">
        <v>0.29166666666666669</v>
      </c>
    </row>
    <row r="1271" spans="1:41" hidden="1" x14ac:dyDescent="0.25">
      <c r="A1271">
        <v>1270</v>
      </c>
      <c r="B1271">
        <v>2026</v>
      </c>
      <c r="C1271">
        <v>1</v>
      </c>
      <c r="D1271" t="s">
        <v>494</v>
      </c>
      <c r="E1271">
        <v>95</v>
      </c>
      <c r="F1271">
        <v>7</v>
      </c>
      <c r="G1271" t="s">
        <v>431</v>
      </c>
      <c r="V1271" s="48">
        <v>0.25</v>
      </c>
      <c r="W1271" s="48">
        <v>0.75</v>
      </c>
      <c r="X1271" s="48">
        <v>0.75</v>
      </c>
      <c r="Z1271" s="48">
        <v>0.75</v>
      </c>
      <c r="AA1271" s="48">
        <v>0.75</v>
      </c>
      <c r="AB1271" s="48">
        <v>0.75</v>
      </c>
      <c r="AC1271" s="48">
        <v>0.75</v>
      </c>
      <c r="AD1271" s="48">
        <v>0.75</v>
      </c>
      <c r="AE1271" s="48">
        <v>0.75</v>
      </c>
      <c r="AF1271" s="48">
        <v>0.75</v>
      </c>
      <c r="AG1271" s="48">
        <v>0.75</v>
      </c>
      <c r="AH1271" s="48">
        <v>0.75</v>
      </c>
      <c r="AI1271" s="48">
        <v>0.75</v>
      </c>
      <c r="AJ1271" s="48">
        <v>0.75</v>
      </c>
      <c r="AK1271" s="48">
        <v>0.75</v>
      </c>
      <c r="AL1271" s="48">
        <v>0.75</v>
      </c>
      <c r="AM1271" cm="1">
        <f t="array" ref="AM1271">SUM(_xlfn.LET(_xlpm.r,((IFERROR(H1271:AL1271-H1270:AL1270,0))*24)/10,IF(_xlpm.r&gt;1,1,_xlpm.r)))</f>
        <v>15.6</v>
      </c>
    </row>
    <row r="1272" spans="1:41" hidden="1" x14ac:dyDescent="0.25">
      <c r="A1272">
        <v>1271</v>
      </c>
      <c r="B1272">
        <v>2026</v>
      </c>
      <c r="C1272">
        <v>1</v>
      </c>
      <c r="D1272" t="s">
        <v>501</v>
      </c>
      <c r="E1272">
        <v>98</v>
      </c>
      <c r="F1272">
        <v>7</v>
      </c>
      <c r="G1272" t="s">
        <v>430</v>
      </c>
      <c r="I1272" s="48">
        <v>0.29166666666666669</v>
      </c>
      <c r="J1272" s="48">
        <v>0.29166666666666669</v>
      </c>
      <c r="K1272" s="48">
        <v>0.29166666666666669</v>
      </c>
      <c r="L1272" s="48">
        <v>0.29166666666666669</v>
      </c>
      <c r="M1272" s="48">
        <v>0.29166666666666669</v>
      </c>
      <c r="N1272" s="48">
        <v>0.29166666666666669</v>
      </c>
      <c r="O1272" s="48">
        <v>0.29166666666666669</v>
      </c>
      <c r="P1272" s="48">
        <v>0.29166666666666669</v>
      </c>
      <c r="Q1272" s="48">
        <v>0.29166666666666669</v>
      </c>
      <c r="R1272" s="48">
        <v>0.29166666666666669</v>
      </c>
      <c r="S1272" s="48">
        <v>0.29166666666666669</v>
      </c>
      <c r="T1272" s="48">
        <v>0.29166666666666669</v>
      </c>
      <c r="U1272" s="48">
        <v>0.29166666666666669</v>
      </c>
      <c r="V1272" s="48">
        <v>0.29166666666666669</v>
      </c>
      <c r="W1272" s="48">
        <v>0.29166666666666669</v>
      </c>
      <c r="X1272" s="48">
        <v>0.29166666666666669</v>
      </c>
      <c r="Y1272" s="48">
        <v>0.29166666666666669</v>
      </c>
      <c r="Z1272" s="48">
        <v>0.29166666666666669</v>
      </c>
      <c r="AA1272" s="48">
        <v>0.29166666666666669</v>
      </c>
      <c r="AB1272" s="48">
        <v>0.29166666666666669</v>
      </c>
      <c r="AC1272" s="48">
        <v>0.29166666666666669</v>
      </c>
      <c r="AD1272" s="48">
        <v>0.29166666666666669</v>
      </c>
      <c r="AE1272" s="48">
        <v>0.29166666666666669</v>
      </c>
      <c r="AF1272" s="48">
        <v>0.29166666666666669</v>
      </c>
      <c r="AG1272" s="48">
        <v>0.29166666666666669</v>
      </c>
      <c r="AH1272" s="48">
        <v>0.29166666666666669</v>
      </c>
      <c r="AI1272" s="48">
        <v>0.29166666666666669</v>
      </c>
      <c r="AJ1272" s="48">
        <v>0.29166666666666669</v>
      </c>
      <c r="AK1272" s="48">
        <v>0.29166666666666669</v>
      </c>
      <c r="AL1272" s="48">
        <v>0.29166666666666669</v>
      </c>
    </row>
    <row r="1273" spans="1:41" hidden="1" x14ac:dyDescent="0.25">
      <c r="A1273">
        <v>1272</v>
      </c>
      <c r="B1273">
        <v>2026</v>
      </c>
      <c r="C1273">
        <v>1</v>
      </c>
      <c r="D1273" t="s">
        <v>501</v>
      </c>
      <c r="E1273">
        <v>98</v>
      </c>
      <c r="F1273">
        <v>7</v>
      </c>
      <c r="G1273" t="s">
        <v>431</v>
      </c>
      <c r="I1273" s="48">
        <v>0.75</v>
      </c>
      <c r="J1273" s="48">
        <v>0.75</v>
      </c>
      <c r="K1273" s="48">
        <v>0.83333333333333337</v>
      </c>
      <c r="L1273" s="48">
        <v>0.75</v>
      </c>
      <c r="M1273" s="48">
        <v>0.75</v>
      </c>
      <c r="N1273" s="48">
        <v>0.75</v>
      </c>
      <c r="O1273" s="48">
        <v>0.75</v>
      </c>
      <c r="P1273" s="48">
        <v>0.83333333333333337</v>
      </c>
      <c r="Q1273" s="48">
        <v>0.75</v>
      </c>
      <c r="R1273" s="48">
        <v>0.75</v>
      </c>
      <c r="S1273" s="48">
        <v>0.75</v>
      </c>
      <c r="T1273" s="48">
        <v>0.83333333333333337</v>
      </c>
      <c r="U1273" s="48">
        <v>0.75</v>
      </c>
      <c r="V1273" s="48">
        <v>0.75</v>
      </c>
      <c r="W1273" s="48">
        <v>0.75</v>
      </c>
      <c r="X1273" s="48">
        <v>0.83333333333333337</v>
      </c>
      <c r="Y1273" s="48">
        <v>0.75</v>
      </c>
      <c r="Z1273" s="48">
        <v>0.75</v>
      </c>
      <c r="AA1273" s="48">
        <v>0.75</v>
      </c>
      <c r="AB1273" s="48">
        <v>0.75</v>
      </c>
      <c r="AC1273" s="48">
        <v>0.75</v>
      </c>
      <c r="AD1273" s="48">
        <v>0.75</v>
      </c>
      <c r="AE1273" s="48">
        <v>0.75</v>
      </c>
      <c r="AF1273" s="48">
        <v>0.75</v>
      </c>
      <c r="AG1273" s="48">
        <v>0.75</v>
      </c>
      <c r="AH1273" s="48">
        <v>0.75</v>
      </c>
      <c r="AI1273" s="48">
        <v>0.75</v>
      </c>
      <c r="AJ1273" s="48">
        <v>0.75</v>
      </c>
      <c r="AK1273" s="48">
        <v>0.75</v>
      </c>
      <c r="AL1273" s="48">
        <v>0.75</v>
      </c>
      <c r="AM1273" cm="1">
        <f t="array" ref="AM1273">SUM(_xlfn.LET(_xlpm.r,((IFERROR(H1273:AL1273-H1272:AL1272,0))*24)/11,IF(_xlpm.r&gt;1,1,_xlpm.r)))</f>
        <v>30</v>
      </c>
      <c r="AO1273" cm="1">
        <f t="array" ref="AO1273">SUM(IFERROR(MOD((H1273:AL1273-H1272:AL1272)*24,11),""))</f>
        <v>8.0000000000000071</v>
      </c>
    </row>
    <row r="1274" spans="1:41" hidden="1" x14ac:dyDescent="0.25">
      <c r="A1274">
        <v>1273</v>
      </c>
      <c r="B1274">
        <v>2026</v>
      </c>
      <c r="C1274">
        <v>1</v>
      </c>
      <c r="D1274" t="s">
        <v>504</v>
      </c>
      <c r="E1274">
        <v>100</v>
      </c>
      <c r="F1274">
        <v>7</v>
      </c>
      <c r="G1274" t="s">
        <v>430</v>
      </c>
      <c r="I1274" s="48">
        <v>0.29166666666666669</v>
      </c>
      <c r="J1274" s="48">
        <v>0.29166666666666669</v>
      </c>
      <c r="K1274" s="48">
        <v>0.29166666666666669</v>
      </c>
      <c r="L1274" s="48">
        <v>0.29166666666666669</v>
      </c>
      <c r="M1274" s="48">
        <v>0.29166666666666669</v>
      </c>
      <c r="N1274" s="48">
        <v>0.29166666666666669</v>
      </c>
      <c r="O1274" s="48">
        <v>0.29166666666666669</v>
      </c>
      <c r="P1274" s="48">
        <v>0.29166666666666669</v>
      </c>
      <c r="Q1274" s="48">
        <v>0.29166666666666669</v>
      </c>
      <c r="R1274" s="48">
        <v>0.29166666666666669</v>
      </c>
      <c r="S1274" s="48">
        <v>0.29166666666666669</v>
      </c>
      <c r="T1274" s="48">
        <v>0.29166666666666669</v>
      </c>
      <c r="U1274" s="48">
        <v>0.29166666666666669</v>
      </c>
      <c r="V1274" s="48">
        <v>0.29166666666666669</v>
      </c>
      <c r="W1274" s="48">
        <v>0.29166666666666669</v>
      </c>
      <c r="X1274" s="48">
        <v>0.29166666666666669</v>
      </c>
      <c r="Z1274" s="48">
        <v>0.29166666666666669</v>
      </c>
      <c r="AA1274" s="48">
        <v>0.29166666666666669</v>
      </c>
      <c r="AB1274" s="48">
        <v>0.29166666666666669</v>
      </c>
      <c r="AC1274" s="48">
        <v>0.29166666666666669</v>
      </c>
      <c r="AD1274" s="48">
        <v>0.29166666666666669</v>
      </c>
      <c r="AE1274" s="48">
        <v>0.29166666666666669</v>
      </c>
      <c r="AF1274" s="48">
        <v>0.29166666666666669</v>
      </c>
      <c r="AG1274" s="48">
        <v>0.29166666666666669</v>
      </c>
      <c r="AH1274" s="48">
        <v>0.29166666666666669</v>
      </c>
      <c r="AI1274" s="48">
        <v>0.29166666666666669</v>
      </c>
      <c r="AJ1274" s="48">
        <v>0.29166666666666669</v>
      </c>
      <c r="AK1274" s="48">
        <v>0.29166666666666669</v>
      </c>
      <c r="AL1274" s="48">
        <v>0.29166666666666669</v>
      </c>
    </row>
    <row r="1275" spans="1:41" hidden="1" x14ac:dyDescent="0.25">
      <c r="A1275">
        <v>1274</v>
      </c>
      <c r="B1275">
        <v>2026</v>
      </c>
      <c r="C1275">
        <v>1</v>
      </c>
      <c r="D1275" t="s">
        <v>504</v>
      </c>
      <c r="E1275">
        <v>100</v>
      </c>
      <c r="F1275">
        <v>7</v>
      </c>
      <c r="G1275" t="s">
        <v>431</v>
      </c>
      <c r="I1275" s="48">
        <v>0.75</v>
      </c>
      <c r="J1275" s="48">
        <v>0.75</v>
      </c>
      <c r="K1275" s="48">
        <v>0.75</v>
      </c>
      <c r="L1275" s="48">
        <v>0.75</v>
      </c>
      <c r="M1275" s="48">
        <v>0.75</v>
      </c>
      <c r="N1275" s="48">
        <v>0.75</v>
      </c>
      <c r="O1275" s="48">
        <v>0.75</v>
      </c>
      <c r="P1275" s="48">
        <v>0.75</v>
      </c>
      <c r="Q1275" s="48">
        <v>0.75</v>
      </c>
      <c r="R1275" s="48">
        <v>0.75</v>
      </c>
      <c r="S1275" s="48">
        <v>0.75</v>
      </c>
      <c r="T1275" s="48">
        <v>0.75</v>
      </c>
      <c r="U1275" s="48">
        <v>0.75</v>
      </c>
      <c r="V1275" s="48">
        <v>0.75</v>
      </c>
      <c r="W1275" s="48">
        <v>0.75</v>
      </c>
      <c r="X1275" s="48">
        <v>0.75</v>
      </c>
      <c r="Z1275" s="48">
        <v>0.75</v>
      </c>
      <c r="AA1275" s="48">
        <v>0.75</v>
      </c>
      <c r="AB1275" s="48">
        <v>0.75</v>
      </c>
      <c r="AC1275" s="48">
        <v>0.75</v>
      </c>
      <c r="AD1275" s="48">
        <v>0.75</v>
      </c>
      <c r="AE1275" s="48">
        <v>0.75</v>
      </c>
      <c r="AF1275" s="48">
        <v>0.75</v>
      </c>
      <c r="AG1275" s="48">
        <v>0.75</v>
      </c>
      <c r="AH1275" s="48">
        <v>0.75</v>
      </c>
      <c r="AI1275" s="48">
        <v>0.75</v>
      </c>
      <c r="AJ1275" s="48">
        <v>0.75</v>
      </c>
      <c r="AK1275" s="48">
        <v>0.75</v>
      </c>
      <c r="AL1275" s="48">
        <v>0.75</v>
      </c>
      <c r="AM1275" cm="1">
        <f t="array" ref="AM1275">SUM(_xlfn.LET(_xlpm.r,((IFERROR(H1275:AL1275-H1274:AL1274,0))*24)/10,IF(_xlpm.r&gt;1,1,_xlpm.r)))</f>
        <v>29</v>
      </c>
    </row>
    <row r="1276" spans="1:41" hidden="1" x14ac:dyDescent="0.25">
      <c r="A1276">
        <v>1275</v>
      </c>
      <c r="B1276">
        <v>2026</v>
      </c>
      <c r="C1276">
        <v>1</v>
      </c>
      <c r="D1276" t="s">
        <v>525</v>
      </c>
      <c r="E1276">
        <v>110</v>
      </c>
      <c r="F1276">
        <v>6</v>
      </c>
      <c r="G1276" t="s">
        <v>430</v>
      </c>
      <c r="I1276" s="48">
        <v>0.29166666666666669</v>
      </c>
      <c r="J1276" s="48">
        <v>0.29166666666666669</v>
      </c>
      <c r="K1276" s="48">
        <v>0.29166666666666669</v>
      </c>
      <c r="L1276" s="48">
        <v>0.29166666666666669</v>
      </c>
      <c r="M1276" s="48">
        <v>0.29166666666666669</v>
      </c>
      <c r="N1276" s="48">
        <v>0.29166666666666669</v>
      </c>
      <c r="O1276" s="48">
        <v>0.29166666666666669</v>
      </c>
      <c r="P1276" s="48">
        <v>0.29166666666666669</v>
      </c>
      <c r="Q1276" s="48">
        <v>0.29166666666666669</v>
      </c>
      <c r="S1276" s="48">
        <v>0.29166666666666669</v>
      </c>
      <c r="T1276" s="48">
        <v>0.29166666666666669</v>
      </c>
      <c r="U1276" s="48">
        <v>0.29166666666666669</v>
      </c>
      <c r="V1276" s="48">
        <v>0.29166666666666669</v>
      </c>
      <c r="W1276" s="48">
        <v>0.29166666666666669</v>
      </c>
      <c r="X1276" s="48">
        <v>0.29166666666666669</v>
      </c>
      <c r="Z1276" s="48">
        <v>0.29166666666666669</v>
      </c>
      <c r="AA1276" s="48">
        <v>0.29166666666666669</v>
      </c>
      <c r="AB1276" s="48">
        <v>0.29166666666666669</v>
      </c>
      <c r="AC1276" s="48">
        <v>0.29166666666666669</v>
      </c>
      <c r="AD1276" s="48">
        <v>0.29166666666666669</v>
      </c>
      <c r="AE1276" s="48">
        <v>0.29166666666666669</v>
      </c>
      <c r="AF1276" s="48">
        <v>0.29166666666666669</v>
      </c>
      <c r="AG1276" s="48">
        <v>0.29166666666666669</v>
      </c>
      <c r="AH1276" s="48">
        <v>0.29166666666666669</v>
      </c>
      <c r="AI1276" s="48">
        <v>0.29166666666666669</v>
      </c>
      <c r="AJ1276" s="48">
        <v>0.29166666666666669</v>
      </c>
      <c r="AK1276" s="48">
        <v>0.29166666666666669</v>
      </c>
      <c r="AL1276" s="48">
        <v>0.29166666666666669</v>
      </c>
    </row>
    <row r="1277" spans="1:41" hidden="1" x14ac:dyDescent="0.25">
      <c r="A1277">
        <v>1276</v>
      </c>
      <c r="B1277">
        <v>2026</v>
      </c>
      <c r="C1277">
        <v>1</v>
      </c>
      <c r="D1277" t="s">
        <v>525</v>
      </c>
      <c r="E1277">
        <v>110</v>
      </c>
      <c r="F1277">
        <v>6</v>
      </c>
      <c r="G1277" t="s">
        <v>431</v>
      </c>
      <c r="I1277" s="48">
        <v>0.75</v>
      </c>
      <c r="J1277" s="48">
        <v>0.75</v>
      </c>
      <c r="K1277" s="48">
        <v>0.75</v>
      </c>
      <c r="L1277" s="48">
        <v>0.75</v>
      </c>
      <c r="M1277" s="48">
        <v>0.75</v>
      </c>
      <c r="N1277" s="48">
        <v>0.75</v>
      </c>
      <c r="O1277" s="48">
        <v>0.75</v>
      </c>
      <c r="P1277" s="48">
        <v>0.75</v>
      </c>
      <c r="Q1277" s="48">
        <v>0.75</v>
      </c>
      <c r="S1277" s="48">
        <v>0.75</v>
      </c>
      <c r="T1277" s="48">
        <v>0.75</v>
      </c>
      <c r="U1277" s="48">
        <v>0.75</v>
      </c>
      <c r="V1277" s="48">
        <v>0.75</v>
      </c>
      <c r="W1277" s="48">
        <v>0.75</v>
      </c>
      <c r="X1277" s="48">
        <v>0.75</v>
      </c>
      <c r="Z1277" s="48">
        <v>0.75</v>
      </c>
      <c r="AA1277" s="48">
        <v>0.75</v>
      </c>
      <c r="AB1277" s="48">
        <v>0.75</v>
      </c>
      <c r="AC1277" s="48">
        <v>0.75</v>
      </c>
      <c r="AD1277" s="48">
        <v>0.75</v>
      </c>
      <c r="AE1277" s="48">
        <v>0.75</v>
      </c>
      <c r="AF1277" s="48">
        <v>0.75</v>
      </c>
      <c r="AG1277" s="48">
        <v>0.75</v>
      </c>
      <c r="AH1277" s="48">
        <v>0.75</v>
      </c>
      <c r="AI1277" s="48">
        <v>0.75</v>
      </c>
      <c r="AJ1277" s="48">
        <v>0.75</v>
      </c>
      <c r="AK1277" s="48">
        <v>0.75</v>
      </c>
      <c r="AL1277" s="48">
        <v>0.75</v>
      </c>
      <c r="AM1277" cm="1">
        <f t="array" ref="AM1277">SUM(_xlfn.LET(_xlpm.r,((IFERROR(H1277:AL1277-H1276:AL1276,0))*24)/10,IF(_xlpm.r&gt;1,1,_xlpm.r)))</f>
        <v>28</v>
      </c>
      <c r="AO1277" s="20"/>
    </row>
    <row r="1278" spans="1:41" hidden="1" x14ac:dyDescent="0.25">
      <c r="A1278">
        <v>1277</v>
      </c>
      <c r="B1278">
        <v>2026</v>
      </c>
      <c r="C1278">
        <v>1</v>
      </c>
      <c r="D1278" t="s">
        <v>530</v>
      </c>
      <c r="E1278">
        <v>121</v>
      </c>
      <c r="F1278">
        <v>4</v>
      </c>
      <c r="G1278" t="s">
        <v>430</v>
      </c>
      <c r="I1278" s="117">
        <v>0.33333333333333331</v>
      </c>
      <c r="J1278" s="117">
        <v>0.33333333333333331</v>
      </c>
      <c r="K1278" s="117">
        <v>0.33333333333333331</v>
      </c>
      <c r="L1278" s="117">
        <v>0.33333333333333331</v>
      </c>
      <c r="M1278" s="117">
        <v>0.33333333333333331</v>
      </c>
      <c r="N1278" s="117">
        <v>0.33333333333333331</v>
      </c>
      <c r="O1278" s="117">
        <v>0.33333333333333331</v>
      </c>
      <c r="P1278" s="117">
        <v>0.33333333333333331</v>
      </c>
      <c r="Q1278" s="117">
        <v>0.33333333333333331</v>
      </c>
      <c r="R1278" s="117">
        <v>0.33333333333333331</v>
      </c>
      <c r="S1278" s="117">
        <v>0.33333333333333331</v>
      </c>
      <c r="T1278" s="117">
        <v>0.33333333333333331</v>
      </c>
      <c r="U1278" s="117">
        <v>0.33333333333333331</v>
      </c>
      <c r="V1278" s="117">
        <v>0.33333333333333331</v>
      </c>
      <c r="W1278" s="117">
        <v>0.33333333333333331</v>
      </c>
      <c r="X1278" s="117"/>
      <c r="Y1278" s="117">
        <v>0.33333333333333331</v>
      </c>
      <c r="Z1278" s="117">
        <v>0.33333333333333331</v>
      </c>
      <c r="AA1278" s="117"/>
      <c r="AB1278" s="117">
        <v>0.33333333333333331</v>
      </c>
      <c r="AC1278" s="117">
        <v>0.33333333333333331</v>
      </c>
      <c r="AD1278" s="117"/>
      <c r="AE1278" s="117">
        <v>0.33333333333333331</v>
      </c>
      <c r="AF1278" s="117">
        <v>0.33333333333333331</v>
      </c>
      <c r="AG1278" s="117">
        <v>0.33333333333333331</v>
      </c>
      <c r="AH1278" s="117">
        <v>0.33333333333333331</v>
      </c>
      <c r="AI1278" s="117">
        <v>0.33333333333333331</v>
      </c>
      <c r="AJ1278" s="117">
        <v>0.33333333333333331</v>
      </c>
      <c r="AK1278" s="117">
        <v>0.33333333333333331</v>
      </c>
      <c r="AL1278" s="117">
        <v>0.33333333333333331</v>
      </c>
    </row>
    <row r="1279" spans="1:41" hidden="1" x14ac:dyDescent="0.25">
      <c r="A1279">
        <v>1278</v>
      </c>
      <c r="B1279">
        <v>2026</v>
      </c>
      <c r="C1279">
        <v>1</v>
      </c>
      <c r="D1279" t="s">
        <v>530</v>
      </c>
      <c r="E1279">
        <v>121</v>
      </c>
      <c r="F1279">
        <v>4</v>
      </c>
      <c r="G1279" t="s">
        <v>431</v>
      </c>
      <c r="I1279" s="48">
        <v>0.75</v>
      </c>
      <c r="J1279" s="48">
        <v>0.75</v>
      </c>
      <c r="K1279" s="48">
        <v>0.75</v>
      </c>
      <c r="L1279" s="48">
        <v>0.75</v>
      </c>
      <c r="M1279" s="48">
        <v>0.75</v>
      </c>
      <c r="N1279" s="48">
        <v>0.75</v>
      </c>
      <c r="O1279" s="48">
        <v>0.75</v>
      </c>
      <c r="P1279" s="48">
        <v>0.75</v>
      </c>
      <c r="Q1279" s="48">
        <v>0.75</v>
      </c>
      <c r="R1279" s="48">
        <v>0.75</v>
      </c>
      <c r="S1279" s="48">
        <v>0.75</v>
      </c>
      <c r="T1279" s="48">
        <v>0.75</v>
      </c>
      <c r="U1279" s="48">
        <v>0.75</v>
      </c>
      <c r="V1279" s="48">
        <v>0.75</v>
      </c>
      <c r="W1279" s="48">
        <v>0.75</v>
      </c>
      <c r="Y1279" s="48">
        <v>0.75</v>
      </c>
      <c r="Z1279" s="48">
        <v>0.75</v>
      </c>
      <c r="AB1279" s="48">
        <v>0.75</v>
      </c>
      <c r="AC1279" s="48">
        <v>0.75</v>
      </c>
      <c r="AE1279" s="48">
        <v>0.75</v>
      </c>
      <c r="AF1279" s="48">
        <v>0.75</v>
      </c>
      <c r="AG1279" s="48">
        <v>0.75</v>
      </c>
      <c r="AH1279" s="48">
        <v>0.75</v>
      </c>
      <c r="AI1279" s="48">
        <v>0.75</v>
      </c>
      <c r="AJ1279" s="48">
        <v>0.75</v>
      </c>
      <c r="AK1279" s="48">
        <v>0.75</v>
      </c>
      <c r="AL1279" s="48">
        <v>0.75</v>
      </c>
      <c r="AM1279" cm="1">
        <f t="array" ref="AM1279">SUM(_xlfn.LET(_xlpm.r,((IFERROR(H1279:AL1279-H1278:AL1278,0))*24)/10,IF(_xlpm.r&gt;1,1,_xlpm.r)))</f>
        <v>27</v>
      </c>
    </row>
    <row r="1280" spans="1:41" hidden="1" x14ac:dyDescent="0.25">
      <c r="A1280">
        <v>1279</v>
      </c>
      <c r="B1280">
        <v>2026</v>
      </c>
      <c r="C1280">
        <v>1</v>
      </c>
      <c r="D1280" t="s">
        <v>531</v>
      </c>
      <c r="E1280">
        <v>141</v>
      </c>
      <c r="F1280">
        <v>3</v>
      </c>
      <c r="G1280" t="s">
        <v>430</v>
      </c>
      <c r="I1280" s="48">
        <v>0.29166666666666669</v>
      </c>
      <c r="J1280" s="48">
        <v>0.29166666666666669</v>
      </c>
      <c r="K1280" s="48">
        <v>0.29166666666666669</v>
      </c>
      <c r="L1280" s="48">
        <v>0.29166666666666669</v>
      </c>
      <c r="M1280" s="48">
        <v>0.29166666666666669</v>
      </c>
      <c r="N1280" s="48">
        <v>0.29166666666666669</v>
      </c>
      <c r="O1280" s="48">
        <v>0.29166666666666669</v>
      </c>
      <c r="P1280" s="48">
        <v>0.29166666666666669</v>
      </c>
      <c r="Q1280" s="48">
        <v>0.29166666666666669</v>
      </c>
      <c r="R1280" s="48">
        <v>0.29166666666666669</v>
      </c>
      <c r="S1280" s="48">
        <v>0.29166666666666669</v>
      </c>
      <c r="T1280" s="48">
        <v>0.29166666666666669</v>
      </c>
      <c r="U1280" s="48">
        <v>0.29166666666666669</v>
      </c>
      <c r="V1280" s="48">
        <v>0.29166666666666669</v>
      </c>
      <c r="W1280" s="48">
        <v>0.29166666666666669</v>
      </c>
      <c r="X1280" s="48">
        <v>0.29166666666666669</v>
      </c>
      <c r="Z1280" s="48">
        <v>0.29166666666666669</v>
      </c>
      <c r="AA1280" s="48">
        <v>0.29166666666666669</v>
      </c>
      <c r="AB1280" s="48">
        <v>0.29166666666666669</v>
      </c>
    </row>
    <row r="1281" spans="1:41" hidden="1" x14ac:dyDescent="0.25">
      <c r="A1281">
        <v>1280</v>
      </c>
      <c r="B1281">
        <v>2026</v>
      </c>
      <c r="C1281">
        <v>1</v>
      </c>
      <c r="D1281" t="s">
        <v>531</v>
      </c>
      <c r="E1281">
        <v>141</v>
      </c>
      <c r="F1281">
        <v>3</v>
      </c>
      <c r="G1281" t="s">
        <v>431</v>
      </c>
      <c r="I1281" s="48">
        <v>0.75</v>
      </c>
      <c r="J1281" s="48">
        <v>0.75</v>
      </c>
      <c r="K1281" s="48">
        <v>0.875</v>
      </c>
      <c r="L1281" s="48">
        <v>0.875</v>
      </c>
      <c r="M1281" s="48">
        <v>0.875</v>
      </c>
      <c r="N1281" s="48">
        <v>0.75</v>
      </c>
      <c r="O1281" s="48">
        <v>0.75</v>
      </c>
      <c r="P1281" s="48">
        <v>0.75</v>
      </c>
      <c r="Q1281" s="48">
        <v>0.875</v>
      </c>
      <c r="R1281" s="48">
        <v>0.75</v>
      </c>
      <c r="S1281" s="48">
        <v>0.75</v>
      </c>
      <c r="T1281" s="48">
        <v>1</v>
      </c>
      <c r="U1281" s="48">
        <v>0.75</v>
      </c>
      <c r="V1281" s="48">
        <v>0.83333333333333337</v>
      </c>
      <c r="W1281" s="48">
        <v>1.0416666666666667</v>
      </c>
      <c r="X1281" s="48">
        <v>1.125</v>
      </c>
      <c r="Z1281" s="48">
        <v>0.75</v>
      </c>
      <c r="AA1281" s="48">
        <v>0.75</v>
      </c>
      <c r="AB1281" s="48">
        <v>0.75</v>
      </c>
      <c r="AM1281" cm="1">
        <f t="array" ref="AM1281">SUM(_xlfn.LET(_xlpm.r,((IFERROR(H1281:AL1281-H1280:AL1280,0))*24)/10,IF(_xlpm.r&gt;1,1,_xlpm.r)))</f>
        <v>19</v>
      </c>
      <c r="AO1281" cm="1">
        <f t="array" ref="AO1281">SUM(
  IFERROR(
    ROUND(
      _xlfn.LET(
        _xlpm.e,H1281:AL1281,
        _xlpm.s,H1280:AL1280,
        _xlpm.r,(((_xlpm.e&lt;_xlpm.s)*1)+_xlpm.e-_xlpm.s)*24-11,
        IF(_xlpm.r&lt;=0,"",_xlpm.r)
      ),
      0
    ),
    ""
  )
)</f>
        <v>36</v>
      </c>
    </row>
    <row r="1282" spans="1:41" hidden="1" x14ac:dyDescent="0.25">
      <c r="A1282">
        <v>1281</v>
      </c>
      <c r="B1282">
        <v>2026</v>
      </c>
      <c r="C1282">
        <v>1</v>
      </c>
      <c r="D1282" t="s">
        <v>700</v>
      </c>
      <c r="E1282">
        <v>164</v>
      </c>
      <c r="F1282">
        <v>1</v>
      </c>
      <c r="G1282" t="s">
        <v>430</v>
      </c>
      <c r="T1282" s="117">
        <v>0.33333333333333331</v>
      </c>
      <c r="U1282" s="117">
        <v>0.33333333333333331</v>
      </c>
      <c r="V1282" s="117">
        <v>0.33333333333333331</v>
      </c>
      <c r="W1282" s="117">
        <v>0.25</v>
      </c>
      <c r="X1282" s="117">
        <v>0.33333333333333331</v>
      </c>
      <c r="Y1282" s="117"/>
      <c r="Z1282" s="117">
        <v>0.33333333333333331</v>
      </c>
      <c r="AA1282" s="117">
        <v>0.33333333333333331</v>
      </c>
      <c r="AB1282" s="117">
        <v>0.33333333333333331</v>
      </c>
      <c r="AC1282" s="117">
        <v>0.33333333333333331</v>
      </c>
      <c r="AD1282" s="117">
        <v>0.33333333333333331</v>
      </c>
      <c r="AE1282" s="117">
        <v>0.29166666666666669</v>
      </c>
      <c r="AF1282" s="117">
        <v>0.33333333333333331</v>
      </c>
      <c r="AG1282" s="117">
        <v>0.33333333333333331</v>
      </c>
      <c r="AH1282" s="117">
        <v>0.33333333333333331</v>
      </c>
    </row>
    <row r="1283" spans="1:41" hidden="1" x14ac:dyDescent="0.25">
      <c r="A1283">
        <v>1282</v>
      </c>
      <c r="B1283">
        <v>2026</v>
      </c>
      <c r="C1283">
        <v>1</v>
      </c>
      <c r="D1283" t="s">
        <v>700</v>
      </c>
      <c r="E1283">
        <v>164</v>
      </c>
      <c r="F1283">
        <v>1</v>
      </c>
      <c r="G1283" t="s">
        <v>431</v>
      </c>
      <c r="T1283" s="48">
        <v>0.75</v>
      </c>
      <c r="U1283" s="117">
        <v>0.79166666666666663</v>
      </c>
      <c r="V1283" s="117">
        <v>0.875</v>
      </c>
      <c r="W1283" s="117">
        <v>0.95833333333333337</v>
      </c>
      <c r="X1283" s="117">
        <v>0.91666666666666674</v>
      </c>
      <c r="Y1283" s="117"/>
      <c r="Z1283" s="117">
        <v>0.79166666666666663</v>
      </c>
      <c r="AA1283" s="117">
        <v>0.75</v>
      </c>
      <c r="AB1283" s="117">
        <v>0.83333333333333326</v>
      </c>
      <c r="AC1283" s="117">
        <v>0.75</v>
      </c>
      <c r="AD1283" s="117">
        <v>0.95833333333333326</v>
      </c>
      <c r="AE1283" s="117">
        <v>0.95833333333333326</v>
      </c>
      <c r="AF1283" s="117">
        <v>0.875</v>
      </c>
      <c r="AG1283" s="117">
        <v>0.83333333333333326</v>
      </c>
      <c r="AH1283" s="117">
        <v>0.79166666666666663</v>
      </c>
      <c r="AM1283" cm="1">
        <f t="array" ref="AM1283">SUM(_xlfn.LET(_xlpm.r,((IFERROR(H1283:AL1283-H1282:AL1282,0))*24)/10,IF(_xlpm.r&gt;1,1,_xlpm.r)))</f>
        <v>14</v>
      </c>
      <c r="AO1283" cm="1">
        <f t="array" ref="AO1283">SUM((_xlfn.LET(_xlpm.r,(H1283:AL1283-H1282:AL1282)*24-10,IF(_xlpm.r&lt;0,0,_xlpm.r))))</f>
        <v>35.000000000000007</v>
      </c>
    </row>
    <row r="1284" spans="1:41" hidden="1" x14ac:dyDescent="0.25">
      <c r="A1284">
        <v>1283</v>
      </c>
      <c r="B1284">
        <v>2026</v>
      </c>
      <c r="C1284">
        <v>1</v>
      </c>
      <c r="D1284" t="s">
        <v>704</v>
      </c>
      <c r="E1284">
        <v>172</v>
      </c>
      <c r="F1284">
        <v>1</v>
      </c>
      <c r="G1284" t="s">
        <v>430</v>
      </c>
      <c r="S1284" s="48">
        <v>0.33333333333333331</v>
      </c>
      <c r="T1284" s="48">
        <v>0.33333333333333331</v>
      </c>
      <c r="U1284" s="48">
        <v>0.33333333333333331</v>
      </c>
      <c r="V1284" s="48">
        <v>0.33333333333333331</v>
      </c>
      <c r="W1284" s="48">
        <v>0.33333333333333331</v>
      </c>
      <c r="X1284" s="48">
        <v>0.33333333333333331</v>
      </c>
      <c r="Z1284" s="48">
        <v>0.33333333333333331</v>
      </c>
      <c r="AA1284" s="48">
        <v>0.33333333333333331</v>
      </c>
      <c r="AB1284" s="48">
        <v>0.33333333333333331</v>
      </c>
      <c r="AC1284" s="48">
        <v>0.33333333333333331</v>
      </c>
      <c r="AD1284" s="48">
        <v>0.33333333333333331</v>
      </c>
      <c r="AE1284" s="48">
        <v>0.33333333333333331</v>
      </c>
      <c r="AF1284" s="48">
        <v>0.33333333333333331</v>
      </c>
      <c r="AG1284" s="48">
        <v>0.33333333333333331</v>
      </c>
      <c r="AH1284" s="48">
        <v>0.33333333333333331</v>
      </c>
      <c r="AI1284" s="48">
        <v>0.33333333333333331</v>
      </c>
      <c r="AJ1284" s="48">
        <v>0.33333333333333331</v>
      </c>
      <c r="AK1284" s="48">
        <v>0.33333333333333331</v>
      </c>
      <c r="AL1284" s="48">
        <v>0.33333333333333331</v>
      </c>
    </row>
    <row r="1285" spans="1:41" hidden="1" x14ac:dyDescent="0.25">
      <c r="A1285">
        <v>1284</v>
      </c>
      <c r="B1285">
        <v>2026</v>
      </c>
      <c r="C1285">
        <v>1</v>
      </c>
      <c r="D1285" t="s">
        <v>704</v>
      </c>
      <c r="E1285">
        <v>172</v>
      </c>
      <c r="F1285">
        <v>1</v>
      </c>
      <c r="G1285" t="s">
        <v>431</v>
      </c>
      <c r="S1285" s="48">
        <v>0.75</v>
      </c>
      <c r="T1285" s="48">
        <v>0.75</v>
      </c>
      <c r="U1285" s="48">
        <v>0.75</v>
      </c>
      <c r="V1285" s="48">
        <v>0.75</v>
      </c>
      <c r="W1285" s="48">
        <v>0.75</v>
      </c>
      <c r="X1285" s="48">
        <v>0.75</v>
      </c>
      <c r="Z1285" s="48">
        <v>0.75</v>
      </c>
      <c r="AA1285" s="48">
        <v>0.75</v>
      </c>
      <c r="AB1285" s="48">
        <v>0.75</v>
      </c>
      <c r="AC1285" s="48">
        <v>0.75</v>
      </c>
      <c r="AD1285" s="48">
        <v>0.75</v>
      </c>
      <c r="AE1285" s="48">
        <v>0.75</v>
      </c>
      <c r="AF1285" s="48">
        <v>0.75</v>
      </c>
      <c r="AG1285" s="48">
        <v>0.75</v>
      </c>
      <c r="AH1285" s="48">
        <v>0.75</v>
      </c>
      <c r="AI1285" s="48">
        <v>0.75</v>
      </c>
      <c r="AJ1285" s="48">
        <v>0.75</v>
      </c>
      <c r="AK1285" s="48">
        <v>0.75</v>
      </c>
      <c r="AL1285" s="48">
        <v>0.75</v>
      </c>
      <c r="AM1285" cm="1">
        <f t="array" ref="AM1285">SUM(_xlfn.LET(_xlpm.r,((IFERROR(H1285:AL1285-H1284:AL1284,0))*24)/10,IF(_xlpm.r&gt;1,1,_xlpm.r)))</f>
        <v>19</v>
      </c>
    </row>
    <row r="1286" spans="1:41" hidden="1" x14ac:dyDescent="0.25">
      <c r="A1286">
        <v>1285</v>
      </c>
      <c r="B1286">
        <v>2026</v>
      </c>
      <c r="C1286">
        <v>1</v>
      </c>
      <c r="D1286" t="s">
        <v>638</v>
      </c>
      <c r="E1286">
        <v>51</v>
      </c>
      <c r="F1286">
        <v>6</v>
      </c>
      <c r="G1286" t="s">
        <v>430</v>
      </c>
      <c r="I1286" s="48">
        <v>0.29166666666666669</v>
      </c>
      <c r="J1286" s="48">
        <v>0.29166666666666669</v>
      </c>
      <c r="K1286" s="48">
        <v>0.29166666666666669</v>
      </c>
      <c r="L1286" s="48">
        <v>0.29166666666666669</v>
      </c>
      <c r="M1286" s="48">
        <v>0.29166666666666669</v>
      </c>
      <c r="N1286" s="48">
        <v>0.29166666666666669</v>
      </c>
      <c r="O1286" s="48">
        <v>0.29166666666666669</v>
      </c>
      <c r="P1286" s="48">
        <v>0.29166666666666669</v>
      </c>
      <c r="Q1286" s="48">
        <v>0.29166666666666669</v>
      </c>
      <c r="R1286" s="48">
        <v>0.29166666666666669</v>
      </c>
      <c r="S1286" s="48">
        <v>0.29166666666666669</v>
      </c>
      <c r="T1286" s="48">
        <v>0.29166666666666669</v>
      </c>
      <c r="U1286" s="48">
        <v>0.29166666666666669</v>
      </c>
      <c r="V1286" s="48">
        <v>0.29166666666666669</v>
      </c>
      <c r="W1286" s="48">
        <v>0.29166666666666669</v>
      </c>
      <c r="X1286" s="48">
        <v>0.29166666666666669</v>
      </c>
      <c r="AB1286" s="48">
        <v>0.29166666666666669</v>
      </c>
      <c r="AC1286" s="48">
        <v>0.29166666666666669</v>
      </c>
      <c r="AD1286" s="48">
        <v>0.29166666666666669</v>
      </c>
      <c r="AE1286" s="48">
        <v>0.29166666666666669</v>
      </c>
      <c r="AF1286" s="48">
        <v>0.29166666666666669</v>
      </c>
      <c r="AG1286" s="48">
        <v>0.29166666666666669</v>
      </c>
      <c r="AH1286" s="48">
        <v>0.29166666666666669</v>
      </c>
      <c r="AI1286" s="48">
        <v>0.29166666666666669</v>
      </c>
      <c r="AJ1286" s="48">
        <v>0.29166666666666669</v>
      </c>
      <c r="AK1286" s="48">
        <v>0.29166666666666669</v>
      </c>
      <c r="AL1286" s="48">
        <v>0.29166666666666669</v>
      </c>
    </row>
    <row r="1287" spans="1:41" hidden="1" x14ac:dyDescent="0.25">
      <c r="A1287">
        <v>1286</v>
      </c>
      <c r="B1287">
        <v>2026</v>
      </c>
      <c r="C1287">
        <v>1</v>
      </c>
      <c r="D1287" t="s">
        <v>638</v>
      </c>
      <c r="E1287">
        <v>51</v>
      </c>
      <c r="F1287">
        <v>6</v>
      </c>
      <c r="G1287" t="s">
        <v>431</v>
      </c>
      <c r="I1287" s="48">
        <v>0.83333333333333337</v>
      </c>
      <c r="J1287" s="48">
        <v>0.83333333333333337</v>
      </c>
      <c r="K1287" s="48">
        <v>0.75</v>
      </c>
      <c r="L1287" s="48">
        <v>0.83333333333333337</v>
      </c>
      <c r="M1287" s="48">
        <v>0.875</v>
      </c>
      <c r="N1287" s="48">
        <v>0.75</v>
      </c>
      <c r="O1287" s="48">
        <v>0.83333333333333337</v>
      </c>
      <c r="P1287" s="48">
        <v>0.83333333333333337</v>
      </c>
      <c r="Q1287" s="48">
        <v>0.83333333333333337</v>
      </c>
      <c r="R1287" s="48">
        <v>0.75</v>
      </c>
      <c r="S1287" s="48">
        <v>0.83333333333333337</v>
      </c>
      <c r="T1287" s="48">
        <v>0.75</v>
      </c>
      <c r="U1287" s="48">
        <v>0.83333333333333337</v>
      </c>
      <c r="V1287" s="48">
        <v>0.875</v>
      </c>
      <c r="W1287" s="48">
        <v>0.75</v>
      </c>
      <c r="X1287" s="48">
        <v>0.83333333333333337</v>
      </c>
      <c r="AB1287" s="48">
        <v>0.75</v>
      </c>
      <c r="AC1287" s="48">
        <v>0.83333333333333337</v>
      </c>
      <c r="AD1287" s="48">
        <v>0.75</v>
      </c>
      <c r="AE1287" s="48">
        <v>0.83333333333333337</v>
      </c>
      <c r="AF1287" s="48">
        <v>0.75</v>
      </c>
      <c r="AG1287" s="48">
        <v>0.75</v>
      </c>
      <c r="AH1287" s="48">
        <v>0.75</v>
      </c>
      <c r="AI1287" s="48">
        <v>0.83333333333333337</v>
      </c>
      <c r="AJ1287" s="48">
        <v>0.75</v>
      </c>
      <c r="AK1287" s="48">
        <v>0.75</v>
      </c>
      <c r="AL1287" s="48">
        <v>0.75</v>
      </c>
      <c r="AM1287" cm="1">
        <f t="array" ref="AM1287">SUM(_xlfn.LET(_xlpm.r,((IFERROR(H1287:AL1287-H1286:AL1286,0))*24)/10,IF(_xlpm.r&gt;1,1,_xlpm.r)))</f>
        <v>27</v>
      </c>
      <c r="AO1287" cm="1">
        <f t="array" ref="AO1287">SUM(IFERROR(MOD((H1287:AL1287-H1286:AL1286)*24,11),""))</f>
        <v>30.000000000000014</v>
      </c>
    </row>
    <row r="1288" spans="1:41" hidden="1" x14ac:dyDescent="0.25">
      <c r="A1288">
        <v>1287</v>
      </c>
      <c r="B1288">
        <v>2026</v>
      </c>
      <c r="C1288">
        <v>1</v>
      </c>
      <c r="D1288" t="s">
        <v>491</v>
      </c>
      <c r="E1288">
        <v>102</v>
      </c>
      <c r="F1288">
        <v>5</v>
      </c>
      <c r="G1288" t="s">
        <v>430</v>
      </c>
      <c r="K1288" s="48">
        <v>0.29166666666666669</v>
      </c>
      <c r="L1288" s="48">
        <v>0.29166666666666669</v>
      </c>
      <c r="M1288" s="48">
        <v>0.29166666666666669</v>
      </c>
      <c r="N1288" s="48">
        <v>0.29166666666666669</v>
      </c>
      <c r="O1288" s="48">
        <v>0.29166666666666669</v>
      </c>
      <c r="P1288" s="48">
        <v>0.29166666666666669</v>
      </c>
      <c r="Q1288" s="48">
        <v>0.29166666666666669</v>
      </c>
      <c r="S1288" s="48">
        <v>0.29166666666666669</v>
      </c>
      <c r="T1288" s="48">
        <v>0.29166666666666669</v>
      </c>
      <c r="U1288" s="48">
        <v>0.29166666666666669</v>
      </c>
      <c r="V1288" s="48">
        <v>0.29166666666666669</v>
      </c>
      <c r="W1288" s="48">
        <v>0.29166666666666669</v>
      </c>
      <c r="X1288" s="48">
        <v>0.29166666666666669</v>
      </c>
      <c r="Z1288" s="48">
        <v>0.29166666666666669</v>
      </c>
      <c r="AA1288" s="48">
        <v>0.29166666666666669</v>
      </c>
      <c r="AB1288" s="48">
        <v>0.29166666666666669</v>
      </c>
      <c r="AC1288" s="48">
        <v>0.29166666666666669</v>
      </c>
      <c r="AD1288" s="48">
        <v>0.29166666666666669</v>
      </c>
      <c r="AE1288" s="48">
        <v>0.29166666666666669</v>
      </c>
      <c r="AG1288" s="48">
        <v>0.29166666666666669</v>
      </c>
      <c r="AH1288" s="48">
        <v>0.29166666666666669</v>
      </c>
      <c r="AI1288" s="48">
        <v>0.29166666666666669</v>
      </c>
      <c r="AJ1288" s="48">
        <v>0.29166666666666669</v>
      </c>
      <c r="AK1288" s="48">
        <v>0.29166666666666669</v>
      </c>
      <c r="AL1288" s="48">
        <v>0.29166666666666669</v>
      </c>
    </row>
    <row r="1289" spans="1:41" hidden="1" x14ac:dyDescent="0.25">
      <c r="A1289">
        <v>1288</v>
      </c>
      <c r="B1289">
        <v>2026</v>
      </c>
      <c r="C1289">
        <v>1</v>
      </c>
      <c r="D1289" t="s">
        <v>491</v>
      </c>
      <c r="E1289">
        <v>102</v>
      </c>
      <c r="F1289">
        <v>6</v>
      </c>
      <c r="G1289" t="s">
        <v>431</v>
      </c>
      <c r="K1289" s="48">
        <v>0.75</v>
      </c>
      <c r="L1289" s="48">
        <v>0.75</v>
      </c>
      <c r="M1289" s="48">
        <v>0.75</v>
      </c>
      <c r="N1289" s="48">
        <v>0.75</v>
      </c>
      <c r="O1289" s="48">
        <v>0.75</v>
      </c>
      <c r="P1289" s="48">
        <v>0.75</v>
      </c>
      <c r="Q1289" s="48">
        <v>0.75</v>
      </c>
      <c r="S1289" s="48">
        <v>0.75</v>
      </c>
      <c r="T1289" s="48">
        <v>0.75</v>
      </c>
      <c r="U1289" s="48">
        <v>0.75</v>
      </c>
      <c r="V1289" s="48">
        <v>0.75</v>
      </c>
      <c r="W1289" s="48">
        <v>0.75</v>
      </c>
      <c r="X1289" s="48">
        <v>0.75</v>
      </c>
      <c r="Z1289" s="48">
        <v>0.75</v>
      </c>
      <c r="AA1289" s="48">
        <v>0.75</v>
      </c>
      <c r="AB1289" s="48">
        <v>0.75</v>
      </c>
      <c r="AC1289" s="48">
        <v>0.75</v>
      </c>
      <c r="AD1289" s="48">
        <v>0.75</v>
      </c>
      <c r="AE1289" s="48">
        <v>0.75</v>
      </c>
      <c r="AG1289" s="48">
        <v>0.75</v>
      </c>
      <c r="AH1289" s="48">
        <v>0.75</v>
      </c>
      <c r="AI1289" s="48">
        <v>0.75</v>
      </c>
      <c r="AJ1289" s="48">
        <v>0.75</v>
      </c>
      <c r="AK1289" s="48">
        <v>0.75</v>
      </c>
      <c r="AL1289" s="48">
        <v>0.75</v>
      </c>
      <c r="AM1289" cm="1">
        <f t="array" ref="AM1289">SUM(_xlfn.LET(_xlpm.r,((IFERROR(H1289:AL1289-H1288:AL1288,0))*24)/10,IF(_xlpm.r&gt;1,1,_xlpm.r)))</f>
        <v>25</v>
      </c>
    </row>
    <row r="1290" spans="1:41" hidden="1" x14ac:dyDescent="0.25">
      <c r="A1290">
        <v>1289</v>
      </c>
      <c r="B1290">
        <v>2026</v>
      </c>
      <c r="C1290">
        <v>1</v>
      </c>
      <c r="D1290" t="s">
        <v>492</v>
      </c>
      <c r="E1290">
        <v>102</v>
      </c>
      <c r="F1290">
        <v>6</v>
      </c>
      <c r="G1290" t="s">
        <v>430</v>
      </c>
      <c r="K1290" s="48">
        <v>0.29166666666666669</v>
      </c>
      <c r="L1290" s="48">
        <v>0.29166666666666669</v>
      </c>
      <c r="M1290" s="48">
        <v>0.29166666666666669</v>
      </c>
      <c r="N1290" s="48">
        <v>0.29166666666666669</v>
      </c>
      <c r="O1290" s="48">
        <v>0.29166666666666669</v>
      </c>
      <c r="P1290" s="48">
        <v>0.29166666666666669</v>
      </c>
      <c r="Q1290" s="48">
        <v>0.29166666666666669</v>
      </c>
      <c r="S1290" s="48">
        <v>0.29166666666666669</v>
      </c>
      <c r="T1290" s="48">
        <v>0.29166666666666669</v>
      </c>
      <c r="U1290" s="48">
        <v>0.29166666666666669</v>
      </c>
      <c r="V1290" s="48">
        <v>0.29166666666666669</v>
      </c>
      <c r="W1290" s="48">
        <v>0.29166666666666669</v>
      </c>
      <c r="X1290" s="48">
        <v>0.29166666666666669</v>
      </c>
      <c r="Z1290" s="48">
        <v>0.29166666666666669</v>
      </c>
      <c r="AA1290" s="48">
        <v>0.29166666666666669</v>
      </c>
      <c r="AB1290" s="48">
        <v>0.29166666666666669</v>
      </c>
      <c r="AC1290" s="48">
        <v>0.29166666666666669</v>
      </c>
      <c r="AD1290" s="48">
        <v>0.29166666666666669</v>
      </c>
      <c r="AE1290" s="48">
        <v>0.29166666666666669</v>
      </c>
      <c r="AG1290" s="48">
        <v>0.29166666666666669</v>
      </c>
      <c r="AH1290" s="48">
        <v>0.29166666666666669</v>
      </c>
      <c r="AI1290" s="48">
        <v>0.29166666666666669</v>
      </c>
      <c r="AJ1290" s="48">
        <v>0.29166666666666669</v>
      </c>
      <c r="AK1290" s="48">
        <v>0.29166666666666669</v>
      </c>
      <c r="AL1290" s="48">
        <v>0.29166666666666669</v>
      </c>
    </row>
    <row r="1291" spans="1:41" hidden="1" x14ac:dyDescent="0.25">
      <c r="A1291">
        <v>1290</v>
      </c>
      <c r="B1291">
        <v>2026</v>
      </c>
      <c r="C1291">
        <v>1</v>
      </c>
      <c r="D1291" t="s">
        <v>492</v>
      </c>
      <c r="E1291">
        <v>102</v>
      </c>
      <c r="F1291">
        <v>6</v>
      </c>
      <c r="G1291" t="s">
        <v>431</v>
      </c>
      <c r="K1291" s="48">
        <v>0.75</v>
      </c>
      <c r="L1291" s="48">
        <v>0.75</v>
      </c>
      <c r="M1291" s="48">
        <v>0.75</v>
      </c>
      <c r="N1291" s="48">
        <v>0.75</v>
      </c>
      <c r="O1291" s="48">
        <v>0.75</v>
      </c>
      <c r="P1291" s="48">
        <v>0.75</v>
      </c>
      <c r="Q1291" s="48">
        <v>0.75</v>
      </c>
      <c r="S1291" s="48">
        <v>0.75</v>
      </c>
      <c r="T1291" s="48">
        <v>0.75</v>
      </c>
      <c r="U1291" s="48">
        <v>0.75</v>
      </c>
      <c r="V1291" s="48">
        <v>0.75</v>
      </c>
      <c r="W1291" s="48">
        <v>0.75</v>
      </c>
      <c r="X1291" s="48">
        <v>0.75</v>
      </c>
      <c r="Z1291" s="48">
        <v>0.75</v>
      </c>
      <c r="AA1291" s="48">
        <v>0.75</v>
      </c>
      <c r="AB1291" s="48">
        <v>0.75</v>
      </c>
      <c r="AC1291" s="48">
        <v>0.75</v>
      </c>
      <c r="AD1291" s="48">
        <v>0.75</v>
      </c>
      <c r="AE1291" s="48">
        <v>0.75</v>
      </c>
      <c r="AG1291" s="48">
        <v>0.75</v>
      </c>
      <c r="AH1291" s="48">
        <v>0.75</v>
      </c>
      <c r="AI1291" s="48">
        <v>0.75</v>
      </c>
      <c r="AJ1291" s="48">
        <v>0.75</v>
      </c>
      <c r="AK1291" s="48">
        <v>0.75</v>
      </c>
      <c r="AL1291" s="48">
        <v>0.75</v>
      </c>
      <c r="AM1291" cm="1">
        <f t="array" ref="AM1291">SUM(_xlfn.LET(_xlpm.r,((IFERROR(H1291:AL1291-H1290:AL1290,0))*24)/10,IF(_xlpm.r&gt;1,1,_xlpm.r)))</f>
        <v>25</v>
      </c>
    </row>
    <row r="1292" spans="1:41" hidden="1" x14ac:dyDescent="0.25">
      <c r="A1292">
        <v>1291</v>
      </c>
      <c r="B1292">
        <v>2026</v>
      </c>
      <c r="C1292">
        <v>1</v>
      </c>
      <c r="D1292" t="s">
        <v>493</v>
      </c>
      <c r="E1292">
        <v>102</v>
      </c>
      <c r="F1292">
        <v>6</v>
      </c>
      <c r="G1292" t="s">
        <v>430</v>
      </c>
      <c r="I1292" s="48">
        <v>0.29166666666666669</v>
      </c>
      <c r="J1292" s="48">
        <v>0.29166666666666669</v>
      </c>
      <c r="K1292" s="48">
        <v>0.29166666666666669</v>
      </c>
      <c r="L1292" s="48">
        <v>0.29166666666666669</v>
      </c>
      <c r="M1292" s="48">
        <v>0.29166666666666669</v>
      </c>
      <c r="N1292" s="48">
        <v>0.29166666666666669</v>
      </c>
      <c r="O1292" s="48">
        <v>0.29166666666666669</v>
      </c>
      <c r="P1292" s="48">
        <v>0.29166666666666669</v>
      </c>
      <c r="Q1292" s="48">
        <v>0.29166666666666669</v>
      </c>
      <c r="R1292" s="48">
        <v>0.29166666666666669</v>
      </c>
      <c r="S1292" s="48">
        <v>0.29166666666666669</v>
      </c>
      <c r="T1292" s="48">
        <v>0.29166666666666669</v>
      </c>
      <c r="U1292" s="48">
        <v>0.29166666666666669</v>
      </c>
      <c r="V1292" s="48">
        <v>0.29166666666666669</v>
      </c>
      <c r="W1292" s="48">
        <v>0.29166666666666669</v>
      </c>
      <c r="X1292" s="48">
        <v>0.29166666666666669</v>
      </c>
      <c r="Y1292" s="48">
        <v>0.29166666666666669</v>
      </c>
      <c r="Z1292" s="48">
        <v>0.29166666666666669</v>
      </c>
      <c r="AA1292" s="48">
        <v>0.29166666666666669</v>
      </c>
      <c r="AB1292" s="48">
        <v>0.29166666666666669</v>
      </c>
      <c r="AC1292" s="48">
        <v>0.29166666666666669</v>
      </c>
      <c r="AD1292" s="48">
        <v>0.29166666666666669</v>
      </c>
      <c r="AE1292" s="48">
        <v>0.29166666666666669</v>
      </c>
      <c r="AF1292" s="48">
        <v>0.29166666666666669</v>
      </c>
      <c r="AG1292" s="48">
        <v>0.29166666666666669</v>
      </c>
      <c r="AH1292" s="48">
        <v>0.29166666666666669</v>
      </c>
      <c r="AI1292" s="48">
        <v>0.29166666666666669</v>
      </c>
      <c r="AJ1292" s="48">
        <v>0.29166666666666669</v>
      </c>
      <c r="AK1292" s="48">
        <v>0.29166666666666669</v>
      </c>
      <c r="AL1292" s="48">
        <v>0.29166666666666669</v>
      </c>
    </row>
    <row r="1293" spans="1:41" hidden="1" x14ac:dyDescent="0.25">
      <c r="A1293">
        <v>1292</v>
      </c>
      <c r="B1293">
        <v>2026</v>
      </c>
      <c r="C1293">
        <v>1</v>
      </c>
      <c r="D1293" t="s">
        <v>493</v>
      </c>
      <c r="E1293">
        <v>102</v>
      </c>
      <c r="F1293">
        <v>6</v>
      </c>
      <c r="G1293" t="s">
        <v>431</v>
      </c>
      <c r="H1293" s="48" t="s">
        <v>320</v>
      </c>
      <c r="I1293" s="48">
        <v>0.75</v>
      </c>
      <c r="J1293" s="48">
        <v>0.83333333333333337</v>
      </c>
      <c r="K1293" s="48">
        <v>0.75</v>
      </c>
      <c r="L1293" s="48">
        <v>0.875</v>
      </c>
      <c r="M1293" s="48">
        <v>0.75</v>
      </c>
      <c r="N1293" s="48">
        <v>0.83333333333333337</v>
      </c>
      <c r="O1293" s="48">
        <v>0.75</v>
      </c>
      <c r="P1293" s="48">
        <v>0.83333333333333337</v>
      </c>
      <c r="Q1293" s="48">
        <v>0.75</v>
      </c>
      <c r="R1293" s="48">
        <v>0.83333333333333337</v>
      </c>
      <c r="S1293" s="48">
        <v>0.75</v>
      </c>
      <c r="T1293" s="48">
        <v>0.75</v>
      </c>
      <c r="U1293" s="48">
        <v>0.83333333333333337</v>
      </c>
      <c r="V1293" s="48">
        <v>0.75</v>
      </c>
      <c r="W1293" s="48">
        <v>0.83333333333333337</v>
      </c>
      <c r="X1293" s="48">
        <v>0.75</v>
      </c>
      <c r="Y1293" s="48">
        <v>0.875</v>
      </c>
      <c r="Z1293" s="48">
        <v>0.75</v>
      </c>
      <c r="AA1293" s="48">
        <v>0.83333333333333337</v>
      </c>
      <c r="AB1293" s="48">
        <v>0.75</v>
      </c>
      <c r="AC1293" s="48">
        <v>0.79166666666666663</v>
      </c>
      <c r="AD1293" s="48">
        <v>0.75</v>
      </c>
      <c r="AE1293" s="48">
        <v>0.75</v>
      </c>
      <c r="AF1293" s="48">
        <v>0.75</v>
      </c>
      <c r="AG1293" s="48">
        <v>0.75</v>
      </c>
      <c r="AH1293" s="48">
        <v>0.75</v>
      </c>
      <c r="AI1293" s="48">
        <v>0.75</v>
      </c>
      <c r="AJ1293" s="48">
        <v>0.75</v>
      </c>
      <c r="AK1293" s="48">
        <v>0.75</v>
      </c>
      <c r="AL1293" s="48">
        <v>0.75</v>
      </c>
      <c r="AM1293" cm="1">
        <f t="array" ref="AM1293">SUM(_xlfn.LET(_xlpm.r,((IFERROR(H1293:AL1293-H1292:AL1292,0))*24)/10,IF(_xlpm.r&gt;1,1,_xlpm.r)))</f>
        <v>30</v>
      </c>
      <c r="AO1293" cm="1">
        <f t="array" ref="AO1293">SUM(IFERROR(MOD((H1293:AL1293-H1292:AL1292)*24,11),""))</f>
        <v>21.000000000000007</v>
      </c>
    </row>
    <row r="1294" spans="1:41" hidden="1" x14ac:dyDescent="0.25">
      <c r="A1294">
        <v>1293</v>
      </c>
      <c r="B1294">
        <v>2026</v>
      </c>
      <c r="C1294">
        <v>1</v>
      </c>
      <c r="D1294" t="s">
        <v>703</v>
      </c>
      <c r="E1294">
        <v>163</v>
      </c>
      <c r="F1294">
        <v>1</v>
      </c>
      <c r="G1294" t="s">
        <v>430</v>
      </c>
      <c r="T1294" s="48">
        <v>0.29166666666666669</v>
      </c>
      <c r="U1294" s="48">
        <v>0.29166666666666669</v>
      </c>
      <c r="V1294" s="48">
        <v>0.29166666666666669</v>
      </c>
      <c r="W1294" s="48">
        <v>0.29166666666666669</v>
      </c>
      <c r="X1294" s="48">
        <v>0.29166666666666669</v>
      </c>
      <c r="Y1294" s="48">
        <v>0.29166666666666669</v>
      </c>
      <c r="Z1294" s="48">
        <v>0.29166666666666669</v>
      </c>
      <c r="AA1294" s="48">
        <v>0.29166666666666669</v>
      </c>
      <c r="AB1294" s="48">
        <v>0.29166666666666669</v>
      </c>
      <c r="AC1294" s="48">
        <v>0.29166666666666669</v>
      </c>
      <c r="AD1294" s="48">
        <v>0.29166666666666669</v>
      </c>
      <c r="AE1294" s="48">
        <v>0.29166666666666669</v>
      </c>
      <c r="AK1294" s="48">
        <v>0.29166666666666669</v>
      </c>
      <c r="AL1294" s="48">
        <v>0.29166666666666669</v>
      </c>
    </row>
    <row r="1295" spans="1:41" hidden="1" x14ac:dyDescent="0.25">
      <c r="A1295">
        <v>1294</v>
      </c>
      <c r="B1295">
        <v>2026</v>
      </c>
      <c r="C1295">
        <v>1</v>
      </c>
      <c r="D1295" t="s">
        <v>703</v>
      </c>
      <c r="E1295">
        <v>163</v>
      </c>
      <c r="F1295">
        <v>1</v>
      </c>
      <c r="G1295" t="s">
        <v>431</v>
      </c>
      <c r="T1295" s="48">
        <v>0.75</v>
      </c>
      <c r="U1295" s="48">
        <v>0.75</v>
      </c>
      <c r="V1295" s="48">
        <v>0.75</v>
      </c>
      <c r="W1295" s="48">
        <v>0.75</v>
      </c>
      <c r="X1295" s="48">
        <v>0.75</v>
      </c>
      <c r="Y1295" s="48">
        <v>0.75</v>
      </c>
      <c r="Z1295" s="48">
        <v>0.75</v>
      </c>
      <c r="AA1295" s="48">
        <v>0.75</v>
      </c>
      <c r="AB1295" s="48">
        <v>0.75</v>
      </c>
      <c r="AC1295" s="48">
        <v>0.75</v>
      </c>
      <c r="AD1295" s="48">
        <v>0.75</v>
      </c>
      <c r="AE1295" s="48">
        <v>0.75</v>
      </c>
      <c r="AK1295" s="48">
        <v>0.75</v>
      </c>
      <c r="AL1295" s="48">
        <v>0.75</v>
      </c>
      <c r="AM1295" cm="1">
        <f t="array" ref="AM1295">SUM(_xlfn.LET(_xlpm.r,((IFERROR(H1295:AL1295-H1294:AL1294,0))*24)/10,IF(_xlpm.r&gt;1,1,_xlpm.r)))</f>
        <v>14</v>
      </c>
    </row>
    <row r="1296" spans="1:41" hidden="1" x14ac:dyDescent="0.25">
      <c r="A1296">
        <v>1295</v>
      </c>
      <c r="B1296">
        <v>2026</v>
      </c>
      <c r="C1296">
        <v>1</v>
      </c>
      <c r="D1296" t="s">
        <v>151</v>
      </c>
      <c r="E1296">
        <v>31</v>
      </c>
      <c r="F1296">
        <v>12</v>
      </c>
      <c r="G1296" t="s">
        <v>432</v>
      </c>
      <c r="H1296" s="48">
        <v>286249</v>
      </c>
      <c r="I1296" s="48">
        <v>286332</v>
      </c>
      <c r="J1296" s="48">
        <v>286392</v>
      </c>
      <c r="K1296" s="48">
        <v>286483</v>
      </c>
      <c r="L1296" s="48">
        <v>286590</v>
      </c>
      <c r="M1296" s="48">
        <v>286682</v>
      </c>
      <c r="N1296" s="48">
        <v>286824</v>
      </c>
      <c r="O1296" s="48">
        <v>286987</v>
      </c>
      <c r="P1296" s="48">
        <v>287091</v>
      </c>
      <c r="Q1296" s="48">
        <v>287193</v>
      </c>
      <c r="R1296" s="48">
        <v>287262</v>
      </c>
      <c r="S1296" s="48">
        <v>287342</v>
      </c>
      <c r="T1296" s="48">
        <v>287412</v>
      </c>
      <c r="U1296" s="48">
        <v>287621</v>
      </c>
      <c r="V1296" s="48">
        <v>287712</v>
      </c>
      <c r="W1296" s="48">
        <v>287792</v>
      </c>
      <c r="X1296" s="48">
        <v>287863</v>
      </c>
      <c r="Y1296" s="48">
        <v>287945</v>
      </c>
      <c r="Z1296" s="48">
        <v>288013</v>
      </c>
      <c r="AA1296" s="48">
        <v>288112</v>
      </c>
      <c r="AB1296" s="48">
        <v>288241</v>
      </c>
      <c r="AC1296" s="48">
        <v>288362</v>
      </c>
      <c r="AD1296" s="48">
        <v>288446</v>
      </c>
      <c r="AE1296" s="48">
        <v>288593</v>
      </c>
      <c r="AF1296" s="48">
        <v>288702</v>
      </c>
      <c r="AG1296" s="48">
        <v>288851</v>
      </c>
      <c r="AH1296" s="48">
        <v>288991</v>
      </c>
      <c r="AI1296" s="48">
        <v>289132</v>
      </c>
      <c r="AJ1296" s="48">
        <v>289241</v>
      </c>
      <c r="AK1296" s="48">
        <v>289415</v>
      </c>
      <c r="AL1296" s="48">
        <v>289584</v>
      </c>
    </row>
    <row r="1297" spans="1:45" hidden="1" x14ac:dyDescent="0.25">
      <c r="A1297">
        <v>1296</v>
      </c>
      <c r="B1297">
        <v>2026</v>
      </c>
      <c r="C1297">
        <v>1</v>
      </c>
      <c r="D1297" t="s">
        <v>151</v>
      </c>
      <c r="E1297">
        <v>31</v>
      </c>
      <c r="F1297">
        <v>12</v>
      </c>
      <c r="G1297" t="s">
        <v>433</v>
      </c>
      <c r="H1297" s="48">
        <v>286301</v>
      </c>
      <c r="I1297" s="48">
        <v>286357</v>
      </c>
      <c r="J1297" s="48">
        <v>286451</v>
      </c>
      <c r="K1297" s="48">
        <v>286531</v>
      </c>
      <c r="L1297" s="48">
        <v>286631</v>
      </c>
      <c r="M1297" s="48">
        <v>286725</v>
      </c>
      <c r="N1297" s="48">
        <v>286941</v>
      </c>
      <c r="O1297" s="48">
        <v>287035</v>
      </c>
      <c r="P1297" s="48">
        <v>287145</v>
      </c>
      <c r="Q1297" s="48">
        <v>287235</v>
      </c>
      <c r="R1297" s="48">
        <v>287311</v>
      </c>
      <c r="S1297" s="48">
        <v>287381</v>
      </c>
      <c r="T1297" s="48">
        <v>287596</v>
      </c>
      <c r="U1297" s="48">
        <v>287653</v>
      </c>
      <c r="V1297" s="48">
        <v>287761</v>
      </c>
      <c r="W1297" s="48">
        <v>287822</v>
      </c>
      <c r="X1297" s="48">
        <v>287912</v>
      </c>
      <c r="Y1297" s="48">
        <v>287958</v>
      </c>
      <c r="Z1297" s="48">
        <v>288065</v>
      </c>
      <c r="AA1297" s="48">
        <v>288193</v>
      </c>
      <c r="AB1297" s="48">
        <v>288320</v>
      </c>
      <c r="AC1297" s="48">
        <v>288387</v>
      </c>
      <c r="AD1297" s="48">
        <v>288524</v>
      </c>
      <c r="AE1297" s="48">
        <v>288647</v>
      </c>
      <c r="AF1297" s="48">
        <v>288769</v>
      </c>
      <c r="AG1297" s="48">
        <v>288924</v>
      </c>
      <c r="AH1297" s="48">
        <v>289065</v>
      </c>
      <c r="AI1297" s="48">
        <v>289198</v>
      </c>
      <c r="AJ1297" s="48">
        <v>289362</v>
      </c>
      <c r="AK1297" s="48">
        <v>289521</v>
      </c>
      <c r="AL1297" s="48">
        <v>289642</v>
      </c>
      <c r="AP1297" cm="1">
        <f t="array" ref="AP1297">IF(AQ1297="","",SUM(IFERROR(H1297:AL1297-H1296:AL1296,0))*AQ1297/100)</f>
        <v>286.2</v>
      </c>
      <c r="AQ1297">
        <f>_xlfn.XLOOKUP(D1297,log_prices!M:M,log_prices!L:L,,0)</f>
        <v>15</v>
      </c>
      <c r="AS1297" cm="1">
        <f t="array" ref="AS1297">IF(AQ1297="","",SUM(IFERROR(H1297:AL1297-H1296:AL1296,0)))</f>
        <v>1908</v>
      </c>
    </row>
    <row r="1298" spans="1:45" hidden="1" x14ac:dyDescent="0.25">
      <c r="A1298">
        <v>1297</v>
      </c>
      <c r="B1298">
        <v>2026</v>
      </c>
      <c r="C1298">
        <v>1</v>
      </c>
      <c r="D1298" t="s">
        <v>151</v>
      </c>
      <c r="E1298">
        <v>31</v>
      </c>
      <c r="F1298">
        <v>12</v>
      </c>
      <c r="G1298" t="s">
        <v>439</v>
      </c>
      <c r="H1298" s="48">
        <v>286301</v>
      </c>
      <c r="I1298" s="48">
        <v>286357</v>
      </c>
      <c r="J1298" s="48">
        <v>286451</v>
      </c>
      <c r="K1298" s="48">
        <v>286531</v>
      </c>
      <c r="L1298" s="48">
        <v>286631</v>
      </c>
      <c r="M1298" s="48">
        <v>286725</v>
      </c>
      <c r="N1298" s="48">
        <v>286941</v>
      </c>
      <c r="O1298" s="48">
        <v>287035</v>
      </c>
      <c r="P1298" s="48">
        <v>287145</v>
      </c>
      <c r="Q1298" s="48">
        <v>287235</v>
      </c>
      <c r="R1298" s="48">
        <v>287311</v>
      </c>
      <c r="S1298" s="48">
        <v>287381</v>
      </c>
      <c r="T1298" s="48">
        <v>287596</v>
      </c>
      <c r="U1298" s="48">
        <v>287653</v>
      </c>
      <c r="V1298" s="48">
        <v>287761</v>
      </c>
      <c r="W1298" s="48">
        <v>287822</v>
      </c>
      <c r="X1298" s="48">
        <v>287912</v>
      </c>
      <c r="Y1298" s="48">
        <v>287958</v>
      </c>
      <c r="Z1298" s="48">
        <v>288065</v>
      </c>
      <c r="AA1298" s="48">
        <v>288193</v>
      </c>
      <c r="AB1298" s="48">
        <v>288320</v>
      </c>
      <c r="AC1298" s="48">
        <v>288387</v>
      </c>
      <c r="AD1298" s="48">
        <v>288524</v>
      </c>
      <c r="AE1298" s="48">
        <v>288647</v>
      </c>
      <c r="AF1298" s="48">
        <v>288769</v>
      </c>
      <c r="AG1298" s="48">
        <v>288924</v>
      </c>
      <c r="AH1298" s="48">
        <v>289065</v>
      </c>
      <c r="AI1298" s="48">
        <v>289198</v>
      </c>
      <c r="AJ1298" s="48">
        <v>289362</v>
      </c>
      <c r="AK1298" s="48">
        <v>289521</v>
      </c>
      <c r="AL1298" s="48">
        <v>289642</v>
      </c>
    </row>
    <row r="1299" spans="1:45" hidden="1" x14ac:dyDescent="0.25">
      <c r="A1299">
        <v>1298</v>
      </c>
      <c r="B1299">
        <v>2026</v>
      </c>
      <c r="C1299">
        <v>1</v>
      </c>
      <c r="D1299" t="s">
        <v>151</v>
      </c>
      <c r="E1299">
        <v>31</v>
      </c>
      <c r="F1299">
        <v>12</v>
      </c>
      <c r="G1299" t="s">
        <v>440</v>
      </c>
      <c r="H1299" s="48">
        <v>286332</v>
      </c>
      <c r="I1299" s="48">
        <v>286392</v>
      </c>
      <c r="J1299" s="48">
        <v>286483</v>
      </c>
      <c r="K1299" s="48">
        <v>286590</v>
      </c>
      <c r="L1299" s="48">
        <v>286682</v>
      </c>
      <c r="M1299" s="48">
        <v>286824</v>
      </c>
      <c r="N1299" s="48">
        <v>286987</v>
      </c>
      <c r="O1299" s="48">
        <v>287091</v>
      </c>
      <c r="P1299" s="48">
        <v>287193</v>
      </c>
      <c r="Q1299" s="48">
        <v>287262</v>
      </c>
      <c r="R1299" s="48">
        <v>287342</v>
      </c>
      <c r="S1299" s="48">
        <v>287412</v>
      </c>
      <c r="T1299" s="48">
        <v>287621</v>
      </c>
      <c r="U1299" s="48">
        <v>287712</v>
      </c>
      <c r="V1299" s="48">
        <v>287792</v>
      </c>
      <c r="W1299" s="48">
        <v>287863</v>
      </c>
      <c r="X1299" s="48">
        <v>287945</v>
      </c>
      <c r="Y1299" s="48">
        <v>288013</v>
      </c>
      <c r="Z1299" s="48">
        <v>288112</v>
      </c>
      <c r="AA1299" s="48">
        <v>288241</v>
      </c>
      <c r="AB1299" s="48">
        <v>288362</v>
      </c>
      <c r="AC1299" s="48">
        <v>288446</v>
      </c>
      <c r="AD1299" s="48">
        <v>288593</v>
      </c>
      <c r="AE1299" s="48">
        <v>288702</v>
      </c>
      <c r="AF1299" s="48">
        <v>288851</v>
      </c>
      <c r="AG1299" s="48">
        <v>288991</v>
      </c>
      <c r="AH1299" s="48">
        <v>289132</v>
      </c>
      <c r="AI1299" s="48">
        <v>289241</v>
      </c>
      <c r="AJ1299" s="48">
        <v>289415</v>
      </c>
      <c r="AK1299" s="48">
        <v>289584</v>
      </c>
      <c r="AL1299" s="48">
        <v>289711</v>
      </c>
      <c r="AP1299" cm="1">
        <f t="array" ref="AP1299">IF(AQ1299="","",SUM(IFERROR(H1299:AL1299-H1298:AL1298,0))*AQ1299/100)</f>
        <v>233.1</v>
      </c>
      <c r="AQ1299">
        <f>_xlfn.XLOOKUP(D1299,log_prices!M:M,log_prices!L:L,,0)</f>
        <v>15</v>
      </c>
      <c r="AS1299" cm="1">
        <f t="array" ref="AS1299">IF(AQ1299="","",SUM(IFERROR(H1299:AL1299-H1298:AL1298,0)))</f>
        <v>1554</v>
      </c>
    </row>
    <row r="1300" spans="1:45" hidden="1" x14ac:dyDescent="0.25">
      <c r="A1300">
        <v>1299</v>
      </c>
      <c r="B1300">
        <v>2026</v>
      </c>
      <c r="C1300">
        <v>1</v>
      </c>
      <c r="D1300" t="s">
        <v>151</v>
      </c>
      <c r="E1300">
        <v>31</v>
      </c>
      <c r="F1300">
        <v>12</v>
      </c>
      <c r="G1300" t="s">
        <v>430</v>
      </c>
      <c r="H1300" s="48">
        <v>46023.291666666664</v>
      </c>
      <c r="I1300" s="48">
        <v>46024.291666666664</v>
      </c>
      <c r="J1300" s="48">
        <v>46025.291666666664</v>
      </c>
      <c r="K1300" s="48">
        <v>46026.291666666664</v>
      </c>
      <c r="L1300" s="48">
        <v>46027.291666666664</v>
      </c>
      <c r="M1300" s="48">
        <v>46028.291666666664</v>
      </c>
      <c r="N1300" s="48">
        <v>46029.291666666664</v>
      </c>
      <c r="O1300" s="48">
        <v>46030.291666666664</v>
      </c>
      <c r="P1300" s="48">
        <v>46031.291666666664</v>
      </c>
      <c r="Q1300" s="48">
        <v>46032.291666666664</v>
      </c>
      <c r="R1300" s="48">
        <v>46033.291666666664</v>
      </c>
      <c r="S1300" s="48">
        <v>46034.291666666664</v>
      </c>
      <c r="T1300" s="48">
        <v>46035.291666666664</v>
      </c>
      <c r="U1300" s="48">
        <v>46036.291666666664</v>
      </c>
      <c r="V1300" s="48">
        <v>46037.291666666664</v>
      </c>
      <c r="W1300" s="48">
        <v>46038.291666666664</v>
      </c>
      <c r="X1300" s="48">
        <v>46039.291666666664</v>
      </c>
      <c r="Y1300" s="48">
        <v>46040.291666666664</v>
      </c>
      <c r="Z1300" s="48">
        <v>46041.291666666664</v>
      </c>
      <c r="AA1300" s="48">
        <v>46042.291666666664</v>
      </c>
      <c r="AB1300" s="48">
        <v>46043.291666666664</v>
      </c>
      <c r="AC1300" s="48">
        <v>46044.291666666664</v>
      </c>
      <c r="AD1300" s="48">
        <v>46045.291666666664</v>
      </c>
      <c r="AE1300" s="48">
        <v>46046.291666666664</v>
      </c>
      <c r="AF1300" s="48">
        <v>46047.291666666664</v>
      </c>
      <c r="AG1300" s="48">
        <v>46048.291666666664</v>
      </c>
      <c r="AH1300" s="48">
        <v>46049.291666666664</v>
      </c>
      <c r="AI1300" s="48">
        <v>46050.291666666664</v>
      </c>
      <c r="AJ1300" s="48">
        <v>46051.291666666664</v>
      </c>
      <c r="AK1300" s="48">
        <v>46052.291666666664</v>
      </c>
      <c r="AL1300" s="48">
        <v>46053.291666666664</v>
      </c>
    </row>
    <row r="1301" spans="1:45" hidden="1" x14ac:dyDescent="0.25">
      <c r="A1301">
        <v>1300</v>
      </c>
      <c r="B1301">
        <v>2026</v>
      </c>
      <c r="C1301">
        <v>1</v>
      </c>
      <c r="D1301" t="s">
        <v>151</v>
      </c>
      <c r="E1301">
        <v>31</v>
      </c>
      <c r="F1301">
        <v>12</v>
      </c>
      <c r="G1301" t="s">
        <v>431</v>
      </c>
      <c r="H1301" s="48">
        <v>46024.25</v>
      </c>
      <c r="I1301" s="48">
        <v>46025.25</v>
      </c>
      <c r="J1301" s="48">
        <v>46026.25</v>
      </c>
      <c r="K1301" s="48">
        <v>46027.25</v>
      </c>
      <c r="L1301" s="48">
        <v>46028.25</v>
      </c>
      <c r="M1301" s="48">
        <v>46029.25</v>
      </c>
      <c r="N1301" s="48">
        <v>46030.25</v>
      </c>
      <c r="O1301" s="48">
        <v>46031.25</v>
      </c>
      <c r="P1301" s="48">
        <v>46032.25</v>
      </c>
      <c r="Q1301" s="48">
        <v>46033.25</v>
      </c>
      <c r="R1301" s="48">
        <v>46034.25</v>
      </c>
      <c r="S1301" s="48">
        <v>46035.25</v>
      </c>
      <c r="T1301" s="48">
        <v>46036.25</v>
      </c>
      <c r="U1301" s="48">
        <v>46037.25</v>
      </c>
      <c r="V1301" s="48">
        <v>46038.25</v>
      </c>
      <c r="W1301" s="48">
        <v>46039.25</v>
      </c>
      <c r="X1301" s="48">
        <v>46040.25</v>
      </c>
      <c r="Y1301" s="48">
        <v>46041.25</v>
      </c>
      <c r="Z1301" s="48">
        <v>46042.25</v>
      </c>
      <c r="AA1301" s="48">
        <v>46043.25</v>
      </c>
      <c r="AB1301" s="48">
        <v>46044.25</v>
      </c>
      <c r="AC1301" s="48">
        <v>46045.25</v>
      </c>
      <c r="AD1301" s="48">
        <v>46046.25</v>
      </c>
      <c r="AE1301" s="48">
        <v>46047.25</v>
      </c>
      <c r="AF1301" s="48">
        <v>46048.25</v>
      </c>
      <c r="AG1301" s="48">
        <v>46049.25</v>
      </c>
      <c r="AH1301" s="48">
        <v>46050.25</v>
      </c>
      <c r="AI1301" s="48">
        <v>46051.25</v>
      </c>
      <c r="AJ1301" s="48">
        <v>46052.25</v>
      </c>
      <c r="AK1301" s="48">
        <v>46053.25</v>
      </c>
      <c r="AL1301" s="48">
        <v>46054.25</v>
      </c>
      <c r="AN1301" cm="1">
        <f t="array" ref="AN1301">SUM((H1301:AL1301-H1300:AL1300)*24)/23</f>
        <v>31.000000000078455</v>
      </c>
    </row>
    <row r="1302" spans="1:45" hidden="1" x14ac:dyDescent="0.25">
      <c r="A1302">
        <v>1301</v>
      </c>
      <c r="B1302">
        <v>2026</v>
      </c>
      <c r="C1302">
        <v>1</v>
      </c>
      <c r="D1302" t="s">
        <v>184</v>
      </c>
      <c r="E1302">
        <v>31</v>
      </c>
      <c r="F1302">
        <v>12</v>
      </c>
      <c r="G1302" t="s">
        <v>430</v>
      </c>
      <c r="H1302" s="48" t="s">
        <v>320</v>
      </c>
      <c r="I1302" s="48" t="s">
        <v>375</v>
      </c>
      <c r="J1302" s="48" t="s">
        <v>375</v>
      </c>
      <c r="K1302" s="48" t="s">
        <v>375</v>
      </c>
      <c r="L1302" s="48" t="s">
        <v>375</v>
      </c>
      <c r="M1302" s="48" t="s">
        <v>375</v>
      </c>
      <c r="N1302" s="48" t="s">
        <v>375</v>
      </c>
      <c r="O1302" s="48" t="s">
        <v>375</v>
      </c>
      <c r="P1302" s="48" t="s">
        <v>375</v>
      </c>
      <c r="Q1302" s="48" t="s">
        <v>375</v>
      </c>
      <c r="R1302" s="48" t="s">
        <v>375</v>
      </c>
      <c r="S1302" s="48" t="s">
        <v>375</v>
      </c>
      <c r="T1302" s="48" t="s">
        <v>375</v>
      </c>
      <c r="U1302" s="48" t="s">
        <v>375</v>
      </c>
      <c r="V1302" s="48" t="s">
        <v>375</v>
      </c>
      <c r="W1302" s="48" t="s">
        <v>375</v>
      </c>
      <c r="X1302" s="48" t="s">
        <v>375</v>
      </c>
      <c r="Y1302" s="48" t="s">
        <v>375</v>
      </c>
      <c r="Z1302" s="48" t="s">
        <v>375</v>
      </c>
      <c r="AA1302" s="48" t="s">
        <v>375</v>
      </c>
      <c r="AB1302" s="48" t="s">
        <v>375</v>
      </c>
      <c r="AC1302" s="48" t="s">
        <v>375</v>
      </c>
      <c r="AD1302" s="48" t="s">
        <v>375</v>
      </c>
      <c r="AE1302" s="48" t="s">
        <v>375</v>
      </c>
      <c r="AF1302" s="48" t="s">
        <v>375</v>
      </c>
      <c r="AG1302" s="48" t="s">
        <v>375</v>
      </c>
      <c r="AH1302" s="48" t="s">
        <v>375</v>
      </c>
      <c r="AI1302" s="48" t="s">
        <v>375</v>
      </c>
      <c r="AJ1302" s="48" t="s">
        <v>375</v>
      </c>
      <c r="AK1302" s="48" t="s">
        <v>375</v>
      </c>
      <c r="AL1302" s="48" t="s">
        <v>375</v>
      </c>
    </row>
    <row r="1303" spans="1:45" hidden="1" x14ac:dyDescent="0.25">
      <c r="A1303">
        <v>1302</v>
      </c>
      <c r="B1303">
        <v>2026</v>
      </c>
      <c r="C1303">
        <v>1</v>
      </c>
      <c r="D1303" t="s">
        <v>184</v>
      </c>
      <c r="E1303">
        <v>31</v>
      </c>
      <c r="F1303">
        <v>12</v>
      </c>
      <c r="G1303" t="s">
        <v>431</v>
      </c>
      <c r="H1303" s="48" t="s">
        <v>320</v>
      </c>
      <c r="I1303" s="48">
        <v>0.75</v>
      </c>
      <c r="J1303" s="48">
        <v>0.75</v>
      </c>
      <c r="K1303" s="48">
        <v>0.75</v>
      </c>
      <c r="L1303" s="48">
        <v>0.75</v>
      </c>
      <c r="M1303" s="48">
        <v>0.75</v>
      </c>
      <c r="N1303" s="48">
        <v>0.75</v>
      </c>
      <c r="O1303" s="48">
        <v>0.95833333333333326</v>
      </c>
      <c r="P1303" s="48">
        <v>0.75</v>
      </c>
      <c r="Q1303" s="48">
        <v>0.75</v>
      </c>
      <c r="R1303" s="48">
        <v>0.875</v>
      </c>
      <c r="S1303" s="48">
        <v>0.75</v>
      </c>
      <c r="T1303" s="48">
        <v>0.75</v>
      </c>
      <c r="U1303" s="48">
        <v>0.75</v>
      </c>
      <c r="V1303" s="48">
        <v>0.75</v>
      </c>
      <c r="W1303" s="48">
        <v>0.75</v>
      </c>
      <c r="X1303" s="48">
        <v>0.75</v>
      </c>
      <c r="Y1303" s="48">
        <v>0.75</v>
      </c>
      <c r="Z1303" s="48">
        <v>0.75</v>
      </c>
      <c r="AA1303" s="48">
        <v>0.75</v>
      </c>
      <c r="AB1303" s="48">
        <v>0.75</v>
      </c>
      <c r="AC1303" s="48">
        <v>0.75</v>
      </c>
      <c r="AD1303" s="48">
        <v>0.75</v>
      </c>
      <c r="AE1303" s="48">
        <v>1</v>
      </c>
      <c r="AF1303" s="48">
        <v>0.91666666666666674</v>
      </c>
      <c r="AG1303" s="48">
        <v>0.75</v>
      </c>
      <c r="AH1303" s="48">
        <v>0.75</v>
      </c>
      <c r="AI1303" s="48">
        <v>0.75</v>
      </c>
      <c r="AJ1303" s="48">
        <v>0.75</v>
      </c>
      <c r="AK1303" s="48">
        <v>0.75</v>
      </c>
      <c r="AL1303" s="48">
        <v>0.75</v>
      </c>
      <c r="AM1303" cm="1">
        <f t="array" ref="AM1303">SUM(_xlfn.LET(_xlpm.r,((IFERROR(H1303:AL1303-H1302:AL1302,0))*24)/10,IF(_xlpm.r&gt;1,1,_xlpm.r)))</f>
        <v>30</v>
      </c>
      <c r="AO1303" cm="1">
        <f t="array" ref="AO1303">SUM(IFERROR(MOD((H1303:AL1303-H1302:AL1302)*24,11),""))</f>
        <v>17.999999999999993</v>
      </c>
    </row>
    <row r="1304" spans="1:45" hidden="1" x14ac:dyDescent="0.25">
      <c r="A1304">
        <v>1303</v>
      </c>
      <c r="B1304">
        <v>2026</v>
      </c>
      <c r="C1304">
        <v>1</v>
      </c>
      <c r="D1304" t="s">
        <v>155</v>
      </c>
      <c r="E1304">
        <v>31</v>
      </c>
      <c r="F1304">
        <v>12</v>
      </c>
      <c r="G1304" t="s">
        <v>430</v>
      </c>
      <c r="H1304" s="48" t="s">
        <v>320</v>
      </c>
      <c r="I1304" s="48" t="s">
        <v>377</v>
      </c>
      <c r="J1304" s="48" t="s">
        <v>377</v>
      </c>
      <c r="K1304" s="48" t="s">
        <v>377</v>
      </c>
      <c r="L1304" s="48" t="s">
        <v>377</v>
      </c>
      <c r="M1304" s="48" t="s">
        <v>377</v>
      </c>
      <c r="N1304" s="48" t="s">
        <v>377</v>
      </c>
      <c r="O1304" s="48" t="s">
        <v>377</v>
      </c>
      <c r="P1304" s="48" t="s">
        <v>377</v>
      </c>
      <c r="Q1304" s="48" t="s">
        <v>377</v>
      </c>
      <c r="R1304" s="48" t="s">
        <v>377</v>
      </c>
      <c r="S1304" s="48" t="s">
        <v>377</v>
      </c>
      <c r="T1304" s="48" t="s">
        <v>377</v>
      </c>
      <c r="U1304" s="48" t="s">
        <v>377</v>
      </c>
      <c r="V1304" s="48" t="s">
        <v>377</v>
      </c>
      <c r="W1304" s="48" t="s">
        <v>377</v>
      </c>
      <c r="X1304" s="48" t="s">
        <v>377</v>
      </c>
      <c r="Y1304" s="48" t="s">
        <v>377</v>
      </c>
      <c r="Z1304" s="48" t="s">
        <v>377</v>
      </c>
      <c r="AA1304" s="48" t="s">
        <v>377</v>
      </c>
      <c r="AB1304" s="48" t="s">
        <v>377</v>
      </c>
      <c r="AC1304" s="48" t="s">
        <v>377</v>
      </c>
      <c r="AD1304" s="48" t="s">
        <v>377</v>
      </c>
      <c r="AE1304" s="48" t="s">
        <v>377</v>
      </c>
      <c r="AF1304" s="48" t="s">
        <v>377</v>
      </c>
      <c r="AG1304" s="48" t="s">
        <v>377</v>
      </c>
      <c r="AH1304" s="48" t="s">
        <v>377</v>
      </c>
      <c r="AI1304" s="48" t="s">
        <v>377</v>
      </c>
      <c r="AJ1304" s="48" t="s">
        <v>377</v>
      </c>
      <c r="AK1304" s="48" t="s">
        <v>377</v>
      </c>
      <c r="AL1304" s="48" t="s">
        <v>377</v>
      </c>
    </row>
    <row r="1305" spans="1:45" hidden="1" x14ac:dyDescent="0.25">
      <c r="A1305">
        <v>1304</v>
      </c>
      <c r="B1305">
        <v>2026</v>
      </c>
      <c r="C1305">
        <v>1</v>
      </c>
      <c r="D1305" t="s">
        <v>155</v>
      </c>
      <c r="E1305">
        <v>31</v>
      </c>
      <c r="F1305">
        <v>12</v>
      </c>
      <c r="G1305" t="s">
        <v>431</v>
      </c>
      <c r="H1305" s="48" t="s">
        <v>320</v>
      </c>
      <c r="I1305" s="48">
        <v>0.77083333333333326</v>
      </c>
      <c r="J1305" s="48">
        <v>0.77083333333333326</v>
      </c>
      <c r="K1305" s="48">
        <v>0.77083333333333326</v>
      </c>
      <c r="L1305" s="48">
        <v>0.8125</v>
      </c>
      <c r="M1305" s="48">
        <v>0.85416666666666663</v>
      </c>
      <c r="N1305" s="48">
        <v>0.8125</v>
      </c>
      <c r="O1305" s="48">
        <v>0.85416666666666663</v>
      </c>
      <c r="P1305" s="48">
        <v>0.85416666666666663</v>
      </c>
      <c r="Q1305" s="48">
        <v>0.8125</v>
      </c>
      <c r="R1305" s="48">
        <v>0.77083333333333326</v>
      </c>
      <c r="S1305" s="48">
        <v>0.77083333333333326</v>
      </c>
      <c r="T1305" s="48">
        <v>0.85416666666666663</v>
      </c>
      <c r="U1305" s="48">
        <v>0.77083333333333326</v>
      </c>
      <c r="V1305" s="48">
        <v>0.85416666666666663</v>
      </c>
      <c r="W1305" s="48">
        <v>0.85416666666666663</v>
      </c>
      <c r="X1305" s="48">
        <v>0.77083333333333326</v>
      </c>
      <c r="Y1305" s="48">
        <v>0.77083333333333326</v>
      </c>
      <c r="Z1305" s="48">
        <v>0.8125</v>
      </c>
      <c r="AA1305" s="48">
        <v>0.77083333333333326</v>
      </c>
      <c r="AB1305" s="48">
        <v>0.8125</v>
      </c>
      <c r="AC1305" s="48">
        <v>0.85416666666666663</v>
      </c>
      <c r="AD1305" s="48">
        <v>0.85416666666666663</v>
      </c>
      <c r="AE1305" s="48">
        <v>0.8125</v>
      </c>
      <c r="AF1305" s="48">
        <v>0.77083333333333326</v>
      </c>
      <c r="AG1305" s="48">
        <v>0.85416666666666663</v>
      </c>
      <c r="AH1305" s="48">
        <v>0.77083333333333326</v>
      </c>
      <c r="AI1305" s="48">
        <v>0.85416666666666663</v>
      </c>
      <c r="AJ1305" s="48">
        <v>0.85416666666666663</v>
      </c>
      <c r="AK1305" s="48">
        <v>0.77083333333333326</v>
      </c>
      <c r="AL1305" s="48">
        <v>0.77083333333333326</v>
      </c>
      <c r="AM1305" cm="1">
        <f t="array" ref="AM1305">SUM(_xlfn.LET(_xlpm.r,((IFERROR(H1305:AL1305-H1304:AL1304,0))*24)/10,IF(_xlpm.r&gt;1,1,_xlpm.r)))</f>
        <v>30</v>
      </c>
      <c r="AO1305" cm="1">
        <f t="array" ref="AO1305">SUM(IFERROR(MOD((H1305:AL1305-H1304:AL1304)*24,11),""))</f>
        <v>88</v>
      </c>
    </row>
    <row r="1306" spans="1:45" hidden="1" x14ac:dyDescent="0.25">
      <c r="A1306">
        <v>1305</v>
      </c>
      <c r="B1306">
        <v>2026</v>
      </c>
      <c r="C1306">
        <v>1</v>
      </c>
      <c r="D1306" t="s">
        <v>180</v>
      </c>
      <c r="E1306">
        <v>31</v>
      </c>
      <c r="F1306">
        <v>12</v>
      </c>
      <c r="G1306" t="s">
        <v>430</v>
      </c>
      <c r="H1306" s="48" t="s">
        <v>320</v>
      </c>
      <c r="I1306" s="48" t="s">
        <v>375</v>
      </c>
      <c r="J1306" s="48" t="s">
        <v>375</v>
      </c>
      <c r="K1306" s="48" t="s">
        <v>375</v>
      </c>
      <c r="L1306" s="48" t="s">
        <v>375</v>
      </c>
      <c r="M1306" s="48" t="s">
        <v>375</v>
      </c>
      <c r="N1306" s="48" t="s">
        <v>377</v>
      </c>
      <c r="O1306" s="48" t="s">
        <v>375</v>
      </c>
      <c r="P1306" s="48" t="s">
        <v>375</v>
      </c>
      <c r="Q1306" s="48" t="s">
        <v>320</v>
      </c>
      <c r="R1306" s="48" t="s">
        <v>320</v>
      </c>
      <c r="S1306" s="48" t="s">
        <v>375</v>
      </c>
      <c r="T1306" s="48" t="s">
        <v>375</v>
      </c>
      <c r="U1306" s="48" t="s">
        <v>375</v>
      </c>
      <c r="V1306" s="48" t="s">
        <v>375</v>
      </c>
      <c r="W1306" s="48" t="s">
        <v>375</v>
      </c>
      <c r="X1306" s="48" t="s">
        <v>375</v>
      </c>
      <c r="Y1306" s="48" t="s">
        <v>320</v>
      </c>
      <c r="Z1306" s="48" t="s">
        <v>375</v>
      </c>
      <c r="AA1306" s="48" t="s">
        <v>377</v>
      </c>
      <c r="AB1306" s="48" t="s">
        <v>377</v>
      </c>
      <c r="AC1306" s="48" t="s">
        <v>375</v>
      </c>
      <c r="AD1306" s="48" t="s">
        <v>375</v>
      </c>
      <c r="AE1306" s="48" t="s">
        <v>375</v>
      </c>
      <c r="AF1306" s="48" t="s">
        <v>320</v>
      </c>
      <c r="AG1306" s="48" t="s">
        <v>375</v>
      </c>
      <c r="AH1306" s="48" t="s">
        <v>375</v>
      </c>
      <c r="AI1306" s="48" t="s">
        <v>375</v>
      </c>
      <c r="AJ1306" s="48" t="s">
        <v>375</v>
      </c>
      <c r="AK1306" s="48" t="s">
        <v>375</v>
      </c>
      <c r="AL1306" s="48" t="s">
        <v>375</v>
      </c>
    </row>
    <row r="1307" spans="1:45" hidden="1" x14ac:dyDescent="0.25">
      <c r="A1307">
        <v>1306</v>
      </c>
      <c r="B1307">
        <v>2026</v>
      </c>
      <c r="C1307">
        <v>1</v>
      </c>
      <c r="D1307" t="s">
        <v>180</v>
      </c>
      <c r="E1307">
        <v>31</v>
      </c>
      <c r="F1307">
        <v>12</v>
      </c>
      <c r="G1307" t="s">
        <v>431</v>
      </c>
      <c r="H1307" s="48" t="s">
        <v>320</v>
      </c>
      <c r="I1307" s="48">
        <v>0.75</v>
      </c>
      <c r="J1307" s="48">
        <v>0.75</v>
      </c>
      <c r="K1307" s="48">
        <v>0.75</v>
      </c>
      <c r="L1307" s="48">
        <v>0.75</v>
      </c>
      <c r="M1307" s="48">
        <v>0.8125</v>
      </c>
      <c r="N1307" s="48">
        <v>0.8125</v>
      </c>
      <c r="O1307" s="48">
        <v>0.75</v>
      </c>
      <c r="P1307" s="48">
        <v>0.75</v>
      </c>
      <c r="Q1307" s="48" t="s">
        <v>320</v>
      </c>
      <c r="R1307" s="48" t="s">
        <v>320</v>
      </c>
      <c r="S1307" s="48">
        <v>0.75</v>
      </c>
      <c r="T1307" s="48">
        <v>0.75</v>
      </c>
      <c r="U1307" s="48">
        <v>0.75</v>
      </c>
      <c r="V1307" s="48">
        <v>0.75</v>
      </c>
      <c r="W1307" s="48">
        <v>0.75</v>
      </c>
      <c r="X1307" s="48">
        <v>0.75</v>
      </c>
      <c r="Y1307" s="48" t="s">
        <v>320</v>
      </c>
      <c r="Z1307" s="48">
        <v>0.8125</v>
      </c>
      <c r="AA1307" s="48">
        <v>0.8125</v>
      </c>
      <c r="AB1307" s="48">
        <v>0.75</v>
      </c>
      <c r="AC1307" s="48">
        <v>0.75</v>
      </c>
      <c r="AD1307" s="48">
        <v>0.75</v>
      </c>
      <c r="AE1307" s="48">
        <v>0.75</v>
      </c>
      <c r="AF1307" s="48" t="s">
        <v>320</v>
      </c>
      <c r="AG1307" s="48">
        <v>0.75</v>
      </c>
      <c r="AH1307" s="48">
        <v>0.75</v>
      </c>
      <c r="AI1307" s="48">
        <v>0.75</v>
      </c>
      <c r="AJ1307" s="48">
        <v>0.75</v>
      </c>
      <c r="AK1307" s="48">
        <v>0.75</v>
      </c>
      <c r="AL1307" s="48">
        <v>0.75</v>
      </c>
      <c r="AM1307" cm="1">
        <f t="array" ref="AM1307">SUM(_xlfn.LET(_xlpm.r,((IFERROR(H1307:AL1307-H1306:AL1306,0))*24)/10,IF(_xlpm.r&gt;1,1,_xlpm.r)))</f>
        <v>26</v>
      </c>
      <c r="AO1307" cm="1">
        <f t="array" ref="AO1307">SUM(IFERROR(MOD((H1307:AL1307-H1306:AL1306)*24,11),""))</f>
        <v>10.499999999999996</v>
      </c>
    </row>
    <row r="1308" spans="1:45" hidden="1" x14ac:dyDescent="0.25">
      <c r="A1308">
        <v>1307</v>
      </c>
      <c r="B1308">
        <v>2026</v>
      </c>
      <c r="C1308">
        <v>1</v>
      </c>
      <c r="D1308" t="s">
        <v>176</v>
      </c>
      <c r="E1308">
        <v>31</v>
      </c>
      <c r="F1308">
        <v>12</v>
      </c>
      <c r="G1308" t="s">
        <v>430</v>
      </c>
      <c r="H1308" s="48" t="s">
        <v>320</v>
      </c>
      <c r="I1308" s="48" t="s">
        <v>382</v>
      </c>
      <c r="J1308" s="48" t="s">
        <v>382</v>
      </c>
      <c r="K1308" s="48" t="s">
        <v>382</v>
      </c>
      <c r="L1308" s="48" t="s">
        <v>382</v>
      </c>
      <c r="M1308" s="48" t="s">
        <v>382</v>
      </c>
      <c r="N1308" s="48" t="s">
        <v>382</v>
      </c>
      <c r="O1308" s="48" t="s">
        <v>382</v>
      </c>
      <c r="P1308" s="48" t="s">
        <v>382</v>
      </c>
      <c r="Q1308" s="48" t="s">
        <v>382</v>
      </c>
      <c r="R1308" s="48" t="s">
        <v>382</v>
      </c>
      <c r="S1308" s="48" t="s">
        <v>382</v>
      </c>
      <c r="T1308" s="48" t="s">
        <v>382</v>
      </c>
      <c r="U1308" s="48" t="s">
        <v>382</v>
      </c>
      <c r="V1308" s="48" t="s">
        <v>382</v>
      </c>
      <c r="W1308" s="48" t="s">
        <v>382</v>
      </c>
      <c r="X1308" s="48" t="s">
        <v>382</v>
      </c>
      <c r="Y1308" s="48" t="s">
        <v>320</v>
      </c>
      <c r="Z1308" s="48" t="s">
        <v>382</v>
      </c>
      <c r="AA1308" s="48" t="s">
        <v>382</v>
      </c>
      <c r="AB1308" s="48" t="s">
        <v>382</v>
      </c>
      <c r="AC1308" s="48" t="s">
        <v>382</v>
      </c>
      <c r="AD1308" s="48" t="s">
        <v>382</v>
      </c>
      <c r="AE1308" s="48" t="s">
        <v>382</v>
      </c>
      <c r="AF1308" s="48" t="s">
        <v>382</v>
      </c>
      <c r="AG1308" s="48" t="s">
        <v>382</v>
      </c>
      <c r="AH1308" s="48" t="s">
        <v>382</v>
      </c>
      <c r="AI1308" s="48" t="s">
        <v>382</v>
      </c>
      <c r="AJ1308" s="48" t="s">
        <v>382</v>
      </c>
      <c r="AK1308" s="48" t="s">
        <v>382</v>
      </c>
      <c r="AL1308" s="48" t="s">
        <v>382</v>
      </c>
    </row>
    <row r="1309" spans="1:45" hidden="1" x14ac:dyDescent="0.25">
      <c r="A1309">
        <v>1308</v>
      </c>
      <c r="B1309">
        <v>2026</v>
      </c>
      <c r="C1309">
        <v>1</v>
      </c>
      <c r="D1309" t="s">
        <v>176</v>
      </c>
      <c r="E1309">
        <v>31</v>
      </c>
      <c r="F1309">
        <v>12</v>
      </c>
      <c r="G1309" t="s">
        <v>431</v>
      </c>
      <c r="H1309" s="48" t="s">
        <v>320</v>
      </c>
      <c r="I1309" s="48">
        <v>0.79166666666666674</v>
      </c>
      <c r="J1309" s="48">
        <v>0.79166666666666674</v>
      </c>
      <c r="K1309" s="48">
        <v>0.79166666666666674</v>
      </c>
      <c r="L1309" s="48">
        <v>0.79166666666666674</v>
      </c>
      <c r="M1309" s="48">
        <v>0.79166666666666674</v>
      </c>
      <c r="N1309" s="48">
        <v>0.79166666666666674</v>
      </c>
      <c r="O1309" s="48">
        <v>0.79166666666666674</v>
      </c>
      <c r="P1309" s="48">
        <v>0.79166666666666674</v>
      </c>
      <c r="Q1309" s="48">
        <v>0.79166666666666674</v>
      </c>
      <c r="R1309" s="48">
        <v>0.79166666666666674</v>
      </c>
      <c r="S1309" s="48">
        <v>0.79166666666666674</v>
      </c>
      <c r="T1309" s="48">
        <v>0.79166666666666674</v>
      </c>
      <c r="U1309" s="48">
        <v>0.79166666666666674</v>
      </c>
      <c r="V1309" s="48">
        <v>0.79166666666666674</v>
      </c>
      <c r="W1309" s="48">
        <v>0.79166666666666674</v>
      </c>
      <c r="X1309" s="48">
        <v>0.79166666666666674</v>
      </c>
      <c r="Y1309" s="48" t="s">
        <v>320</v>
      </c>
      <c r="Z1309" s="48">
        <v>0.79166666666666674</v>
      </c>
      <c r="AA1309" s="48">
        <v>0.79166666666666674</v>
      </c>
      <c r="AB1309" s="48">
        <v>0.79166666666666674</v>
      </c>
      <c r="AC1309" s="48">
        <v>0.79166666666666674</v>
      </c>
      <c r="AD1309" s="48">
        <v>0.79166666666666674</v>
      </c>
      <c r="AE1309" s="48">
        <v>0.79166666666666674</v>
      </c>
      <c r="AF1309" s="48">
        <v>0.79166666666666674</v>
      </c>
      <c r="AG1309" s="48">
        <v>0.79166666666666674</v>
      </c>
      <c r="AH1309" s="48">
        <v>0.79166666666666674</v>
      </c>
      <c r="AI1309" s="48">
        <v>0.79166666666666674</v>
      </c>
      <c r="AJ1309" s="48">
        <v>0.79166666666666674</v>
      </c>
      <c r="AK1309" s="48">
        <v>0.79166666666666674</v>
      </c>
      <c r="AL1309" s="48">
        <v>0.79166666666666674</v>
      </c>
      <c r="AM1309" cm="1">
        <f t="array" ref="AM1309">SUM(_xlfn.LET(_xlpm.r,((IFERROR(H1309:AL1309-H1308:AL1308,0))*24)/10,IF(_xlpm.r&gt;1,1,_xlpm.r)))</f>
        <v>29</v>
      </c>
      <c r="AO1309" cm="1">
        <f t="array" ref="AO1309">SUM(IFERROR(MOD((H1309:AL1309-H1308:AL1308)*24,11),""))</f>
        <v>87</v>
      </c>
    </row>
    <row r="1310" spans="1:45" hidden="1" x14ac:dyDescent="0.25">
      <c r="A1310">
        <v>1309</v>
      </c>
      <c r="B1310">
        <v>2026</v>
      </c>
      <c r="C1310">
        <v>1</v>
      </c>
      <c r="D1310" t="s">
        <v>162</v>
      </c>
      <c r="E1310">
        <v>31</v>
      </c>
      <c r="F1310">
        <v>12</v>
      </c>
      <c r="G1310" t="s">
        <v>430</v>
      </c>
      <c r="H1310" s="48" t="s">
        <v>320</v>
      </c>
      <c r="I1310" s="48" t="s">
        <v>382</v>
      </c>
      <c r="J1310" s="48" t="s">
        <v>382</v>
      </c>
      <c r="K1310" s="48" t="s">
        <v>382</v>
      </c>
      <c r="L1310" s="48" t="s">
        <v>382</v>
      </c>
      <c r="M1310" s="48" t="s">
        <v>382</v>
      </c>
      <c r="N1310" s="48" t="s">
        <v>382</v>
      </c>
      <c r="O1310" s="48" t="s">
        <v>382</v>
      </c>
      <c r="P1310" s="48" t="s">
        <v>382</v>
      </c>
      <c r="Q1310" s="48" t="s">
        <v>382</v>
      </c>
      <c r="R1310" s="48" t="s">
        <v>382</v>
      </c>
      <c r="S1310" s="48" t="s">
        <v>382</v>
      </c>
      <c r="T1310" s="48" t="s">
        <v>382</v>
      </c>
      <c r="U1310" s="48" t="s">
        <v>382</v>
      </c>
      <c r="V1310" s="48" t="s">
        <v>382</v>
      </c>
      <c r="W1310" s="48" t="s">
        <v>382</v>
      </c>
      <c r="X1310" s="48" t="s">
        <v>382</v>
      </c>
      <c r="Y1310" s="48" t="s">
        <v>382</v>
      </c>
      <c r="Z1310" s="48" t="s">
        <v>382</v>
      </c>
      <c r="AA1310" s="48" t="s">
        <v>382</v>
      </c>
      <c r="AB1310" s="48" t="s">
        <v>382</v>
      </c>
      <c r="AC1310" s="48" t="s">
        <v>382</v>
      </c>
      <c r="AD1310" s="48" t="s">
        <v>382</v>
      </c>
      <c r="AE1310" s="48" t="s">
        <v>382</v>
      </c>
      <c r="AF1310" s="48" t="s">
        <v>382</v>
      </c>
      <c r="AG1310" s="48" t="s">
        <v>382</v>
      </c>
      <c r="AH1310" s="48" t="s">
        <v>382</v>
      </c>
      <c r="AI1310" s="48" t="s">
        <v>382</v>
      </c>
      <c r="AJ1310" s="48" t="s">
        <v>382</v>
      </c>
      <c r="AK1310" s="48" t="s">
        <v>382</v>
      </c>
      <c r="AL1310" s="48" t="s">
        <v>382</v>
      </c>
    </row>
    <row r="1311" spans="1:45" hidden="1" x14ac:dyDescent="0.25">
      <c r="A1311">
        <v>1310</v>
      </c>
      <c r="B1311">
        <v>2026</v>
      </c>
      <c r="C1311">
        <v>1</v>
      </c>
      <c r="D1311" t="s">
        <v>162</v>
      </c>
      <c r="E1311">
        <v>31</v>
      </c>
      <c r="F1311">
        <v>12</v>
      </c>
      <c r="G1311" t="s">
        <v>431</v>
      </c>
      <c r="H1311" s="48" t="s">
        <v>320</v>
      </c>
      <c r="I1311" s="48">
        <v>0.79166666666666674</v>
      </c>
      <c r="J1311" s="48">
        <v>0.79166666666666674</v>
      </c>
      <c r="K1311" s="48">
        <v>0.875</v>
      </c>
      <c r="L1311" s="48">
        <v>0.79166666666666674</v>
      </c>
      <c r="M1311" s="48">
        <v>0.79166666666666674</v>
      </c>
      <c r="N1311" s="48">
        <v>0.79166666666666674</v>
      </c>
      <c r="O1311" s="48">
        <v>0.79166666666666674</v>
      </c>
      <c r="P1311" s="48">
        <v>0.79166666666666674</v>
      </c>
      <c r="Q1311" s="48">
        <v>0.79166666666666674</v>
      </c>
      <c r="R1311" s="48">
        <v>0.79166666666666674</v>
      </c>
      <c r="S1311" s="48">
        <v>0.79166666666666674</v>
      </c>
      <c r="T1311" s="48">
        <v>0.79166666666666674</v>
      </c>
      <c r="U1311" s="48">
        <v>0.79166666666666674</v>
      </c>
      <c r="V1311" s="48">
        <v>0.79166666666666674</v>
      </c>
      <c r="W1311" s="48">
        <v>0.79166666666666674</v>
      </c>
      <c r="X1311" s="48">
        <v>0.79166666666666674</v>
      </c>
      <c r="Y1311" s="48">
        <v>0.79166666666666674</v>
      </c>
      <c r="Z1311" s="48">
        <v>0.79166666666666674</v>
      </c>
      <c r="AA1311" s="48">
        <v>0.79166666666666674</v>
      </c>
      <c r="AB1311" s="48">
        <v>0.79166666666666674</v>
      </c>
      <c r="AC1311" s="48">
        <v>0.79166666666666674</v>
      </c>
      <c r="AD1311" s="48">
        <v>0.79166666666666674</v>
      </c>
      <c r="AE1311" s="48">
        <v>0.79166666666666674</v>
      </c>
      <c r="AF1311" s="48">
        <v>0.79166666666666674</v>
      </c>
      <c r="AG1311" s="48">
        <v>0.79166666666666674</v>
      </c>
      <c r="AH1311" s="48">
        <v>0.79166666666666674</v>
      </c>
      <c r="AI1311" s="48">
        <v>0.79166666666666674</v>
      </c>
      <c r="AJ1311" s="48">
        <v>0.79166666666666674</v>
      </c>
      <c r="AK1311" s="48">
        <v>0.79166666666666674</v>
      </c>
      <c r="AL1311" s="48">
        <v>0.79166666666666674</v>
      </c>
      <c r="AM1311" cm="1">
        <f t="array" ref="AM1311">SUM(_xlfn.LET(_xlpm.r,((IFERROR(H1311:AL1311-H1310:AL1310,0))*24)/10,IF(_xlpm.r&gt;1,1,_xlpm.r)))</f>
        <v>30</v>
      </c>
      <c r="AO1311" cm="1">
        <f t="array" ref="AO1311">SUM(IFERROR(MOD((H1311:AL1311-H1310:AL1310)*24,11),""))</f>
        <v>92</v>
      </c>
    </row>
    <row r="1312" spans="1:45" hidden="1" x14ac:dyDescent="0.25">
      <c r="A1312">
        <v>1311</v>
      </c>
      <c r="B1312">
        <v>2026</v>
      </c>
      <c r="C1312">
        <v>1</v>
      </c>
      <c r="D1312" t="s">
        <v>171</v>
      </c>
      <c r="E1312">
        <v>31</v>
      </c>
      <c r="F1312">
        <v>12</v>
      </c>
      <c r="G1312" t="s">
        <v>430</v>
      </c>
      <c r="H1312" s="48" t="s">
        <v>320</v>
      </c>
      <c r="I1312" s="48" t="s">
        <v>375</v>
      </c>
      <c r="J1312" s="48" t="s">
        <v>375</v>
      </c>
      <c r="K1312" s="48" t="s">
        <v>375</v>
      </c>
      <c r="L1312" s="48" t="s">
        <v>375</v>
      </c>
      <c r="M1312" s="48" t="s">
        <v>375</v>
      </c>
      <c r="N1312" s="48" t="s">
        <v>375</v>
      </c>
      <c r="O1312" s="48" t="s">
        <v>375</v>
      </c>
      <c r="P1312" s="48" t="s">
        <v>375</v>
      </c>
      <c r="Q1312" s="48" t="s">
        <v>375</v>
      </c>
      <c r="R1312" s="48" t="s">
        <v>375</v>
      </c>
      <c r="S1312" s="48" t="s">
        <v>375</v>
      </c>
      <c r="T1312" s="48" t="s">
        <v>375</v>
      </c>
      <c r="U1312" s="48" t="s">
        <v>375</v>
      </c>
      <c r="V1312" s="48" t="s">
        <v>375</v>
      </c>
      <c r="W1312" s="48" t="s">
        <v>375</v>
      </c>
      <c r="X1312" s="48" t="s">
        <v>375</v>
      </c>
      <c r="Y1312" s="48" t="s">
        <v>320</v>
      </c>
      <c r="Z1312" s="48" t="s">
        <v>375</v>
      </c>
      <c r="AA1312" s="48" t="s">
        <v>375</v>
      </c>
      <c r="AB1312" s="48" t="s">
        <v>375</v>
      </c>
      <c r="AC1312" s="48" t="s">
        <v>375</v>
      </c>
      <c r="AD1312" s="48" t="s">
        <v>375</v>
      </c>
      <c r="AE1312" s="48" t="s">
        <v>375</v>
      </c>
      <c r="AF1312" s="48" t="s">
        <v>375</v>
      </c>
      <c r="AG1312" s="48" t="s">
        <v>375</v>
      </c>
      <c r="AH1312" s="48" t="s">
        <v>375</v>
      </c>
      <c r="AI1312" s="48" t="s">
        <v>375</v>
      </c>
      <c r="AJ1312" s="48" t="s">
        <v>375</v>
      </c>
      <c r="AK1312" s="48" t="s">
        <v>375</v>
      </c>
      <c r="AL1312" s="48" t="s">
        <v>375</v>
      </c>
    </row>
    <row r="1313" spans="1:41" hidden="1" x14ac:dyDescent="0.25">
      <c r="A1313">
        <v>1312</v>
      </c>
      <c r="B1313">
        <v>2026</v>
      </c>
      <c r="C1313">
        <v>1</v>
      </c>
      <c r="D1313" t="s">
        <v>171</v>
      </c>
      <c r="E1313">
        <v>31</v>
      </c>
      <c r="F1313">
        <v>12</v>
      </c>
      <c r="G1313" t="s">
        <v>431</v>
      </c>
      <c r="H1313" s="48" t="s">
        <v>320</v>
      </c>
      <c r="I1313" s="48">
        <v>0.75</v>
      </c>
      <c r="J1313" s="48">
        <v>0.75</v>
      </c>
      <c r="K1313" s="48">
        <v>0.75</v>
      </c>
      <c r="L1313" s="48">
        <v>0.79166666666666674</v>
      </c>
      <c r="M1313" s="48">
        <v>0.79166666666666674</v>
      </c>
      <c r="N1313" s="48">
        <v>0.79166666666666674</v>
      </c>
      <c r="O1313" s="48">
        <v>0.83333333333333326</v>
      </c>
      <c r="P1313" s="48">
        <v>0.75</v>
      </c>
      <c r="Q1313" s="48">
        <v>0.79166666666666674</v>
      </c>
      <c r="R1313" s="48">
        <v>0.75</v>
      </c>
      <c r="S1313" s="48">
        <v>0.79166666666666674</v>
      </c>
      <c r="T1313" s="48">
        <v>0.75</v>
      </c>
      <c r="U1313" s="48">
        <v>0.75</v>
      </c>
      <c r="V1313" s="48">
        <v>0.83333333333333326</v>
      </c>
      <c r="W1313" s="48">
        <v>0.75</v>
      </c>
      <c r="X1313" s="48">
        <v>0.75</v>
      </c>
      <c r="Y1313" s="48" t="s">
        <v>320</v>
      </c>
      <c r="Z1313" s="48">
        <v>0.75</v>
      </c>
      <c r="AA1313" s="48">
        <v>0.75</v>
      </c>
      <c r="AB1313" s="48">
        <v>0.75</v>
      </c>
      <c r="AC1313" s="48">
        <v>0.83333333333333326</v>
      </c>
      <c r="AD1313" s="48">
        <v>0.75</v>
      </c>
      <c r="AE1313" s="48">
        <v>0.79166666666666674</v>
      </c>
      <c r="AF1313" s="48">
        <v>0.79166666666666674</v>
      </c>
      <c r="AG1313" s="48">
        <v>0.75</v>
      </c>
      <c r="AH1313" s="48">
        <v>0.83333333333333326</v>
      </c>
      <c r="AI1313" s="48">
        <v>0.75</v>
      </c>
      <c r="AJ1313" s="48">
        <v>0.79166666666666674</v>
      </c>
      <c r="AK1313" s="48">
        <v>0.79166666666666674</v>
      </c>
      <c r="AL1313" s="48">
        <v>0.83333333333333326</v>
      </c>
      <c r="AM1313" cm="1">
        <f t="array" ref="AM1313">SUM(_xlfn.LET(_xlpm.r,((IFERROR(H1313:AL1313-H1312:AL1312,0))*24)/10,IF(_xlpm.r&gt;1,1,_xlpm.r)))</f>
        <v>29</v>
      </c>
      <c r="AO1313" cm="1">
        <f t="array" ref="AO1313">SUM(IFERROR(MOD((H1313:AL1313-H1312:AL1312)*24,11),""))</f>
        <v>18.999999999999982</v>
      </c>
    </row>
    <row r="1314" spans="1:41" hidden="1" x14ac:dyDescent="0.25">
      <c r="A1314">
        <v>1313</v>
      </c>
      <c r="B1314">
        <v>2026</v>
      </c>
      <c r="C1314">
        <v>1</v>
      </c>
      <c r="D1314" t="s">
        <v>178</v>
      </c>
      <c r="E1314">
        <v>31</v>
      </c>
      <c r="F1314">
        <v>12</v>
      </c>
      <c r="G1314" t="s">
        <v>430</v>
      </c>
      <c r="H1314" s="48" t="s">
        <v>375</v>
      </c>
      <c r="I1314" s="48" t="s">
        <v>375</v>
      </c>
      <c r="J1314" s="48" t="s">
        <v>375</v>
      </c>
      <c r="K1314" s="48" t="s">
        <v>375</v>
      </c>
      <c r="L1314" s="48" t="s">
        <v>375</v>
      </c>
      <c r="M1314" s="48" t="s">
        <v>375</v>
      </c>
      <c r="N1314" s="48" t="s">
        <v>375</v>
      </c>
      <c r="O1314" s="48" t="s">
        <v>375</v>
      </c>
      <c r="P1314" s="48" t="s">
        <v>375</v>
      </c>
      <c r="Q1314" s="48" t="s">
        <v>375</v>
      </c>
      <c r="R1314" s="48" t="s">
        <v>375</v>
      </c>
      <c r="S1314" s="48" t="s">
        <v>375</v>
      </c>
      <c r="T1314" s="48" t="s">
        <v>375</v>
      </c>
      <c r="U1314" s="48" t="s">
        <v>375</v>
      </c>
      <c r="V1314" s="48" t="s">
        <v>375</v>
      </c>
      <c r="W1314" s="48" t="s">
        <v>375</v>
      </c>
      <c r="X1314" s="48" t="s">
        <v>375</v>
      </c>
      <c r="Y1314" s="48" t="s">
        <v>375</v>
      </c>
      <c r="Z1314" s="48" t="s">
        <v>375</v>
      </c>
      <c r="AA1314" s="48" t="s">
        <v>375</v>
      </c>
      <c r="AB1314" s="48" t="s">
        <v>375</v>
      </c>
      <c r="AC1314" s="48" t="s">
        <v>375</v>
      </c>
      <c r="AD1314" s="48" t="s">
        <v>375</v>
      </c>
      <c r="AE1314" s="48" t="s">
        <v>375</v>
      </c>
      <c r="AF1314" s="48" t="s">
        <v>375</v>
      </c>
      <c r="AG1314" s="48" t="s">
        <v>375</v>
      </c>
      <c r="AH1314" s="48" t="s">
        <v>375</v>
      </c>
      <c r="AI1314" s="48" t="s">
        <v>375</v>
      </c>
      <c r="AJ1314" s="48" t="s">
        <v>375</v>
      </c>
      <c r="AK1314" s="48" t="s">
        <v>375</v>
      </c>
      <c r="AL1314" s="48" t="s">
        <v>375</v>
      </c>
    </row>
    <row r="1315" spans="1:41" hidden="1" x14ac:dyDescent="0.25">
      <c r="A1315">
        <v>1314</v>
      </c>
      <c r="B1315">
        <v>2026</v>
      </c>
      <c r="C1315">
        <v>1</v>
      </c>
      <c r="D1315" t="s">
        <v>178</v>
      </c>
      <c r="E1315">
        <v>31</v>
      </c>
      <c r="F1315">
        <v>12</v>
      </c>
      <c r="G1315" t="s">
        <v>431</v>
      </c>
      <c r="H1315" s="48">
        <v>0.875</v>
      </c>
      <c r="I1315" s="48">
        <v>0.95833333333333326</v>
      </c>
      <c r="J1315" s="48">
        <v>0.95833333333333326</v>
      </c>
      <c r="K1315" s="48">
        <v>0.875</v>
      </c>
      <c r="L1315" s="48">
        <v>0.875</v>
      </c>
      <c r="M1315" s="48">
        <v>0.875</v>
      </c>
      <c r="N1315" s="48">
        <v>0.875</v>
      </c>
      <c r="O1315" s="48">
        <v>0.83333333333333326</v>
      </c>
      <c r="P1315" s="48">
        <v>0.875</v>
      </c>
      <c r="Q1315" s="48">
        <v>0.875</v>
      </c>
      <c r="R1315" s="48">
        <v>0.91666666666666674</v>
      </c>
      <c r="S1315" s="48">
        <v>0.95833333333333326</v>
      </c>
      <c r="T1315" s="48">
        <v>0.95833333333333326</v>
      </c>
      <c r="U1315" s="48">
        <v>0.83333333333333326</v>
      </c>
      <c r="V1315" s="48">
        <v>0.875</v>
      </c>
      <c r="W1315" s="48">
        <v>0.95833333333333326</v>
      </c>
      <c r="X1315" s="48">
        <v>0.83333333333333326</v>
      </c>
      <c r="Y1315" s="48">
        <v>0.95833333333333326</v>
      </c>
      <c r="Z1315" s="48">
        <v>0.95833333333333326</v>
      </c>
      <c r="AA1315" s="48">
        <v>0.91666666666666674</v>
      </c>
      <c r="AB1315" s="48">
        <v>0.91666666666666674</v>
      </c>
      <c r="AC1315" s="48">
        <v>0.95833333333333326</v>
      </c>
      <c r="AD1315" s="48">
        <v>0.91666666666666674</v>
      </c>
      <c r="AE1315" s="48">
        <v>0.91666666666666674</v>
      </c>
      <c r="AF1315" s="48">
        <v>0.91666666666666674</v>
      </c>
      <c r="AG1315" s="48">
        <v>0.875</v>
      </c>
      <c r="AH1315" s="48">
        <v>0.79166666666666674</v>
      </c>
      <c r="AI1315" s="48">
        <v>0.75</v>
      </c>
      <c r="AJ1315" s="48">
        <v>0.83333333333333326</v>
      </c>
      <c r="AK1315" s="48">
        <v>0.75</v>
      </c>
      <c r="AL1315" s="48">
        <v>0.75</v>
      </c>
      <c r="AM1315" cm="1">
        <f t="array" ref="AM1315">SUM(_xlfn.LET(_xlpm.r,((IFERROR(H1315:AL1315-H1314:AL1314,0))*24)/10,IF(_xlpm.r&gt;1,1,_xlpm.r)))</f>
        <v>31</v>
      </c>
      <c r="AO1315" cm="1">
        <f t="array" ref="AO1315">SUM(IFERROR(MOD((H1315:AL1315-H1314:AL1314)*24,11),""))</f>
        <v>99.999999999999972</v>
      </c>
    </row>
    <row r="1316" spans="1:41" hidden="1" x14ac:dyDescent="0.25">
      <c r="A1316">
        <v>1315</v>
      </c>
      <c r="B1316">
        <v>2026</v>
      </c>
      <c r="C1316">
        <v>1</v>
      </c>
      <c r="D1316" t="s">
        <v>161</v>
      </c>
      <c r="E1316">
        <v>31</v>
      </c>
      <c r="F1316">
        <v>12</v>
      </c>
      <c r="G1316" t="s">
        <v>430</v>
      </c>
      <c r="H1316" s="48" t="s">
        <v>320</v>
      </c>
      <c r="I1316" s="48">
        <v>46024.291666666664</v>
      </c>
      <c r="J1316" s="48">
        <v>46025.291666666664</v>
      </c>
      <c r="K1316" s="48">
        <v>46026.291666666664</v>
      </c>
      <c r="L1316" s="48">
        <v>46027.458333333336</v>
      </c>
      <c r="M1316" s="48">
        <v>46028.5</v>
      </c>
      <c r="N1316" s="48">
        <v>46029.5</v>
      </c>
      <c r="O1316" s="48">
        <v>46030.5</v>
      </c>
      <c r="P1316" s="48">
        <v>46031.5</v>
      </c>
      <c r="Q1316" s="48">
        <v>46032.5</v>
      </c>
      <c r="R1316" s="48">
        <v>46033.5</v>
      </c>
      <c r="S1316" s="48">
        <v>46034.5</v>
      </c>
      <c r="T1316" s="48">
        <v>46035.5</v>
      </c>
      <c r="U1316" s="48">
        <v>46036.5</v>
      </c>
      <c r="V1316" s="48">
        <v>46037.5</v>
      </c>
      <c r="W1316" s="48">
        <v>46038.5</v>
      </c>
      <c r="X1316" s="48">
        <v>46039.5</v>
      </c>
      <c r="Y1316" s="48" t="s">
        <v>320</v>
      </c>
      <c r="Z1316" s="48">
        <v>46041.5</v>
      </c>
      <c r="AA1316" s="48">
        <v>46042.5</v>
      </c>
      <c r="AB1316" s="48">
        <v>46043.5</v>
      </c>
      <c r="AC1316" s="48">
        <v>46044.5</v>
      </c>
      <c r="AD1316" s="48">
        <v>46045.5</v>
      </c>
      <c r="AE1316" s="48">
        <v>46046.5</v>
      </c>
      <c r="AF1316" s="48">
        <v>46047.291666666664</v>
      </c>
      <c r="AG1316" s="48">
        <v>46048.291666666664</v>
      </c>
      <c r="AH1316" s="48">
        <v>46049.5</v>
      </c>
      <c r="AI1316" s="48">
        <v>46050.5</v>
      </c>
      <c r="AJ1316" s="48">
        <v>46051.5</v>
      </c>
      <c r="AK1316" s="48">
        <v>46052.5</v>
      </c>
      <c r="AL1316" s="48">
        <v>46053.5</v>
      </c>
    </row>
    <row r="1317" spans="1:41" hidden="1" x14ac:dyDescent="0.25">
      <c r="A1317">
        <v>1316</v>
      </c>
      <c r="B1317">
        <v>2026</v>
      </c>
      <c r="C1317">
        <v>1</v>
      </c>
      <c r="D1317" t="s">
        <v>161</v>
      </c>
      <c r="E1317">
        <v>31</v>
      </c>
      <c r="F1317">
        <v>12</v>
      </c>
      <c r="G1317" t="s">
        <v>431</v>
      </c>
      <c r="H1317" s="48" t="s">
        <v>320</v>
      </c>
      <c r="I1317" s="48">
        <v>46024.75</v>
      </c>
      <c r="J1317" s="48">
        <v>46025.75</v>
      </c>
      <c r="K1317" s="48">
        <v>46026.75</v>
      </c>
      <c r="L1317" s="48">
        <v>46028</v>
      </c>
      <c r="M1317" s="48">
        <v>46028.958333333336</v>
      </c>
      <c r="N1317" s="48">
        <v>46029.958333333336</v>
      </c>
      <c r="O1317" s="48">
        <v>46031.083333333336</v>
      </c>
      <c r="P1317" s="48">
        <v>46031.958333333336</v>
      </c>
      <c r="Q1317" s="48">
        <v>46033.083333333336</v>
      </c>
      <c r="R1317" s="48">
        <v>46034.125</v>
      </c>
      <c r="S1317" s="48">
        <v>46034.958333333336</v>
      </c>
      <c r="T1317" s="48">
        <v>46035.958333333336</v>
      </c>
      <c r="U1317" s="48">
        <v>46036.958333333336</v>
      </c>
      <c r="V1317" s="48">
        <v>46037.958333333336</v>
      </c>
      <c r="W1317" s="48">
        <v>46039.125</v>
      </c>
      <c r="X1317" s="48">
        <v>46039.958333333336</v>
      </c>
      <c r="Y1317" s="48" t="s">
        <v>320</v>
      </c>
      <c r="Z1317" s="48">
        <v>46041.958333333336</v>
      </c>
      <c r="AA1317" s="48">
        <v>46042.958333333336</v>
      </c>
      <c r="AB1317" s="48">
        <v>46043.958333333336</v>
      </c>
      <c r="AC1317" s="48">
        <v>46044.958333333336</v>
      </c>
      <c r="AD1317" s="48">
        <v>46045.958333333336</v>
      </c>
      <c r="AE1317" s="48">
        <v>46047.041666666664</v>
      </c>
      <c r="AF1317" s="48">
        <v>46047.833333333328</v>
      </c>
      <c r="AG1317" s="48">
        <v>46048.75</v>
      </c>
      <c r="AH1317" s="48">
        <v>46049.958333333336</v>
      </c>
      <c r="AI1317" s="48">
        <v>46050.958333333336</v>
      </c>
      <c r="AJ1317" s="48">
        <v>46052.083333333336</v>
      </c>
      <c r="AK1317" s="48">
        <v>46052.958333333336</v>
      </c>
      <c r="AL1317" s="48">
        <v>46053.958333333336</v>
      </c>
      <c r="AM1317" cm="1">
        <f t="array" ref="AM1317">SUM(_xlfn.LET(_xlpm.r,((IFERROR(H1317:AL1317-H1316:AL1316,0))*24)/10,IF(_xlpm.r&gt;1,1,_xlpm.r)))</f>
        <v>29</v>
      </c>
      <c r="AO1317" cm="1">
        <f t="array" ref="AO1317">SUM(IFERROR(MOD((H1317:AL1317-H1316:AL1316)*24,11),""))</f>
        <v>23.000000001222361</v>
      </c>
    </row>
    <row r="1318" spans="1:41" hidden="1" x14ac:dyDescent="0.25">
      <c r="A1318">
        <v>1317</v>
      </c>
      <c r="B1318">
        <v>2026</v>
      </c>
      <c r="C1318">
        <v>1</v>
      </c>
      <c r="D1318" t="s">
        <v>352</v>
      </c>
      <c r="E1318">
        <v>31</v>
      </c>
      <c r="F1318">
        <v>12</v>
      </c>
      <c r="G1318" t="s">
        <v>430</v>
      </c>
      <c r="H1318" s="48" t="s">
        <v>320</v>
      </c>
      <c r="I1318" s="48" t="s">
        <v>375</v>
      </c>
      <c r="J1318" s="48" t="s">
        <v>375</v>
      </c>
      <c r="K1318" s="48" t="s">
        <v>375</v>
      </c>
      <c r="L1318" s="48" t="s">
        <v>375</v>
      </c>
      <c r="M1318" s="48" t="s">
        <v>375</v>
      </c>
      <c r="N1318" s="48" t="s">
        <v>375</v>
      </c>
      <c r="O1318" s="48" t="s">
        <v>375</v>
      </c>
      <c r="P1318" s="48" t="s">
        <v>375</v>
      </c>
      <c r="Q1318" s="48" t="s">
        <v>375</v>
      </c>
      <c r="R1318" s="48" t="s">
        <v>375</v>
      </c>
      <c r="S1318" s="48" t="s">
        <v>375</v>
      </c>
      <c r="T1318" s="48" t="s">
        <v>375</v>
      </c>
      <c r="U1318" s="48" t="s">
        <v>375</v>
      </c>
      <c r="V1318" s="48" t="s">
        <v>375</v>
      </c>
      <c r="W1318" s="48" t="s">
        <v>375</v>
      </c>
      <c r="X1318" s="48" t="s">
        <v>375</v>
      </c>
      <c r="Y1318" s="48" t="s">
        <v>375</v>
      </c>
      <c r="Z1318" s="48" t="s">
        <v>375</v>
      </c>
      <c r="AA1318" s="48" t="s">
        <v>375</v>
      </c>
      <c r="AB1318" s="48" t="s">
        <v>375</v>
      </c>
      <c r="AC1318" s="48" t="s">
        <v>375</v>
      </c>
      <c r="AD1318" s="48" t="s">
        <v>375</v>
      </c>
      <c r="AE1318" s="48" t="s">
        <v>375</v>
      </c>
      <c r="AF1318" s="48" t="s">
        <v>375</v>
      </c>
      <c r="AG1318" s="48" t="s">
        <v>375</v>
      </c>
      <c r="AH1318" s="48" t="s">
        <v>375</v>
      </c>
      <c r="AI1318" s="48" t="s">
        <v>375</v>
      </c>
      <c r="AJ1318" s="48" t="s">
        <v>375</v>
      </c>
      <c r="AK1318" s="48" t="s">
        <v>375</v>
      </c>
      <c r="AL1318" s="48" t="s">
        <v>375</v>
      </c>
    </row>
    <row r="1319" spans="1:41" hidden="1" x14ac:dyDescent="0.25">
      <c r="A1319">
        <v>1318</v>
      </c>
      <c r="B1319">
        <v>2026</v>
      </c>
      <c r="C1319">
        <v>1</v>
      </c>
      <c r="D1319" t="s">
        <v>352</v>
      </c>
      <c r="E1319">
        <v>31</v>
      </c>
      <c r="F1319">
        <v>12</v>
      </c>
      <c r="G1319" t="s">
        <v>431</v>
      </c>
      <c r="H1319" s="48" t="s">
        <v>320</v>
      </c>
      <c r="I1319" s="48">
        <v>0.75</v>
      </c>
      <c r="J1319" s="48">
        <v>0.75</v>
      </c>
      <c r="K1319" s="48">
        <v>0.875</v>
      </c>
      <c r="L1319" s="48">
        <v>0.75</v>
      </c>
      <c r="M1319" s="48">
        <v>0.75</v>
      </c>
      <c r="N1319" s="48">
        <v>0.75</v>
      </c>
      <c r="O1319" s="48">
        <v>0.875</v>
      </c>
      <c r="P1319" s="48">
        <v>0.75</v>
      </c>
      <c r="Q1319" s="48">
        <v>0.75</v>
      </c>
      <c r="R1319" s="48">
        <v>0.75</v>
      </c>
      <c r="S1319" s="48">
        <v>0.83333333333333326</v>
      </c>
      <c r="T1319" s="48">
        <v>0.75</v>
      </c>
      <c r="U1319" s="48">
        <v>0.75</v>
      </c>
      <c r="V1319" s="48">
        <v>0.95833333333333326</v>
      </c>
      <c r="W1319" s="48">
        <v>0.91666666666666674</v>
      </c>
      <c r="X1319" s="48">
        <v>0.75</v>
      </c>
      <c r="Y1319" s="48">
        <v>0.75</v>
      </c>
      <c r="Z1319" s="48">
        <v>0.83333333333333326</v>
      </c>
      <c r="AA1319" s="48">
        <v>0.75</v>
      </c>
      <c r="AB1319" s="48">
        <v>0.75</v>
      </c>
      <c r="AC1319" s="48">
        <v>0.75</v>
      </c>
      <c r="AD1319" s="48">
        <v>0.75</v>
      </c>
      <c r="AE1319" s="48">
        <v>0.75</v>
      </c>
      <c r="AF1319" s="48">
        <v>0.75</v>
      </c>
      <c r="AG1319" s="48">
        <v>0.75</v>
      </c>
      <c r="AH1319" s="48">
        <v>0.75</v>
      </c>
      <c r="AI1319" s="48">
        <v>0.875</v>
      </c>
      <c r="AJ1319" s="48">
        <v>0.75</v>
      </c>
      <c r="AK1319" s="48">
        <v>0.75</v>
      </c>
      <c r="AL1319" s="48">
        <v>0.75</v>
      </c>
      <c r="AM1319" cm="1">
        <f t="array" ref="AM1319">SUM(_xlfn.LET(_xlpm.r,((IFERROR(H1319:AL1319-H1318:AL1318,0))*24)/10,IF(_xlpm.r&gt;1,1,_xlpm.r)))</f>
        <v>30</v>
      </c>
      <c r="AO1319" cm="1">
        <f t="array" ref="AO1319">SUM(IFERROR(MOD((H1319:AL1319-H1318:AL1318)*24,11),""))</f>
        <v>21.999999999999986</v>
      </c>
    </row>
    <row r="1320" spans="1:41" hidden="1" x14ac:dyDescent="0.25">
      <c r="A1320">
        <v>1319</v>
      </c>
      <c r="B1320">
        <v>2026</v>
      </c>
      <c r="C1320">
        <v>1</v>
      </c>
      <c r="D1320" t="s">
        <v>157</v>
      </c>
      <c r="E1320">
        <v>31</v>
      </c>
      <c r="F1320">
        <v>12</v>
      </c>
      <c r="G1320" t="s">
        <v>430</v>
      </c>
      <c r="H1320" s="48" t="s">
        <v>375</v>
      </c>
      <c r="I1320" s="48" t="s">
        <v>375</v>
      </c>
      <c r="J1320" s="48" t="s">
        <v>375</v>
      </c>
      <c r="K1320" s="48" t="s">
        <v>375</v>
      </c>
      <c r="L1320" s="48" t="s">
        <v>375</v>
      </c>
      <c r="M1320" s="48" t="s">
        <v>375</v>
      </c>
      <c r="N1320" s="48" t="s">
        <v>375</v>
      </c>
      <c r="O1320" s="48" t="s">
        <v>375</v>
      </c>
      <c r="P1320" s="48" t="s">
        <v>375</v>
      </c>
      <c r="Q1320" s="48" t="s">
        <v>375</v>
      </c>
      <c r="R1320" s="48" t="s">
        <v>375</v>
      </c>
      <c r="S1320" s="48" t="s">
        <v>375</v>
      </c>
      <c r="T1320" s="48" t="s">
        <v>375</v>
      </c>
      <c r="U1320" s="48" t="s">
        <v>375</v>
      </c>
      <c r="V1320" s="48" t="s">
        <v>375</v>
      </c>
      <c r="W1320" s="48" t="s">
        <v>375</v>
      </c>
      <c r="X1320" s="48" t="s">
        <v>375</v>
      </c>
      <c r="Y1320" s="48" t="s">
        <v>375</v>
      </c>
      <c r="Z1320" s="48" t="s">
        <v>375</v>
      </c>
      <c r="AA1320" s="48" t="s">
        <v>375</v>
      </c>
      <c r="AB1320" s="48" t="s">
        <v>375</v>
      </c>
      <c r="AC1320" s="48" t="s">
        <v>375</v>
      </c>
      <c r="AD1320" s="48" t="s">
        <v>375</v>
      </c>
      <c r="AE1320" s="48" t="s">
        <v>375</v>
      </c>
      <c r="AF1320" s="48" t="s">
        <v>375</v>
      </c>
      <c r="AG1320" s="48" t="s">
        <v>375</v>
      </c>
      <c r="AH1320" s="48" t="s">
        <v>375</v>
      </c>
      <c r="AI1320" s="48" t="s">
        <v>375</v>
      </c>
      <c r="AJ1320" s="48" t="s">
        <v>320</v>
      </c>
      <c r="AK1320" s="48" t="s">
        <v>375</v>
      </c>
      <c r="AL1320" s="48" t="s">
        <v>375</v>
      </c>
    </row>
    <row r="1321" spans="1:41" hidden="1" x14ac:dyDescent="0.25">
      <c r="A1321">
        <v>1320</v>
      </c>
      <c r="B1321">
        <v>2026</v>
      </c>
      <c r="C1321">
        <v>1</v>
      </c>
      <c r="D1321" t="s">
        <v>157</v>
      </c>
      <c r="E1321">
        <v>31</v>
      </c>
      <c r="F1321">
        <v>12</v>
      </c>
      <c r="G1321" t="s">
        <v>431</v>
      </c>
      <c r="H1321" s="48">
        <v>0.75</v>
      </c>
      <c r="I1321" s="48">
        <v>0.75</v>
      </c>
      <c r="J1321" s="48">
        <v>0.75</v>
      </c>
      <c r="K1321" s="48">
        <v>0.75</v>
      </c>
      <c r="L1321" s="48">
        <v>0.75</v>
      </c>
      <c r="M1321" s="48">
        <v>0.75</v>
      </c>
      <c r="N1321" s="48">
        <v>0.75</v>
      </c>
      <c r="O1321" s="48">
        <v>0.75</v>
      </c>
      <c r="P1321" s="48">
        <v>0.75</v>
      </c>
      <c r="Q1321" s="48">
        <v>0.75</v>
      </c>
      <c r="R1321" s="48">
        <v>0.75</v>
      </c>
      <c r="S1321" s="48">
        <v>0.75</v>
      </c>
      <c r="T1321" s="48">
        <v>0.75</v>
      </c>
      <c r="U1321" s="48">
        <v>0.75</v>
      </c>
      <c r="V1321" s="48">
        <v>0.75</v>
      </c>
      <c r="W1321" s="48">
        <v>0.75</v>
      </c>
      <c r="X1321" s="48">
        <v>0.75</v>
      </c>
      <c r="Y1321" s="48">
        <v>0.75</v>
      </c>
      <c r="Z1321" s="48">
        <v>0.75</v>
      </c>
      <c r="AA1321" s="48">
        <v>0.75</v>
      </c>
      <c r="AB1321" s="48">
        <v>0.75</v>
      </c>
      <c r="AC1321" s="48">
        <v>0.75</v>
      </c>
      <c r="AD1321" s="48">
        <v>0.75</v>
      </c>
      <c r="AE1321" s="48">
        <v>0.75</v>
      </c>
      <c r="AF1321" s="48">
        <v>0.75</v>
      </c>
      <c r="AG1321" s="48">
        <v>0.75</v>
      </c>
      <c r="AH1321" s="48">
        <v>0.75</v>
      </c>
      <c r="AI1321" s="48">
        <v>0.75</v>
      </c>
      <c r="AJ1321" s="48" t="s">
        <v>320</v>
      </c>
      <c r="AK1321" s="48">
        <v>0.75</v>
      </c>
      <c r="AL1321" s="48">
        <v>0.75</v>
      </c>
      <c r="AM1321">
        <v>30</v>
      </c>
    </row>
    <row r="1322" spans="1:41" hidden="1" x14ac:dyDescent="0.25">
      <c r="A1322">
        <v>1321</v>
      </c>
      <c r="B1322">
        <v>2026</v>
      </c>
      <c r="C1322">
        <v>1</v>
      </c>
      <c r="D1322" t="s">
        <v>182</v>
      </c>
      <c r="E1322">
        <v>31</v>
      </c>
      <c r="F1322">
        <v>12</v>
      </c>
      <c r="G1322" t="s">
        <v>430</v>
      </c>
      <c r="H1322" s="48" t="s">
        <v>320</v>
      </c>
      <c r="I1322" s="48" t="s">
        <v>320</v>
      </c>
      <c r="J1322" s="48" t="s">
        <v>320</v>
      </c>
      <c r="K1322" s="48" t="s">
        <v>320</v>
      </c>
      <c r="L1322" s="48" t="s">
        <v>320</v>
      </c>
      <c r="M1322" s="48" t="s">
        <v>320</v>
      </c>
      <c r="N1322" s="48" t="s">
        <v>320</v>
      </c>
      <c r="O1322" s="48" t="s">
        <v>320</v>
      </c>
      <c r="P1322" s="48" t="s">
        <v>320</v>
      </c>
      <c r="Q1322" s="48" t="s">
        <v>320</v>
      </c>
      <c r="R1322" s="48" t="s">
        <v>320</v>
      </c>
      <c r="S1322" s="48" t="s">
        <v>320</v>
      </c>
      <c r="T1322" s="48" t="s">
        <v>320</v>
      </c>
      <c r="U1322" s="48" t="s">
        <v>320</v>
      </c>
      <c r="V1322" s="48" t="s">
        <v>320</v>
      </c>
      <c r="W1322" s="48" t="s">
        <v>320</v>
      </c>
      <c r="X1322" s="48" t="s">
        <v>320</v>
      </c>
      <c r="Y1322" s="48" t="s">
        <v>320</v>
      </c>
      <c r="Z1322" s="48" t="s">
        <v>320</v>
      </c>
      <c r="AA1322" s="48" t="s">
        <v>320</v>
      </c>
      <c r="AB1322" s="48" t="s">
        <v>320</v>
      </c>
      <c r="AC1322" s="48" t="s">
        <v>375</v>
      </c>
      <c r="AD1322" s="48" t="s">
        <v>375</v>
      </c>
      <c r="AE1322" s="48" t="s">
        <v>375</v>
      </c>
      <c r="AF1322" s="48" t="s">
        <v>375</v>
      </c>
      <c r="AG1322" s="48" t="s">
        <v>375</v>
      </c>
      <c r="AH1322" s="48" t="s">
        <v>375</v>
      </c>
      <c r="AI1322" s="48" t="s">
        <v>375</v>
      </c>
      <c r="AJ1322" s="48" t="s">
        <v>375</v>
      </c>
      <c r="AK1322" s="48" t="s">
        <v>375</v>
      </c>
      <c r="AL1322" s="48" t="s">
        <v>375</v>
      </c>
    </row>
    <row r="1323" spans="1:41" hidden="1" x14ac:dyDescent="0.25">
      <c r="A1323">
        <v>1322</v>
      </c>
      <c r="B1323">
        <v>2026</v>
      </c>
      <c r="C1323">
        <v>1</v>
      </c>
      <c r="D1323" t="s">
        <v>182</v>
      </c>
      <c r="E1323">
        <v>31</v>
      </c>
      <c r="F1323">
        <v>12</v>
      </c>
      <c r="G1323" t="s">
        <v>431</v>
      </c>
      <c r="H1323" s="48" t="s">
        <v>320</v>
      </c>
      <c r="I1323" s="48" t="s">
        <v>320</v>
      </c>
      <c r="J1323" s="48" t="s">
        <v>320</v>
      </c>
      <c r="K1323" s="48" t="s">
        <v>320</v>
      </c>
      <c r="L1323" s="48" t="s">
        <v>320</v>
      </c>
      <c r="M1323" s="48" t="s">
        <v>320</v>
      </c>
      <c r="N1323" s="48" t="s">
        <v>320</v>
      </c>
      <c r="O1323" s="48" t="s">
        <v>320</v>
      </c>
      <c r="P1323" s="48" t="s">
        <v>320</v>
      </c>
      <c r="Q1323" s="48" t="s">
        <v>320</v>
      </c>
      <c r="R1323" s="48" t="s">
        <v>320</v>
      </c>
      <c r="S1323" s="48" t="s">
        <v>320</v>
      </c>
      <c r="T1323" s="48" t="s">
        <v>320</v>
      </c>
      <c r="U1323" s="48" t="s">
        <v>320</v>
      </c>
      <c r="V1323" s="48" t="s">
        <v>320</v>
      </c>
      <c r="W1323" s="48" t="s">
        <v>320</v>
      </c>
      <c r="X1323" s="48" t="s">
        <v>320</v>
      </c>
      <c r="Y1323" s="48" t="s">
        <v>320</v>
      </c>
      <c r="Z1323" s="48" t="s">
        <v>320</v>
      </c>
      <c r="AA1323" s="48" t="s">
        <v>320</v>
      </c>
      <c r="AB1323" s="48" t="s">
        <v>320</v>
      </c>
      <c r="AC1323" s="48">
        <v>0.75</v>
      </c>
      <c r="AD1323" s="48">
        <v>0.75</v>
      </c>
      <c r="AE1323" s="48">
        <v>0.75</v>
      </c>
      <c r="AF1323" s="48">
        <v>0.75</v>
      </c>
      <c r="AG1323" s="48">
        <v>0.75</v>
      </c>
      <c r="AH1323" s="48">
        <v>0.75</v>
      </c>
      <c r="AI1323" s="48">
        <v>0.75</v>
      </c>
      <c r="AJ1323" s="48">
        <v>0.75</v>
      </c>
      <c r="AK1323" s="48">
        <v>0.75</v>
      </c>
      <c r="AL1323" s="48">
        <v>0.75</v>
      </c>
      <c r="AM1323" cm="1">
        <f t="array" ref="AM1323">SUM(_xlfn.LET(_xlpm.r,((IFERROR(H1323:AL1323-H1322:AL1322,0))*24)/10,IF(_xlpm.r&gt;1,1,_xlpm.r)))</f>
        <v>10</v>
      </c>
    </row>
    <row r="1324" spans="1:41" hidden="1" x14ac:dyDescent="0.25">
      <c r="A1324">
        <v>1323</v>
      </c>
      <c r="B1324">
        <v>2026</v>
      </c>
      <c r="C1324">
        <v>1</v>
      </c>
      <c r="D1324" t="s">
        <v>648</v>
      </c>
      <c r="E1324">
        <v>31</v>
      </c>
      <c r="F1324">
        <v>12</v>
      </c>
      <c r="G1324" t="s">
        <v>430</v>
      </c>
      <c r="H1324" s="48" t="s">
        <v>320</v>
      </c>
      <c r="I1324" s="48" t="s">
        <v>375</v>
      </c>
      <c r="J1324" s="48" t="s">
        <v>375</v>
      </c>
      <c r="K1324" s="48" t="s">
        <v>375</v>
      </c>
      <c r="L1324" s="48" t="s">
        <v>375</v>
      </c>
      <c r="M1324" s="48" t="s">
        <v>375</v>
      </c>
      <c r="N1324" s="48" t="s">
        <v>375</v>
      </c>
      <c r="O1324" s="48" t="s">
        <v>375</v>
      </c>
      <c r="P1324" s="48" t="s">
        <v>375</v>
      </c>
      <c r="Q1324" s="48" t="s">
        <v>375</v>
      </c>
      <c r="R1324" s="48" t="s">
        <v>375</v>
      </c>
      <c r="S1324" s="48" t="s">
        <v>375</v>
      </c>
      <c r="T1324" s="48" t="s">
        <v>375</v>
      </c>
      <c r="U1324" s="48" t="s">
        <v>375</v>
      </c>
      <c r="V1324" s="48" t="s">
        <v>375</v>
      </c>
      <c r="W1324" s="48" t="s">
        <v>375</v>
      </c>
      <c r="X1324" s="48" t="s">
        <v>375</v>
      </c>
      <c r="Y1324" s="48" t="s">
        <v>375</v>
      </c>
      <c r="Z1324" s="48" t="s">
        <v>375</v>
      </c>
      <c r="AA1324" s="48" t="s">
        <v>375</v>
      </c>
      <c r="AB1324" s="48" t="s">
        <v>375</v>
      </c>
      <c r="AC1324" s="48" t="s">
        <v>375</v>
      </c>
      <c r="AD1324" s="48" t="s">
        <v>375</v>
      </c>
      <c r="AE1324" s="48" t="s">
        <v>375</v>
      </c>
      <c r="AF1324" s="48" t="s">
        <v>375</v>
      </c>
      <c r="AG1324" s="48" t="s">
        <v>375</v>
      </c>
      <c r="AH1324" s="48" t="s">
        <v>375</v>
      </c>
      <c r="AI1324" s="48" t="s">
        <v>375</v>
      </c>
      <c r="AJ1324" s="48" t="s">
        <v>375</v>
      </c>
      <c r="AK1324" s="48" t="s">
        <v>375</v>
      </c>
      <c r="AL1324" s="48" t="s">
        <v>375</v>
      </c>
    </row>
    <row r="1325" spans="1:41" hidden="1" x14ac:dyDescent="0.25">
      <c r="A1325">
        <v>1324</v>
      </c>
      <c r="B1325">
        <v>2026</v>
      </c>
      <c r="C1325">
        <v>1</v>
      </c>
      <c r="D1325" t="s">
        <v>648</v>
      </c>
      <c r="E1325">
        <v>31</v>
      </c>
      <c r="F1325">
        <v>12</v>
      </c>
      <c r="G1325" t="s">
        <v>431</v>
      </c>
      <c r="H1325" s="48" t="s">
        <v>320</v>
      </c>
      <c r="I1325" s="48">
        <v>0.75</v>
      </c>
      <c r="J1325" s="48">
        <v>0.75</v>
      </c>
      <c r="K1325" s="48">
        <v>0.75</v>
      </c>
      <c r="L1325" s="48">
        <v>0.875</v>
      </c>
      <c r="M1325" s="48">
        <v>0.875</v>
      </c>
      <c r="N1325" s="48">
        <v>0.875</v>
      </c>
      <c r="O1325" s="48">
        <v>0.875</v>
      </c>
      <c r="P1325" s="48">
        <v>0.91666666666666674</v>
      </c>
      <c r="Q1325" s="48">
        <v>0.875</v>
      </c>
      <c r="R1325" s="48">
        <v>0.75</v>
      </c>
      <c r="S1325" s="48">
        <v>0.875</v>
      </c>
      <c r="T1325" s="48">
        <v>0.875</v>
      </c>
      <c r="U1325" s="48">
        <v>0.875</v>
      </c>
      <c r="V1325" s="48">
        <v>0.875</v>
      </c>
      <c r="W1325" s="48">
        <v>0.875</v>
      </c>
      <c r="X1325" s="48">
        <v>0.75</v>
      </c>
      <c r="Y1325" s="48">
        <v>0.875</v>
      </c>
      <c r="Z1325" s="48">
        <v>0.875</v>
      </c>
      <c r="AA1325" s="48">
        <v>0.75</v>
      </c>
      <c r="AB1325" s="48">
        <v>0.875</v>
      </c>
      <c r="AC1325" s="48">
        <v>0.75</v>
      </c>
      <c r="AD1325" s="48">
        <v>0.875</v>
      </c>
      <c r="AE1325" s="48">
        <v>0.75</v>
      </c>
      <c r="AF1325" s="48">
        <v>0.75</v>
      </c>
      <c r="AG1325" s="48">
        <v>0.875</v>
      </c>
      <c r="AH1325" s="48">
        <v>0.875</v>
      </c>
      <c r="AI1325" s="48">
        <v>1</v>
      </c>
      <c r="AJ1325" s="48">
        <v>0.875</v>
      </c>
      <c r="AK1325" s="48">
        <v>0.875</v>
      </c>
      <c r="AL1325" s="48">
        <v>0.75</v>
      </c>
      <c r="AM1325" cm="1">
        <f t="array" ref="AM1325">SUM(_xlfn.LET(_xlpm.r,((IFERROR(H1325:AL1325-H1324:AL1324,0))*24)/10,IF(_xlpm.r&gt;1,1,_xlpm.r)))</f>
        <v>30</v>
      </c>
      <c r="AO1325" cm="1">
        <f t="array" ref="AO1325">SUM(IFERROR(MOD((H1325:AL1325-H1324:AL1324)*24,11),""))</f>
        <v>63.999999999999993</v>
      </c>
    </row>
    <row r="1326" spans="1:41" hidden="1" x14ac:dyDescent="0.25">
      <c r="A1326">
        <v>1325</v>
      </c>
      <c r="B1326">
        <v>2026</v>
      </c>
      <c r="C1326">
        <v>1</v>
      </c>
      <c r="D1326" t="s">
        <v>183</v>
      </c>
      <c r="E1326">
        <v>31</v>
      </c>
      <c r="F1326">
        <v>12</v>
      </c>
      <c r="G1326" t="s">
        <v>430</v>
      </c>
      <c r="H1326" s="48" t="s">
        <v>375</v>
      </c>
      <c r="I1326" s="48" t="s">
        <v>375</v>
      </c>
      <c r="J1326" s="48" t="s">
        <v>375</v>
      </c>
      <c r="K1326" s="48" t="s">
        <v>375</v>
      </c>
      <c r="L1326" s="48" t="s">
        <v>375</v>
      </c>
      <c r="M1326" s="48" t="s">
        <v>375</v>
      </c>
      <c r="N1326" s="48" t="s">
        <v>375</v>
      </c>
      <c r="O1326" s="48" t="s">
        <v>375</v>
      </c>
      <c r="P1326" s="48" t="s">
        <v>375</v>
      </c>
      <c r="Q1326" s="48" t="s">
        <v>375</v>
      </c>
      <c r="R1326" s="48" t="s">
        <v>375</v>
      </c>
      <c r="S1326" s="48" t="s">
        <v>375</v>
      </c>
      <c r="T1326" s="48" t="s">
        <v>375</v>
      </c>
      <c r="U1326" s="48" t="s">
        <v>375</v>
      </c>
      <c r="V1326" s="48" t="s">
        <v>375</v>
      </c>
      <c r="W1326" s="48" t="s">
        <v>375</v>
      </c>
      <c r="X1326" s="48" t="s">
        <v>375</v>
      </c>
      <c r="Y1326" s="48" t="s">
        <v>375</v>
      </c>
      <c r="Z1326" s="48" t="s">
        <v>375</v>
      </c>
      <c r="AA1326" s="48" t="s">
        <v>375</v>
      </c>
      <c r="AB1326" s="48" t="s">
        <v>375</v>
      </c>
      <c r="AC1326" s="48" t="s">
        <v>375</v>
      </c>
      <c r="AD1326" s="48" t="s">
        <v>375</v>
      </c>
      <c r="AE1326" s="48" t="s">
        <v>375</v>
      </c>
      <c r="AF1326" s="48" t="s">
        <v>375</v>
      </c>
      <c r="AG1326" s="48" t="s">
        <v>375</v>
      </c>
      <c r="AH1326" s="48" t="s">
        <v>375</v>
      </c>
      <c r="AI1326" s="48" t="s">
        <v>375</v>
      </c>
      <c r="AJ1326" s="48" t="s">
        <v>375</v>
      </c>
      <c r="AK1326" s="48" t="s">
        <v>320</v>
      </c>
      <c r="AL1326" s="48" t="s">
        <v>375</v>
      </c>
    </row>
    <row r="1327" spans="1:41" hidden="1" x14ac:dyDescent="0.25">
      <c r="A1327">
        <v>1326</v>
      </c>
      <c r="B1327">
        <v>2026</v>
      </c>
      <c r="C1327">
        <v>1</v>
      </c>
      <c r="D1327" t="s">
        <v>183</v>
      </c>
      <c r="E1327">
        <v>31</v>
      </c>
      <c r="F1327">
        <v>12</v>
      </c>
      <c r="G1327" t="s">
        <v>431</v>
      </c>
      <c r="H1327" s="48">
        <v>0.75</v>
      </c>
      <c r="I1327" s="48">
        <v>0.75</v>
      </c>
      <c r="J1327" s="48">
        <v>0.75</v>
      </c>
      <c r="K1327" s="48">
        <v>0.75</v>
      </c>
      <c r="L1327" s="48">
        <v>0.75</v>
      </c>
      <c r="M1327" s="48">
        <v>0.75</v>
      </c>
      <c r="N1327" s="48">
        <v>0.75</v>
      </c>
      <c r="O1327" s="48">
        <v>0.75</v>
      </c>
      <c r="P1327" s="48">
        <v>0.75</v>
      </c>
      <c r="Q1327" s="48">
        <v>0.75</v>
      </c>
      <c r="R1327" s="48">
        <v>0.75</v>
      </c>
      <c r="S1327" s="48">
        <v>0.75</v>
      </c>
      <c r="T1327" s="48">
        <v>0.75</v>
      </c>
      <c r="U1327" s="48">
        <v>0.75</v>
      </c>
      <c r="V1327" s="48">
        <v>0.75</v>
      </c>
      <c r="W1327" s="48">
        <v>0.75</v>
      </c>
      <c r="X1327" s="48">
        <v>0.75</v>
      </c>
      <c r="Y1327" s="48">
        <v>0.75</v>
      </c>
      <c r="Z1327" s="48">
        <v>0.75</v>
      </c>
      <c r="AA1327" s="48">
        <v>0.75</v>
      </c>
      <c r="AB1327" s="48">
        <v>0.75</v>
      </c>
      <c r="AC1327" s="48">
        <v>0.75</v>
      </c>
      <c r="AD1327" s="48">
        <v>0.75</v>
      </c>
      <c r="AE1327" s="48">
        <v>0.75</v>
      </c>
      <c r="AF1327" s="48">
        <v>0.75</v>
      </c>
      <c r="AG1327" s="48">
        <v>0.75</v>
      </c>
      <c r="AH1327" s="48">
        <v>0.75</v>
      </c>
      <c r="AI1327" s="48">
        <v>0.75</v>
      </c>
      <c r="AJ1327" s="48">
        <v>0.75</v>
      </c>
      <c r="AK1327" s="48" t="s">
        <v>320</v>
      </c>
      <c r="AL1327" s="48">
        <v>0.75</v>
      </c>
      <c r="AM1327">
        <v>30</v>
      </c>
    </row>
    <row r="1328" spans="1:41" hidden="1" x14ac:dyDescent="0.25">
      <c r="A1328">
        <v>1327</v>
      </c>
      <c r="B1328">
        <v>2026</v>
      </c>
      <c r="C1328">
        <v>1</v>
      </c>
      <c r="D1328" t="s">
        <v>172</v>
      </c>
      <c r="E1328">
        <v>31</v>
      </c>
      <c r="F1328">
        <v>12</v>
      </c>
      <c r="G1328" t="s">
        <v>430</v>
      </c>
      <c r="H1328" s="48" t="s">
        <v>320</v>
      </c>
      <c r="I1328" s="48" t="s">
        <v>375</v>
      </c>
      <c r="J1328" s="48" t="s">
        <v>375</v>
      </c>
      <c r="K1328" s="48" t="s">
        <v>375</v>
      </c>
      <c r="L1328" s="48" t="s">
        <v>375</v>
      </c>
      <c r="M1328" s="48" t="s">
        <v>375</v>
      </c>
      <c r="N1328" s="48" t="s">
        <v>375</v>
      </c>
      <c r="O1328" s="48" t="s">
        <v>375</v>
      </c>
      <c r="P1328" s="48" t="s">
        <v>375</v>
      </c>
      <c r="Q1328" s="48" t="s">
        <v>375</v>
      </c>
      <c r="R1328" s="48" t="s">
        <v>375</v>
      </c>
      <c r="S1328" s="48" t="s">
        <v>375</v>
      </c>
      <c r="T1328" s="48" t="s">
        <v>375</v>
      </c>
      <c r="U1328" s="48" t="s">
        <v>375</v>
      </c>
      <c r="V1328" s="48" t="s">
        <v>375</v>
      </c>
      <c r="W1328" s="48" t="s">
        <v>375</v>
      </c>
      <c r="X1328" s="48" t="s">
        <v>375</v>
      </c>
      <c r="Y1328" s="48" t="s">
        <v>375</v>
      </c>
      <c r="Z1328" s="48" t="s">
        <v>375</v>
      </c>
      <c r="AA1328" s="48" t="s">
        <v>375</v>
      </c>
      <c r="AB1328" s="48" t="s">
        <v>375</v>
      </c>
      <c r="AC1328" s="48" t="s">
        <v>375</v>
      </c>
      <c r="AD1328" s="48" t="s">
        <v>375</v>
      </c>
      <c r="AE1328" s="48" t="s">
        <v>375</v>
      </c>
      <c r="AF1328" s="48" t="s">
        <v>375</v>
      </c>
      <c r="AG1328" s="48" t="s">
        <v>375</v>
      </c>
      <c r="AH1328" s="48" t="s">
        <v>375</v>
      </c>
      <c r="AI1328" s="48" t="s">
        <v>375</v>
      </c>
      <c r="AJ1328" s="48" t="s">
        <v>375</v>
      </c>
      <c r="AK1328" s="48" t="s">
        <v>375</v>
      </c>
      <c r="AL1328" s="48" t="s">
        <v>375</v>
      </c>
    </row>
    <row r="1329" spans="1:41" hidden="1" x14ac:dyDescent="0.25">
      <c r="A1329">
        <v>1328</v>
      </c>
      <c r="B1329">
        <v>2026</v>
      </c>
      <c r="C1329">
        <v>1</v>
      </c>
      <c r="D1329" t="s">
        <v>172</v>
      </c>
      <c r="E1329">
        <v>31</v>
      </c>
      <c r="F1329">
        <v>12</v>
      </c>
      <c r="G1329" t="s">
        <v>431</v>
      </c>
      <c r="H1329" s="48" t="s">
        <v>320</v>
      </c>
      <c r="I1329" s="48">
        <v>0.75</v>
      </c>
      <c r="J1329" s="48">
        <v>0.75</v>
      </c>
      <c r="K1329" s="48">
        <v>0.75</v>
      </c>
      <c r="L1329" s="48">
        <v>0.75</v>
      </c>
      <c r="M1329" s="48">
        <v>0.75</v>
      </c>
      <c r="N1329" s="48">
        <v>0.75</v>
      </c>
      <c r="O1329" s="48">
        <v>0.75</v>
      </c>
      <c r="P1329" s="48">
        <v>0.75</v>
      </c>
      <c r="Q1329" s="48">
        <v>0.75</v>
      </c>
      <c r="R1329" s="48">
        <v>0.75</v>
      </c>
      <c r="S1329" s="48">
        <v>0.75</v>
      </c>
      <c r="T1329" s="48">
        <v>0.75</v>
      </c>
      <c r="U1329" s="48">
        <v>0.75</v>
      </c>
      <c r="V1329" s="48">
        <v>0.75</v>
      </c>
      <c r="W1329" s="48">
        <v>0.75</v>
      </c>
      <c r="X1329" s="48">
        <v>0.75</v>
      </c>
      <c r="Y1329" s="48">
        <v>0.75</v>
      </c>
      <c r="Z1329" s="48">
        <v>0.75</v>
      </c>
      <c r="AA1329" s="48">
        <v>0.75</v>
      </c>
      <c r="AB1329" s="48">
        <v>0.75</v>
      </c>
      <c r="AC1329" s="48">
        <v>0.75</v>
      </c>
      <c r="AD1329" s="48">
        <v>0.75</v>
      </c>
      <c r="AE1329" s="48">
        <v>0.75</v>
      </c>
      <c r="AF1329" s="48">
        <v>0.75</v>
      </c>
      <c r="AG1329" s="48">
        <v>0.75</v>
      </c>
      <c r="AH1329" s="48">
        <v>0.75</v>
      </c>
      <c r="AI1329" s="48">
        <v>0.75</v>
      </c>
      <c r="AJ1329" s="48">
        <v>0.75</v>
      </c>
      <c r="AK1329" s="48">
        <v>0.75</v>
      </c>
      <c r="AL1329" s="48">
        <v>0.75</v>
      </c>
      <c r="AM1329" cm="1">
        <f t="array" ref="AM1329">SUM(_xlfn.LET(_xlpm.r,((IFERROR(H1329:AL1329-H1328:AL1328,0))*24)/10,IF(_xlpm.r&gt;1,1,_xlpm.r)))</f>
        <v>30</v>
      </c>
    </row>
    <row r="1330" spans="1:41" hidden="1" x14ac:dyDescent="0.25">
      <c r="A1330">
        <v>1329</v>
      </c>
      <c r="B1330">
        <v>2026</v>
      </c>
      <c r="C1330">
        <v>1</v>
      </c>
      <c r="D1330" t="s">
        <v>167</v>
      </c>
      <c r="E1330">
        <v>31</v>
      </c>
      <c r="F1330">
        <v>12</v>
      </c>
      <c r="G1330" t="s">
        <v>430</v>
      </c>
      <c r="H1330" s="48" t="s">
        <v>320</v>
      </c>
      <c r="I1330" s="48" t="s">
        <v>375</v>
      </c>
      <c r="J1330" s="48" t="s">
        <v>375</v>
      </c>
      <c r="K1330" s="48" t="s">
        <v>375</v>
      </c>
      <c r="L1330" s="48" t="s">
        <v>375</v>
      </c>
      <c r="M1330" s="48" t="s">
        <v>375</v>
      </c>
      <c r="N1330" s="48" t="s">
        <v>375</v>
      </c>
      <c r="O1330" s="48" t="s">
        <v>375</v>
      </c>
      <c r="P1330" s="48" t="s">
        <v>375</v>
      </c>
      <c r="Q1330" s="48" t="s">
        <v>375</v>
      </c>
      <c r="R1330" s="48" t="s">
        <v>375</v>
      </c>
      <c r="S1330" s="48" t="s">
        <v>375</v>
      </c>
      <c r="T1330" s="48" t="s">
        <v>375</v>
      </c>
      <c r="U1330" s="48" t="s">
        <v>375</v>
      </c>
      <c r="V1330" s="48" t="s">
        <v>375</v>
      </c>
      <c r="W1330" s="48" t="s">
        <v>375</v>
      </c>
      <c r="X1330" s="48" t="s">
        <v>375</v>
      </c>
      <c r="Y1330" s="48" t="s">
        <v>320</v>
      </c>
      <c r="Z1330" s="48" t="s">
        <v>375</v>
      </c>
      <c r="AA1330" s="48" t="s">
        <v>375</v>
      </c>
      <c r="AB1330" s="48" t="s">
        <v>375</v>
      </c>
      <c r="AC1330" s="48" t="s">
        <v>375</v>
      </c>
      <c r="AD1330" s="48" t="s">
        <v>375</v>
      </c>
      <c r="AE1330" s="48" t="s">
        <v>375</v>
      </c>
      <c r="AF1330" s="48" t="s">
        <v>375</v>
      </c>
      <c r="AG1330" s="48" t="s">
        <v>375</v>
      </c>
      <c r="AH1330" s="48" t="s">
        <v>375</v>
      </c>
      <c r="AI1330" s="48" t="s">
        <v>320</v>
      </c>
      <c r="AJ1330" s="48" t="s">
        <v>375</v>
      </c>
      <c r="AK1330" s="48" t="s">
        <v>375</v>
      </c>
      <c r="AL1330" s="48" t="s">
        <v>375</v>
      </c>
    </row>
    <row r="1331" spans="1:41" hidden="1" x14ac:dyDescent="0.25">
      <c r="A1331">
        <v>1330</v>
      </c>
      <c r="B1331">
        <v>2026</v>
      </c>
      <c r="C1331">
        <v>1</v>
      </c>
      <c r="D1331" t="s">
        <v>167</v>
      </c>
      <c r="E1331">
        <v>31</v>
      </c>
      <c r="F1331">
        <v>12</v>
      </c>
      <c r="G1331" t="s">
        <v>431</v>
      </c>
      <c r="H1331" s="48" t="s">
        <v>320</v>
      </c>
      <c r="I1331" s="48">
        <v>0.75</v>
      </c>
      <c r="J1331" s="48">
        <v>0.75</v>
      </c>
      <c r="K1331" s="48">
        <v>0.875</v>
      </c>
      <c r="L1331" s="48">
        <v>0.75</v>
      </c>
      <c r="M1331" s="48">
        <v>0.75</v>
      </c>
      <c r="N1331" s="48">
        <v>0.875</v>
      </c>
      <c r="O1331" s="48">
        <v>0.75</v>
      </c>
      <c r="P1331" s="48">
        <v>0.875</v>
      </c>
      <c r="Q1331" s="48">
        <v>0.875</v>
      </c>
      <c r="R1331" s="48">
        <v>0.75</v>
      </c>
      <c r="S1331" s="48">
        <v>0.875</v>
      </c>
      <c r="T1331" s="48">
        <v>0.75</v>
      </c>
      <c r="U1331" s="48">
        <v>0.875</v>
      </c>
      <c r="V1331" s="48">
        <v>0.875</v>
      </c>
      <c r="W1331" s="48">
        <v>0.75</v>
      </c>
      <c r="X1331" s="48">
        <v>0.875</v>
      </c>
      <c r="Y1331" s="48" t="s">
        <v>320</v>
      </c>
      <c r="Z1331" s="48">
        <v>0.75</v>
      </c>
      <c r="AA1331" s="48">
        <v>0.875</v>
      </c>
      <c r="AB1331" s="48">
        <v>0.75</v>
      </c>
      <c r="AC1331" s="48">
        <v>0.875</v>
      </c>
      <c r="AD1331" s="48">
        <v>0.75</v>
      </c>
      <c r="AE1331" s="48">
        <v>0.875</v>
      </c>
      <c r="AF1331" s="48">
        <v>0.875</v>
      </c>
      <c r="AG1331" s="48">
        <v>0.75</v>
      </c>
      <c r="AH1331" s="48">
        <v>0.875</v>
      </c>
      <c r="AI1331" s="48" t="s">
        <v>320</v>
      </c>
      <c r="AJ1331" s="48">
        <v>0.875</v>
      </c>
      <c r="AK1331" s="48">
        <v>0.875</v>
      </c>
      <c r="AL1331" s="48">
        <v>0.875</v>
      </c>
      <c r="AM1331" cm="1">
        <f t="array" ref="AM1331">SUM(_xlfn.LET(_xlpm.r,((IFERROR(H1331:AL1331-H1330:AL1330,0))*24)/10,IF(_xlpm.r&gt;1,1,_xlpm.r)))</f>
        <v>28</v>
      </c>
      <c r="AO1331" cm="1">
        <f t="array" ref="AO1331">SUM(IFERROR(MOD((H1331:AL1331-H1330:AL1330)*24,11),""))</f>
        <v>47.999999999999986</v>
      </c>
    </row>
    <row r="1332" spans="1:41" hidden="1" x14ac:dyDescent="0.25">
      <c r="A1332">
        <v>1331</v>
      </c>
      <c r="B1332">
        <v>2026</v>
      </c>
      <c r="C1332">
        <v>1</v>
      </c>
      <c r="D1332" t="s">
        <v>160</v>
      </c>
      <c r="E1332">
        <v>31</v>
      </c>
      <c r="F1332">
        <v>12</v>
      </c>
      <c r="G1332" t="s">
        <v>430</v>
      </c>
      <c r="H1332" s="48" t="s">
        <v>320</v>
      </c>
      <c r="I1332" s="48" t="s">
        <v>375</v>
      </c>
      <c r="J1332" s="48" t="s">
        <v>375</v>
      </c>
      <c r="K1332" s="48" t="s">
        <v>652</v>
      </c>
      <c r="L1332" s="48" t="s">
        <v>375</v>
      </c>
      <c r="M1332" s="48" t="s">
        <v>375</v>
      </c>
      <c r="N1332" s="48" t="s">
        <v>375</v>
      </c>
      <c r="O1332" s="48" t="s">
        <v>375</v>
      </c>
      <c r="P1332" s="48" t="s">
        <v>375</v>
      </c>
      <c r="Q1332" s="48" t="s">
        <v>375</v>
      </c>
      <c r="R1332" s="48" t="s">
        <v>652</v>
      </c>
      <c r="S1332" s="48" t="s">
        <v>375</v>
      </c>
      <c r="T1332" s="48" t="s">
        <v>375</v>
      </c>
      <c r="U1332" s="48" t="s">
        <v>375</v>
      </c>
      <c r="V1332" s="48" t="s">
        <v>375</v>
      </c>
      <c r="W1332" s="48" t="s">
        <v>375</v>
      </c>
      <c r="X1332" s="48" t="s">
        <v>375</v>
      </c>
      <c r="Y1332" s="48" t="s">
        <v>652</v>
      </c>
      <c r="Z1332" s="48" t="s">
        <v>375</v>
      </c>
      <c r="AA1332" s="48" t="s">
        <v>375</v>
      </c>
      <c r="AB1332" s="48" t="s">
        <v>375</v>
      </c>
      <c r="AC1332" s="48" t="s">
        <v>375</v>
      </c>
      <c r="AD1332" s="48" t="s">
        <v>375</v>
      </c>
      <c r="AE1332" s="48" t="s">
        <v>375</v>
      </c>
      <c r="AF1332" s="48" t="s">
        <v>652</v>
      </c>
      <c r="AG1332" s="48" t="s">
        <v>375</v>
      </c>
      <c r="AH1332" s="48" t="s">
        <v>375</v>
      </c>
      <c r="AI1332" s="48" t="s">
        <v>375</v>
      </c>
      <c r="AJ1332" s="48" t="s">
        <v>375</v>
      </c>
      <c r="AK1332" s="48" t="s">
        <v>375</v>
      </c>
      <c r="AL1332" s="48" t="s">
        <v>375</v>
      </c>
    </row>
    <row r="1333" spans="1:41" hidden="1" x14ac:dyDescent="0.25">
      <c r="A1333">
        <v>1332</v>
      </c>
      <c r="B1333">
        <v>2026</v>
      </c>
      <c r="C1333">
        <v>1</v>
      </c>
      <c r="D1333" t="s">
        <v>160</v>
      </c>
      <c r="E1333">
        <v>31</v>
      </c>
      <c r="F1333">
        <v>12</v>
      </c>
      <c r="G1333" t="s">
        <v>431</v>
      </c>
      <c r="H1333" s="48" t="s">
        <v>320</v>
      </c>
      <c r="I1333" s="48">
        <v>0.75</v>
      </c>
      <c r="J1333" s="48">
        <v>0.75</v>
      </c>
      <c r="K1333" s="48">
        <v>0.79166666666666663</v>
      </c>
      <c r="L1333" s="48">
        <v>0.75</v>
      </c>
      <c r="M1333" s="48">
        <v>0.75</v>
      </c>
      <c r="N1333" s="48">
        <v>0.75</v>
      </c>
      <c r="O1333" s="48">
        <v>0.75</v>
      </c>
      <c r="P1333" s="48">
        <v>0.75</v>
      </c>
      <c r="Q1333" s="48">
        <v>0.75</v>
      </c>
      <c r="R1333" s="48">
        <v>0.79166666666666663</v>
      </c>
      <c r="S1333" s="48">
        <v>0.75</v>
      </c>
      <c r="T1333" s="48">
        <v>0.75</v>
      </c>
      <c r="U1333" s="48">
        <v>0.75</v>
      </c>
      <c r="V1333" s="48">
        <v>0.75</v>
      </c>
      <c r="W1333" s="48">
        <v>0.75</v>
      </c>
      <c r="X1333" s="48">
        <v>0.75</v>
      </c>
      <c r="Y1333" s="48">
        <v>0.79166666666666663</v>
      </c>
      <c r="Z1333" s="48">
        <v>0.75</v>
      </c>
      <c r="AA1333" s="48">
        <v>0.75</v>
      </c>
      <c r="AB1333" s="48">
        <v>0.75</v>
      </c>
      <c r="AC1333" s="48">
        <v>0.75</v>
      </c>
      <c r="AD1333" s="48">
        <v>0.75</v>
      </c>
      <c r="AE1333" s="48">
        <v>0.75</v>
      </c>
      <c r="AF1333" s="48">
        <v>0.79166666666666663</v>
      </c>
      <c r="AG1333" s="48">
        <v>0.75</v>
      </c>
      <c r="AH1333" s="48">
        <v>0.75</v>
      </c>
      <c r="AI1333" s="48">
        <v>0.75</v>
      </c>
      <c r="AJ1333" s="48">
        <v>0.75</v>
      </c>
      <c r="AK1333" s="48">
        <v>0.75</v>
      </c>
      <c r="AL1333" s="48">
        <v>0.75</v>
      </c>
      <c r="AM1333" cm="1">
        <f t="array" ref="AM1333">SUM(_xlfn.LET(_xlpm.r,((IFERROR(H1333:AL1333-H1332:AL1332,0))*24)/10,IF(_xlpm.r&gt;1,1,_xlpm.r)))</f>
        <v>30</v>
      </c>
    </row>
    <row r="1334" spans="1:41" hidden="1" x14ac:dyDescent="0.25">
      <c r="A1334">
        <v>1333</v>
      </c>
      <c r="B1334">
        <v>2026</v>
      </c>
      <c r="C1334">
        <v>1</v>
      </c>
      <c r="D1334" t="s">
        <v>177</v>
      </c>
      <c r="E1334">
        <v>31</v>
      </c>
      <c r="F1334">
        <v>12</v>
      </c>
      <c r="G1334" t="s">
        <v>430</v>
      </c>
      <c r="H1334" s="48" t="s">
        <v>320</v>
      </c>
      <c r="I1334" s="48">
        <v>46024.5</v>
      </c>
      <c r="J1334" s="48">
        <v>46025.5</v>
      </c>
      <c r="K1334" s="48">
        <v>46026.5</v>
      </c>
      <c r="L1334" s="48">
        <v>46027.291666666664</v>
      </c>
      <c r="M1334" s="48">
        <v>46028.291666666664</v>
      </c>
      <c r="N1334" s="48">
        <v>46029.291666666664</v>
      </c>
      <c r="O1334" s="48">
        <v>46030.291666666664</v>
      </c>
      <c r="P1334" s="48">
        <v>46031.291666666664</v>
      </c>
      <c r="Q1334" s="48">
        <v>46032.291666666664</v>
      </c>
      <c r="R1334" s="48">
        <v>46033.291666666664</v>
      </c>
      <c r="S1334" s="48">
        <v>46034.291666666664</v>
      </c>
      <c r="T1334" s="48">
        <v>46035.291666666664</v>
      </c>
      <c r="U1334" s="48">
        <v>46036.291666666664</v>
      </c>
      <c r="V1334" s="48">
        <v>46037.291666666664</v>
      </c>
      <c r="W1334" s="48">
        <v>46038.291666666664</v>
      </c>
      <c r="X1334" s="48">
        <v>46039.291666666664</v>
      </c>
      <c r="Y1334" s="48">
        <v>46040.291666666664</v>
      </c>
      <c r="Z1334" s="48">
        <v>46041.291666666664</v>
      </c>
      <c r="AA1334" s="48">
        <v>46042.291666666664</v>
      </c>
      <c r="AB1334" s="48">
        <v>46043.291666666664</v>
      </c>
      <c r="AC1334" s="48">
        <v>46044.291666666664</v>
      </c>
      <c r="AD1334" s="48">
        <v>46045.291666666664</v>
      </c>
      <c r="AE1334" s="48">
        <v>46046.291666666664</v>
      </c>
      <c r="AF1334" s="48" t="s">
        <v>320</v>
      </c>
      <c r="AG1334" s="48">
        <v>46048.5</v>
      </c>
      <c r="AH1334" s="48">
        <v>46049.291666666664</v>
      </c>
      <c r="AI1334" s="48">
        <v>46050.291666666664</v>
      </c>
      <c r="AJ1334" s="48">
        <v>46051.291666666664</v>
      </c>
      <c r="AK1334" s="48">
        <v>46052.291666666664</v>
      </c>
      <c r="AL1334" s="48">
        <v>46053.291666666664</v>
      </c>
    </row>
    <row r="1335" spans="1:41" hidden="1" x14ac:dyDescent="0.25">
      <c r="A1335">
        <v>1334</v>
      </c>
      <c r="B1335">
        <v>2026</v>
      </c>
      <c r="C1335">
        <v>1</v>
      </c>
      <c r="D1335" t="s">
        <v>177</v>
      </c>
      <c r="E1335">
        <v>31</v>
      </c>
      <c r="F1335">
        <v>12</v>
      </c>
      <c r="G1335" t="s">
        <v>431</v>
      </c>
      <c r="H1335" s="48" t="s">
        <v>320</v>
      </c>
      <c r="I1335" s="48">
        <v>46024.958333333336</v>
      </c>
      <c r="J1335" s="48">
        <v>46025.958333333336</v>
      </c>
      <c r="K1335" s="48">
        <v>46027</v>
      </c>
      <c r="L1335" s="48">
        <v>46028</v>
      </c>
      <c r="M1335" s="48">
        <v>46028.75</v>
      </c>
      <c r="N1335" s="48">
        <v>46029.916666666664</v>
      </c>
      <c r="O1335" s="48">
        <v>46030.916666666664</v>
      </c>
      <c r="P1335" s="48">
        <v>46031.75</v>
      </c>
      <c r="Q1335" s="48">
        <v>46033</v>
      </c>
      <c r="R1335" s="48">
        <v>46033.75</v>
      </c>
      <c r="S1335" s="48">
        <v>46034.833333333328</v>
      </c>
      <c r="T1335" s="48">
        <v>46035.791666666664</v>
      </c>
      <c r="U1335" s="48">
        <v>46036.833333333328</v>
      </c>
      <c r="V1335" s="48">
        <v>46037.833333333328</v>
      </c>
      <c r="W1335" s="48">
        <v>46039</v>
      </c>
      <c r="X1335" s="48">
        <v>46039.916666666664</v>
      </c>
      <c r="Y1335" s="48">
        <v>46040.75</v>
      </c>
      <c r="Z1335" s="48">
        <v>46041.75</v>
      </c>
      <c r="AA1335" s="48">
        <v>46042.75</v>
      </c>
      <c r="AB1335" s="48">
        <v>46043.75</v>
      </c>
      <c r="AC1335" s="48">
        <v>46044.916666666664</v>
      </c>
      <c r="AD1335" s="48">
        <v>46045.833333333328</v>
      </c>
      <c r="AE1335" s="48">
        <v>46046.916666666664</v>
      </c>
      <c r="AF1335" s="48" t="s">
        <v>320</v>
      </c>
      <c r="AG1335" s="48">
        <v>46048.958333333336</v>
      </c>
      <c r="AH1335" s="48">
        <v>46049.958333333328</v>
      </c>
      <c r="AI1335" s="48">
        <v>46050.75</v>
      </c>
      <c r="AJ1335" s="48">
        <v>46052</v>
      </c>
      <c r="AK1335" s="48">
        <v>46053</v>
      </c>
      <c r="AL1335" s="48">
        <v>46053.875</v>
      </c>
      <c r="AM1335" cm="1">
        <f t="array" ref="AM1335">SUM(_xlfn.LET(_xlpm.r,((IFERROR(H1335:AL1335-H1334:AL1334,0))*24)/10,IF(_xlpm.r&gt;1,1,_xlpm.r)))</f>
        <v>29</v>
      </c>
      <c r="AO1335" cm="1">
        <f t="array" ref="AO1335">SUM(IFERROR(MOD((H1335:AL1335-H1334:AL1334)*24,11),""))</f>
        <v>68.000000000698492</v>
      </c>
    </row>
    <row r="1336" spans="1:41" hidden="1" x14ac:dyDescent="0.25">
      <c r="A1336">
        <v>1335</v>
      </c>
      <c r="B1336">
        <v>2026</v>
      </c>
      <c r="C1336">
        <v>1</v>
      </c>
      <c r="D1336" t="s">
        <v>169</v>
      </c>
      <c r="E1336">
        <v>31</v>
      </c>
      <c r="F1336">
        <v>12</v>
      </c>
      <c r="G1336" t="s">
        <v>430</v>
      </c>
      <c r="H1336" s="48" t="s">
        <v>320</v>
      </c>
      <c r="I1336" s="48" t="s">
        <v>375</v>
      </c>
      <c r="J1336" s="48" t="s">
        <v>375</v>
      </c>
      <c r="K1336" s="48" t="s">
        <v>375</v>
      </c>
      <c r="L1336" s="48" t="s">
        <v>375</v>
      </c>
      <c r="M1336" s="48" t="s">
        <v>375</v>
      </c>
      <c r="N1336" s="48" t="s">
        <v>375</v>
      </c>
      <c r="O1336" s="48" t="s">
        <v>375</v>
      </c>
      <c r="P1336" s="48" t="s">
        <v>375</v>
      </c>
      <c r="Q1336" s="48" t="s">
        <v>375</v>
      </c>
      <c r="R1336" s="48" t="s">
        <v>375</v>
      </c>
      <c r="S1336" s="48" t="s">
        <v>375</v>
      </c>
      <c r="T1336" s="48" t="s">
        <v>375</v>
      </c>
      <c r="U1336" s="48" t="s">
        <v>375</v>
      </c>
      <c r="V1336" s="48" t="s">
        <v>375</v>
      </c>
      <c r="W1336" s="48" t="s">
        <v>375</v>
      </c>
      <c r="X1336" s="48" t="s">
        <v>375</v>
      </c>
      <c r="Y1336" s="48" t="s">
        <v>375</v>
      </c>
      <c r="Z1336" s="48" t="s">
        <v>375</v>
      </c>
      <c r="AA1336" s="48" t="s">
        <v>375</v>
      </c>
      <c r="AB1336" s="48" t="s">
        <v>375</v>
      </c>
      <c r="AC1336" s="48" t="s">
        <v>375</v>
      </c>
      <c r="AD1336" s="48" t="s">
        <v>375</v>
      </c>
      <c r="AE1336" s="48" t="s">
        <v>375</v>
      </c>
      <c r="AF1336" s="48" t="s">
        <v>375</v>
      </c>
      <c r="AG1336" s="48" t="s">
        <v>375</v>
      </c>
      <c r="AH1336" s="48" t="s">
        <v>375</v>
      </c>
      <c r="AI1336" s="48" t="s">
        <v>375</v>
      </c>
      <c r="AJ1336" s="48" t="s">
        <v>375</v>
      </c>
      <c r="AK1336" s="48" t="s">
        <v>375</v>
      </c>
      <c r="AL1336" s="48" t="s">
        <v>375</v>
      </c>
    </row>
    <row r="1337" spans="1:41" hidden="1" x14ac:dyDescent="0.25">
      <c r="A1337">
        <v>1336</v>
      </c>
      <c r="B1337">
        <v>2026</v>
      </c>
      <c r="C1337">
        <v>1</v>
      </c>
      <c r="D1337" t="s">
        <v>169</v>
      </c>
      <c r="E1337">
        <v>31</v>
      </c>
      <c r="F1337">
        <v>12</v>
      </c>
      <c r="G1337" t="s">
        <v>431</v>
      </c>
      <c r="H1337" s="48" t="s">
        <v>320</v>
      </c>
      <c r="I1337" s="48">
        <v>0.75</v>
      </c>
      <c r="J1337" s="48">
        <v>0.75</v>
      </c>
      <c r="K1337" s="48">
        <v>0.75</v>
      </c>
      <c r="L1337" s="48">
        <v>0.83333333333333326</v>
      </c>
      <c r="M1337" s="48">
        <v>0.875</v>
      </c>
      <c r="N1337" s="48">
        <v>0.75</v>
      </c>
      <c r="O1337" s="48">
        <v>0.75</v>
      </c>
      <c r="P1337" s="48">
        <v>0.75</v>
      </c>
      <c r="Q1337" s="48">
        <v>0.75</v>
      </c>
      <c r="R1337" s="48">
        <v>0.75</v>
      </c>
      <c r="S1337" s="48">
        <v>0.75</v>
      </c>
      <c r="T1337" s="48">
        <v>0.75</v>
      </c>
      <c r="U1337" s="48">
        <v>0.75</v>
      </c>
      <c r="V1337" s="48">
        <v>0.75</v>
      </c>
      <c r="W1337" s="48">
        <v>0.75</v>
      </c>
      <c r="X1337" s="48">
        <v>0.75</v>
      </c>
      <c r="Y1337" s="48">
        <v>0.75</v>
      </c>
      <c r="Z1337" s="48">
        <v>0.75</v>
      </c>
      <c r="AA1337" s="48">
        <v>0.83333333333333326</v>
      </c>
      <c r="AB1337" s="48">
        <v>0.79166666666666674</v>
      </c>
      <c r="AC1337" s="48">
        <v>0.75</v>
      </c>
      <c r="AD1337" s="48">
        <v>0.875</v>
      </c>
      <c r="AE1337" s="48">
        <v>0.83333333333333326</v>
      </c>
      <c r="AF1337" s="48">
        <v>0.79166666666666674</v>
      </c>
      <c r="AG1337" s="48">
        <v>0.75</v>
      </c>
      <c r="AH1337" s="48">
        <v>0.75</v>
      </c>
      <c r="AI1337" s="48">
        <v>0.75</v>
      </c>
      <c r="AJ1337" s="48">
        <v>0.75</v>
      </c>
      <c r="AK1337" s="48">
        <v>0.75</v>
      </c>
      <c r="AL1337" s="48">
        <v>0.75</v>
      </c>
      <c r="AM1337" cm="1">
        <f t="array" ref="AM1337">SUM(_xlfn.LET(_xlpm.r,((IFERROR(H1337:AL1337-H1336:AL1336,0))*24)/10,IF(_xlpm.r&gt;1,1,_xlpm.r)))</f>
        <v>30</v>
      </c>
      <c r="AO1337" cm="1">
        <f t="array" ref="AO1337">SUM(IFERROR(MOD((H1337:AL1337-H1336:AL1336)*24,11),""))</f>
        <v>13.999999999999986</v>
      </c>
    </row>
    <row r="1338" spans="1:41" hidden="1" x14ac:dyDescent="0.25">
      <c r="A1338">
        <v>1337</v>
      </c>
      <c r="B1338">
        <v>2026</v>
      </c>
      <c r="C1338">
        <v>1</v>
      </c>
      <c r="D1338" t="s">
        <v>170</v>
      </c>
      <c r="E1338">
        <v>31</v>
      </c>
      <c r="F1338">
        <v>12</v>
      </c>
      <c r="G1338" t="s">
        <v>430</v>
      </c>
      <c r="H1338" s="48" t="s">
        <v>320</v>
      </c>
      <c r="I1338" s="48" t="s">
        <v>375</v>
      </c>
      <c r="J1338" s="48" t="s">
        <v>375</v>
      </c>
      <c r="K1338" s="48" t="s">
        <v>375</v>
      </c>
      <c r="L1338" s="48" t="s">
        <v>375</v>
      </c>
      <c r="M1338" s="48" t="s">
        <v>375</v>
      </c>
      <c r="N1338" s="48" t="s">
        <v>375</v>
      </c>
      <c r="O1338" s="48" t="s">
        <v>375</v>
      </c>
      <c r="P1338" s="48" t="s">
        <v>375</v>
      </c>
      <c r="Q1338" s="48" t="s">
        <v>375</v>
      </c>
      <c r="R1338" s="48" t="s">
        <v>375</v>
      </c>
      <c r="S1338" s="48" t="s">
        <v>375</v>
      </c>
      <c r="T1338" s="48" t="s">
        <v>375</v>
      </c>
      <c r="U1338" s="48" t="s">
        <v>375</v>
      </c>
      <c r="V1338" s="48" t="s">
        <v>375</v>
      </c>
      <c r="W1338" s="48" t="s">
        <v>375</v>
      </c>
      <c r="X1338" s="48" t="s">
        <v>375</v>
      </c>
      <c r="Y1338" s="48" t="s">
        <v>375</v>
      </c>
      <c r="Z1338" s="48" t="s">
        <v>375</v>
      </c>
      <c r="AA1338" s="48" t="s">
        <v>375</v>
      </c>
      <c r="AB1338" s="48" t="s">
        <v>375</v>
      </c>
      <c r="AC1338" s="48" t="s">
        <v>375</v>
      </c>
      <c r="AD1338" s="48" t="s">
        <v>375</v>
      </c>
      <c r="AE1338" s="48" t="s">
        <v>375</v>
      </c>
      <c r="AF1338" s="48" t="s">
        <v>375</v>
      </c>
      <c r="AG1338" s="48" t="s">
        <v>375</v>
      </c>
      <c r="AH1338" s="48" t="s">
        <v>375</v>
      </c>
      <c r="AI1338" s="48" t="s">
        <v>375</v>
      </c>
      <c r="AJ1338" s="48" t="s">
        <v>375</v>
      </c>
      <c r="AK1338" s="48" t="s">
        <v>375</v>
      </c>
      <c r="AL1338" s="48" t="s">
        <v>375</v>
      </c>
    </row>
    <row r="1339" spans="1:41" hidden="1" x14ac:dyDescent="0.25">
      <c r="A1339">
        <v>1338</v>
      </c>
      <c r="B1339">
        <v>2026</v>
      </c>
      <c r="C1339">
        <v>1</v>
      </c>
      <c r="D1339" t="s">
        <v>170</v>
      </c>
      <c r="E1339">
        <v>31</v>
      </c>
      <c r="F1339">
        <v>12</v>
      </c>
      <c r="G1339" t="s">
        <v>431</v>
      </c>
      <c r="H1339" s="48" t="s">
        <v>320</v>
      </c>
      <c r="I1339" s="48">
        <v>0.875</v>
      </c>
      <c r="J1339" s="48">
        <v>0.875</v>
      </c>
      <c r="K1339" s="48">
        <v>0.75</v>
      </c>
      <c r="L1339" s="48">
        <v>0.875</v>
      </c>
      <c r="M1339" s="48">
        <v>0.875</v>
      </c>
      <c r="N1339" s="48">
        <v>0.875</v>
      </c>
      <c r="O1339" s="48">
        <v>0.875</v>
      </c>
      <c r="P1339" s="48">
        <v>0.91666666666666674</v>
      </c>
      <c r="Q1339" s="48">
        <v>0.875</v>
      </c>
      <c r="R1339" s="48">
        <v>0.875</v>
      </c>
      <c r="S1339" s="48">
        <v>0.875</v>
      </c>
      <c r="T1339" s="48">
        <v>0.875</v>
      </c>
      <c r="U1339" s="48">
        <v>0.875</v>
      </c>
      <c r="V1339" s="48">
        <v>0.875</v>
      </c>
      <c r="W1339" s="48">
        <v>0.91666666666666674</v>
      </c>
      <c r="X1339" s="48">
        <v>0.91666666666666674</v>
      </c>
      <c r="Y1339" s="48">
        <v>0.75</v>
      </c>
      <c r="Z1339" s="48">
        <v>0.875</v>
      </c>
      <c r="AA1339" s="48">
        <v>0.875</v>
      </c>
      <c r="AB1339" s="48">
        <v>0.875</v>
      </c>
      <c r="AC1339" s="48">
        <v>0.875</v>
      </c>
      <c r="AD1339" s="48">
        <v>0.875</v>
      </c>
      <c r="AE1339" s="48">
        <v>0.91666666666666674</v>
      </c>
      <c r="AF1339" s="48">
        <v>0.875</v>
      </c>
      <c r="AG1339" s="48">
        <v>0.875</v>
      </c>
      <c r="AH1339" s="48">
        <v>0.875</v>
      </c>
      <c r="AI1339" s="48">
        <v>0.91666666666666674</v>
      </c>
      <c r="AJ1339" s="48">
        <v>0.875</v>
      </c>
      <c r="AK1339" s="48">
        <v>0.91666666666666674</v>
      </c>
      <c r="AL1339" s="48">
        <v>0.91666666666666674</v>
      </c>
      <c r="AM1339" cm="1">
        <f t="array" ref="AM1339">SUM(_xlfn.LET(_xlpm.r,((IFERROR(H1339:AL1339-H1338:AL1338,0))*24)/10,IF(_xlpm.r&gt;1,1,_xlpm.r)))</f>
        <v>30</v>
      </c>
      <c r="AO1339" cm="1">
        <f t="array" ref="AO1339">SUM(IFERROR(MOD((H1339:AL1339-H1338:AL1338)*24,11),""))</f>
        <v>90.999999999999986</v>
      </c>
    </row>
    <row r="1340" spans="1:41" hidden="1" x14ac:dyDescent="0.25">
      <c r="A1340">
        <v>1339</v>
      </c>
      <c r="B1340">
        <v>2026</v>
      </c>
      <c r="C1340">
        <v>1</v>
      </c>
      <c r="D1340" t="s">
        <v>158</v>
      </c>
      <c r="E1340">
        <v>31</v>
      </c>
      <c r="F1340">
        <v>12</v>
      </c>
      <c r="G1340" t="s">
        <v>430</v>
      </c>
      <c r="H1340" s="48" t="s">
        <v>375</v>
      </c>
      <c r="I1340" s="48" t="s">
        <v>375</v>
      </c>
      <c r="J1340" s="48" t="s">
        <v>375</v>
      </c>
      <c r="K1340" s="48" t="s">
        <v>375</v>
      </c>
      <c r="L1340" s="48" t="s">
        <v>375</v>
      </c>
      <c r="M1340" s="48" t="s">
        <v>375</v>
      </c>
      <c r="N1340" s="48" t="s">
        <v>375</v>
      </c>
      <c r="O1340" s="48" t="s">
        <v>375</v>
      </c>
      <c r="P1340" s="48" t="s">
        <v>375</v>
      </c>
      <c r="Q1340" s="48" t="s">
        <v>375</v>
      </c>
      <c r="R1340" s="48" t="s">
        <v>375</v>
      </c>
      <c r="S1340" s="48" t="s">
        <v>375</v>
      </c>
      <c r="T1340" s="48" t="s">
        <v>375</v>
      </c>
      <c r="U1340" s="48" t="s">
        <v>375</v>
      </c>
      <c r="V1340" s="48" t="s">
        <v>375</v>
      </c>
      <c r="W1340" s="48" t="s">
        <v>375</v>
      </c>
      <c r="X1340" s="48" t="s">
        <v>375</v>
      </c>
      <c r="Y1340" s="48" t="s">
        <v>375</v>
      </c>
      <c r="Z1340" s="48" t="s">
        <v>375</v>
      </c>
      <c r="AA1340" s="48" t="s">
        <v>375</v>
      </c>
      <c r="AB1340" s="48" t="s">
        <v>375</v>
      </c>
      <c r="AC1340" s="48" t="s">
        <v>375</v>
      </c>
      <c r="AD1340" s="48" t="s">
        <v>375</v>
      </c>
      <c r="AE1340" s="48" t="s">
        <v>375</v>
      </c>
      <c r="AF1340" s="48" t="s">
        <v>375</v>
      </c>
      <c r="AG1340" s="48" t="s">
        <v>375</v>
      </c>
      <c r="AH1340" s="48" t="s">
        <v>375</v>
      </c>
      <c r="AI1340" s="48" t="s">
        <v>375</v>
      </c>
      <c r="AJ1340" s="48" t="s">
        <v>375</v>
      </c>
      <c r="AK1340" s="48" t="s">
        <v>320</v>
      </c>
      <c r="AL1340" s="48" t="s">
        <v>375</v>
      </c>
    </row>
    <row r="1341" spans="1:41" hidden="1" x14ac:dyDescent="0.25">
      <c r="A1341">
        <v>1340</v>
      </c>
      <c r="B1341">
        <v>2026</v>
      </c>
      <c r="C1341">
        <v>1</v>
      </c>
      <c r="D1341" t="s">
        <v>158</v>
      </c>
      <c r="E1341">
        <v>31</v>
      </c>
      <c r="F1341">
        <v>12</v>
      </c>
      <c r="G1341" t="s">
        <v>431</v>
      </c>
      <c r="H1341" s="48">
        <v>0.75</v>
      </c>
      <c r="I1341" s="48">
        <v>0.75</v>
      </c>
      <c r="J1341" s="48">
        <v>0.75</v>
      </c>
      <c r="K1341" s="48">
        <v>0.75</v>
      </c>
      <c r="L1341" s="48">
        <v>0.75</v>
      </c>
      <c r="M1341" s="48">
        <v>0.75</v>
      </c>
      <c r="N1341" s="48">
        <v>0.75</v>
      </c>
      <c r="O1341" s="48">
        <v>0.75</v>
      </c>
      <c r="P1341" s="48">
        <v>0.75</v>
      </c>
      <c r="Q1341" s="48">
        <v>0.75</v>
      </c>
      <c r="R1341" s="48">
        <v>0.75</v>
      </c>
      <c r="S1341" s="48">
        <v>0.75</v>
      </c>
      <c r="T1341" s="48">
        <v>0.75</v>
      </c>
      <c r="U1341" s="48">
        <v>0.75</v>
      </c>
      <c r="V1341" s="48">
        <v>0.75</v>
      </c>
      <c r="W1341" s="48">
        <v>0.75</v>
      </c>
      <c r="X1341" s="48">
        <v>0.75</v>
      </c>
      <c r="Y1341" s="48">
        <v>0.75</v>
      </c>
      <c r="Z1341" s="48">
        <v>0.75</v>
      </c>
      <c r="AA1341" s="48">
        <v>0.75</v>
      </c>
      <c r="AB1341" s="48">
        <v>0.75</v>
      </c>
      <c r="AC1341" s="48">
        <v>0.75</v>
      </c>
      <c r="AD1341" s="48">
        <v>0.75</v>
      </c>
      <c r="AE1341" s="48">
        <v>0.75</v>
      </c>
      <c r="AF1341" s="48">
        <v>0.75</v>
      </c>
      <c r="AG1341" s="48">
        <v>0.75</v>
      </c>
      <c r="AH1341" s="48">
        <v>0.75</v>
      </c>
      <c r="AI1341" s="48">
        <v>0.75</v>
      </c>
      <c r="AJ1341" s="48">
        <v>0.75</v>
      </c>
      <c r="AK1341" s="48" t="s">
        <v>320</v>
      </c>
      <c r="AL1341" s="48">
        <v>0.75</v>
      </c>
      <c r="AM1341" cm="1">
        <f t="array" ref="AM1341">SUM(_xlfn.LET(_xlpm.r,((IFERROR(H1341:AL1341-H1340:AL1340,0))*24)/10,IF(_xlpm.r&gt;1,1,_xlpm.r)))</f>
        <v>30</v>
      </c>
    </row>
    <row r="1342" spans="1:41" hidden="1" x14ac:dyDescent="0.25">
      <c r="A1342">
        <v>1341</v>
      </c>
      <c r="B1342">
        <v>2026</v>
      </c>
      <c r="C1342">
        <v>1</v>
      </c>
      <c r="D1342" t="s">
        <v>354</v>
      </c>
      <c r="E1342">
        <v>31</v>
      </c>
      <c r="F1342">
        <v>12</v>
      </c>
      <c r="G1342" t="s">
        <v>430</v>
      </c>
      <c r="H1342" s="48" t="s">
        <v>320</v>
      </c>
      <c r="I1342" s="48" t="s">
        <v>375</v>
      </c>
      <c r="J1342" s="48" t="s">
        <v>375</v>
      </c>
      <c r="K1342" s="48" t="s">
        <v>375</v>
      </c>
      <c r="L1342" s="48" t="s">
        <v>375</v>
      </c>
      <c r="M1342" s="48" t="s">
        <v>375</v>
      </c>
      <c r="N1342" s="48" t="s">
        <v>375</v>
      </c>
      <c r="O1342" s="48" t="s">
        <v>375</v>
      </c>
      <c r="P1342" s="48" t="s">
        <v>375</v>
      </c>
      <c r="Q1342" s="48" t="s">
        <v>375</v>
      </c>
      <c r="R1342" s="48" t="s">
        <v>375</v>
      </c>
      <c r="S1342" s="48" t="s">
        <v>375</v>
      </c>
      <c r="T1342" s="48" t="s">
        <v>375</v>
      </c>
      <c r="U1342" s="48" t="s">
        <v>375</v>
      </c>
      <c r="V1342" s="48" t="s">
        <v>375</v>
      </c>
      <c r="W1342" s="48" t="s">
        <v>375</v>
      </c>
      <c r="X1342" s="48" t="s">
        <v>375</v>
      </c>
      <c r="Y1342" s="48" t="s">
        <v>375</v>
      </c>
      <c r="Z1342" s="48" t="s">
        <v>375</v>
      </c>
      <c r="AA1342" s="48" t="s">
        <v>375</v>
      </c>
      <c r="AB1342" s="48" t="s">
        <v>375</v>
      </c>
      <c r="AC1342" s="48" t="s">
        <v>375</v>
      </c>
      <c r="AD1342" s="48" t="s">
        <v>375</v>
      </c>
      <c r="AE1342" s="48" t="s">
        <v>375</v>
      </c>
      <c r="AF1342" s="48" t="s">
        <v>375</v>
      </c>
      <c r="AG1342" s="48" t="s">
        <v>375</v>
      </c>
      <c r="AH1342" s="48" t="s">
        <v>375</v>
      </c>
      <c r="AI1342" s="48" t="s">
        <v>375</v>
      </c>
      <c r="AJ1342" s="48" t="s">
        <v>375</v>
      </c>
      <c r="AK1342" s="48" t="s">
        <v>375</v>
      </c>
      <c r="AL1342" s="48" t="s">
        <v>375</v>
      </c>
    </row>
    <row r="1343" spans="1:41" hidden="1" x14ac:dyDescent="0.25">
      <c r="A1343">
        <v>1342</v>
      </c>
      <c r="B1343">
        <v>2026</v>
      </c>
      <c r="C1343">
        <v>1</v>
      </c>
      <c r="D1343" t="s">
        <v>354</v>
      </c>
      <c r="E1343">
        <v>31</v>
      </c>
      <c r="F1343">
        <v>12</v>
      </c>
      <c r="G1343" t="s">
        <v>431</v>
      </c>
      <c r="H1343" s="48" t="s">
        <v>320</v>
      </c>
      <c r="I1343" s="48">
        <v>0.75</v>
      </c>
      <c r="J1343" s="48">
        <v>0.75</v>
      </c>
      <c r="K1343" s="48">
        <v>0.875</v>
      </c>
      <c r="L1343" s="48">
        <v>0.79166666666666674</v>
      </c>
      <c r="M1343" s="48">
        <v>1</v>
      </c>
      <c r="N1343" s="48">
        <v>0.75</v>
      </c>
      <c r="O1343" s="48">
        <v>1</v>
      </c>
      <c r="P1343" s="48">
        <v>0.75</v>
      </c>
      <c r="Q1343" s="48">
        <v>0.83333333333333326</v>
      </c>
      <c r="R1343" s="48">
        <v>0.91666666666666674</v>
      </c>
      <c r="S1343" s="48">
        <v>0.75</v>
      </c>
      <c r="T1343" s="48">
        <v>0.875</v>
      </c>
      <c r="U1343" s="48">
        <v>0.75</v>
      </c>
      <c r="V1343" s="48">
        <v>0.875</v>
      </c>
      <c r="W1343" s="48">
        <v>1</v>
      </c>
      <c r="X1343" s="48">
        <v>0.83333333333333326</v>
      </c>
      <c r="Y1343" s="48">
        <v>0.75</v>
      </c>
      <c r="Z1343" s="48">
        <v>0.75</v>
      </c>
      <c r="AA1343" s="48">
        <v>0.75</v>
      </c>
      <c r="AB1343" s="48">
        <v>0.75</v>
      </c>
      <c r="AC1343" s="48">
        <v>0.79166666666666674</v>
      </c>
      <c r="AD1343" s="48">
        <v>0.83333333333333326</v>
      </c>
      <c r="AE1343" s="48">
        <v>0.75</v>
      </c>
      <c r="AF1343" s="48">
        <v>0.91666666666666674</v>
      </c>
      <c r="AG1343" s="48">
        <v>0.875</v>
      </c>
      <c r="AH1343" s="48">
        <v>0.875</v>
      </c>
      <c r="AI1343" s="48">
        <v>0.83333333333333326</v>
      </c>
      <c r="AJ1343" s="48">
        <v>0.75</v>
      </c>
      <c r="AK1343" s="48">
        <v>0.95833333333333326</v>
      </c>
      <c r="AL1343" s="48">
        <v>0.91666666666666674</v>
      </c>
      <c r="AM1343" cm="1">
        <f t="array" ref="AM1343">SUM(_xlfn.LET(_xlpm.r,((IFERROR(H1343:AL1343-H1342:AL1342,0))*24)/10,IF(_xlpm.r&gt;1,1,_xlpm.r)))</f>
        <v>30</v>
      </c>
      <c r="AO1343" cm="1">
        <f t="array" ref="AO1343">SUM(IFERROR(MOD((H1343:AL1343-H1342:AL1342)*24,11),""))</f>
        <v>59.999999999999986</v>
      </c>
    </row>
    <row r="1344" spans="1:41" hidden="1" x14ac:dyDescent="0.25">
      <c r="A1344">
        <v>1343</v>
      </c>
      <c r="B1344">
        <v>2026</v>
      </c>
      <c r="C1344">
        <v>1</v>
      </c>
      <c r="D1344" t="s">
        <v>144</v>
      </c>
      <c r="E1344">
        <v>31</v>
      </c>
      <c r="F1344">
        <v>12</v>
      </c>
      <c r="G1344" t="s">
        <v>430</v>
      </c>
      <c r="H1344" s="48" t="s">
        <v>320</v>
      </c>
      <c r="I1344" s="48" t="s">
        <v>375</v>
      </c>
      <c r="J1344" s="48" t="s">
        <v>375</v>
      </c>
      <c r="K1344" s="48" t="s">
        <v>375</v>
      </c>
      <c r="L1344" s="48" t="s">
        <v>375</v>
      </c>
      <c r="M1344" s="48" t="s">
        <v>375</v>
      </c>
      <c r="N1344" s="48" t="s">
        <v>375</v>
      </c>
      <c r="O1344" s="48" t="s">
        <v>375</v>
      </c>
      <c r="P1344" s="48" t="s">
        <v>375</v>
      </c>
      <c r="Q1344" s="48" t="s">
        <v>375</v>
      </c>
      <c r="R1344" s="48" t="s">
        <v>375</v>
      </c>
      <c r="S1344" s="48" t="s">
        <v>375</v>
      </c>
      <c r="T1344" s="48" t="s">
        <v>375</v>
      </c>
      <c r="U1344" s="48" t="s">
        <v>375</v>
      </c>
      <c r="V1344" s="48" t="s">
        <v>375</v>
      </c>
      <c r="W1344" s="48" t="s">
        <v>375</v>
      </c>
      <c r="X1344" s="48" t="s">
        <v>375</v>
      </c>
      <c r="Y1344" s="48" t="s">
        <v>375</v>
      </c>
      <c r="Z1344" s="48" t="s">
        <v>375</v>
      </c>
      <c r="AA1344" s="48" t="s">
        <v>375</v>
      </c>
      <c r="AB1344" s="48" t="s">
        <v>375</v>
      </c>
      <c r="AC1344" s="48" t="s">
        <v>375</v>
      </c>
      <c r="AD1344" s="48" t="s">
        <v>375</v>
      </c>
      <c r="AE1344" s="48" t="s">
        <v>375</v>
      </c>
      <c r="AF1344" s="48" t="s">
        <v>375</v>
      </c>
      <c r="AG1344" s="48" t="s">
        <v>375</v>
      </c>
      <c r="AH1344" s="48" t="s">
        <v>375</v>
      </c>
      <c r="AI1344" s="48" t="s">
        <v>375</v>
      </c>
      <c r="AJ1344" s="48" t="s">
        <v>375</v>
      </c>
      <c r="AK1344" s="48" t="s">
        <v>375</v>
      </c>
      <c r="AL1344" s="48" t="s">
        <v>375</v>
      </c>
    </row>
    <row r="1345" spans="1:41" hidden="1" x14ac:dyDescent="0.25">
      <c r="A1345">
        <v>1344</v>
      </c>
      <c r="B1345">
        <v>2026</v>
      </c>
      <c r="C1345">
        <v>1</v>
      </c>
      <c r="D1345" t="s">
        <v>144</v>
      </c>
      <c r="E1345">
        <v>31</v>
      </c>
      <c r="F1345">
        <v>12</v>
      </c>
      <c r="G1345" t="s">
        <v>431</v>
      </c>
      <c r="H1345" s="48" t="s">
        <v>320</v>
      </c>
      <c r="I1345" s="48">
        <v>0.75</v>
      </c>
      <c r="J1345" s="48">
        <v>0.75</v>
      </c>
      <c r="K1345" s="48">
        <v>0.75</v>
      </c>
      <c r="L1345" s="48">
        <v>0.83333333333333326</v>
      </c>
      <c r="M1345" s="48">
        <v>0.75</v>
      </c>
      <c r="N1345" s="48">
        <v>0.75</v>
      </c>
      <c r="O1345" s="48">
        <v>0.95833333333333326</v>
      </c>
      <c r="P1345" s="48">
        <v>0.75</v>
      </c>
      <c r="Q1345" s="48">
        <v>0.95833333333333326</v>
      </c>
      <c r="R1345" s="48">
        <v>0.91666666666666674</v>
      </c>
      <c r="S1345" s="48">
        <v>0.95833333333333326</v>
      </c>
      <c r="T1345" s="48">
        <v>0.875</v>
      </c>
      <c r="U1345" s="48">
        <v>0.75</v>
      </c>
      <c r="V1345" s="48">
        <v>0.91666666666666674</v>
      </c>
      <c r="W1345" s="48">
        <v>0.79166666666666674</v>
      </c>
      <c r="X1345" s="48">
        <v>0.95833333333333326</v>
      </c>
      <c r="Y1345" s="48">
        <v>0.75</v>
      </c>
      <c r="Z1345" s="48">
        <v>0.95833333333333326</v>
      </c>
      <c r="AA1345" s="48">
        <v>0.83333333333333326</v>
      </c>
      <c r="AB1345" s="48">
        <v>0.75</v>
      </c>
      <c r="AC1345" s="48">
        <v>0.91666666666666674</v>
      </c>
      <c r="AD1345" s="48">
        <v>0.75</v>
      </c>
      <c r="AE1345" s="48">
        <v>1</v>
      </c>
      <c r="AF1345" s="48">
        <v>0.83333333333333326</v>
      </c>
      <c r="AG1345" s="48">
        <v>0.75</v>
      </c>
      <c r="AH1345" s="48">
        <v>0.75</v>
      </c>
      <c r="AI1345" s="48">
        <v>0.95833333333333326</v>
      </c>
      <c r="AJ1345" s="48">
        <v>0.75</v>
      </c>
      <c r="AK1345" s="48">
        <v>0.875</v>
      </c>
      <c r="AL1345" s="48">
        <v>0.75</v>
      </c>
      <c r="AM1345" cm="1">
        <f t="array" ref="AM1345">SUM(_xlfn.LET(_xlpm.r,((IFERROR(H1345:AL1345-H1344:AL1344,0))*24)/10,IF(_xlpm.r&gt;1,1,_xlpm.r)))</f>
        <v>30</v>
      </c>
      <c r="AO1345" cm="1">
        <f t="array" ref="AO1345">SUM(IFERROR(MOD((H1345:AL1345-H1344:AL1344)*24,11),""))</f>
        <v>60.999999999999986</v>
      </c>
    </row>
    <row r="1346" spans="1:41" hidden="1" x14ac:dyDescent="0.25">
      <c r="A1346">
        <v>1345</v>
      </c>
      <c r="B1346">
        <v>2026</v>
      </c>
      <c r="C1346">
        <v>1</v>
      </c>
      <c r="D1346" t="s">
        <v>129</v>
      </c>
      <c r="E1346">
        <v>31</v>
      </c>
      <c r="F1346">
        <v>12</v>
      </c>
      <c r="G1346" t="s">
        <v>430</v>
      </c>
      <c r="H1346" s="48" t="s">
        <v>320</v>
      </c>
      <c r="I1346" s="48" t="s">
        <v>375</v>
      </c>
      <c r="J1346" s="48" t="s">
        <v>375</v>
      </c>
      <c r="K1346" s="48" t="s">
        <v>375</v>
      </c>
      <c r="L1346" s="48" t="s">
        <v>375</v>
      </c>
      <c r="M1346" s="48" t="s">
        <v>375</v>
      </c>
      <c r="N1346" s="48" t="s">
        <v>375</v>
      </c>
      <c r="O1346" s="48" t="s">
        <v>375</v>
      </c>
      <c r="P1346" s="48" t="s">
        <v>375</v>
      </c>
      <c r="Q1346" s="48" t="s">
        <v>375</v>
      </c>
      <c r="R1346" s="48" t="s">
        <v>375</v>
      </c>
      <c r="S1346" s="48" t="s">
        <v>375</v>
      </c>
      <c r="T1346" s="48" t="s">
        <v>375</v>
      </c>
      <c r="U1346" s="48" t="s">
        <v>375</v>
      </c>
      <c r="V1346" s="48" t="s">
        <v>375</v>
      </c>
      <c r="W1346" s="48" t="s">
        <v>375</v>
      </c>
      <c r="X1346" s="48" t="s">
        <v>375</v>
      </c>
      <c r="Y1346" s="48" t="s">
        <v>320</v>
      </c>
      <c r="Z1346" s="48" t="s">
        <v>375</v>
      </c>
      <c r="AA1346" s="48" t="s">
        <v>375</v>
      </c>
      <c r="AB1346" s="48" t="s">
        <v>375</v>
      </c>
      <c r="AC1346" s="48" t="s">
        <v>375</v>
      </c>
      <c r="AD1346" s="48" t="s">
        <v>375</v>
      </c>
      <c r="AE1346" s="48" t="s">
        <v>375</v>
      </c>
      <c r="AF1346" s="48" t="s">
        <v>375</v>
      </c>
      <c r="AG1346" s="48" t="s">
        <v>375</v>
      </c>
      <c r="AH1346" s="48" t="s">
        <v>375</v>
      </c>
      <c r="AI1346" s="48" t="s">
        <v>375</v>
      </c>
      <c r="AJ1346" s="48" t="s">
        <v>375</v>
      </c>
      <c r="AK1346" s="48" t="s">
        <v>375</v>
      </c>
      <c r="AL1346" s="48" t="s">
        <v>375</v>
      </c>
    </row>
    <row r="1347" spans="1:41" hidden="1" x14ac:dyDescent="0.25">
      <c r="A1347">
        <v>1346</v>
      </c>
      <c r="B1347">
        <v>2026</v>
      </c>
      <c r="C1347">
        <v>1</v>
      </c>
      <c r="D1347" t="s">
        <v>129</v>
      </c>
      <c r="E1347">
        <v>31</v>
      </c>
      <c r="F1347">
        <v>12</v>
      </c>
      <c r="G1347" t="s">
        <v>431</v>
      </c>
      <c r="H1347" s="48" t="s">
        <v>320</v>
      </c>
      <c r="I1347" s="48">
        <v>0.75</v>
      </c>
      <c r="J1347" s="48">
        <v>0.79166666666666674</v>
      </c>
      <c r="K1347" s="48">
        <v>0.75</v>
      </c>
      <c r="L1347" s="48">
        <v>0.95833333333333326</v>
      </c>
      <c r="M1347" s="48">
        <v>0.83333333333333326</v>
      </c>
      <c r="N1347" s="48">
        <v>0.83333333333333326</v>
      </c>
      <c r="O1347" s="48">
        <v>0.75</v>
      </c>
      <c r="P1347" s="48">
        <v>0.79166666666666674</v>
      </c>
      <c r="Q1347" s="48">
        <v>0.75</v>
      </c>
      <c r="R1347" s="48">
        <v>0.875</v>
      </c>
      <c r="S1347" s="48">
        <v>0.75</v>
      </c>
      <c r="T1347" s="48">
        <v>0.79166666666666674</v>
      </c>
      <c r="U1347" s="48">
        <v>0.75</v>
      </c>
      <c r="V1347" s="48">
        <v>0.83333333333333326</v>
      </c>
      <c r="W1347" s="48">
        <v>0.91666666666666674</v>
      </c>
      <c r="X1347" s="48">
        <v>0.75</v>
      </c>
      <c r="Y1347" s="48" t="s">
        <v>320</v>
      </c>
      <c r="Z1347" s="48">
        <v>0.75</v>
      </c>
      <c r="AA1347" s="48">
        <v>0.75</v>
      </c>
      <c r="AB1347" s="48">
        <v>0.79166666666666674</v>
      </c>
      <c r="AC1347" s="48">
        <v>0.875</v>
      </c>
      <c r="AD1347" s="48">
        <v>0.83333333333333326</v>
      </c>
      <c r="AE1347" s="48">
        <v>0.83333333333333326</v>
      </c>
      <c r="AF1347" s="48">
        <v>0.75</v>
      </c>
      <c r="AG1347" s="48">
        <v>0.79166666666666674</v>
      </c>
      <c r="AH1347" s="48">
        <v>0.79166666666666674</v>
      </c>
      <c r="AI1347" s="48">
        <v>0.75</v>
      </c>
      <c r="AJ1347" s="48">
        <v>0.91666666666666674</v>
      </c>
      <c r="AK1347" s="48">
        <v>0.875</v>
      </c>
      <c r="AL1347" s="48">
        <v>0.875</v>
      </c>
      <c r="AM1347" cm="1">
        <f t="array" ref="AM1347">SUM(_xlfn.LET(_xlpm.r,((IFERROR(H1347:AL1347-H1346:AL1346,0))*24)/10,IF(_xlpm.r&gt;1,1,_xlpm.r)))</f>
        <v>29</v>
      </c>
      <c r="AO1347" cm="1">
        <f t="array" ref="AO1347">SUM(IFERROR(MOD((H1347:AL1347-H1346:AL1346)*24,11),""))</f>
        <v>40.999999999999979</v>
      </c>
    </row>
    <row r="1348" spans="1:41" hidden="1" x14ac:dyDescent="0.25">
      <c r="A1348">
        <v>1347</v>
      </c>
      <c r="B1348">
        <v>2026</v>
      </c>
      <c r="C1348">
        <v>1</v>
      </c>
      <c r="D1348" t="s">
        <v>355</v>
      </c>
      <c r="E1348">
        <v>31</v>
      </c>
      <c r="F1348">
        <v>12</v>
      </c>
      <c r="G1348" t="s">
        <v>430</v>
      </c>
      <c r="H1348" s="48" t="s">
        <v>320</v>
      </c>
      <c r="I1348" s="48" t="s">
        <v>375</v>
      </c>
      <c r="J1348" s="48" t="s">
        <v>375</v>
      </c>
      <c r="K1348" s="48" t="s">
        <v>375</v>
      </c>
      <c r="L1348" s="48" t="s">
        <v>375</v>
      </c>
      <c r="M1348" s="48" t="s">
        <v>375</v>
      </c>
      <c r="N1348" s="48" t="s">
        <v>375</v>
      </c>
      <c r="O1348" s="48" t="s">
        <v>375</v>
      </c>
      <c r="P1348" s="48" t="s">
        <v>375</v>
      </c>
      <c r="Q1348" s="48" t="s">
        <v>375</v>
      </c>
      <c r="R1348" s="48" t="s">
        <v>375</v>
      </c>
      <c r="S1348" s="48" t="s">
        <v>375</v>
      </c>
      <c r="T1348" s="48" t="s">
        <v>375</v>
      </c>
      <c r="U1348" s="48" t="s">
        <v>375</v>
      </c>
      <c r="V1348" s="48" t="s">
        <v>375</v>
      </c>
      <c r="W1348" s="48" t="s">
        <v>375</v>
      </c>
      <c r="X1348" s="48" t="s">
        <v>375</v>
      </c>
      <c r="Y1348" s="48" t="s">
        <v>375</v>
      </c>
      <c r="Z1348" s="48" t="s">
        <v>375</v>
      </c>
      <c r="AA1348" s="48" t="s">
        <v>375</v>
      </c>
      <c r="AB1348" s="48" t="s">
        <v>375</v>
      </c>
      <c r="AC1348" s="48" t="s">
        <v>375</v>
      </c>
      <c r="AD1348" s="48" t="s">
        <v>375</v>
      </c>
      <c r="AE1348" s="48" t="s">
        <v>375</v>
      </c>
      <c r="AF1348" s="48" t="s">
        <v>375</v>
      </c>
      <c r="AG1348" s="48" t="s">
        <v>375</v>
      </c>
      <c r="AH1348" s="48" t="s">
        <v>375</v>
      </c>
      <c r="AI1348" s="48" t="s">
        <v>375</v>
      </c>
      <c r="AJ1348" s="48" t="s">
        <v>375</v>
      </c>
      <c r="AK1348" s="48" t="s">
        <v>375</v>
      </c>
      <c r="AL1348" s="48" t="s">
        <v>375</v>
      </c>
    </row>
    <row r="1349" spans="1:41" hidden="1" x14ac:dyDescent="0.25">
      <c r="A1349">
        <v>1348</v>
      </c>
      <c r="B1349">
        <v>2026</v>
      </c>
      <c r="C1349">
        <v>1</v>
      </c>
      <c r="D1349" t="s">
        <v>355</v>
      </c>
      <c r="E1349">
        <v>31</v>
      </c>
      <c r="F1349">
        <v>12</v>
      </c>
      <c r="G1349" t="s">
        <v>431</v>
      </c>
      <c r="H1349" s="48" t="s">
        <v>320</v>
      </c>
      <c r="I1349" s="48">
        <v>0.75</v>
      </c>
      <c r="J1349" s="48">
        <v>0.75</v>
      </c>
      <c r="K1349" s="48">
        <v>0.83333333333333326</v>
      </c>
      <c r="L1349" s="48">
        <v>0.83333333333333326</v>
      </c>
      <c r="M1349" s="48">
        <v>0.75</v>
      </c>
      <c r="N1349" s="48">
        <v>0.75</v>
      </c>
      <c r="O1349" s="48">
        <v>0.91666666666666674</v>
      </c>
      <c r="P1349" s="48">
        <v>0.75</v>
      </c>
      <c r="Q1349" s="48">
        <v>0.75</v>
      </c>
      <c r="R1349" s="48">
        <v>0.75</v>
      </c>
      <c r="S1349" s="48">
        <v>0.75</v>
      </c>
      <c r="T1349" s="48">
        <v>0.75</v>
      </c>
      <c r="U1349" s="48">
        <v>0.75</v>
      </c>
      <c r="V1349" s="48">
        <v>0.75</v>
      </c>
      <c r="W1349" s="48">
        <v>0.75</v>
      </c>
      <c r="X1349" s="48">
        <v>1</v>
      </c>
      <c r="Y1349" s="48">
        <v>0.75</v>
      </c>
      <c r="Z1349" s="48">
        <v>0.75</v>
      </c>
      <c r="AA1349" s="48">
        <v>0.75</v>
      </c>
      <c r="AB1349" s="48">
        <v>0.75</v>
      </c>
      <c r="AC1349" s="48">
        <v>0.91666666666666674</v>
      </c>
      <c r="AD1349" s="48">
        <v>0.75</v>
      </c>
      <c r="AE1349" s="48">
        <v>0.75</v>
      </c>
      <c r="AF1349" s="48">
        <v>0.75</v>
      </c>
      <c r="AG1349" s="48">
        <v>0.75</v>
      </c>
      <c r="AH1349" s="48">
        <v>0.875</v>
      </c>
      <c r="AI1349" s="48">
        <v>0.75</v>
      </c>
      <c r="AJ1349" s="48">
        <v>0.75</v>
      </c>
      <c r="AK1349" s="48">
        <v>0.75</v>
      </c>
      <c r="AL1349" s="48">
        <v>0.91666666666666674</v>
      </c>
      <c r="AM1349" cm="1">
        <f t="array" ref="AM1349">SUM(_xlfn.LET(_xlpm.r,((IFERROR(H1349:AL1349-H1348:AL1348,0))*24)/10,IF(_xlpm.r&gt;1,1,_xlpm.r)))</f>
        <v>30</v>
      </c>
      <c r="AO1349" cm="1">
        <f t="array" ref="AO1349">SUM(IFERROR(MOD((H1349:AL1349-H1348:AL1348)*24,11),""))</f>
        <v>24.999999999999993</v>
      </c>
    </row>
    <row r="1350" spans="1:41" hidden="1" x14ac:dyDescent="0.25">
      <c r="A1350">
        <v>1349</v>
      </c>
      <c r="B1350">
        <v>2026</v>
      </c>
      <c r="C1350">
        <v>1</v>
      </c>
      <c r="D1350" t="s">
        <v>159</v>
      </c>
      <c r="E1350">
        <v>31</v>
      </c>
      <c r="F1350">
        <v>12</v>
      </c>
      <c r="G1350" t="s">
        <v>430</v>
      </c>
      <c r="H1350" s="48" t="s">
        <v>320</v>
      </c>
      <c r="I1350" s="48" t="s">
        <v>375</v>
      </c>
      <c r="J1350" s="48" t="s">
        <v>375</v>
      </c>
      <c r="K1350" s="48" t="s">
        <v>375</v>
      </c>
      <c r="L1350" s="48" t="s">
        <v>375</v>
      </c>
      <c r="M1350" s="48" t="s">
        <v>375</v>
      </c>
      <c r="N1350" s="48" t="s">
        <v>375</v>
      </c>
      <c r="O1350" s="48" t="s">
        <v>375</v>
      </c>
      <c r="P1350" s="48" t="s">
        <v>375</v>
      </c>
      <c r="Q1350" s="48" t="s">
        <v>375</v>
      </c>
      <c r="R1350" s="48" t="s">
        <v>375</v>
      </c>
      <c r="S1350" s="48" t="s">
        <v>375</v>
      </c>
      <c r="T1350" s="48" t="s">
        <v>375</v>
      </c>
      <c r="U1350" s="48" t="s">
        <v>375</v>
      </c>
      <c r="V1350" s="48" t="s">
        <v>375</v>
      </c>
      <c r="W1350" s="48" t="s">
        <v>375</v>
      </c>
      <c r="X1350" s="48" t="s">
        <v>375</v>
      </c>
      <c r="Y1350" s="48" t="s">
        <v>320</v>
      </c>
      <c r="Z1350" s="48" t="s">
        <v>375</v>
      </c>
      <c r="AA1350" s="48" t="s">
        <v>375</v>
      </c>
      <c r="AB1350" s="48" t="s">
        <v>375</v>
      </c>
      <c r="AC1350" s="48" t="s">
        <v>375</v>
      </c>
      <c r="AD1350" s="48" t="s">
        <v>375</v>
      </c>
      <c r="AE1350" s="48" t="s">
        <v>375</v>
      </c>
      <c r="AF1350" s="48" t="s">
        <v>375</v>
      </c>
      <c r="AG1350" s="48" t="s">
        <v>375</v>
      </c>
      <c r="AH1350" s="48" t="s">
        <v>375</v>
      </c>
      <c r="AI1350" s="48" t="s">
        <v>375</v>
      </c>
      <c r="AJ1350" s="48" t="s">
        <v>375</v>
      </c>
      <c r="AK1350" s="48" t="s">
        <v>375</v>
      </c>
      <c r="AL1350" s="48" t="s">
        <v>375</v>
      </c>
    </row>
    <row r="1351" spans="1:41" hidden="1" x14ac:dyDescent="0.25">
      <c r="A1351">
        <v>1350</v>
      </c>
      <c r="B1351">
        <v>2026</v>
      </c>
      <c r="C1351">
        <v>1</v>
      </c>
      <c r="D1351" t="s">
        <v>159</v>
      </c>
      <c r="E1351">
        <v>31</v>
      </c>
      <c r="F1351">
        <v>12</v>
      </c>
      <c r="G1351" t="s">
        <v>431</v>
      </c>
      <c r="H1351" s="48" t="s">
        <v>320</v>
      </c>
      <c r="I1351" s="48">
        <v>0.75</v>
      </c>
      <c r="J1351" s="48">
        <v>0.875</v>
      </c>
      <c r="K1351" s="48">
        <v>0.875</v>
      </c>
      <c r="L1351" s="48">
        <v>0.875</v>
      </c>
      <c r="M1351" s="48">
        <v>0.75</v>
      </c>
      <c r="N1351" s="48">
        <v>0.875</v>
      </c>
      <c r="O1351" s="48">
        <v>0.875</v>
      </c>
      <c r="P1351" s="48">
        <v>0.75</v>
      </c>
      <c r="Q1351" s="48">
        <v>0.875</v>
      </c>
      <c r="R1351" s="48">
        <v>0.75</v>
      </c>
      <c r="S1351" s="48">
        <v>0.875</v>
      </c>
      <c r="T1351" s="48">
        <v>0.75</v>
      </c>
      <c r="U1351" s="48">
        <v>0.875</v>
      </c>
      <c r="V1351" s="48">
        <v>0.75</v>
      </c>
      <c r="W1351" s="48">
        <v>0.875</v>
      </c>
      <c r="X1351" s="48">
        <v>0.75</v>
      </c>
      <c r="Y1351" s="48" t="s">
        <v>320</v>
      </c>
      <c r="Z1351" s="48">
        <v>0.75</v>
      </c>
      <c r="AA1351" s="48">
        <v>0.875</v>
      </c>
      <c r="AB1351" s="48">
        <v>0.875</v>
      </c>
      <c r="AC1351" s="48">
        <v>0.875</v>
      </c>
      <c r="AD1351" s="48">
        <v>0.875</v>
      </c>
      <c r="AE1351" s="48">
        <v>0.875</v>
      </c>
      <c r="AF1351" s="48">
        <v>0.75</v>
      </c>
      <c r="AG1351" s="48">
        <v>0.75</v>
      </c>
      <c r="AH1351" s="48">
        <v>0.875</v>
      </c>
      <c r="AI1351" s="48">
        <v>0.75</v>
      </c>
      <c r="AJ1351" s="48">
        <v>0.875</v>
      </c>
      <c r="AK1351" s="48">
        <v>0.875</v>
      </c>
      <c r="AL1351" s="48">
        <v>0.875</v>
      </c>
      <c r="AM1351" cm="1">
        <f t="array" ref="AM1351">SUM(_xlfn.LET(_xlpm.r,((IFERROR(H1351:AL1351-H1350:AL1350,0))*24)/10,IF(_xlpm.r&gt;1,1,_xlpm.r)))</f>
        <v>29</v>
      </c>
      <c r="AO1351" cm="1">
        <f t="array" ref="AO1351">SUM(IFERROR(MOD((H1351:AL1351-H1350:AL1350)*24,11),""))</f>
        <v>53.999999999999986</v>
      </c>
    </row>
    <row r="1352" spans="1:41" hidden="1" x14ac:dyDescent="0.25">
      <c r="A1352">
        <v>1351</v>
      </c>
      <c r="B1352">
        <v>2026</v>
      </c>
      <c r="C1352">
        <v>1</v>
      </c>
      <c r="D1352" t="s">
        <v>175</v>
      </c>
      <c r="E1352">
        <v>31</v>
      </c>
      <c r="F1352">
        <v>12</v>
      </c>
      <c r="G1352" t="s">
        <v>430</v>
      </c>
      <c r="H1352" s="48" t="s">
        <v>320</v>
      </c>
      <c r="I1352" s="48" t="s">
        <v>375</v>
      </c>
      <c r="J1352" s="48" t="s">
        <v>375</v>
      </c>
      <c r="K1352" s="48" t="s">
        <v>375</v>
      </c>
      <c r="L1352" s="48" t="s">
        <v>375</v>
      </c>
      <c r="M1352" s="48" t="s">
        <v>375</v>
      </c>
      <c r="N1352" s="48" t="s">
        <v>375</v>
      </c>
      <c r="O1352" s="48" t="s">
        <v>375</v>
      </c>
      <c r="P1352" s="48" t="s">
        <v>375</v>
      </c>
      <c r="Q1352" s="48" t="s">
        <v>375</v>
      </c>
      <c r="R1352" s="48" t="s">
        <v>375</v>
      </c>
      <c r="S1352" s="48" t="s">
        <v>375</v>
      </c>
      <c r="T1352" s="48" t="s">
        <v>375</v>
      </c>
      <c r="U1352" s="48" t="s">
        <v>375</v>
      </c>
      <c r="V1352" s="48" t="s">
        <v>375</v>
      </c>
      <c r="W1352" s="48" t="s">
        <v>375</v>
      </c>
      <c r="X1352" s="48" t="s">
        <v>375</v>
      </c>
      <c r="Y1352" s="48" t="s">
        <v>320</v>
      </c>
      <c r="Z1352" s="48" t="s">
        <v>375</v>
      </c>
      <c r="AA1352" s="48" t="s">
        <v>375</v>
      </c>
      <c r="AB1352" s="48" t="s">
        <v>375</v>
      </c>
      <c r="AC1352" s="48" t="s">
        <v>375</v>
      </c>
      <c r="AD1352" s="48" t="s">
        <v>375</v>
      </c>
      <c r="AE1352" s="48" t="s">
        <v>375</v>
      </c>
      <c r="AF1352" s="48" t="s">
        <v>375</v>
      </c>
      <c r="AG1352" s="48" t="s">
        <v>375</v>
      </c>
      <c r="AH1352" s="48" t="s">
        <v>375</v>
      </c>
      <c r="AI1352" s="48" t="s">
        <v>375</v>
      </c>
      <c r="AJ1352" s="48" t="s">
        <v>375</v>
      </c>
      <c r="AK1352" s="48" t="s">
        <v>375</v>
      </c>
      <c r="AL1352" s="48" t="s">
        <v>375</v>
      </c>
    </row>
    <row r="1353" spans="1:41" hidden="1" x14ac:dyDescent="0.25">
      <c r="A1353">
        <v>1352</v>
      </c>
      <c r="B1353">
        <v>2026</v>
      </c>
      <c r="C1353">
        <v>1</v>
      </c>
      <c r="D1353" t="s">
        <v>175</v>
      </c>
      <c r="E1353">
        <v>31</v>
      </c>
      <c r="F1353">
        <v>12</v>
      </c>
      <c r="G1353" t="s">
        <v>431</v>
      </c>
      <c r="H1353" s="48" t="s">
        <v>320</v>
      </c>
      <c r="I1353" s="48">
        <v>0.875</v>
      </c>
      <c r="J1353" s="48">
        <v>0.875</v>
      </c>
      <c r="K1353" s="48">
        <v>0.875</v>
      </c>
      <c r="L1353" s="48">
        <v>0.875</v>
      </c>
      <c r="M1353" s="48">
        <v>0.875</v>
      </c>
      <c r="N1353" s="48">
        <v>0.875</v>
      </c>
      <c r="O1353" s="48">
        <v>0.875</v>
      </c>
      <c r="P1353" s="48">
        <v>0.875</v>
      </c>
      <c r="Q1353" s="48">
        <v>0.875</v>
      </c>
      <c r="R1353" s="48">
        <v>0.875</v>
      </c>
      <c r="S1353" s="48">
        <v>0.875</v>
      </c>
      <c r="T1353" s="48">
        <v>0.875</v>
      </c>
      <c r="U1353" s="48">
        <v>0.875</v>
      </c>
      <c r="V1353" s="48">
        <v>0.875</v>
      </c>
      <c r="W1353" s="48">
        <v>0.875</v>
      </c>
      <c r="X1353" s="48">
        <v>0.875</v>
      </c>
      <c r="Y1353" s="48" t="s">
        <v>320</v>
      </c>
      <c r="Z1353" s="48">
        <v>0.875</v>
      </c>
      <c r="AA1353" s="48">
        <v>0.875</v>
      </c>
      <c r="AB1353" s="48">
        <v>0.875</v>
      </c>
      <c r="AC1353" s="48">
        <v>0.875</v>
      </c>
      <c r="AD1353" s="48">
        <v>0.875</v>
      </c>
      <c r="AE1353" s="48">
        <v>0.875</v>
      </c>
      <c r="AF1353" s="48">
        <v>0.875</v>
      </c>
      <c r="AG1353" s="48">
        <v>0.875</v>
      </c>
      <c r="AH1353" s="48">
        <v>0.875</v>
      </c>
      <c r="AI1353" s="48">
        <v>0.875</v>
      </c>
      <c r="AJ1353" s="48">
        <v>0.875</v>
      </c>
      <c r="AK1353" s="48">
        <v>0.875</v>
      </c>
      <c r="AL1353" s="48">
        <v>0.875</v>
      </c>
      <c r="AM1353" cm="1">
        <f t="array" ref="AM1353">SUM(_xlfn.LET(_xlpm.r,((IFERROR(H1353:AL1353-H1352:AL1352,0))*24)/10,IF(_xlpm.r&gt;1,1,_xlpm.r)))</f>
        <v>29</v>
      </c>
      <c r="AO1353" cm="1">
        <f t="array" ref="AO1353">SUM(IFERROR(MOD((H1353:AL1353-H1352:AL1352)*24,11),""))</f>
        <v>86.999999999999986</v>
      </c>
    </row>
    <row r="1354" spans="1:41" hidden="1" x14ac:dyDescent="0.25">
      <c r="A1354">
        <v>1353</v>
      </c>
      <c r="B1354">
        <v>2026</v>
      </c>
      <c r="C1354">
        <v>1</v>
      </c>
      <c r="D1354" t="s">
        <v>179</v>
      </c>
      <c r="E1354">
        <v>31</v>
      </c>
      <c r="F1354">
        <v>12</v>
      </c>
      <c r="G1354" t="s">
        <v>430</v>
      </c>
      <c r="H1354" s="48" t="s">
        <v>320</v>
      </c>
      <c r="I1354" s="48" t="s">
        <v>375</v>
      </c>
      <c r="J1354" s="48" t="s">
        <v>375</v>
      </c>
      <c r="K1354" s="48" t="s">
        <v>375</v>
      </c>
      <c r="L1354" s="48" t="s">
        <v>377</v>
      </c>
      <c r="M1354" s="48" t="s">
        <v>375</v>
      </c>
      <c r="N1354" s="48" t="s">
        <v>375</v>
      </c>
      <c r="O1354" s="48" t="s">
        <v>375</v>
      </c>
      <c r="P1354" s="48" t="s">
        <v>375</v>
      </c>
      <c r="Q1354" s="48" t="s">
        <v>375</v>
      </c>
      <c r="R1354" s="48" t="s">
        <v>375</v>
      </c>
      <c r="S1354" s="48" t="s">
        <v>375</v>
      </c>
      <c r="T1354" s="48" t="s">
        <v>375</v>
      </c>
      <c r="U1354" s="48" t="s">
        <v>375</v>
      </c>
      <c r="V1354" s="48" t="s">
        <v>375</v>
      </c>
      <c r="W1354" s="48" t="s">
        <v>375</v>
      </c>
      <c r="X1354" s="48" t="s">
        <v>375</v>
      </c>
      <c r="Y1354" s="48" t="s">
        <v>375</v>
      </c>
      <c r="Z1354" s="48" t="s">
        <v>375</v>
      </c>
      <c r="AA1354" s="48" t="s">
        <v>375</v>
      </c>
      <c r="AB1354" s="48" t="s">
        <v>375</v>
      </c>
      <c r="AC1354" s="48" t="s">
        <v>375</v>
      </c>
      <c r="AD1354" s="48" t="s">
        <v>375</v>
      </c>
      <c r="AE1354" s="48" t="s">
        <v>375</v>
      </c>
      <c r="AF1354" s="48" t="s">
        <v>375</v>
      </c>
      <c r="AG1354" s="48" t="s">
        <v>375</v>
      </c>
      <c r="AH1354" s="48" t="s">
        <v>375</v>
      </c>
      <c r="AI1354" s="48" t="s">
        <v>375</v>
      </c>
      <c r="AJ1354" s="48" t="s">
        <v>375</v>
      </c>
      <c r="AK1354" s="48" t="s">
        <v>375</v>
      </c>
      <c r="AL1354" s="48" t="s">
        <v>320</v>
      </c>
    </row>
    <row r="1355" spans="1:41" hidden="1" x14ac:dyDescent="0.25">
      <c r="A1355">
        <v>1354</v>
      </c>
      <c r="B1355">
        <v>2026</v>
      </c>
      <c r="C1355">
        <v>1</v>
      </c>
      <c r="D1355" t="s">
        <v>179</v>
      </c>
      <c r="E1355">
        <v>31</v>
      </c>
      <c r="F1355">
        <v>12</v>
      </c>
      <c r="G1355" t="s">
        <v>431</v>
      </c>
      <c r="H1355" s="48" t="s">
        <v>320</v>
      </c>
      <c r="I1355" s="48">
        <v>0.75</v>
      </c>
      <c r="J1355" s="48">
        <v>0.75</v>
      </c>
      <c r="K1355" s="48">
        <v>0.75</v>
      </c>
      <c r="L1355" s="48">
        <v>0.8125</v>
      </c>
      <c r="M1355" s="48">
        <v>0.8125</v>
      </c>
      <c r="N1355" s="48">
        <v>0.75</v>
      </c>
      <c r="O1355" s="48">
        <v>0.75</v>
      </c>
      <c r="P1355" s="48">
        <v>0.75</v>
      </c>
      <c r="Q1355" s="48">
        <v>0.75</v>
      </c>
      <c r="R1355" s="48">
        <v>0.75</v>
      </c>
      <c r="S1355" s="48">
        <v>0.75</v>
      </c>
      <c r="T1355" s="48">
        <v>0.75</v>
      </c>
      <c r="U1355" s="48">
        <v>0.75</v>
      </c>
      <c r="V1355" s="48">
        <v>0.75</v>
      </c>
      <c r="W1355" s="48">
        <v>0.75</v>
      </c>
      <c r="X1355" s="48">
        <v>0.75</v>
      </c>
      <c r="Y1355" s="48">
        <v>0.75</v>
      </c>
      <c r="Z1355" s="48">
        <v>0.75</v>
      </c>
      <c r="AA1355" s="48">
        <v>0.75</v>
      </c>
      <c r="AB1355" s="48">
        <v>0.75</v>
      </c>
      <c r="AC1355" s="48">
        <v>0.75</v>
      </c>
      <c r="AD1355" s="48">
        <v>0.75</v>
      </c>
      <c r="AE1355" s="48">
        <v>0.75</v>
      </c>
      <c r="AF1355" s="48">
        <v>0.75</v>
      </c>
      <c r="AG1355" s="48">
        <v>0.75</v>
      </c>
      <c r="AH1355" s="48">
        <v>0.75</v>
      </c>
      <c r="AI1355" s="48">
        <v>0.75</v>
      </c>
      <c r="AJ1355" s="48">
        <v>0.75</v>
      </c>
      <c r="AK1355" s="48">
        <v>0.75</v>
      </c>
      <c r="AL1355" s="48" t="s">
        <v>320</v>
      </c>
      <c r="AM1355" cm="1">
        <f t="array" ref="AM1355">SUM(_xlfn.LET(_xlpm.r,((IFERROR(H1355:AL1355-H1354:AL1354,0))*24)/10,IF(_xlpm.r&gt;1,1,_xlpm.r)))</f>
        <v>29</v>
      </c>
      <c r="AO1355" cm="1">
        <f t="array" ref="AO1355">SUM(IFERROR(MOD((H1355:AL1355-H1354:AL1354)*24,11),""))</f>
        <v>4.4999999999999982</v>
      </c>
    </row>
    <row r="1356" spans="1:41" hidden="1" x14ac:dyDescent="0.25">
      <c r="A1356">
        <v>1355</v>
      </c>
      <c r="B1356">
        <v>2026</v>
      </c>
      <c r="C1356">
        <v>1</v>
      </c>
      <c r="D1356" t="s">
        <v>156</v>
      </c>
      <c r="E1356">
        <v>31</v>
      </c>
      <c r="F1356">
        <v>12</v>
      </c>
      <c r="G1356" t="s">
        <v>430</v>
      </c>
      <c r="H1356" s="48" t="s">
        <v>320</v>
      </c>
      <c r="I1356" s="48">
        <v>46024.208333333336</v>
      </c>
      <c r="J1356" s="48">
        <v>46025.208333333336</v>
      </c>
      <c r="K1356" s="48">
        <v>46026.208333333336</v>
      </c>
      <c r="L1356" s="48">
        <v>46027.208333333336</v>
      </c>
      <c r="M1356" s="48">
        <v>46028.208333333336</v>
      </c>
      <c r="N1356" s="48">
        <v>46029.208333333336</v>
      </c>
      <c r="O1356" s="48">
        <v>46030.208333333336</v>
      </c>
      <c r="P1356" s="48">
        <v>46031.208333333336</v>
      </c>
      <c r="Q1356" s="48">
        <v>46032.208333333336</v>
      </c>
      <c r="R1356" s="48" t="s">
        <v>320</v>
      </c>
      <c r="S1356" s="48">
        <v>46034.208333333336</v>
      </c>
      <c r="T1356" s="48">
        <v>46035.208333333336</v>
      </c>
      <c r="U1356" s="48">
        <v>46036.208333333336</v>
      </c>
      <c r="V1356" s="48">
        <v>46037.208333333336</v>
      </c>
      <c r="W1356" s="48">
        <v>46038.208333333336</v>
      </c>
      <c r="X1356" s="48">
        <v>46039.208333333336</v>
      </c>
      <c r="Y1356" s="48">
        <v>46040.208333333336</v>
      </c>
      <c r="Z1356" s="48">
        <v>46041.208333333336</v>
      </c>
      <c r="AA1356" s="48" t="s">
        <v>320</v>
      </c>
      <c r="AB1356" s="48">
        <v>46043.208333333336</v>
      </c>
      <c r="AC1356" s="48">
        <v>46044.208333333336</v>
      </c>
      <c r="AD1356" s="48">
        <v>46045.208333333336</v>
      </c>
      <c r="AE1356" s="48">
        <v>46046.208333333336</v>
      </c>
      <c r="AF1356" s="48" t="s">
        <v>320</v>
      </c>
      <c r="AG1356" s="48">
        <v>46048.208333333336</v>
      </c>
      <c r="AH1356" s="48">
        <v>46049.208333333336</v>
      </c>
      <c r="AI1356" s="48">
        <v>46050.208333333336</v>
      </c>
      <c r="AJ1356" s="48">
        <v>46051.208333333336</v>
      </c>
      <c r="AK1356" s="48">
        <v>46052.208333333336</v>
      </c>
      <c r="AL1356" s="48">
        <v>46053.208333333336</v>
      </c>
    </row>
    <row r="1357" spans="1:41" hidden="1" x14ac:dyDescent="0.25">
      <c r="A1357">
        <v>1356</v>
      </c>
      <c r="B1357">
        <v>2026</v>
      </c>
      <c r="C1357">
        <v>1</v>
      </c>
      <c r="D1357" t="s">
        <v>156</v>
      </c>
      <c r="E1357">
        <v>31</v>
      </c>
      <c r="F1357">
        <v>12</v>
      </c>
      <c r="G1357" t="s">
        <v>431</v>
      </c>
      <c r="H1357" s="48" t="s">
        <v>320</v>
      </c>
      <c r="I1357" s="48">
        <v>46024.791666666672</v>
      </c>
      <c r="J1357" s="48">
        <v>46025.791666666672</v>
      </c>
      <c r="K1357" s="48">
        <v>46026.791666666672</v>
      </c>
      <c r="L1357" s="48">
        <v>46027.791666666672</v>
      </c>
      <c r="M1357" s="48">
        <v>46028.791666666672</v>
      </c>
      <c r="N1357" s="48">
        <v>46029.791666666672</v>
      </c>
      <c r="O1357" s="48">
        <v>46030.791666666672</v>
      </c>
      <c r="P1357" s="48">
        <v>46031.791666666672</v>
      </c>
      <c r="Q1357" s="48">
        <v>46032.791666666672</v>
      </c>
      <c r="R1357" s="48" t="s">
        <v>320</v>
      </c>
      <c r="S1357" s="48">
        <v>46034.791666666672</v>
      </c>
      <c r="T1357" s="48">
        <v>46035.791666666672</v>
      </c>
      <c r="U1357" s="48">
        <v>46036.791666666672</v>
      </c>
      <c r="V1357" s="48">
        <v>46037.791666666672</v>
      </c>
      <c r="W1357" s="48">
        <v>46038.791666666672</v>
      </c>
      <c r="X1357" s="48">
        <v>46039.791666666672</v>
      </c>
      <c r="Y1357" s="48">
        <v>46040.791666666672</v>
      </c>
      <c r="Z1357" s="48">
        <v>46041.791666666672</v>
      </c>
      <c r="AA1357" s="48" t="s">
        <v>320</v>
      </c>
      <c r="AB1357" s="48">
        <v>46043.791666666672</v>
      </c>
      <c r="AC1357" s="48">
        <v>46044.791666666672</v>
      </c>
      <c r="AD1357" s="48">
        <v>46045.791666666672</v>
      </c>
      <c r="AE1357" s="48">
        <v>46046.791666666672</v>
      </c>
      <c r="AF1357" s="48" t="s">
        <v>320</v>
      </c>
      <c r="AG1357" s="48">
        <v>46048.791666666672</v>
      </c>
      <c r="AH1357" s="48">
        <v>46049.791666666672</v>
      </c>
      <c r="AI1357" s="48">
        <v>46050.791666666672</v>
      </c>
      <c r="AJ1357" s="48">
        <v>46051.791666666672</v>
      </c>
      <c r="AK1357" s="48">
        <v>46052.791666666672</v>
      </c>
      <c r="AL1357" s="48">
        <v>46053.791666666672</v>
      </c>
      <c r="AM1357" cm="1">
        <f t="array" ref="AM1357">SUM(_xlfn.LET(_xlpm.r,((IFERROR(H1357:AL1357-H1356:AL1356,0))*24)/10,IF(_xlpm.r&gt;1,1,_xlpm.r)))</f>
        <v>27</v>
      </c>
      <c r="AO1357" cm="1">
        <f t="array" ref="AO1357">SUM(IFERROR(MOD((H1357:AL1357-H1356:AL1356)*24,11),""))</f>
        <v>81.000000001571607</v>
      </c>
    </row>
    <row r="1358" spans="1:41" hidden="1" x14ac:dyDescent="0.25">
      <c r="A1358">
        <v>1357</v>
      </c>
      <c r="B1358">
        <v>2026</v>
      </c>
      <c r="C1358">
        <v>1</v>
      </c>
      <c r="D1358" t="s">
        <v>168</v>
      </c>
      <c r="E1358">
        <v>31</v>
      </c>
      <c r="F1358">
        <v>12</v>
      </c>
      <c r="G1358" t="s">
        <v>430</v>
      </c>
      <c r="H1358" s="48" t="s">
        <v>320</v>
      </c>
      <c r="I1358" s="48" t="s">
        <v>375</v>
      </c>
      <c r="J1358" s="48" t="s">
        <v>375</v>
      </c>
      <c r="K1358" s="48" t="s">
        <v>375</v>
      </c>
      <c r="L1358" s="48" t="s">
        <v>375</v>
      </c>
      <c r="M1358" s="48" t="s">
        <v>375</v>
      </c>
      <c r="N1358" s="48" t="s">
        <v>375</v>
      </c>
      <c r="O1358" s="48" t="s">
        <v>375</v>
      </c>
      <c r="P1358" s="48" t="s">
        <v>375</v>
      </c>
      <c r="Q1358" s="48" t="s">
        <v>375</v>
      </c>
      <c r="R1358" s="48" t="s">
        <v>375</v>
      </c>
      <c r="S1358" s="48" t="s">
        <v>375</v>
      </c>
      <c r="T1358" s="48" t="s">
        <v>375</v>
      </c>
      <c r="U1358" s="48" t="s">
        <v>375</v>
      </c>
      <c r="V1358" s="48" t="s">
        <v>375</v>
      </c>
      <c r="W1358" s="48" t="s">
        <v>375</v>
      </c>
      <c r="X1358" s="48" t="s">
        <v>375</v>
      </c>
      <c r="Y1358" s="48" t="s">
        <v>375</v>
      </c>
      <c r="Z1358" s="48" t="s">
        <v>375</v>
      </c>
      <c r="AA1358" s="48" t="s">
        <v>375</v>
      </c>
      <c r="AB1358" s="48" t="s">
        <v>375</v>
      </c>
      <c r="AC1358" s="48" t="s">
        <v>375</v>
      </c>
      <c r="AD1358" s="48" t="s">
        <v>375</v>
      </c>
      <c r="AE1358" s="48" t="s">
        <v>375</v>
      </c>
      <c r="AF1358" s="48" t="s">
        <v>375</v>
      </c>
      <c r="AG1358" s="48" t="s">
        <v>375</v>
      </c>
      <c r="AH1358" s="48" t="s">
        <v>375</v>
      </c>
      <c r="AI1358" s="48" t="s">
        <v>375</v>
      </c>
      <c r="AJ1358" s="48" t="s">
        <v>375</v>
      </c>
      <c r="AK1358" s="48" t="s">
        <v>375</v>
      </c>
      <c r="AL1358" s="48" t="s">
        <v>375</v>
      </c>
    </row>
    <row r="1359" spans="1:41" hidden="1" x14ac:dyDescent="0.25">
      <c r="A1359">
        <v>1358</v>
      </c>
      <c r="B1359">
        <v>2026</v>
      </c>
      <c r="C1359">
        <v>1</v>
      </c>
      <c r="D1359" t="s">
        <v>168</v>
      </c>
      <c r="E1359">
        <v>31</v>
      </c>
      <c r="F1359">
        <v>12</v>
      </c>
      <c r="G1359" t="s">
        <v>431</v>
      </c>
      <c r="H1359" s="48" t="s">
        <v>320</v>
      </c>
      <c r="I1359" s="48">
        <v>0.75</v>
      </c>
      <c r="J1359" s="48">
        <v>0.75</v>
      </c>
      <c r="K1359" s="48">
        <v>0.75</v>
      </c>
      <c r="L1359" s="48">
        <v>0.75</v>
      </c>
      <c r="M1359" s="48">
        <v>0.875</v>
      </c>
      <c r="N1359" s="48">
        <v>0.75</v>
      </c>
      <c r="O1359" s="48">
        <v>0.75</v>
      </c>
      <c r="P1359" s="48">
        <v>0.75</v>
      </c>
      <c r="Q1359" s="48">
        <v>0.75</v>
      </c>
      <c r="R1359" s="48">
        <v>0.75</v>
      </c>
      <c r="S1359" s="48">
        <v>0.75</v>
      </c>
      <c r="T1359" s="48">
        <v>0.875</v>
      </c>
      <c r="U1359" s="48">
        <v>0.83333333333333326</v>
      </c>
      <c r="V1359" s="48">
        <v>0.83333333333333326</v>
      </c>
      <c r="W1359" s="48">
        <v>0.95833333333333326</v>
      </c>
      <c r="X1359" s="48">
        <v>0.83333333333333326</v>
      </c>
      <c r="Y1359" s="48">
        <v>0.75</v>
      </c>
      <c r="Z1359" s="48">
        <v>0.79166666666666674</v>
      </c>
      <c r="AA1359" s="48">
        <v>0.75</v>
      </c>
      <c r="AB1359" s="48">
        <v>0.75</v>
      </c>
      <c r="AC1359" s="48">
        <v>1</v>
      </c>
      <c r="AD1359" s="48">
        <v>0.83333333333333326</v>
      </c>
      <c r="AE1359" s="48">
        <v>0.75</v>
      </c>
      <c r="AF1359" s="48">
        <v>0.875</v>
      </c>
      <c r="AG1359" s="48">
        <v>0.875</v>
      </c>
      <c r="AH1359" s="48">
        <v>0.83333333333333326</v>
      </c>
      <c r="AI1359" s="48">
        <v>0.875</v>
      </c>
      <c r="AJ1359" s="48">
        <v>0.79166666666666674</v>
      </c>
      <c r="AK1359" s="48">
        <v>0.95833333333333326</v>
      </c>
      <c r="AL1359" s="48">
        <v>0.75</v>
      </c>
      <c r="AM1359" cm="1">
        <f t="array" ref="AM1359">SUM(_xlfn.LET(_xlpm.r,((IFERROR(H1359:AL1359-H1358:AL1358,0))*24)/10,IF(_xlpm.r&gt;1,1,_xlpm.r)))</f>
        <v>30</v>
      </c>
      <c r="AO1359" cm="1">
        <f t="array" ref="AO1359">SUM(IFERROR(MOD((H1359:AL1359-H1358:AL1358)*24,11),""))</f>
        <v>42.999999999999972</v>
      </c>
    </row>
    <row r="1360" spans="1:41" hidden="1" x14ac:dyDescent="0.25">
      <c r="A1360">
        <v>1359</v>
      </c>
      <c r="B1360">
        <v>2026</v>
      </c>
      <c r="C1360">
        <v>1</v>
      </c>
      <c r="D1360" t="s">
        <v>164</v>
      </c>
      <c r="E1360">
        <v>31</v>
      </c>
      <c r="F1360">
        <v>12</v>
      </c>
      <c r="G1360" t="s">
        <v>430</v>
      </c>
      <c r="H1360" s="48" t="s">
        <v>320</v>
      </c>
      <c r="I1360" s="48" t="s">
        <v>375</v>
      </c>
      <c r="J1360" s="48" t="s">
        <v>375</v>
      </c>
      <c r="K1360" s="48" t="s">
        <v>375</v>
      </c>
      <c r="L1360" s="48" t="s">
        <v>375</v>
      </c>
      <c r="M1360" s="48" t="s">
        <v>375</v>
      </c>
      <c r="N1360" s="48" t="s">
        <v>375</v>
      </c>
      <c r="O1360" s="48" t="s">
        <v>375</v>
      </c>
      <c r="P1360" s="48" t="s">
        <v>375</v>
      </c>
      <c r="Q1360" s="48" t="s">
        <v>375</v>
      </c>
      <c r="R1360" s="48" t="s">
        <v>375</v>
      </c>
      <c r="S1360" s="48" t="s">
        <v>375</v>
      </c>
      <c r="T1360" s="48" t="s">
        <v>375</v>
      </c>
      <c r="U1360" s="48" t="s">
        <v>375</v>
      </c>
      <c r="V1360" s="48" t="s">
        <v>375</v>
      </c>
      <c r="W1360" s="48" t="s">
        <v>375</v>
      </c>
      <c r="X1360" s="48" t="s">
        <v>375</v>
      </c>
      <c r="Y1360" s="48" t="s">
        <v>375</v>
      </c>
      <c r="Z1360" s="48" t="s">
        <v>375</v>
      </c>
      <c r="AA1360" s="48" t="s">
        <v>375</v>
      </c>
      <c r="AB1360" s="48" t="s">
        <v>375</v>
      </c>
      <c r="AC1360" s="48" t="s">
        <v>375</v>
      </c>
      <c r="AD1360" s="48" t="s">
        <v>375</v>
      </c>
      <c r="AE1360" s="48" t="s">
        <v>375</v>
      </c>
      <c r="AF1360" s="48" t="s">
        <v>375</v>
      </c>
      <c r="AG1360" s="48" t="s">
        <v>375</v>
      </c>
      <c r="AH1360" s="48" t="s">
        <v>375</v>
      </c>
      <c r="AI1360" s="48" t="s">
        <v>375</v>
      </c>
      <c r="AJ1360" s="48" t="s">
        <v>375</v>
      </c>
      <c r="AK1360" s="48" t="s">
        <v>375</v>
      </c>
      <c r="AL1360" s="48" t="s">
        <v>375</v>
      </c>
    </row>
    <row r="1361" spans="1:45" hidden="1" x14ac:dyDescent="0.25">
      <c r="A1361">
        <v>1360</v>
      </c>
      <c r="B1361">
        <v>2026</v>
      </c>
      <c r="C1361">
        <v>1</v>
      </c>
      <c r="D1361" t="s">
        <v>164</v>
      </c>
      <c r="E1361">
        <v>31</v>
      </c>
      <c r="F1361">
        <v>12</v>
      </c>
      <c r="G1361" t="s">
        <v>431</v>
      </c>
      <c r="H1361" s="48" t="s">
        <v>320</v>
      </c>
      <c r="I1361" s="48">
        <v>0.875</v>
      </c>
      <c r="J1361" s="48">
        <v>0.875</v>
      </c>
      <c r="K1361" s="48">
        <v>0.875</v>
      </c>
      <c r="L1361" s="48">
        <v>0.875</v>
      </c>
      <c r="M1361" s="48">
        <v>0.875</v>
      </c>
      <c r="N1361" s="48">
        <v>0.875</v>
      </c>
      <c r="O1361" s="48">
        <v>0.875</v>
      </c>
      <c r="P1361" s="48">
        <v>0.875</v>
      </c>
      <c r="Q1361" s="48">
        <v>0.875</v>
      </c>
      <c r="R1361" s="48">
        <v>0.875</v>
      </c>
      <c r="S1361" s="48">
        <v>0.875</v>
      </c>
      <c r="T1361" s="48">
        <v>0.875</v>
      </c>
      <c r="U1361" s="48">
        <v>0.875</v>
      </c>
      <c r="V1361" s="48">
        <v>0.875</v>
      </c>
      <c r="W1361" s="48">
        <v>0.875</v>
      </c>
      <c r="X1361" s="48">
        <v>0.875</v>
      </c>
      <c r="Y1361" s="48">
        <v>0.875</v>
      </c>
      <c r="Z1361" s="48">
        <v>0.875</v>
      </c>
      <c r="AA1361" s="48">
        <v>0.875</v>
      </c>
      <c r="AB1361" s="48">
        <v>0.875</v>
      </c>
      <c r="AC1361" s="48">
        <v>0.875</v>
      </c>
      <c r="AD1361" s="48">
        <v>0.875</v>
      </c>
      <c r="AE1361" s="48">
        <v>0.875</v>
      </c>
      <c r="AF1361" s="48">
        <v>0.875</v>
      </c>
      <c r="AG1361" s="48">
        <v>0.875</v>
      </c>
      <c r="AH1361" s="48">
        <v>0.875</v>
      </c>
      <c r="AI1361" s="48">
        <v>0.875</v>
      </c>
      <c r="AJ1361" s="48">
        <v>0.875</v>
      </c>
      <c r="AK1361" s="48">
        <v>0.875</v>
      </c>
      <c r="AL1361" s="48">
        <v>0.875</v>
      </c>
      <c r="AM1361" cm="1">
        <f t="array" ref="AM1361">SUM(_xlfn.LET(_xlpm.r,((IFERROR(H1361:AL1361-H1360:AL1360,0))*24)/10,IF(_xlpm.r&gt;1,1,_xlpm.r)))</f>
        <v>30</v>
      </c>
      <c r="AO1361" cm="1">
        <f t="array" ref="AO1361">SUM(IFERROR(MOD((H1361:AL1361-H1360:AL1360)*24,11),""))</f>
        <v>89.999999999999986</v>
      </c>
    </row>
    <row r="1362" spans="1:45" hidden="1" x14ac:dyDescent="0.25">
      <c r="A1362">
        <v>1361</v>
      </c>
      <c r="B1362">
        <v>2026</v>
      </c>
      <c r="C1362">
        <v>1</v>
      </c>
      <c r="D1362" t="s">
        <v>163</v>
      </c>
      <c r="E1362">
        <v>31</v>
      </c>
      <c r="F1362">
        <v>12</v>
      </c>
      <c r="G1362" t="s">
        <v>430</v>
      </c>
      <c r="H1362" s="48" t="s">
        <v>407</v>
      </c>
      <c r="I1362" s="48" t="s">
        <v>407</v>
      </c>
      <c r="J1362" s="48" t="s">
        <v>407</v>
      </c>
      <c r="K1362" s="48" t="s">
        <v>407</v>
      </c>
      <c r="L1362" s="48" t="s">
        <v>407</v>
      </c>
      <c r="M1362" s="48" t="s">
        <v>407</v>
      </c>
      <c r="N1362" s="48" t="s">
        <v>407</v>
      </c>
      <c r="O1362" s="48" t="s">
        <v>407</v>
      </c>
      <c r="P1362" s="48" t="s">
        <v>407</v>
      </c>
      <c r="Q1362" s="48" t="s">
        <v>407</v>
      </c>
      <c r="R1362" s="48" t="s">
        <v>407</v>
      </c>
      <c r="S1362" s="48" t="s">
        <v>407</v>
      </c>
      <c r="T1362" s="48" t="s">
        <v>407</v>
      </c>
      <c r="U1362" s="48" t="s">
        <v>407</v>
      </c>
      <c r="V1362" s="48" t="s">
        <v>407</v>
      </c>
      <c r="W1362" s="48" t="s">
        <v>407</v>
      </c>
      <c r="X1362" s="48" t="s">
        <v>407</v>
      </c>
      <c r="Y1362" s="48" t="s">
        <v>407</v>
      </c>
      <c r="Z1362" s="48" t="s">
        <v>407</v>
      </c>
      <c r="AA1362" s="48" t="s">
        <v>407</v>
      </c>
      <c r="AB1362" s="48" t="s">
        <v>407</v>
      </c>
      <c r="AC1362" s="48" t="s">
        <v>407</v>
      </c>
      <c r="AD1362" s="48" t="s">
        <v>407</v>
      </c>
      <c r="AE1362" s="48" t="s">
        <v>407</v>
      </c>
      <c r="AF1362" s="48" t="s">
        <v>407</v>
      </c>
      <c r="AG1362" s="48" t="s">
        <v>407</v>
      </c>
      <c r="AH1362" s="48" t="s">
        <v>407</v>
      </c>
      <c r="AI1362" s="48" t="s">
        <v>407</v>
      </c>
      <c r="AJ1362" s="48" t="s">
        <v>407</v>
      </c>
      <c r="AK1362" s="48" t="s">
        <v>407</v>
      </c>
      <c r="AL1362" s="48" t="s">
        <v>407</v>
      </c>
    </row>
    <row r="1363" spans="1:45" hidden="1" x14ac:dyDescent="0.25">
      <c r="A1363">
        <v>1362</v>
      </c>
      <c r="B1363">
        <v>2026</v>
      </c>
      <c r="C1363">
        <v>1</v>
      </c>
      <c r="D1363" t="s">
        <v>163</v>
      </c>
      <c r="E1363">
        <v>31</v>
      </c>
      <c r="F1363">
        <v>12</v>
      </c>
      <c r="G1363" t="s">
        <v>431</v>
      </c>
      <c r="H1363" s="48">
        <v>0.85416666666666674</v>
      </c>
      <c r="I1363" s="48">
        <v>0.85416666666666674</v>
      </c>
      <c r="J1363" s="48">
        <v>0.85416666666666674</v>
      </c>
      <c r="K1363" s="48">
        <v>0.85416666666666674</v>
      </c>
      <c r="L1363" s="48">
        <v>0.85416666666666674</v>
      </c>
      <c r="M1363" s="48">
        <v>0.85416666666666674</v>
      </c>
      <c r="N1363" s="48">
        <v>0.85416666666666674</v>
      </c>
      <c r="O1363" s="48">
        <v>0.85416666666666674</v>
      </c>
      <c r="P1363" s="48">
        <v>0.85416666666666674</v>
      </c>
      <c r="Q1363" s="48">
        <v>0.85416666666666674</v>
      </c>
      <c r="R1363" s="48">
        <v>0.85416666666666674</v>
      </c>
      <c r="S1363" s="48">
        <v>0.85416666666666674</v>
      </c>
      <c r="T1363" s="48">
        <v>0.85416666666666674</v>
      </c>
      <c r="U1363" s="48">
        <v>0.85416666666666674</v>
      </c>
      <c r="V1363" s="48">
        <v>0.85416666666666674</v>
      </c>
      <c r="W1363" s="48">
        <v>0.85416666666666674</v>
      </c>
      <c r="X1363" s="48">
        <v>0.85416666666666674</v>
      </c>
      <c r="Y1363" s="48">
        <v>0.85416666666666674</v>
      </c>
      <c r="Z1363" s="48">
        <v>0.85416666666666674</v>
      </c>
      <c r="AA1363" s="48">
        <v>0.85416666666666674</v>
      </c>
      <c r="AB1363" s="48">
        <v>0.85416666666666674</v>
      </c>
      <c r="AC1363" s="48">
        <v>0.85416666666666674</v>
      </c>
      <c r="AD1363" s="48">
        <v>0.85416666666666674</v>
      </c>
      <c r="AE1363" s="48">
        <v>0.85416666666666674</v>
      </c>
      <c r="AF1363" s="48">
        <v>0.85416666666666674</v>
      </c>
      <c r="AG1363" s="48">
        <v>0.85416666666666674</v>
      </c>
      <c r="AH1363" s="48">
        <v>0.85416666666666674</v>
      </c>
      <c r="AI1363" s="48">
        <v>0.85416666666666674</v>
      </c>
      <c r="AJ1363" s="48">
        <v>0.85416666666666674</v>
      </c>
      <c r="AK1363" s="48">
        <v>0.85416666666666674</v>
      </c>
      <c r="AL1363" s="48">
        <v>0.85416666666666674</v>
      </c>
      <c r="AM1363" cm="1">
        <f t="array" ref="AM1363">SUM(_xlfn.LET(_xlpm.r,((IFERROR(H1363:AL1363-H1362:AL1362,0))*24)/10,IF(_xlpm.r&gt;1,1,_xlpm.r)))</f>
        <v>31</v>
      </c>
      <c r="AO1363" cm="1">
        <f t="array" ref="AO1363">SUM(IFERROR(MOD((H1363:AL1363-H1362:AL1362)*24,11),""))</f>
        <v>93.000000000000043</v>
      </c>
    </row>
    <row r="1364" spans="1:45" hidden="1" x14ac:dyDescent="0.25">
      <c r="A1364">
        <v>1363</v>
      </c>
      <c r="B1364">
        <v>2026</v>
      </c>
      <c r="C1364">
        <v>1</v>
      </c>
      <c r="D1364" t="s">
        <v>131</v>
      </c>
      <c r="E1364">
        <v>31</v>
      </c>
      <c r="F1364">
        <v>12</v>
      </c>
      <c r="G1364" t="s">
        <v>430</v>
      </c>
      <c r="H1364" s="48" t="s">
        <v>320</v>
      </c>
      <c r="I1364" s="48" t="s">
        <v>375</v>
      </c>
      <c r="J1364" s="48" t="s">
        <v>375</v>
      </c>
      <c r="K1364" s="48" t="s">
        <v>375</v>
      </c>
      <c r="L1364" s="48" t="s">
        <v>375</v>
      </c>
      <c r="M1364" s="48" t="s">
        <v>375</v>
      </c>
      <c r="N1364" s="48" t="s">
        <v>375</v>
      </c>
      <c r="O1364" s="48" t="s">
        <v>375</v>
      </c>
      <c r="P1364" s="48" t="s">
        <v>375</v>
      </c>
      <c r="Q1364" s="48" t="s">
        <v>375</v>
      </c>
      <c r="R1364" s="48" t="s">
        <v>375</v>
      </c>
      <c r="S1364" s="48" t="s">
        <v>375</v>
      </c>
      <c r="T1364" s="48" t="s">
        <v>375</v>
      </c>
      <c r="U1364" s="48" t="s">
        <v>375</v>
      </c>
      <c r="V1364" s="48" t="s">
        <v>375</v>
      </c>
      <c r="W1364" s="48" t="s">
        <v>375</v>
      </c>
      <c r="X1364" s="48" t="s">
        <v>375</v>
      </c>
      <c r="Y1364" s="48" t="s">
        <v>375</v>
      </c>
      <c r="Z1364" s="48" t="s">
        <v>375</v>
      </c>
      <c r="AA1364" s="48" t="s">
        <v>375</v>
      </c>
      <c r="AB1364" s="48" t="s">
        <v>375</v>
      </c>
      <c r="AC1364" s="48" t="s">
        <v>375</v>
      </c>
      <c r="AD1364" s="48" t="s">
        <v>320</v>
      </c>
      <c r="AE1364" s="48" t="s">
        <v>375</v>
      </c>
      <c r="AF1364" s="48" t="s">
        <v>375</v>
      </c>
      <c r="AG1364" s="48" t="s">
        <v>375</v>
      </c>
      <c r="AH1364" s="48" t="s">
        <v>375</v>
      </c>
      <c r="AI1364" s="48" t="s">
        <v>375</v>
      </c>
      <c r="AJ1364" s="48" t="s">
        <v>375</v>
      </c>
      <c r="AK1364" s="48" t="s">
        <v>375</v>
      </c>
      <c r="AL1364" s="48" t="s">
        <v>375</v>
      </c>
    </row>
    <row r="1365" spans="1:45" hidden="1" x14ac:dyDescent="0.25">
      <c r="A1365">
        <v>1364</v>
      </c>
      <c r="B1365">
        <v>2026</v>
      </c>
      <c r="C1365">
        <v>1</v>
      </c>
      <c r="D1365" t="s">
        <v>131</v>
      </c>
      <c r="E1365">
        <v>31</v>
      </c>
      <c r="F1365">
        <v>12</v>
      </c>
      <c r="G1365" t="s">
        <v>431</v>
      </c>
      <c r="H1365" s="48" t="s">
        <v>320</v>
      </c>
      <c r="I1365" s="48">
        <v>0.75</v>
      </c>
      <c r="J1365" s="48">
        <v>0.75</v>
      </c>
      <c r="K1365" s="48">
        <v>0.95833333333333326</v>
      </c>
      <c r="L1365" s="48">
        <v>0.79166666666666674</v>
      </c>
      <c r="M1365" s="48">
        <v>0.83333333333333326</v>
      </c>
      <c r="N1365" s="48">
        <v>0.79166666666666674</v>
      </c>
      <c r="O1365" s="48">
        <v>0.83333333333333326</v>
      </c>
      <c r="P1365" s="48">
        <v>0.83333333333333326</v>
      </c>
      <c r="Q1365" s="48">
        <v>0.875</v>
      </c>
      <c r="R1365" s="48">
        <v>0.875</v>
      </c>
      <c r="S1365" s="48">
        <v>0.75</v>
      </c>
      <c r="T1365" s="48">
        <v>0.91666666666666674</v>
      </c>
      <c r="U1365" s="48">
        <v>0.79166666666666674</v>
      </c>
      <c r="V1365" s="48">
        <v>0.79166666666666674</v>
      </c>
      <c r="W1365" s="48">
        <v>0.95833333333333326</v>
      </c>
      <c r="X1365" s="48">
        <v>1.0416666666666667</v>
      </c>
      <c r="Y1365" s="48">
        <v>0.875</v>
      </c>
      <c r="Z1365" s="48">
        <v>0.75</v>
      </c>
      <c r="AA1365" s="48">
        <v>0.75</v>
      </c>
      <c r="AB1365" s="48">
        <v>0.75</v>
      </c>
      <c r="AC1365" s="48">
        <v>0.79166666666666674</v>
      </c>
      <c r="AD1365" s="48" t="s">
        <v>320</v>
      </c>
      <c r="AE1365" s="48">
        <v>0.95833333333333326</v>
      </c>
      <c r="AF1365" s="48">
        <v>0.79166666666666674</v>
      </c>
      <c r="AG1365" s="48">
        <v>0.83333333333333326</v>
      </c>
      <c r="AH1365" s="48">
        <v>0.79166666666666674</v>
      </c>
      <c r="AI1365" s="48">
        <v>0.79166666666666674</v>
      </c>
      <c r="AJ1365" s="48">
        <v>0.875</v>
      </c>
      <c r="AK1365" s="48">
        <v>0.79166666666666674</v>
      </c>
      <c r="AL1365" s="48">
        <v>0.83333333333333326</v>
      </c>
      <c r="AM1365" cm="1">
        <f t="array" ref="AM1365">SUM(_xlfn.LET(_xlpm.r,((IFERROR(H1365:AL1365-H1364:AL1364,0))*24)/10,IF(_xlpm.r&gt;1,1,_xlpm.r)))</f>
        <v>29</v>
      </c>
      <c r="AO1365" cm="1">
        <f t="array" ref="AO1365">SUM(IFERROR(MOD((H1365:AL1365-H1364:AL1364)*24,11),""))</f>
        <v>56.999999999999972</v>
      </c>
    </row>
    <row r="1366" spans="1:45" hidden="1" x14ac:dyDescent="0.25">
      <c r="A1366">
        <v>1365</v>
      </c>
      <c r="B1366">
        <v>2026</v>
      </c>
      <c r="C1366">
        <v>1</v>
      </c>
      <c r="D1366" t="s">
        <v>174</v>
      </c>
      <c r="E1366">
        <v>31</v>
      </c>
      <c r="F1366">
        <v>12</v>
      </c>
      <c r="G1366" t="s">
        <v>430</v>
      </c>
      <c r="H1366" s="48">
        <v>46023.291666666664</v>
      </c>
      <c r="I1366" s="48">
        <v>46024.291666666664</v>
      </c>
      <c r="J1366" s="48">
        <v>46025.291666666664</v>
      </c>
      <c r="K1366" s="48">
        <v>46026.291666666664</v>
      </c>
      <c r="L1366" s="48">
        <v>46027.291666666664</v>
      </c>
      <c r="M1366" s="48">
        <v>46028.916666666664</v>
      </c>
      <c r="N1366" s="48">
        <v>46029.125</v>
      </c>
      <c r="O1366" s="48">
        <v>46030.291666666664</v>
      </c>
      <c r="P1366" s="48">
        <v>46031.958333333336</v>
      </c>
      <c r="Q1366" s="48">
        <v>46032.291666666664</v>
      </c>
      <c r="R1366" s="48">
        <v>46033.291666666664</v>
      </c>
      <c r="S1366" s="48">
        <v>46034.291666666664</v>
      </c>
      <c r="T1366" s="48">
        <v>46035.291666666664</v>
      </c>
      <c r="U1366" s="48">
        <v>46036.291666666664</v>
      </c>
      <c r="V1366" s="48">
        <v>46037.958333333336</v>
      </c>
      <c r="W1366" s="48">
        <v>46038.291666666664</v>
      </c>
      <c r="X1366" s="48">
        <v>46039.291666666664</v>
      </c>
      <c r="Y1366" s="48">
        <v>46040.75</v>
      </c>
      <c r="Z1366" s="48">
        <v>46041.291666666664</v>
      </c>
      <c r="AA1366" s="48">
        <v>46042.291666666664</v>
      </c>
      <c r="AB1366" s="48">
        <v>46043.291666666664</v>
      </c>
      <c r="AC1366" s="48">
        <v>46044.208333333336</v>
      </c>
      <c r="AD1366" s="48">
        <v>46045.291666666664</v>
      </c>
      <c r="AE1366" s="48">
        <v>46046.291666666664</v>
      </c>
      <c r="AF1366" s="48">
        <v>46047.958333333336</v>
      </c>
      <c r="AG1366" s="48">
        <v>46048.291666666664</v>
      </c>
      <c r="AH1366" s="48">
        <v>46049.041666666664</v>
      </c>
      <c r="AI1366" s="48">
        <v>46050.291666666664</v>
      </c>
      <c r="AJ1366" s="48">
        <v>46051.291666666664</v>
      </c>
      <c r="AK1366" s="48">
        <v>46052.291666666664</v>
      </c>
      <c r="AL1366" s="48">
        <v>46053.291666666664</v>
      </c>
    </row>
    <row r="1367" spans="1:45" hidden="1" x14ac:dyDescent="0.25">
      <c r="A1367">
        <v>1366</v>
      </c>
      <c r="B1367">
        <v>2026</v>
      </c>
      <c r="C1367">
        <v>1</v>
      </c>
      <c r="D1367" t="s">
        <v>174</v>
      </c>
      <c r="E1367">
        <v>31</v>
      </c>
      <c r="F1367">
        <v>12</v>
      </c>
      <c r="G1367" t="s">
        <v>431</v>
      </c>
      <c r="H1367" s="48">
        <v>46023.75</v>
      </c>
      <c r="I1367" s="48">
        <v>46024.791666666664</v>
      </c>
      <c r="J1367" s="48">
        <v>46025.833333333328</v>
      </c>
      <c r="K1367" s="48">
        <v>46026.75</v>
      </c>
      <c r="L1367" s="48">
        <v>46027.916666666664</v>
      </c>
      <c r="M1367" s="48">
        <v>46029.708333333328</v>
      </c>
      <c r="N1367" s="48">
        <v>46029.75</v>
      </c>
      <c r="O1367" s="48">
        <v>46030.75</v>
      </c>
      <c r="P1367" s="48">
        <v>46032.75</v>
      </c>
      <c r="Q1367" s="48">
        <v>46032.833333333328</v>
      </c>
      <c r="R1367" s="48">
        <v>46033.75</v>
      </c>
      <c r="S1367" s="48">
        <v>46034.875</v>
      </c>
      <c r="T1367" s="48">
        <v>46035.958333333328</v>
      </c>
      <c r="U1367" s="48">
        <v>46036.75</v>
      </c>
      <c r="V1367" s="48">
        <v>46038.708333333336</v>
      </c>
      <c r="W1367" s="48">
        <v>46038.833333333328</v>
      </c>
      <c r="X1367" s="48">
        <v>46040.166666666664</v>
      </c>
      <c r="Y1367" s="48">
        <v>46041.708333333336</v>
      </c>
      <c r="Z1367" s="48">
        <v>46041.75</v>
      </c>
      <c r="AA1367" s="48">
        <v>46042.75</v>
      </c>
      <c r="AB1367" s="48">
        <v>46043.791666666664</v>
      </c>
      <c r="AC1367" s="48">
        <v>46044.75</v>
      </c>
      <c r="AD1367" s="48">
        <v>46045.833333333328</v>
      </c>
      <c r="AE1367" s="48">
        <v>46046.833333333328</v>
      </c>
      <c r="AF1367" s="48">
        <v>46048.666666666672</v>
      </c>
      <c r="AG1367" s="48">
        <v>46048.833333333328</v>
      </c>
      <c r="AH1367" s="48">
        <v>46049.75</v>
      </c>
      <c r="AI1367" s="48">
        <v>46050.875</v>
      </c>
      <c r="AJ1367" s="48">
        <v>46051.75</v>
      </c>
      <c r="AK1367" s="48">
        <v>46053.041666666664</v>
      </c>
      <c r="AL1367" s="48">
        <v>46053.75</v>
      </c>
      <c r="AM1367" cm="1">
        <f t="array" ref="AM1367">SUM(_xlfn.LET(_xlpm.r,((IFERROR(H1367:AL1367-H1366:AL1366,0))*24)/10,IF(_xlpm.r&gt;1,1,_xlpm.r)))</f>
        <v>31</v>
      </c>
      <c r="AO1367" cm="1">
        <f t="array" ref="AO1367">SUM(ROUND((H1367:AL1367-H1366:AL1366)*24-11,2))</f>
        <v>99</v>
      </c>
    </row>
    <row r="1368" spans="1:45" hidden="1" x14ac:dyDescent="0.25">
      <c r="A1368">
        <v>1367</v>
      </c>
      <c r="B1368">
        <v>2026</v>
      </c>
      <c r="C1368">
        <v>1</v>
      </c>
      <c r="D1368" t="s">
        <v>184</v>
      </c>
      <c r="E1368">
        <v>31</v>
      </c>
      <c r="F1368">
        <v>12</v>
      </c>
      <c r="G1368" t="s">
        <v>432</v>
      </c>
      <c r="H1368" s="48" t="s">
        <v>320</v>
      </c>
      <c r="I1368" s="48">
        <v>339359</v>
      </c>
      <c r="J1368" s="48">
        <v>339375</v>
      </c>
      <c r="K1368" s="48">
        <v>339402</v>
      </c>
      <c r="L1368" s="48">
        <v>339425</v>
      </c>
      <c r="M1368" s="48">
        <v>339463</v>
      </c>
      <c r="N1368" s="48">
        <v>339478</v>
      </c>
      <c r="O1368" s="48">
        <v>339493</v>
      </c>
      <c r="P1368" s="48">
        <v>339536</v>
      </c>
      <c r="Q1368" s="48">
        <v>339563</v>
      </c>
      <c r="R1368" s="48">
        <v>339654</v>
      </c>
      <c r="S1368" s="48">
        <v>339835</v>
      </c>
      <c r="T1368" s="48">
        <v>339900</v>
      </c>
      <c r="U1368" s="48">
        <v>339935</v>
      </c>
      <c r="V1368" s="48">
        <v>339971</v>
      </c>
      <c r="W1368" s="48">
        <v>339989</v>
      </c>
      <c r="X1368" s="48">
        <v>340026</v>
      </c>
      <c r="Y1368" s="48">
        <v>340074</v>
      </c>
      <c r="Z1368" s="48">
        <v>340088</v>
      </c>
      <c r="AA1368" s="48">
        <v>340204</v>
      </c>
      <c r="AB1368" s="48">
        <v>340231</v>
      </c>
      <c r="AC1368" s="48">
        <v>340247</v>
      </c>
      <c r="AD1368" s="48">
        <v>340273</v>
      </c>
      <c r="AE1368" s="48">
        <v>340318</v>
      </c>
      <c r="AF1368" s="48">
        <v>340447</v>
      </c>
      <c r="AG1368" s="48">
        <v>340575</v>
      </c>
      <c r="AH1368" s="48">
        <v>340638</v>
      </c>
      <c r="AI1368" s="48">
        <v>340669</v>
      </c>
      <c r="AJ1368" s="48">
        <v>340700</v>
      </c>
      <c r="AK1368" s="48">
        <v>340721</v>
      </c>
      <c r="AL1368" s="48">
        <v>340738</v>
      </c>
    </row>
    <row r="1369" spans="1:45" hidden="1" x14ac:dyDescent="0.25">
      <c r="A1369">
        <v>1368</v>
      </c>
      <c r="B1369">
        <v>2026</v>
      </c>
      <c r="C1369">
        <v>1</v>
      </c>
      <c r="D1369" t="s">
        <v>184</v>
      </c>
      <c r="E1369">
        <v>31</v>
      </c>
      <c r="F1369">
        <v>12</v>
      </c>
      <c r="G1369" t="s">
        <v>433</v>
      </c>
      <c r="H1369" s="48" t="s">
        <v>320</v>
      </c>
      <c r="I1369" s="48">
        <v>339375</v>
      </c>
      <c r="J1369" s="48">
        <v>339402</v>
      </c>
      <c r="K1369" s="48">
        <v>339425</v>
      </c>
      <c r="L1369" s="48">
        <v>339463</v>
      </c>
      <c r="M1369" s="48">
        <v>339478</v>
      </c>
      <c r="N1369" s="48">
        <v>339493</v>
      </c>
      <c r="O1369" s="48">
        <v>339536</v>
      </c>
      <c r="P1369" s="48">
        <v>339563</v>
      </c>
      <c r="Q1369" s="48">
        <v>339654</v>
      </c>
      <c r="R1369" s="48">
        <v>339835</v>
      </c>
      <c r="S1369" s="48">
        <v>339900</v>
      </c>
      <c r="T1369" s="48">
        <v>339935</v>
      </c>
      <c r="U1369" s="48">
        <v>339971</v>
      </c>
      <c r="V1369" s="48">
        <v>339989</v>
      </c>
      <c r="W1369" s="48">
        <v>340026</v>
      </c>
      <c r="X1369" s="48">
        <v>340074</v>
      </c>
      <c r="Y1369" s="48">
        <v>340088</v>
      </c>
      <c r="Z1369" s="48">
        <v>340204</v>
      </c>
      <c r="AA1369" s="48">
        <v>340231</v>
      </c>
      <c r="AB1369" s="48">
        <v>340247</v>
      </c>
      <c r="AC1369" s="48">
        <v>340273</v>
      </c>
      <c r="AD1369" s="48">
        <v>340318</v>
      </c>
      <c r="AE1369" s="48">
        <v>340447</v>
      </c>
      <c r="AF1369" s="48">
        <v>340575</v>
      </c>
      <c r="AG1369" s="48">
        <v>340638</v>
      </c>
      <c r="AH1369" s="48">
        <v>340669</v>
      </c>
      <c r="AI1369" s="48">
        <v>340700</v>
      </c>
      <c r="AJ1369" s="48">
        <v>340721</v>
      </c>
      <c r="AK1369" s="48">
        <v>340738</v>
      </c>
      <c r="AL1369" s="48">
        <v>340761</v>
      </c>
      <c r="AP1369" cm="1">
        <f t="array" ref="AP1369">IF(AQ1369="","",SUM(IFERROR(H1369:AL1369-H1368:AL1368,0))*AQ1369/100)</f>
        <v>210.3</v>
      </c>
      <c r="AQ1369">
        <f>_xlfn.XLOOKUP(D1369,log_prices!M:M,log_prices!L:L,,0)</f>
        <v>15</v>
      </c>
      <c r="AS1369" cm="1">
        <f t="array" ref="AS1369">IF(AQ1369="","",SUM(IFERROR(H1369:AL1369-H1368:AL1368,0)))</f>
        <v>1402</v>
      </c>
    </row>
    <row r="1370" spans="1:45" hidden="1" x14ac:dyDescent="0.25">
      <c r="A1370">
        <v>1369</v>
      </c>
      <c r="B1370">
        <v>2026</v>
      </c>
      <c r="C1370">
        <v>1</v>
      </c>
      <c r="D1370" t="s">
        <v>155</v>
      </c>
      <c r="E1370">
        <v>31</v>
      </c>
      <c r="F1370">
        <v>12</v>
      </c>
      <c r="G1370" t="s">
        <v>432</v>
      </c>
      <c r="H1370" s="48" t="s">
        <v>320</v>
      </c>
      <c r="I1370" s="48">
        <v>397108</v>
      </c>
      <c r="J1370" s="48">
        <v>397241</v>
      </c>
      <c r="K1370" s="48">
        <v>397379</v>
      </c>
      <c r="L1370" s="48">
        <v>397505</v>
      </c>
      <c r="M1370" s="48">
        <v>397647</v>
      </c>
      <c r="N1370" s="48">
        <v>397795</v>
      </c>
      <c r="O1370" s="48">
        <v>397931</v>
      </c>
      <c r="P1370" s="48">
        <v>398094</v>
      </c>
      <c r="Q1370" s="48">
        <v>398246</v>
      </c>
      <c r="R1370" s="48">
        <v>398413</v>
      </c>
      <c r="S1370" s="48">
        <v>398547</v>
      </c>
      <c r="T1370" s="48">
        <v>398684</v>
      </c>
      <c r="U1370" s="48">
        <v>398830</v>
      </c>
      <c r="V1370" s="48">
        <v>398972</v>
      </c>
      <c r="W1370" s="48">
        <v>399133</v>
      </c>
      <c r="X1370" s="48">
        <v>399301</v>
      </c>
      <c r="Y1370" s="48">
        <v>399437</v>
      </c>
      <c r="Z1370" s="48">
        <v>399565</v>
      </c>
      <c r="AA1370" s="48">
        <v>399697</v>
      </c>
      <c r="AB1370" s="48">
        <v>399818</v>
      </c>
      <c r="AC1370" s="48">
        <v>399965</v>
      </c>
      <c r="AD1370" s="48">
        <v>400119</v>
      </c>
      <c r="AE1370" s="48">
        <v>400292</v>
      </c>
      <c r="AF1370" s="48">
        <v>400453</v>
      </c>
      <c r="AG1370" s="48">
        <v>400597</v>
      </c>
      <c r="AH1370" s="48">
        <v>400734</v>
      </c>
      <c r="AI1370" s="48">
        <v>400866</v>
      </c>
      <c r="AJ1370" s="48">
        <v>401024</v>
      </c>
      <c r="AK1370" s="48">
        <v>401187</v>
      </c>
      <c r="AL1370" s="48">
        <v>401329</v>
      </c>
    </row>
    <row r="1371" spans="1:45" hidden="1" x14ac:dyDescent="0.25">
      <c r="A1371">
        <v>1370</v>
      </c>
      <c r="B1371">
        <v>2026</v>
      </c>
      <c r="C1371">
        <v>1</v>
      </c>
      <c r="D1371" t="s">
        <v>155</v>
      </c>
      <c r="E1371">
        <v>31</v>
      </c>
      <c r="F1371">
        <v>12</v>
      </c>
      <c r="G1371" t="s">
        <v>433</v>
      </c>
      <c r="H1371" s="48" t="s">
        <v>320</v>
      </c>
      <c r="I1371" s="48">
        <v>397241</v>
      </c>
      <c r="J1371" s="48">
        <v>397379</v>
      </c>
      <c r="K1371" s="48">
        <v>397505</v>
      </c>
      <c r="L1371" s="48">
        <v>397647</v>
      </c>
      <c r="M1371" s="48">
        <v>397795</v>
      </c>
      <c r="N1371" s="48">
        <v>397931</v>
      </c>
      <c r="O1371" s="48">
        <v>398094</v>
      </c>
      <c r="P1371" s="48">
        <v>398246</v>
      </c>
      <c r="Q1371" s="48">
        <v>398413</v>
      </c>
      <c r="R1371" s="48">
        <v>398547</v>
      </c>
      <c r="S1371" s="48">
        <v>398684</v>
      </c>
      <c r="T1371" s="48">
        <v>398830</v>
      </c>
      <c r="U1371" s="48">
        <v>398972</v>
      </c>
      <c r="V1371" s="48">
        <v>399133</v>
      </c>
      <c r="W1371" s="48">
        <v>399301</v>
      </c>
      <c r="X1371" s="48">
        <v>399437</v>
      </c>
      <c r="Y1371" s="48">
        <v>399565</v>
      </c>
      <c r="Z1371" s="48">
        <v>399697</v>
      </c>
      <c r="AA1371" s="48">
        <v>399818</v>
      </c>
      <c r="AB1371" s="48">
        <v>399965</v>
      </c>
      <c r="AC1371" s="48">
        <v>400119</v>
      </c>
      <c r="AD1371" s="48">
        <v>400292</v>
      </c>
      <c r="AE1371" s="48">
        <v>400453</v>
      </c>
      <c r="AF1371" s="48">
        <v>400597</v>
      </c>
      <c r="AG1371" s="48">
        <v>400734</v>
      </c>
      <c r="AH1371" s="48">
        <v>400866</v>
      </c>
      <c r="AI1371" s="48">
        <v>401024</v>
      </c>
      <c r="AJ1371" s="48">
        <v>401187</v>
      </c>
      <c r="AK1371" s="48">
        <v>401329</v>
      </c>
      <c r="AL1371" s="48">
        <v>401480</v>
      </c>
      <c r="AP1371" cm="1">
        <f t="array" ref="AP1371">IF(AQ1371="","",SUM(IFERROR(H1371:AL1371-H1370:AL1370,0))*AQ1371/100)</f>
        <v>655.8</v>
      </c>
      <c r="AQ1371">
        <f>_xlfn.XLOOKUP(D1371,log_prices!M:M,log_prices!L:L,,0)</f>
        <v>15</v>
      </c>
      <c r="AS1371" cm="1">
        <f t="array" ref="AS1371">IF(AQ1371="","",SUM(IFERROR(H1371:AL1371-H1370:AL1370,0)))</f>
        <v>4372</v>
      </c>
    </row>
    <row r="1372" spans="1:45" hidden="1" x14ac:dyDescent="0.25">
      <c r="A1372">
        <v>1371</v>
      </c>
      <c r="B1372">
        <v>2026</v>
      </c>
      <c r="C1372">
        <v>1</v>
      </c>
      <c r="D1372" t="s">
        <v>180</v>
      </c>
      <c r="E1372">
        <v>31</v>
      </c>
      <c r="F1372">
        <v>12</v>
      </c>
      <c r="G1372" t="s">
        <v>432</v>
      </c>
      <c r="H1372" s="48" t="s">
        <v>320</v>
      </c>
      <c r="I1372" s="48">
        <v>511464</v>
      </c>
      <c r="J1372" s="48">
        <v>511489</v>
      </c>
      <c r="K1372" s="48">
        <v>511517</v>
      </c>
      <c r="L1372" s="48">
        <v>511594</v>
      </c>
      <c r="M1372" s="48">
        <v>511681</v>
      </c>
      <c r="N1372" s="48">
        <v>511832</v>
      </c>
      <c r="O1372" s="48">
        <v>512026</v>
      </c>
      <c r="P1372" s="48">
        <v>512059</v>
      </c>
      <c r="Q1372" s="48" t="s">
        <v>320</v>
      </c>
      <c r="R1372" s="48" t="s">
        <v>320</v>
      </c>
      <c r="S1372" s="48">
        <v>512676</v>
      </c>
      <c r="T1372" s="48">
        <v>512709</v>
      </c>
      <c r="U1372" s="48">
        <v>512735</v>
      </c>
      <c r="V1372" s="48">
        <v>512775</v>
      </c>
      <c r="W1372" s="48">
        <v>512814</v>
      </c>
      <c r="X1372" s="48">
        <v>512841</v>
      </c>
      <c r="Y1372" s="48" t="s">
        <v>320</v>
      </c>
      <c r="Z1372" s="48">
        <v>513204</v>
      </c>
      <c r="AA1372" s="48">
        <v>513329</v>
      </c>
      <c r="AB1372" s="48">
        <v>513457</v>
      </c>
      <c r="AC1372" s="48">
        <v>513491</v>
      </c>
      <c r="AD1372" s="48">
        <v>513590</v>
      </c>
      <c r="AE1372" s="48">
        <v>513686</v>
      </c>
      <c r="AF1372" s="48" t="s">
        <v>320</v>
      </c>
      <c r="AG1372" s="48">
        <v>514056</v>
      </c>
      <c r="AH1372" s="48">
        <v>514082</v>
      </c>
      <c r="AI1372" s="48">
        <v>514110</v>
      </c>
      <c r="AJ1372" s="48">
        <v>514204</v>
      </c>
      <c r="AK1372" s="48">
        <v>514366</v>
      </c>
      <c r="AL1372" s="48">
        <v>514485</v>
      </c>
    </row>
    <row r="1373" spans="1:45" hidden="1" x14ac:dyDescent="0.25">
      <c r="A1373">
        <v>1372</v>
      </c>
      <c r="B1373">
        <v>2026</v>
      </c>
      <c r="C1373">
        <v>1</v>
      </c>
      <c r="D1373" t="s">
        <v>180</v>
      </c>
      <c r="E1373">
        <v>31</v>
      </c>
      <c r="F1373">
        <v>12</v>
      </c>
      <c r="G1373" t="s">
        <v>433</v>
      </c>
      <c r="H1373" s="48" t="s">
        <v>320</v>
      </c>
      <c r="I1373" s="48">
        <v>511489</v>
      </c>
      <c r="J1373" s="48">
        <v>511517</v>
      </c>
      <c r="K1373" s="48">
        <v>511594</v>
      </c>
      <c r="L1373" s="48">
        <v>511681</v>
      </c>
      <c r="M1373" s="48">
        <v>511777</v>
      </c>
      <c r="N1373" s="48">
        <v>511985</v>
      </c>
      <c r="O1373" s="48">
        <v>512059</v>
      </c>
      <c r="P1373" s="48">
        <v>512163</v>
      </c>
      <c r="Q1373" s="48" t="s">
        <v>320</v>
      </c>
      <c r="R1373" s="48" t="s">
        <v>320</v>
      </c>
      <c r="S1373" s="48">
        <v>512709</v>
      </c>
      <c r="T1373" s="48">
        <v>512735</v>
      </c>
      <c r="U1373" s="48">
        <v>512775</v>
      </c>
      <c r="V1373" s="48">
        <v>512814</v>
      </c>
      <c r="W1373" s="48">
        <v>512841</v>
      </c>
      <c r="X1373" s="48">
        <v>512873</v>
      </c>
      <c r="Y1373" s="48" t="s">
        <v>320</v>
      </c>
      <c r="Z1373" s="48">
        <v>513279</v>
      </c>
      <c r="AA1373" s="48">
        <v>513409</v>
      </c>
      <c r="AB1373" s="48">
        <v>513491</v>
      </c>
      <c r="AC1373" s="48">
        <v>513590</v>
      </c>
      <c r="AD1373" s="48">
        <v>513686</v>
      </c>
      <c r="AE1373" s="48">
        <v>513776</v>
      </c>
      <c r="AF1373" s="48" t="s">
        <v>320</v>
      </c>
      <c r="AG1373" s="48">
        <v>514082</v>
      </c>
      <c r="AH1373" s="48">
        <v>514110</v>
      </c>
      <c r="AI1373" s="48">
        <v>514204</v>
      </c>
      <c r="AJ1373" s="48">
        <v>514366</v>
      </c>
      <c r="AK1373" s="48">
        <v>514485</v>
      </c>
      <c r="AL1373" s="48">
        <v>514612</v>
      </c>
      <c r="AP1373" cm="1">
        <f t="array" ref="AP1373">IF(AQ1373="","",SUM(IFERROR(H1373:AL1373-H1372:AL1372,0))*AQ1373/100)</f>
        <v>274.5</v>
      </c>
      <c r="AQ1373">
        <f>_xlfn.XLOOKUP(D1373,log_prices!M:M,log_prices!L:L,,0)</f>
        <v>15</v>
      </c>
      <c r="AS1373" cm="1">
        <f t="array" ref="AS1373">IF(AQ1373="","",SUM(IFERROR(H1373:AL1373-H1372:AL1372,0)))</f>
        <v>1830</v>
      </c>
    </row>
    <row r="1374" spans="1:45" hidden="1" x14ac:dyDescent="0.25">
      <c r="A1374">
        <v>1373</v>
      </c>
      <c r="B1374">
        <v>2026</v>
      </c>
      <c r="C1374">
        <v>1</v>
      </c>
      <c r="D1374" t="s">
        <v>176</v>
      </c>
      <c r="E1374">
        <v>31</v>
      </c>
      <c r="F1374">
        <v>12</v>
      </c>
      <c r="G1374" t="s">
        <v>432</v>
      </c>
      <c r="H1374" s="48" t="s">
        <v>320</v>
      </c>
      <c r="I1374" s="48">
        <v>242741</v>
      </c>
      <c r="J1374" s="48">
        <v>242967</v>
      </c>
      <c r="K1374" s="48">
        <v>243147</v>
      </c>
      <c r="L1374" s="48">
        <v>243315</v>
      </c>
      <c r="M1374" s="48">
        <v>243485</v>
      </c>
      <c r="N1374" s="48">
        <v>243745</v>
      </c>
      <c r="O1374" s="48">
        <v>243915</v>
      </c>
      <c r="P1374" s="48">
        <v>244101</v>
      </c>
      <c r="Q1374" s="48">
        <v>244278</v>
      </c>
      <c r="R1374" s="48">
        <v>244463</v>
      </c>
      <c r="S1374" s="48">
        <v>244649</v>
      </c>
      <c r="T1374" s="48">
        <v>244817</v>
      </c>
      <c r="U1374" s="48">
        <v>245035</v>
      </c>
      <c r="V1374" s="48">
        <v>245212</v>
      </c>
      <c r="W1374" s="48">
        <v>245416</v>
      </c>
      <c r="X1374" s="48">
        <v>245543</v>
      </c>
      <c r="Y1374" s="48" t="s">
        <v>320</v>
      </c>
      <c r="Z1374" s="48">
        <v>245630</v>
      </c>
      <c r="AA1374" s="48">
        <v>245930</v>
      </c>
      <c r="AB1374" s="48">
        <v>246112</v>
      </c>
      <c r="AC1374" s="48">
        <v>246340</v>
      </c>
      <c r="AD1374" s="48">
        <v>246512</v>
      </c>
      <c r="AE1374" s="48">
        <v>246742</v>
      </c>
      <c r="AF1374" s="48">
        <v>247000</v>
      </c>
      <c r="AG1374" s="48">
        <v>247246</v>
      </c>
      <c r="AH1374" s="48">
        <v>247419</v>
      </c>
      <c r="AI1374" s="48">
        <v>247597</v>
      </c>
      <c r="AJ1374" s="48">
        <v>247769</v>
      </c>
      <c r="AK1374" s="48">
        <v>247961</v>
      </c>
      <c r="AL1374" s="48">
        <v>248195</v>
      </c>
    </row>
    <row r="1375" spans="1:45" hidden="1" x14ac:dyDescent="0.25">
      <c r="A1375">
        <v>1374</v>
      </c>
      <c r="B1375">
        <v>2026</v>
      </c>
      <c r="C1375">
        <v>1</v>
      </c>
      <c r="D1375" t="s">
        <v>176</v>
      </c>
      <c r="E1375">
        <v>31</v>
      </c>
      <c r="F1375">
        <v>12</v>
      </c>
      <c r="G1375" t="s">
        <v>433</v>
      </c>
      <c r="H1375" s="48" t="s">
        <v>320</v>
      </c>
      <c r="I1375" s="48">
        <v>242967</v>
      </c>
      <c r="J1375" s="48">
        <v>243147</v>
      </c>
      <c r="K1375" s="48">
        <v>243315</v>
      </c>
      <c r="L1375" s="48">
        <v>243485</v>
      </c>
      <c r="M1375" s="48">
        <v>243745</v>
      </c>
      <c r="N1375" s="48">
        <v>243915</v>
      </c>
      <c r="O1375" s="48">
        <v>244101</v>
      </c>
      <c r="P1375" s="48">
        <v>244278</v>
      </c>
      <c r="Q1375" s="48">
        <v>244463</v>
      </c>
      <c r="R1375" s="48">
        <v>244649</v>
      </c>
      <c r="S1375" s="48">
        <v>244817</v>
      </c>
      <c r="T1375" s="48">
        <v>245035</v>
      </c>
      <c r="U1375" s="48">
        <v>245212</v>
      </c>
      <c r="V1375" s="48">
        <v>245416</v>
      </c>
      <c r="W1375" s="48">
        <v>245543</v>
      </c>
      <c r="X1375" s="48">
        <v>245630</v>
      </c>
      <c r="Y1375" s="48" t="s">
        <v>320</v>
      </c>
      <c r="Z1375" s="48">
        <v>245930</v>
      </c>
      <c r="AA1375" s="48">
        <v>246112</v>
      </c>
      <c r="AB1375" s="48">
        <v>246340</v>
      </c>
      <c r="AC1375" s="48">
        <v>246512</v>
      </c>
      <c r="AD1375" s="48">
        <v>246742</v>
      </c>
      <c r="AE1375" s="48">
        <v>247000</v>
      </c>
      <c r="AF1375" s="48">
        <v>247246</v>
      </c>
      <c r="AG1375" s="48">
        <v>247419</v>
      </c>
      <c r="AH1375" s="48">
        <v>247597</v>
      </c>
      <c r="AI1375" s="48">
        <v>247769</v>
      </c>
      <c r="AJ1375" s="48">
        <v>247961</v>
      </c>
      <c r="AK1375" s="48">
        <v>248195</v>
      </c>
      <c r="AL1375" s="48">
        <v>248365</v>
      </c>
      <c r="AP1375" cm="1">
        <f t="array" ref="AP1375">IF(AQ1375="","",SUM(IFERROR(H1375:AL1375-H1374:AL1374,0))*AQ1375/100)</f>
        <v>843.6</v>
      </c>
      <c r="AQ1375">
        <f>_xlfn.XLOOKUP(D1375,log_prices!M:M,log_prices!L:L,,0)</f>
        <v>15</v>
      </c>
      <c r="AS1375" cm="1">
        <f t="array" ref="AS1375">IF(AQ1375="","",SUM(IFERROR(H1375:AL1375-H1374:AL1374,0)))</f>
        <v>5624</v>
      </c>
    </row>
    <row r="1376" spans="1:45" hidden="1" x14ac:dyDescent="0.25">
      <c r="A1376">
        <v>1375</v>
      </c>
      <c r="B1376">
        <v>2026</v>
      </c>
      <c r="C1376">
        <v>1</v>
      </c>
      <c r="D1376" t="s">
        <v>162</v>
      </c>
      <c r="E1376">
        <v>31</v>
      </c>
      <c r="F1376">
        <v>12</v>
      </c>
      <c r="G1376" t="s">
        <v>432</v>
      </c>
      <c r="H1376" s="48" t="s">
        <v>320</v>
      </c>
      <c r="I1376" s="48">
        <v>28797</v>
      </c>
      <c r="J1376" s="48">
        <v>29031</v>
      </c>
      <c r="K1376" s="48">
        <v>29317</v>
      </c>
      <c r="L1376" s="48">
        <v>29490</v>
      </c>
      <c r="M1376" s="48">
        <v>29717</v>
      </c>
      <c r="N1376" s="48">
        <v>29913</v>
      </c>
      <c r="O1376" s="48">
        <v>30174</v>
      </c>
      <c r="P1376" s="48">
        <v>30391</v>
      </c>
      <c r="Q1376" s="48">
        <v>30584</v>
      </c>
      <c r="R1376" s="48">
        <v>30819</v>
      </c>
      <c r="S1376" s="48">
        <v>31033</v>
      </c>
      <c r="T1376" s="48">
        <v>31260</v>
      </c>
      <c r="U1376" s="48">
        <v>31508</v>
      </c>
      <c r="V1376" s="48">
        <v>31716</v>
      </c>
      <c r="W1376" s="48">
        <v>31902</v>
      </c>
      <c r="X1376" s="48">
        <v>32137</v>
      </c>
      <c r="Y1376" s="48">
        <v>32341</v>
      </c>
      <c r="Z1376" s="48">
        <v>32527</v>
      </c>
      <c r="AA1376" s="48">
        <v>32751</v>
      </c>
      <c r="AB1376" s="48">
        <v>32944</v>
      </c>
      <c r="AC1376" s="48">
        <v>33170</v>
      </c>
      <c r="AD1376" s="48">
        <v>33338</v>
      </c>
      <c r="AE1376" s="48">
        <v>33510</v>
      </c>
      <c r="AF1376" s="48">
        <v>33741</v>
      </c>
      <c r="AG1376" s="48">
        <v>33968</v>
      </c>
      <c r="AH1376" s="48">
        <v>34164</v>
      </c>
      <c r="AI1376" s="48">
        <v>34382</v>
      </c>
      <c r="AJ1376" s="48">
        <v>34557</v>
      </c>
      <c r="AK1376" s="48">
        <v>34745</v>
      </c>
      <c r="AL1376" s="48">
        <v>34982</v>
      </c>
    </row>
    <row r="1377" spans="1:45" hidden="1" x14ac:dyDescent="0.25">
      <c r="A1377">
        <v>1376</v>
      </c>
      <c r="B1377">
        <v>2026</v>
      </c>
      <c r="C1377">
        <v>1</v>
      </c>
      <c r="D1377" t="s">
        <v>162</v>
      </c>
      <c r="E1377">
        <v>31</v>
      </c>
      <c r="F1377">
        <v>12</v>
      </c>
      <c r="G1377" t="s">
        <v>433</v>
      </c>
      <c r="H1377" s="48" t="s">
        <v>320</v>
      </c>
      <c r="I1377" s="48">
        <v>29031</v>
      </c>
      <c r="J1377" s="48">
        <v>29317</v>
      </c>
      <c r="K1377" s="48">
        <v>29490</v>
      </c>
      <c r="L1377" s="48">
        <v>29717</v>
      </c>
      <c r="M1377" s="48">
        <v>29913</v>
      </c>
      <c r="N1377" s="48">
        <v>30174</v>
      </c>
      <c r="O1377" s="48">
        <v>30391</v>
      </c>
      <c r="P1377" s="48">
        <v>30584</v>
      </c>
      <c r="Q1377" s="48">
        <v>30819</v>
      </c>
      <c r="R1377" s="48">
        <v>31033</v>
      </c>
      <c r="S1377" s="48">
        <v>31260</v>
      </c>
      <c r="T1377" s="48">
        <v>31508</v>
      </c>
      <c r="U1377" s="48">
        <v>31716</v>
      </c>
      <c r="V1377" s="48">
        <v>31902</v>
      </c>
      <c r="W1377" s="48">
        <v>32137</v>
      </c>
      <c r="X1377" s="48">
        <v>32341</v>
      </c>
      <c r="Y1377" s="48">
        <v>32527</v>
      </c>
      <c r="Z1377" s="48">
        <v>32751</v>
      </c>
      <c r="AA1377" s="48">
        <v>32944</v>
      </c>
      <c r="AB1377" s="48">
        <v>33170</v>
      </c>
      <c r="AC1377" s="48">
        <v>33338</v>
      </c>
      <c r="AD1377" s="48">
        <v>33510</v>
      </c>
      <c r="AE1377" s="48">
        <v>33741</v>
      </c>
      <c r="AF1377" s="48">
        <v>33968</v>
      </c>
      <c r="AG1377" s="48">
        <v>34164</v>
      </c>
      <c r="AH1377" s="48">
        <v>34382</v>
      </c>
      <c r="AI1377" s="48">
        <v>34557</v>
      </c>
      <c r="AJ1377" s="48">
        <v>34745</v>
      </c>
      <c r="AK1377" s="48">
        <v>34982</v>
      </c>
      <c r="AL1377" s="48">
        <v>35210</v>
      </c>
      <c r="AP1377" cm="1">
        <f t="array" ref="AP1377">IF(AQ1377="","",SUM(IFERROR(H1377:AL1377-H1376:AL1376,0))*AQ1377/100)</f>
        <v>961.94999999999982</v>
      </c>
      <c r="AQ1377">
        <f>_xlfn.XLOOKUP(D1377,log_prices!M:M,log_prices!L:L,,0)</f>
        <v>14.999999999999998</v>
      </c>
      <c r="AS1377" cm="1">
        <f t="array" ref="AS1377">IF(AQ1377="","",SUM(IFERROR(H1377:AL1377-H1376:AL1376,0)))</f>
        <v>6413</v>
      </c>
    </row>
    <row r="1378" spans="1:45" hidden="1" x14ac:dyDescent="0.25">
      <c r="A1378">
        <v>1377</v>
      </c>
      <c r="B1378">
        <v>2026</v>
      </c>
      <c r="C1378">
        <v>1</v>
      </c>
      <c r="D1378" t="s">
        <v>171</v>
      </c>
      <c r="E1378">
        <v>31</v>
      </c>
      <c r="F1378">
        <v>12</v>
      </c>
      <c r="G1378" t="s">
        <v>432</v>
      </c>
      <c r="H1378" s="48" t="s">
        <v>320</v>
      </c>
      <c r="I1378" s="48">
        <v>205210</v>
      </c>
      <c r="J1378" s="48">
        <v>205211</v>
      </c>
      <c r="K1378" s="48">
        <v>205237</v>
      </c>
      <c r="L1378" s="48">
        <v>205259</v>
      </c>
      <c r="M1378" s="48">
        <v>205280</v>
      </c>
      <c r="N1378" s="48">
        <v>205310</v>
      </c>
      <c r="O1378" s="48">
        <v>205362</v>
      </c>
      <c r="P1378" s="48">
        <v>205426</v>
      </c>
      <c r="Q1378" s="48">
        <v>205481</v>
      </c>
      <c r="R1378" s="48">
        <v>205582</v>
      </c>
      <c r="S1378" s="48">
        <v>205723</v>
      </c>
      <c r="T1378" s="48">
        <v>205788</v>
      </c>
      <c r="U1378" s="48">
        <v>205833</v>
      </c>
      <c r="V1378" s="48">
        <v>205847</v>
      </c>
      <c r="W1378" s="48">
        <v>205894</v>
      </c>
      <c r="X1378" s="48">
        <v>205938</v>
      </c>
      <c r="Y1378" s="48" t="s">
        <v>320</v>
      </c>
      <c r="Z1378" s="48">
        <v>206055</v>
      </c>
      <c r="AA1378" s="48">
        <v>206098</v>
      </c>
      <c r="AB1378" s="48">
        <v>206099</v>
      </c>
      <c r="AC1378" s="48">
        <v>206122</v>
      </c>
      <c r="AD1378" s="48">
        <v>206167</v>
      </c>
      <c r="AE1378" s="48">
        <v>206219</v>
      </c>
      <c r="AF1378" s="48">
        <v>206262</v>
      </c>
      <c r="AG1378" s="48">
        <v>206298</v>
      </c>
      <c r="AH1378" s="48">
        <v>206348</v>
      </c>
      <c r="AI1378" s="48">
        <v>206373</v>
      </c>
      <c r="AJ1378" s="48">
        <v>206425</v>
      </c>
      <c r="AK1378" s="48">
        <v>206473</v>
      </c>
      <c r="AL1378" s="48">
        <v>206512</v>
      </c>
    </row>
    <row r="1379" spans="1:45" hidden="1" x14ac:dyDescent="0.25">
      <c r="A1379">
        <v>1378</v>
      </c>
      <c r="B1379">
        <v>2026</v>
      </c>
      <c r="C1379">
        <v>1</v>
      </c>
      <c r="D1379" t="s">
        <v>171</v>
      </c>
      <c r="E1379">
        <v>31</v>
      </c>
      <c r="F1379">
        <v>12</v>
      </c>
      <c r="G1379" t="s">
        <v>433</v>
      </c>
      <c r="H1379" s="48" t="s">
        <v>320</v>
      </c>
      <c r="I1379" s="48">
        <v>205211</v>
      </c>
      <c r="J1379" s="48">
        <v>205237</v>
      </c>
      <c r="K1379" s="48">
        <v>205259</v>
      </c>
      <c r="L1379" s="48">
        <v>205280</v>
      </c>
      <c r="M1379" s="48">
        <v>205310</v>
      </c>
      <c r="N1379" s="48">
        <v>205362</v>
      </c>
      <c r="O1379" s="48">
        <v>205426</v>
      </c>
      <c r="P1379" s="48">
        <v>205481</v>
      </c>
      <c r="Q1379" s="48">
        <v>205582</v>
      </c>
      <c r="R1379" s="48">
        <v>205723</v>
      </c>
      <c r="S1379" s="48">
        <v>205788</v>
      </c>
      <c r="T1379" s="48">
        <v>205833</v>
      </c>
      <c r="U1379" s="48">
        <v>205847</v>
      </c>
      <c r="V1379" s="48">
        <v>205894</v>
      </c>
      <c r="W1379" s="48">
        <v>205938</v>
      </c>
      <c r="X1379" s="48">
        <v>206008</v>
      </c>
      <c r="Y1379" s="48" t="s">
        <v>320</v>
      </c>
      <c r="Z1379" s="48">
        <v>206098</v>
      </c>
      <c r="AA1379" s="48">
        <v>206099</v>
      </c>
      <c r="AB1379" s="48">
        <v>206122</v>
      </c>
      <c r="AC1379" s="48">
        <v>206167</v>
      </c>
      <c r="AD1379" s="48">
        <v>206219</v>
      </c>
      <c r="AE1379" s="48">
        <v>206262</v>
      </c>
      <c r="AF1379" s="48">
        <v>206298</v>
      </c>
      <c r="AG1379" s="48">
        <v>206348</v>
      </c>
      <c r="AH1379" s="48">
        <v>206373</v>
      </c>
      <c r="AI1379" s="48">
        <v>206425</v>
      </c>
      <c r="AJ1379" s="48">
        <v>206473</v>
      </c>
      <c r="AK1379" s="48">
        <v>206512</v>
      </c>
      <c r="AL1379" s="48">
        <v>206602</v>
      </c>
      <c r="AP1379" cm="1">
        <f t="array" ref="AP1379">IF(AQ1379="","",SUM(IFERROR(H1379:AL1379-H1378:AL1378,0))*AQ1379/100)</f>
        <v>201.75</v>
      </c>
      <c r="AQ1379">
        <f>_xlfn.XLOOKUP(D1379,log_prices!M:M,log_prices!L:L,,0)</f>
        <v>15</v>
      </c>
      <c r="AS1379" cm="1">
        <f t="array" ref="AS1379">IF(AQ1379="","",SUM(IFERROR(H1379:AL1379-H1378:AL1378,0)))</f>
        <v>1345</v>
      </c>
    </row>
    <row r="1380" spans="1:45" hidden="1" x14ac:dyDescent="0.25">
      <c r="A1380">
        <v>1379</v>
      </c>
      <c r="B1380">
        <v>2026</v>
      </c>
      <c r="C1380">
        <v>1</v>
      </c>
      <c r="D1380" t="s">
        <v>178</v>
      </c>
      <c r="E1380">
        <v>31</v>
      </c>
      <c r="F1380">
        <v>12</v>
      </c>
      <c r="G1380" t="s">
        <v>432</v>
      </c>
      <c r="H1380" s="48">
        <v>926043</v>
      </c>
      <c r="I1380" s="48">
        <v>926053</v>
      </c>
      <c r="J1380" s="48">
        <v>926066</v>
      </c>
      <c r="K1380" s="48">
        <v>926092</v>
      </c>
      <c r="L1380" s="48">
        <v>926107</v>
      </c>
      <c r="M1380" s="48">
        <v>926149</v>
      </c>
      <c r="N1380" s="48">
        <v>926178</v>
      </c>
      <c r="O1380" s="48">
        <v>926234</v>
      </c>
      <c r="P1380" s="48">
        <v>926268</v>
      </c>
      <c r="Q1380" s="48">
        <v>926334</v>
      </c>
      <c r="R1380" s="48">
        <v>926361</v>
      </c>
      <c r="S1380" s="48">
        <v>926372</v>
      </c>
      <c r="T1380" s="48">
        <v>926425</v>
      </c>
      <c r="U1380" s="48">
        <v>926455</v>
      </c>
      <c r="V1380" s="48">
        <v>926488</v>
      </c>
      <c r="W1380" s="48">
        <v>926511</v>
      </c>
      <c r="X1380" s="48">
        <v>926540</v>
      </c>
      <c r="Y1380" s="48">
        <v>926552</v>
      </c>
      <c r="Z1380" s="48">
        <v>926580</v>
      </c>
      <c r="AA1380" s="48">
        <v>926605</v>
      </c>
      <c r="AB1380" s="48">
        <v>926637</v>
      </c>
      <c r="AC1380" s="48">
        <v>926666</v>
      </c>
      <c r="AD1380" s="48">
        <v>926697</v>
      </c>
      <c r="AE1380" s="48">
        <v>926722</v>
      </c>
      <c r="AF1380" s="48">
        <v>926733</v>
      </c>
      <c r="AG1380" s="48">
        <v>926759</v>
      </c>
      <c r="AH1380" s="48">
        <v>926773</v>
      </c>
      <c r="AI1380" s="48">
        <v>926798</v>
      </c>
      <c r="AJ1380" s="48">
        <v>926819</v>
      </c>
      <c r="AK1380" s="48">
        <v>926843</v>
      </c>
      <c r="AL1380" s="48">
        <v>926882</v>
      </c>
    </row>
    <row r="1381" spans="1:45" hidden="1" x14ac:dyDescent="0.25">
      <c r="A1381">
        <v>1380</v>
      </c>
      <c r="B1381">
        <v>2026</v>
      </c>
      <c r="C1381">
        <v>1</v>
      </c>
      <c r="D1381" t="s">
        <v>178</v>
      </c>
      <c r="E1381">
        <v>31</v>
      </c>
      <c r="F1381">
        <v>12</v>
      </c>
      <c r="G1381" t="s">
        <v>433</v>
      </c>
      <c r="H1381" s="48">
        <v>926053</v>
      </c>
      <c r="I1381" s="48">
        <v>926066</v>
      </c>
      <c r="J1381" s="48">
        <v>926092</v>
      </c>
      <c r="K1381" s="48">
        <v>926107</v>
      </c>
      <c r="L1381" s="48">
        <v>926149</v>
      </c>
      <c r="M1381" s="48">
        <v>926178</v>
      </c>
      <c r="N1381" s="48">
        <v>926234</v>
      </c>
      <c r="O1381" s="48">
        <v>926268</v>
      </c>
      <c r="P1381" s="48">
        <v>926334</v>
      </c>
      <c r="Q1381" s="48">
        <v>926361</v>
      </c>
      <c r="R1381" s="48">
        <v>926372</v>
      </c>
      <c r="S1381" s="48">
        <v>926425</v>
      </c>
      <c r="T1381" s="48">
        <v>926455</v>
      </c>
      <c r="U1381" s="48">
        <v>926488</v>
      </c>
      <c r="V1381" s="48">
        <v>926511</v>
      </c>
      <c r="W1381" s="48">
        <v>926540</v>
      </c>
      <c r="X1381" s="48">
        <v>926552</v>
      </c>
      <c r="Y1381" s="48">
        <v>926580</v>
      </c>
      <c r="Z1381" s="48">
        <v>926605</v>
      </c>
      <c r="AA1381" s="48">
        <v>926637</v>
      </c>
      <c r="AB1381" s="48">
        <v>926666</v>
      </c>
      <c r="AC1381" s="48">
        <v>926697</v>
      </c>
      <c r="AD1381" s="48">
        <v>926722</v>
      </c>
      <c r="AE1381" s="48">
        <v>926733</v>
      </c>
      <c r="AF1381" s="48">
        <v>926759</v>
      </c>
      <c r="AG1381" s="48">
        <v>926773</v>
      </c>
      <c r="AH1381" s="48">
        <v>926798</v>
      </c>
      <c r="AI1381" s="48">
        <v>926819</v>
      </c>
      <c r="AJ1381" s="48">
        <v>926843</v>
      </c>
      <c r="AK1381" s="48">
        <v>926882</v>
      </c>
      <c r="AL1381" s="48">
        <v>926907</v>
      </c>
      <c r="AP1381" cm="1">
        <f t="array" ref="AP1381">IF(AQ1381="","",SUM(IFERROR(H1381:AL1381-H1380:AL1380,0))*AQ1381/100)</f>
        <v>129.6</v>
      </c>
      <c r="AQ1381">
        <f>_xlfn.XLOOKUP(D1381,log_prices!M:M,log_prices!L:L,,0)</f>
        <v>15</v>
      </c>
      <c r="AS1381" cm="1">
        <f t="array" ref="AS1381">IF(AQ1381="","",SUM(IFERROR(H1381:AL1381-H1380:AL1380,0)))</f>
        <v>864</v>
      </c>
    </row>
    <row r="1382" spans="1:45" hidden="1" x14ac:dyDescent="0.25">
      <c r="A1382">
        <v>1381</v>
      </c>
      <c r="B1382">
        <v>2026</v>
      </c>
      <c r="C1382">
        <v>1</v>
      </c>
      <c r="D1382" t="s">
        <v>161</v>
      </c>
      <c r="E1382">
        <v>31</v>
      </c>
      <c r="F1382">
        <v>12</v>
      </c>
      <c r="G1382" t="s">
        <v>432</v>
      </c>
      <c r="H1382" s="48" t="s">
        <v>320</v>
      </c>
      <c r="I1382" s="48">
        <v>829222</v>
      </c>
      <c r="J1382" s="48">
        <v>829265</v>
      </c>
      <c r="K1382" s="48">
        <v>829346</v>
      </c>
      <c r="L1382" s="48">
        <v>829449</v>
      </c>
      <c r="M1382" s="48">
        <v>829557</v>
      </c>
      <c r="N1382" s="48">
        <v>829674</v>
      </c>
      <c r="O1382" s="48">
        <v>829771</v>
      </c>
      <c r="P1382" s="48">
        <v>829892</v>
      </c>
      <c r="Q1382" s="48">
        <v>830008</v>
      </c>
      <c r="R1382" s="48">
        <v>830117</v>
      </c>
      <c r="S1382" s="48">
        <v>830241</v>
      </c>
      <c r="T1382" s="48">
        <v>830359</v>
      </c>
      <c r="U1382" s="48">
        <v>830455</v>
      </c>
      <c r="V1382" s="48">
        <v>830546</v>
      </c>
      <c r="W1382" s="48">
        <v>830649</v>
      </c>
      <c r="X1382" s="48">
        <v>830768</v>
      </c>
      <c r="Y1382" s="48" t="s">
        <v>320</v>
      </c>
      <c r="Z1382" s="48">
        <v>830856</v>
      </c>
      <c r="AA1382" s="48">
        <v>830943</v>
      </c>
      <c r="AB1382" s="48">
        <v>831033</v>
      </c>
      <c r="AC1382" s="48">
        <v>831139</v>
      </c>
      <c r="AD1382" s="48">
        <v>831253</v>
      </c>
      <c r="AE1382" s="48">
        <v>831344</v>
      </c>
      <c r="AF1382" s="48">
        <v>831449</v>
      </c>
      <c r="AG1382" s="48">
        <v>831563</v>
      </c>
      <c r="AH1382" s="48">
        <v>831671</v>
      </c>
      <c r="AI1382" s="48">
        <v>831744</v>
      </c>
      <c r="AJ1382" s="48">
        <v>831842</v>
      </c>
      <c r="AK1382" s="48">
        <v>831966</v>
      </c>
      <c r="AL1382" s="48">
        <v>832068</v>
      </c>
    </row>
    <row r="1383" spans="1:45" hidden="1" x14ac:dyDescent="0.25">
      <c r="A1383">
        <v>1382</v>
      </c>
      <c r="B1383">
        <v>2026</v>
      </c>
      <c r="C1383">
        <v>1</v>
      </c>
      <c r="D1383" t="s">
        <v>161</v>
      </c>
      <c r="E1383">
        <v>31</v>
      </c>
      <c r="F1383">
        <v>12</v>
      </c>
      <c r="G1383" t="s">
        <v>433</v>
      </c>
      <c r="H1383" s="48" t="s">
        <v>320</v>
      </c>
      <c r="I1383" s="48">
        <v>829265</v>
      </c>
      <c r="J1383" s="48">
        <v>829346</v>
      </c>
      <c r="K1383" s="48">
        <v>829449</v>
      </c>
      <c r="L1383" s="48">
        <v>829557</v>
      </c>
      <c r="M1383" s="48">
        <v>829674</v>
      </c>
      <c r="N1383" s="48">
        <v>829771</v>
      </c>
      <c r="O1383" s="48">
        <v>829892</v>
      </c>
      <c r="P1383" s="48">
        <v>830008</v>
      </c>
      <c r="Q1383" s="48">
        <v>830117</v>
      </c>
      <c r="R1383" s="48">
        <v>830241</v>
      </c>
      <c r="S1383" s="48">
        <v>830359</v>
      </c>
      <c r="T1383" s="48">
        <v>830455</v>
      </c>
      <c r="U1383" s="48">
        <v>830546</v>
      </c>
      <c r="V1383" s="48">
        <v>830649</v>
      </c>
      <c r="W1383" s="48">
        <v>830768</v>
      </c>
      <c r="X1383" s="48">
        <v>830856</v>
      </c>
      <c r="Y1383" s="48" t="s">
        <v>320</v>
      </c>
      <c r="Z1383" s="48">
        <v>830943</v>
      </c>
      <c r="AA1383" s="48">
        <v>831033</v>
      </c>
      <c r="AB1383" s="48">
        <v>831139</v>
      </c>
      <c r="AC1383" s="48">
        <v>831253</v>
      </c>
      <c r="AD1383" s="48">
        <v>831344</v>
      </c>
      <c r="AE1383" s="48">
        <v>831449</v>
      </c>
      <c r="AF1383" s="48">
        <v>831563</v>
      </c>
      <c r="AG1383" s="48">
        <v>831671</v>
      </c>
      <c r="AH1383" s="48">
        <v>831744</v>
      </c>
      <c r="AI1383" s="48">
        <v>831842</v>
      </c>
      <c r="AJ1383" s="48">
        <v>831966</v>
      </c>
      <c r="AK1383" s="48">
        <v>832068</v>
      </c>
      <c r="AL1383" s="48">
        <v>832173</v>
      </c>
      <c r="AP1383" cm="1">
        <f t="array" ref="AP1383">IF(AQ1383="","",SUM(IFERROR(H1383:AL1383-H1382:AL1382,0))*AQ1383/100)</f>
        <v>442.65</v>
      </c>
      <c r="AQ1383">
        <f>_xlfn.XLOOKUP(D1383,log_prices!M:M,log_prices!L:L,,0)</f>
        <v>15</v>
      </c>
      <c r="AS1383" cm="1">
        <f t="array" ref="AS1383">IF(AQ1383="","",SUM(IFERROR(H1383:AL1383-H1382:AL1382,0)))</f>
        <v>2951</v>
      </c>
    </row>
    <row r="1384" spans="1:45" hidden="1" x14ac:dyDescent="0.25">
      <c r="A1384">
        <v>1383</v>
      </c>
      <c r="B1384">
        <v>2026</v>
      </c>
      <c r="C1384">
        <v>1</v>
      </c>
      <c r="D1384" t="s">
        <v>352</v>
      </c>
      <c r="E1384">
        <v>31</v>
      </c>
      <c r="F1384">
        <v>12</v>
      </c>
      <c r="G1384" t="s">
        <v>432</v>
      </c>
      <c r="H1384" s="48" t="s">
        <v>320</v>
      </c>
      <c r="I1384" s="48">
        <v>766580</v>
      </c>
      <c r="J1384" s="48">
        <v>766685</v>
      </c>
      <c r="K1384" s="48">
        <v>766798</v>
      </c>
      <c r="L1384" s="48">
        <v>766892</v>
      </c>
      <c r="M1384" s="48">
        <v>767093</v>
      </c>
      <c r="N1384" s="48">
        <v>767205</v>
      </c>
      <c r="O1384" s="48">
        <v>767273</v>
      </c>
      <c r="P1384" s="48">
        <v>767460</v>
      </c>
      <c r="Q1384" s="48">
        <v>767531</v>
      </c>
      <c r="R1384" s="48">
        <v>767716</v>
      </c>
      <c r="S1384" s="48">
        <v>767839</v>
      </c>
      <c r="T1384" s="48">
        <v>767948</v>
      </c>
      <c r="U1384" s="48">
        <v>768067</v>
      </c>
      <c r="V1384" s="48">
        <v>768163</v>
      </c>
      <c r="W1384" s="48">
        <v>768258</v>
      </c>
      <c r="X1384" s="48">
        <v>768592</v>
      </c>
      <c r="Y1384" s="48">
        <v>768731</v>
      </c>
      <c r="Z1384" s="48">
        <v>768805</v>
      </c>
      <c r="AA1384" s="48">
        <v>768962</v>
      </c>
      <c r="AB1384" s="48">
        <v>769027</v>
      </c>
      <c r="AC1384" s="48">
        <v>769140</v>
      </c>
      <c r="AD1384" s="48">
        <v>769258</v>
      </c>
      <c r="AE1384" s="48">
        <v>769408</v>
      </c>
      <c r="AF1384" s="48">
        <v>769459</v>
      </c>
      <c r="AG1384" s="48">
        <v>769515</v>
      </c>
      <c r="AH1384" s="48">
        <v>769587</v>
      </c>
      <c r="AI1384" s="48">
        <v>769652</v>
      </c>
      <c r="AJ1384" s="48">
        <v>769724</v>
      </c>
      <c r="AK1384" s="48">
        <v>769792</v>
      </c>
      <c r="AL1384" s="48">
        <v>769854</v>
      </c>
    </row>
    <row r="1385" spans="1:45" hidden="1" x14ac:dyDescent="0.25">
      <c r="A1385">
        <v>1384</v>
      </c>
      <c r="B1385">
        <v>2026</v>
      </c>
      <c r="C1385">
        <v>1</v>
      </c>
      <c r="D1385" t="s">
        <v>352</v>
      </c>
      <c r="E1385">
        <v>31</v>
      </c>
      <c r="F1385">
        <v>12</v>
      </c>
      <c r="G1385" t="s">
        <v>433</v>
      </c>
      <c r="H1385" s="48" t="s">
        <v>320</v>
      </c>
      <c r="I1385" s="48">
        <v>766685</v>
      </c>
      <c r="J1385" s="48">
        <v>766760</v>
      </c>
      <c r="K1385" s="48">
        <v>766892</v>
      </c>
      <c r="L1385" s="48">
        <v>767025</v>
      </c>
      <c r="M1385" s="48">
        <v>767163</v>
      </c>
      <c r="N1385" s="48">
        <v>767273</v>
      </c>
      <c r="O1385" s="48">
        <v>767401</v>
      </c>
      <c r="P1385" s="48">
        <v>767531</v>
      </c>
      <c r="Q1385" s="48">
        <v>767629</v>
      </c>
      <c r="R1385" s="48">
        <v>767789</v>
      </c>
      <c r="S1385" s="48">
        <v>767948</v>
      </c>
      <c r="T1385" s="48">
        <v>768037</v>
      </c>
      <c r="U1385" s="48">
        <v>768163</v>
      </c>
      <c r="V1385" s="48">
        <v>768258</v>
      </c>
      <c r="W1385" s="48">
        <v>768443</v>
      </c>
      <c r="X1385" s="48">
        <v>768691</v>
      </c>
      <c r="Y1385" s="48">
        <v>768805</v>
      </c>
      <c r="Z1385" s="48">
        <v>768902</v>
      </c>
      <c r="AA1385" s="48">
        <v>769027</v>
      </c>
      <c r="AB1385" s="48">
        <v>769120</v>
      </c>
      <c r="AC1385" s="48">
        <v>769228</v>
      </c>
      <c r="AD1385" s="48">
        <v>769408</v>
      </c>
      <c r="AE1385" s="48">
        <v>769459</v>
      </c>
      <c r="AF1385" s="48">
        <v>769515</v>
      </c>
      <c r="AG1385" s="48">
        <v>769587</v>
      </c>
      <c r="AH1385" s="48">
        <v>769652</v>
      </c>
      <c r="AI1385" s="48">
        <v>769724</v>
      </c>
      <c r="AJ1385" s="48">
        <v>769792</v>
      </c>
      <c r="AK1385" s="48">
        <v>769854</v>
      </c>
      <c r="AL1385" s="48">
        <v>769981</v>
      </c>
      <c r="AP1385" cm="1">
        <f t="array" ref="AP1385">IF(AQ1385="","",SUM(IFERROR(H1385:AL1385-H1384:AL1384,0))*AQ1385/100)</f>
        <v>409.2</v>
      </c>
      <c r="AQ1385">
        <f>_xlfn.XLOOKUP(D1385,log_prices!M:M,log_prices!L:L,,0)</f>
        <v>15</v>
      </c>
      <c r="AS1385" cm="1">
        <f t="array" ref="AS1385">IF(AQ1385="","",SUM(IFERROR(H1385:AL1385-H1384:AL1384,0)))</f>
        <v>2728</v>
      </c>
    </row>
    <row r="1386" spans="1:45" hidden="1" x14ac:dyDescent="0.25">
      <c r="A1386">
        <v>1385</v>
      </c>
      <c r="B1386">
        <v>2026</v>
      </c>
      <c r="C1386">
        <v>1</v>
      </c>
      <c r="D1386" t="s">
        <v>648</v>
      </c>
      <c r="E1386">
        <v>31</v>
      </c>
      <c r="F1386">
        <v>12</v>
      </c>
      <c r="G1386" t="s">
        <v>432</v>
      </c>
      <c r="H1386" s="48" t="s">
        <v>320</v>
      </c>
      <c r="I1386" s="48">
        <v>362863</v>
      </c>
      <c r="J1386" s="48">
        <v>363037</v>
      </c>
      <c r="K1386" s="48">
        <v>363209</v>
      </c>
      <c r="L1386" s="48">
        <v>363400</v>
      </c>
      <c r="M1386" s="48">
        <v>363590</v>
      </c>
      <c r="N1386" s="48">
        <v>363853</v>
      </c>
      <c r="O1386" s="48">
        <v>364040</v>
      </c>
      <c r="P1386" s="48">
        <v>364230</v>
      </c>
      <c r="Q1386" s="48">
        <v>364418</v>
      </c>
      <c r="R1386" s="48">
        <v>364664</v>
      </c>
      <c r="S1386" s="48">
        <v>364764</v>
      </c>
      <c r="T1386" s="48">
        <v>364953</v>
      </c>
      <c r="U1386" s="48">
        <v>365141</v>
      </c>
      <c r="V1386" s="48">
        <v>365332</v>
      </c>
      <c r="W1386" s="48">
        <v>365523</v>
      </c>
      <c r="X1386" s="48">
        <v>365714</v>
      </c>
      <c r="Y1386" s="48">
        <v>365877</v>
      </c>
      <c r="Z1386" s="48">
        <v>366053</v>
      </c>
      <c r="AA1386" s="48">
        <v>366143</v>
      </c>
      <c r="AB1386" s="48">
        <v>366243</v>
      </c>
      <c r="AC1386" s="48">
        <v>366429</v>
      </c>
      <c r="AD1386" s="48">
        <v>366633</v>
      </c>
      <c r="AE1386" s="48">
        <v>366823</v>
      </c>
      <c r="AF1386" s="48">
        <v>367007</v>
      </c>
      <c r="AG1386" s="48">
        <v>367166</v>
      </c>
      <c r="AH1386" s="48">
        <v>367356</v>
      </c>
      <c r="AI1386" s="48">
        <v>367546</v>
      </c>
      <c r="AJ1386" s="48">
        <v>367772</v>
      </c>
      <c r="AK1386" s="48">
        <v>368112</v>
      </c>
      <c r="AL1386" s="48">
        <v>368303</v>
      </c>
    </row>
    <row r="1387" spans="1:45" hidden="1" x14ac:dyDescent="0.25">
      <c r="A1387">
        <v>1386</v>
      </c>
      <c r="B1387">
        <v>2026</v>
      </c>
      <c r="C1387">
        <v>1</v>
      </c>
      <c r="D1387" t="s">
        <v>648</v>
      </c>
      <c r="E1387">
        <v>31</v>
      </c>
      <c r="F1387">
        <v>12</v>
      </c>
      <c r="G1387" t="s">
        <v>433</v>
      </c>
      <c r="H1387" s="48" t="s">
        <v>320</v>
      </c>
      <c r="I1387" s="48">
        <v>363037</v>
      </c>
      <c r="J1387" s="48">
        <v>363209</v>
      </c>
      <c r="K1387" s="48">
        <v>363400</v>
      </c>
      <c r="L1387" s="48">
        <v>363590</v>
      </c>
      <c r="M1387" s="48">
        <v>363853</v>
      </c>
      <c r="N1387" s="48">
        <v>364040</v>
      </c>
      <c r="O1387" s="48">
        <v>364230</v>
      </c>
      <c r="P1387" s="48">
        <v>364418</v>
      </c>
      <c r="Q1387" s="48">
        <v>364664</v>
      </c>
      <c r="R1387" s="48">
        <v>364753</v>
      </c>
      <c r="S1387" s="48">
        <v>364953</v>
      </c>
      <c r="T1387" s="48">
        <v>365141</v>
      </c>
      <c r="U1387" s="48">
        <v>365332</v>
      </c>
      <c r="V1387" s="48">
        <v>365523</v>
      </c>
      <c r="W1387" s="48">
        <v>365714</v>
      </c>
      <c r="X1387" s="48">
        <v>365877</v>
      </c>
      <c r="Y1387" s="48">
        <v>366053</v>
      </c>
      <c r="Z1387" s="48">
        <v>366143</v>
      </c>
      <c r="AA1387" s="48">
        <v>366243</v>
      </c>
      <c r="AB1387" s="48">
        <v>366429</v>
      </c>
      <c r="AC1387" s="48">
        <v>366633</v>
      </c>
      <c r="AD1387" s="48">
        <v>366823</v>
      </c>
      <c r="AE1387" s="48">
        <v>367007</v>
      </c>
      <c r="AF1387" s="48">
        <v>367166</v>
      </c>
      <c r="AG1387" s="48">
        <v>367356</v>
      </c>
      <c r="AH1387" s="48">
        <v>367546</v>
      </c>
      <c r="AI1387" s="48">
        <v>367772</v>
      </c>
      <c r="AJ1387" s="48">
        <v>368112</v>
      </c>
      <c r="AK1387" s="48">
        <v>368303</v>
      </c>
      <c r="AL1387" s="48">
        <v>368490</v>
      </c>
      <c r="AP1387" cm="1">
        <f t="array" ref="AP1387">IF(AQ1387="","",SUM(IFERROR(H1387:AL1387-H1386:AL1386,0))*AQ1387/100)</f>
        <v>1010.88</v>
      </c>
      <c r="AQ1387">
        <f>_xlfn.XLOOKUP(D1387,log_prices!M:M,log_prices!L:L,,0)</f>
        <v>18</v>
      </c>
      <c r="AS1387" cm="1">
        <f t="array" ref="AS1387">IF(AQ1387="","",SUM(IFERROR(H1387:AL1387-H1386:AL1386,0)))</f>
        <v>5616</v>
      </c>
    </row>
    <row r="1388" spans="1:45" hidden="1" x14ac:dyDescent="0.25">
      <c r="A1388">
        <v>1387</v>
      </c>
      <c r="B1388">
        <v>2026</v>
      </c>
      <c r="C1388">
        <v>1</v>
      </c>
      <c r="D1388" t="s">
        <v>172</v>
      </c>
      <c r="E1388">
        <v>31</v>
      </c>
      <c r="F1388">
        <v>12</v>
      </c>
      <c r="G1388" t="s">
        <v>432</v>
      </c>
      <c r="H1388" s="48" t="s">
        <v>320</v>
      </c>
      <c r="I1388" s="48">
        <v>561257</v>
      </c>
      <c r="J1388" s="48">
        <v>561320</v>
      </c>
      <c r="K1388" s="48">
        <v>561362</v>
      </c>
      <c r="L1388" s="48">
        <v>561408</v>
      </c>
      <c r="M1388" s="48">
        <v>561439</v>
      </c>
      <c r="N1388" s="48">
        <v>561492</v>
      </c>
      <c r="O1388" s="48">
        <v>561530</v>
      </c>
      <c r="P1388" s="48">
        <v>561585</v>
      </c>
      <c r="Q1388" s="48">
        <v>561691</v>
      </c>
      <c r="R1388" s="48">
        <v>561801</v>
      </c>
      <c r="S1388" s="48">
        <v>561826</v>
      </c>
      <c r="T1388" s="48">
        <v>561841</v>
      </c>
      <c r="U1388" s="48">
        <v>561887</v>
      </c>
      <c r="V1388" s="48">
        <v>561951</v>
      </c>
      <c r="W1388" s="48">
        <v>562026</v>
      </c>
      <c r="X1388" s="48">
        <v>562083</v>
      </c>
      <c r="Y1388" s="48">
        <v>562137</v>
      </c>
      <c r="Z1388" s="48">
        <v>562171</v>
      </c>
      <c r="AA1388" s="48">
        <v>562228</v>
      </c>
      <c r="AB1388" s="48">
        <v>562263</v>
      </c>
      <c r="AC1388" s="48">
        <v>562338</v>
      </c>
      <c r="AD1388" s="48">
        <v>562399</v>
      </c>
      <c r="AE1388" s="48">
        <v>562459</v>
      </c>
      <c r="AF1388" s="48">
        <v>562549</v>
      </c>
      <c r="AG1388" s="48">
        <v>562585</v>
      </c>
      <c r="AH1388" s="48">
        <v>562656</v>
      </c>
      <c r="AI1388" s="48">
        <v>562706</v>
      </c>
      <c r="AJ1388" s="48">
        <v>562756</v>
      </c>
      <c r="AK1388" s="48">
        <v>562809</v>
      </c>
      <c r="AL1388" s="48">
        <v>562857</v>
      </c>
    </row>
    <row r="1389" spans="1:45" hidden="1" x14ac:dyDescent="0.25">
      <c r="A1389">
        <v>1388</v>
      </c>
      <c r="B1389">
        <v>2026</v>
      </c>
      <c r="C1389">
        <v>1</v>
      </c>
      <c r="D1389" t="s">
        <v>172</v>
      </c>
      <c r="E1389">
        <v>31</v>
      </c>
      <c r="F1389">
        <v>12</v>
      </c>
      <c r="G1389" t="s">
        <v>433</v>
      </c>
      <c r="H1389" s="48" t="s">
        <v>320</v>
      </c>
      <c r="I1389" s="48">
        <v>561320</v>
      </c>
      <c r="J1389" s="48">
        <v>561362</v>
      </c>
      <c r="K1389" s="48">
        <v>561408</v>
      </c>
      <c r="L1389" s="48">
        <v>561439</v>
      </c>
      <c r="M1389" s="48">
        <v>561492</v>
      </c>
      <c r="N1389" s="48">
        <v>561530</v>
      </c>
      <c r="O1389" s="48">
        <v>561585</v>
      </c>
      <c r="P1389" s="48">
        <v>561691</v>
      </c>
      <c r="Q1389" s="48">
        <v>561801</v>
      </c>
      <c r="R1389" s="48">
        <v>561826</v>
      </c>
      <c r="S1389" s="48">
        <v>561841</v>
      </c>
      <c r="T1389" s="48">
        <v>561887</v>
      </c>
      <c r="U1389" s="48">
        <v>561951</v>
      </c>
      <c r="V1389" s="48">
        <v>562026</v>
      </c>
      <c r="W1389" s="48">
        <v>562083</v>
      </c>
      <c r="X1389" s="48">
        <v>562137</v>
      </c>
      <c r="Y1389" s="48">
        <v>562171</v>
      </c>
      <c r="Z1389" s="48">
        <v>562228</v>
      </c>
      <c r="AA1389" s="48">
        <v>562263</v>
      </c>
      <c r="AB1389" s="48">
        <v>562338</v>
      </c>
      <c r="AC1389" s="48">
        <v>562399</v>
      </c>
      <c r="AD1389" s="48">
        <v>562459</v>
      </c>
      <c r="AE1389" s="48">
        <v>562549</v>
      </c>
      <c r="AF1389" s="48">
        <v>562585</v>
      </c>
      <c r="AG1389" s="48">
        <v>562656</v>
      </c>
      <c r="AH1389" s="48">
        <v>562706</v>
      </c>
      <c r="AI1389" s="48">
        <v>562756</v>
      </c>
      <c r="AJ1389" s="48">
        <v>562809</v>
      </c>
      <c r="AK1389" s="48">
        <v>562857</v>
      </c>
      <c r="AL1389" s="48">
        <v>562912</v>
      </c>
      <c r="AP1389" cm="1">
        <f t="array" ref="AP1389">IF(AQ1389="","",SUM(IFERROR(H1389:AL1389-H1388:AL1388,0))*AQ1389/100)</f>
        <v>248.25</v>
      </c>
      <c r="AQ1389">
        <f>_xlfn.XLOOKUP(D1389,log_prices!M:M,log_prices!L:L,,0)</f>
        <v>15</v>
      </c>
      <c r="AS1389" cm="1">
        <f t="array" ref="AS1389">IF(AQ1389="","",SUM(IFERROR(H1389:AL1389-H1388:AL1388,0)))</f>
        <v>1655</v>
      </c>
    </row>
    <row r="1390" spans="1:45" hidden="1" x14ac:dyDescent="0.25">
      <c r="A1390">
        <v>1389</v>
      </c>
      <c r="B1390">
        <v>2026</v>
      </c>
      <c r="C1390">
        <v>1</v>
      </c>
      <c r="D1390" t="s">
        <v>167</v>
      </c>
      <c r="E1390">
        <v>31</v>
      </c>
      <c r="F1390">
        <v>12</v>
      </c>
      <c r="G1390" t="s">
        <v>432</v>
      </c>
      <c r="H1390" s="48" t="s">
        <v>320</v>
      </c>
      <c r="I1390" s="48">
        <v>219296</v>
      </c>
      <c r="J1390" s="48">
        <v>219363</v>
      </c>
      <c r="K1390" s="48">
        <v>219439</v>
      </c>
      <c r="L1390" s="48">
        <v>219549</v>
      </c>
      <c r="M1390" s="48">
        <v>219624</v>
      </c>
      <c r="N1390" s="48">
        <v>219674</v>
      </c>
      <c r="O1390" s="48">
        <v>219752</v>
      </c>
      <c r="P1390" s="48">
        <v>219816</v>
      </c>
      <c r="Q1390" s="48">
        <v>219875</v>
      </c>
      <c r="R1390" s="48">
        <v>220031</v>
      </c>
      <c r="S1390" s="48">
        <v>220163</v>
      </c>
      <c r="T1390" s="48">
        <v>220271</v>
      </c>
      <c r="U1390" s="48">
        <v>220332</v>
      </c>
      <c r="V1390" s="48">
        <v>220368</v>
      </c>
      <c r="W1390" s="48">
        <v>220433</v>
      </c>
      <c r="X1390" s="48">
        <v>220494</v>
      </c>
      <c r="Y1390" s="48" t="s">
        <v>320</v>
      </c>
      <c r="Z1390" s="48">
        <v>220571</v>
      </c>
      <c r="AA1390" s="48">
        <v>220626</v>
      </c>
      <c r="AB1390" s="48">
        <v>220678</v>
      </c>
      <c r="AC1390" s="48">
        <v>220798</v>
      </c>
      <c r="AD1390" s="48">
        <v>220894</v>
      </c>
      <c r="AE1390" s="48">
        <v>220997</v>
      </c>
      <c r="AF1390" s="48">
        <v>221063</v>
      </c>
      <c r="AG1390" s="48">
        <v>221200</v>
      </c>
      <c r="AH1390" s="48">
        <v>221299</v>
      </c>
      <c r="AI1390" s="48" t="s">
        <v>320</v>
      </c>
      <c r="AJ1390" s="48">
        <v>221539</v>
      </c>
      <c r="AK1390" s="48">
        <v>221614</v>
      </c>
      <c r="AL1390" s="48">
        <v>221689</v>
      </c>
    </row>
    <row r="1391" spans="1:45" hidden="1" x14ac:dyDescent="0.25">
      <c r="A1391">
        <v>1390</v>
      </c>
      <c r="B1391">
        <v>2026</v>
      </c>
      <c r="C1391">
        <v>1</v>
      </c>
      <c r="D1391" t="s">
        <v>167</v>
      </c>
      <c r="E1391">
        <v>31</v>
      </c>
      <c r="F1391">
        <v>12</v>
      </c>
      <c r="G1391" t="s">
        <v>433</v>
      </c>
      <c r="H1391" s="48" t="s">
        <v>320</v>
      </c>
      <c r="I1391" s="48">
        <v>219361</v>
      </c>
      <c r="J1391" s="48">
        <v>219439</v>
      </c>
      <c r="K1391" s="48">
        <v>219549</v>
      </c>
      <c r="L1391" s="48">
        <v>219624</v>
      </c>
      <c r="M1391" s="48">
        <v>219674</v>
      </c>
      <c r="N1391" s="48">
        <v>219752</v>
      </c>
      <c r="O1391" s="48">
        <v>219816</v>
      </c>
      <c r="P1391" s="48">
        <v>219875</v>
      </c>
      <c r="Q1391" s="48">
        <v>219983</v>
      </c>
      <c r="R1391" s="48">
        <v>220150</v>
      </c>
      <c r="S1391" s="48">
        <v>220271</v>
      </c>
      <c r="T1391" s="48">
        <v>220332</v>
      </c>
      <c r="U1391" s="48">
        <v>220368</v>
      </c>
      <c r="V1391" s="48">
        <v>220433</v>
      </c>
      <c r="W1391" s="48">
        <v>220494</v>
      </c>
      <c r="X1391" s="48">
        <v>220566</v>
      </c>
      <c r="Y1391" s="48" t="s">
        <v>320</v>
      </c>
      <c r="Z1391" s="48">
        <v>220626</v>
      </c>
      <c r="AA1391" s="48">
        <v>220678</v>
      </c>
      <c r="AB1391" s="48">
        <v>220798</v>
      </c>
      <c r="AC1391" s="48">
        <v>220894</v>
      </c>
      <c r="AD1391" s="48">
        <v>220997</v>
      </c>
      <c r="AE1391" s="48">
        <v>221063</v>
      </c>
      <c r="AF1391" s="48">
        <v>221200</v>
      </c>
      <c r="AG1391" s="48">
        <v>221299</v>
      </c>
      <c r="AH1391" s="48">
        <v>221340</v>
      </c>
      <c r="AI1391" s="48" t="s">
        <v>320</v>
      </c>
      <c r="AJ1391" s="48">
        <v>221614</v>
      </c>
      <c r="AK1391" s="48">
        <v>221689</v>
      </c>
      <c r="AL1391" s="48">
        <v>221811</v>
      </c>
      <c r="AP1391" cm="1">
        <f t="array" ref="AP1391">IF(AQ1391="","",SUM(IFERROR(H1391:AL1391-H1390:AL1390,0))*AQ1391/100)</f>
        <v>337.2</v>
      </c>
      <c r="AQ1391">
        <f>_xlfn.XLOOKUP(D1391,log_prices!M:M,log_prices!L:L,,0)</f>
        <v>15</v>
      </c>
      <c r="AS1391" cm="1">
        <f t="array" ref="AS1391">IF(AQ1391="","",SUM(IFERROR(H1391:AL1391-H1390:AL1390,0)))</f>
        <v>2248</v>
      </c>
    </row>
    <row r="1392" spans="1:45" hidden="1" x14ac:dyDescent="0.25">
      <c r="A1392">
        <v>1391</v>
      </c>
      <c r="B1392">
        <v>2026</v>
      </c>
      <c r="C1392">
        <v>1</v>
      </c>
      <c r="D1392" t="s">
        <v>177</v>
      </c>
      <c r="E1392">
        <v>31</v>
      </c>
      <c r="F1392">
        <v>12</v>
      </c>
      <c r="G1392" t="s">
        <v>432</v>
      </c>
      <c r="H1392" s="48" t="s">
        <v>320</v>
      </c>
      <c r="I1392" s="48">
        <v>937222</v>
      </c>
      <c r="J1392" s="48">
        <v>937277</v>
      </c>
      <c r="K1392" s="48">
        <v>937356</v>
      </c>
      <c r="L1392" s="48">
        <v>937440</v>
      </c>
      <c r="M1392" s="48">
        <v>937538</v>
      </c>
      <c r="N1392" s="48">
        <v>937631</v>
      </c>
      <c r="O1392" s="48">
        <v>937741</v>
      </c>
      <c r="P1392" s="48">
        <v>937838</v>
      </c>
      <c r="Q1392" s="48">
        <v>937921</v>
      </c>
      <c r="R1392" s="48">
        <v>938012</v>
      </c>
      <c r="S1392" s="48">
        <v>938092</v>
      </c>
      <c r="T1392" s="48">
        <v>938168</v>
      </c>
      <c r="U1392" s="48">
        <v>938256</v>
      </c>
      <c r="V1392" s="48">
        <v>938332</v>
      </c>
      <c r="W1392" s="48">
        <v>938412</v>
      </c>
      <c r="X1392" s="48">
        <v>938512</v>
      </c>
      <c r="Y1392" s="48">
        <v>938599</v>
      </c>
      <c r="Z1392" s="48">
        <v>938562</v>
      </c>
      <c r="AA1392" s="48">
        <v>938708</v>
      </c>
      <c r="AB1392" s="48">
        <v>938791</v>
      </c>
      <c r="AC1392" s="48">
        <v>938886</v>
      </c>
      <c r="AD1392" s="48">
        <v>938975</v>
      </c>
      <c r="AE1392" s="48">
        <v>939066</v>
      </c>
      <c r="AF1392" s="48" t="s">
        <v>320</v>
      </c>
      <c r="AG1392" s="48">
        <v>939187</v>
      </c>
      <c r="AH1392" s="48">
        <v>939266</v>
      </c>
      <c r="AI1392" s="48">
        <v>939356</v>
      </c>
      <c r="AJ1392" s="48">
        <v>939456</v>
      </c>
      <c r="AK1392" s="48">
        <v>939554</v>
      </c>
      <c r="AL1392" s="48">
        <v>939650</v>
      </c>
    </row>
    <row r="1393" spans="1:45" hidden="1" x14ac:dyDescent="0.25">
      <c r="A1393">
        <v>1392</v>
      </c>
      <c r="B1393">
        <v>2026</v>
      </c>
      <c r="C1393">
        <v>1</v>
      </c>
      <c r="D1393" t="s">
        <v>177</v>
      </c>
      <c r="E1393">
        <v>31</v>
      </c>
      <c r="F1393">
        <v>12</v>
      </c>
      <c r="G1393" t="s">
        <v>433</v>
      </c>
      <c r="H1393" s="48" t="s">
        <v>320</v>
      </c>
      <c r="I1393" s="48">
        <v>937277</v>
      </c>
      <c r="J1393" s="48">
        <v>937356</v>
      </c>
      <c r="K1393" s="48">
        <v>937440</v>
      </c>
      <c r="L1393" s="48">
        <v>937538</v>
      </c>
      <c r="M1393" s="48">
        <v>937631</v>
      </c>
      <c r="N1393" s="48">
        <v>937741</v>
      </c>
      <c r="O1393" s="48">
        <v>937838</v>
      </c>
      <c r="P1393" s="48">
        <v>937921</v>
      </c>
      <c r="Q1393" s="48">
        <v>938012</v>
      </c>
      <c r="R1393" s="48">
        <v>938092</v>
      </c>
      <c r="S1393" s="48">
        <v>938168</v>
      </c>
      <c r="T1393" s="48">
        <v>938256</v>
      </c>
      <c r="U1393" s="48">
        <v>938332</v>
      </c>
      <c r="V1393" s="48">
        <v>938412</v>
      </c>
      <c r="W1393" s="48">
        <v>938512</v>
      </c>
      <c r="X1393" s="48">
        <v>938599</v>
      </c>
      <c r="Y1393" s="48">
        <v>938652</v>
      </c>
      <c r="Z1393" s="48">
        <v>938708</v>
      </c>
      <c r="AA1393" s="48">
        <v>938791</v>
      </c>
      <c r="AB1393" s="48">
        <v>938886</v>
      </c>
      <c r="AC1393" s="48">
        <v>938975</v>
      </c>
      <c r="AD1393" s="48">
        <v>939066</v>
      </c>
      <c r="AE1393" s="48">
        <v>939187</v>
      </c>
      <c r="AF1393" s="48" t="s">
        <v>320</v>
      </c>
      <c r="AG1393" s="48">
        <v>939266</v>
      </c>
      <c r="AH1393" s="48">
        <v>939356</v>
      </c>
      <c r="AI1393" s="48">
        <v>939456</v>
      </c>
      <c r="AJ1393" s="48">
        <v>939554</v>
      </c>
      <c r="AK1393" s="48">
        <v>939650</v>
      </c>
      <c r="AL1393" s="48">
        <v>939762</v>
      </c>
      <c r="AP1393" cm="1">
        <f t="array" ref="AP1393">IF(AQ1393="","",SUM(IFERROR(H1393:AL1393-H1392:AL1392,0))*AQ1393/100)</f>
        <v>394.5</v>
      </c>
      <c r="AQ1393">
        <f>_xlfn.XLOOKUP(D1393,log_prices!M:M,log_prices!L:L,,0)</f>
        <v>15</v>
      </c>
      <c r="AS1393" cm="1">
        <f t="array" ref="AS1393">IF(AQ1393="","",SUM(IFERROR(H1393:AL1393-H1392:AL1392,0)))</f>
        <v>2630</v>
      </c>
    </row>
    <row r="1394" spans="1:45" hidden="1" x14ac:dyDescent="0.25">
      <c r="A1394">
        <v>1393</v>
      </c>
      <c r="B1394">
        <v>2026</v>
      </c>
      <c r="C1394">
        <v>1</v>
      </c>
      <c r="D1394" t="s">
        <v>169</v>
      </c>
      <c r="E1394">
        <v>31</v>
      </c>
      <c r="F1394">
        <v>12</v>
      </c>
      <c r="G1394" t="s">
        <v>432</v>
      </c>
      <c r="H1394" s="48" t="s">
        <v>320</v>
      </c>
      <c r="I1394" s="48">
        <v>253370</v>
      </c>
      <c r="J1394" s="48">
        <v>253471</v>
      </c>
      <c r="K1394" s="48">
        <v>253485</v>
      </c>
      <c r="L1394" s="48">
        <v>253701</v>
      </c>
      <c r="M1394" s="48">
        <v>253808</v>
      </c>
      <c r="N1394" s="48">
        <v>253882</v>
      </c>
      <c r="O1394" s="48">
        <v>254069</v>
      </c>
      <c r="P1394" s="48">
        <v>254160</v>
      </c>
      <c r="Q1394" s="48">
        <v>254250</v>
      </c>
      <c r="R1394" s="48">
        <v>254432</v>
      </c>
      <c r="S1394" s="48">
        <v>254541</v>
      </c>
      <c r="T1394" s="48">
        <v>254589</v>
      </c>
      <c r="U1394" s="48">
        <v>254801</v>
      </c>
      <c r="V1394" s="48">
        <v>254875</v>
      </c>
      <c r="W1394" s="48">
        <v>254913</v>
      </c>
      <c r="X1394" s="48">
        <v>254940</v>
      </c>
      <c r="Y1394" s="48">
        <v>255021</v>
      </c>
      <c r="Z1394" s="48">
        <v>255176</v>
      </c>
      <c r="AA1394" s="48">
        <v>255220</v>
      </c>
      <c r="AB1394" s="48">
        <v>255239</v>
      </c>
      <c r="AC1394" s="48">
        <v>255454</v>
      </c>
      <c r="AD1394" s="48">
        <v>255519</v>
      </c>
      <c r="AE1394" s="48">
        <v>255555</v>
      </c>
      <c r="AF1394" s="48">
        <v>255741</v>
      </c>
      <c r="AG1394" s="48">
        <v>255827</v>
      </c>
      <c r="AH1394" s="48">
        <v>255924</v>
      </c>
      <c r="AI1394" s="48">
        <v>256054</v>
      </c>
      <c r="AJ1394" s="48">
        <v>256153</v>
      </c>
      <c r="AK1394" s="48">
        <v>256309</v>
      </c>
      <c r="AL1394" s="48">
        <v>256369</v>
      </c>
    </row>
    <row r="1395" spans="1:45" hidden="1" x14ac:dyDescent="0.25">
      <c r="A1395">
        <v>1394</v>
      </c>
      <c r="B1395">
        <v>2026</v>
      </c>
      <c r="C1395">
        <v>1</v>
      </c>
      <c r="D1395" t="s">
        <v>169</v>
      </c>
      <c r="E1395">
        <v>31</v>
      </c>
      <c r="F1395">
        <v>12</v>
      </c>
      <c r="G1395" t="s">
        <v>433</v>
      </c>
      <c r="H1395" s="48" t="s">
        <v>320</v>
      </c>
      <c r="I1395" s="48">
        <v>253471</v>
      </c>
      <c r="J1395" s="48">
        <v>253485</v>
      </c>
      <c r="K1395" s="48">
        <v>253534</v>
      </c>
      <c r="L1395" s="48">
        <v>253808</v>
      </c>
      <c r="M1395" s="48">
        <v>253882</v>
      </c>
      <c r="N1395" s="48">
        <v>253980</v>
      </c>
      <c r="O1395" s="48">
        <v>254160</v>
      </c>
      <c r="P1395" s="48">
        <v>254250</v>
      </c>
      <c r="Q1395" s="48">
        <v>254362</v>
      </c>
      <c r="R1395" s="48">
        <v>254541</v>
      </c>
      <c r="S1395" s="48">
        <v>254589</v>
      </c>
      <c r="T1395" s="48">
        <v>254624</v>
      </c>
      <c r="U1395" s="48">
        <v>254875</v>
      </c>
      <c r="V1395" s="48">
        <v>254913</v>
      </c>
      <c r="W1395" s="48">
        <v>254940</v>
      </c>
      <c r="X1395" s="48">
        <v>255021</v>
      </c>
      <c r="Y1395" s="48">
        <v>255097</v>
      </c>
      <c r="Z1395" s="48">
        <v>255220</v>
      </c>
      <c r="AA1395" s="48">
        <v>255239</v>
      </c>
      <c r="AB1395" s="48">
        <v>255324</v>
      </c>
      <c r="AC1395" s="48">
        <v>255519</v>
      </c>
      <c r="AD1395" s="48">
        <v>255555</v>
      </c>
      <c r="AE1395" s="48">
        <v>255639</v>
      </c>
      <c r="AF1395" s="48">
        <v>255827</v>
      </c>
      <c r="AG1395" s="48">
        <v>255885</v>
      </c>
      <c r="AH1395" s="48">
        <v>255991</v>
      </c>
      <c r="AI1395" s="48">
        <v>256153</v>
      </c>
      <c r="AJ1395" s="48">
        <v>256210</v>
      </c>
      <c r="AK1395" s="48">
        <v>256369</v>
      </c>
      <c r="AL1395" s="48">
        <v>256424</v>
      </c>
      <c r="AP1395" cm="1">
        <f t="array" ref="AP1395">IF(AQ1395="","",SUM(IFERROR(H1395:AL1395-H1394:AL1394,0))*AQ1395/100)</f>
        <v>305.84999999999997</v>
      </c>
      <c r="AQ1395">
        <f>_xlfn.XLOOKUP(D1395,log_prices!M:M,log_prices!L:L,,0)</f>
        <v>14.999999999999998</v>
      </c>
      <c r="AS1395" cm="1">
        <f t="array" ref="AS1395">IF(AQ1395="","",SUM(IFERROR(H1395:AL1395-H1394:AL1394,0)))</f>
        <v>2039</v>
      </c>
    </row>
    <row r="1396" spans="1:45" hidden="1" x14ac:dyDescent="0.25">
      <c r="A1396">
        <v>1395</v>
      </c>
      <c r="B1396">
        <v>2026</v>
      </c>
      <c r="C1396">
        <v>1</v>
      </c>
      <c r="D1396" t="s">
        <v>170</v>
      </c>
      <c r="E1396">
        <v>31</v>
      </c>
      <c r="F1396">
        <v>12</v>
      </c>
      <c r="G1396" t="s">
        <v>432</v>
      </c>
      <c r="H1396" s="48" t="s">
        <v>320</v>
      </c>
      <c r="I1396" s="48">
        <v>385540</v>
      </c>
      <c r="J1396" s="48">
        <v>385743</v>
      </c>
      <c r="K1396" s="48">
        <v>385945</v>
      </c>
      <c r="L1396" s="48">
        <v>385945</v>
      </c>
      <c r="M1396" s="48">
        <v>386120</v>
      </c>
      <c r="N1396" s="48">
        <v>386258</v>
      </c>
      <c r="O1396" s="48">
        <v>386435</v>
      </c>
      <c r="P1396" s="48">
        <v>386533</v>
      </c>
      <c r="Q1396" s="48">
        <v>386704</v>
      </c>
      <c r="R1396" s="48">
        <v>386906</v>
      </c>
      <c r="S1396" s="48">
        <v>387116</v>
      </c>
      <c r="T1396" s="48">
        <v>387289</v>
      </c>
      <c r="U1396" s="48">
        <v>387513</v>
      </c>
      <c r="V1396" s="48">
        <v>387651</v>
      </c>
      <c r="W1396" s="48">
        <v>387789</v>
      </c>
      <c r="X1396" s="48">
        <v>387960</v>
      </c>
      <c r="Y1396" s="48">
        <v>388163</v>
      </c>
      <c r="Z1396" s="48">
        <v>388163</v>
      </c>
      <c r="AA1396" s="48">
        <v>388339</v>
      </c>
      <c r="AB1396" s="48">
        <v>388477</v>
      </c>
      <c r="AC1396" s="48">
        <v>388614</v>
      </c>
      <c r="AD1396" s="48">
        <v>388752</v>
      </c>
      <c r="AE1396" s="48">
        <v>388922</v>
      </c>
      <c r="AF1396" s="48">
        <v>389125</v>
      </c>
      <c r="AG1396" s="48">
        <v>389345</v>
      </c>
      <c r="AH1396" s="48">
        <v>389519</v>
      </c>
      <c r="AI1396" s="48">
        <v>389832</v>
      </c>
      <c r="AJ1396" s="48">
        <v>390015</v>
      </c>
      <c r="AK1396" s="48">
        <v>390218</v>
      </c>
      <c r="AL1396" s="48">
        <v>390422</v>
      </c>
    </row>
    <row r="1397" spans="1:45" hidden="1" x14ac:dyDescent="0.25">
      <c r="A1397">
        <v>1396</v>
      </c>
      <c r="B1397">
        <v>2026</v>
      </c>
      <c r="C1397">
        <v>1</v>
      </c>
      <c r="D1397" t="s">
        <v>170</v>
      </c>
      <c r="E1397">
        <v>31</v>
      </c>
      <c r="F1397">
        <v>12</v>
      </c>
      <c r="G1397" t="s">
        <v>433</v>
      </c>
      <c r="H1397" s="48" t="s">
        <v>320</v>
      </c>
      <c r="I1397" s="48">
        <v>385743</v>
      </c>
      <c r="J1397" s="48">
        <v>385945</v>
      </c>
      <c r="K1397" s="48">
        <v>385945</v>
      </c>
      <c r="L1397" s="48">
        <v>386120</v>
      </c>
      <c r="M1397" s="48">
        <v>386258</v>
      </c>
      <c r="N1397" s="48">
        <v>386435</v>
      </c>
      <c r="O1397" s="48">
        <v>386533</v>
      </c>
      <c r="P1397" s="48">
        <v>386704</v>
      </c>
      <c r="Q1397" s="48">
        <v>386906</v>
      </c>
      <c r="R1397" s="48">
        <v>387116</v>
      </c>
      <c r="S1397" s="48">
        <v>387289</v>
      </c>
      <c r="T1397" s="48">
        <v>387513</v>
      </c>
      <c r="U1397" s="48">
        <v>387651</v>
      </c>
      <c r="V1397" s="48">
        <v>387789</v>
      </c>
      <c r="W1397" s="48">
        <v>387960</v>
      </c>
      <c r="X1397" s="48">
        <v>388163</v>
      </c>
      <c r="Y1397" s="48">
        <v>388163</v>
      </c>
      <c r="Z1397" s="48">
        <v>388339</v>
      </c>
      <c r="AA1397" s="48">
        <v>388477</v>
      </c>
      <c r="AB1397" s="48">
        <v>388614</v>
      </c>
      <c r="AC1397" s="48">
        <v>388752</v>
      </c>
      <c r="AD1397" s="48">
        <v>388922</v>
      </c>
      <c r="AE1397" s="48">
        <v>389125</v>
      </c>
      <c r="AF1397" s="48">
        <v>389345</v>
      </c>
      <c r="AG1397" s="48">
        <v>389519</v>
      </c>
      <c r="AH1397" s="48">
        <v>389772</v>
      </c>
      <c r="AI1397" s="48">
        <v>390015</v>
      </c>
      <c r="AJ1397" s="48">
        <v>390218</v>
      </c>
      <c r="AK1397" s="48">
        <v>390422</v>
      </c>
      <c r="AL1397" s="48">
        <v>390624</v>
      </c>
      <c r="AP1397" cm="1">
        <f t="array" ref="AP1397">IF(AQ1397="","",SUM(IFERROR(H1397:AL1397-H1396:AL1396,0))*AQ1397/100)</f>
        <v>904.31999999999982</v>
      </c>
      <c r="AQ1397">
        <f>_xlfn.XLOOKUP(D1397,log_prices!M:M,log_prices!L:L,,0)</f>
        <v>17.999999999999996</v>
      </c>
      <c r="AS1397" cm="1">
        <f t="array" ref="AS1397">IF(AQ1397="","",SUM(IFERROR(H1397:AL1397-H1396:AL1396,0)))</f>
        <v>5024</v>
      </c>
    </row>
    <row r="1398" spans="1:45" hidden="1" x14ac:dyDescent="0.25">
      <c r="A1398">
        <v>1397</v>
      </c>
      <c r="B1398">
        <v>2026</v>
      </c>
      <c r="C1398">
        <v>1</v>
      </c>
      <c r="D1398" t="s">
        <v>354</v>
      </c>
      <c r="E1398">
        <v>31</v>
      </c>
      <c r="F1398">
        <v>12</v>
      </c>
      <c r="G1398" t="s">
        <v>432</v>
      </c>
      <c r="H1398" s="48" t="s">
        <v>320</v>
      </c>
      <c r="I1398" s="48">
        <v>258024</v>
      </c>
      <c r="J1398" s="48">
        <v>258115</v>
      </c>
      <c r="K1398" s="48">
        <v>258199</v>
      </c>
      <c r="L1398" s="48">
        <v>258302</v>
      </c>
      <c r="M1398" s="48">
        <v>258410</v>
      </c>
      <c r="N1398" s="48">
        <v>258536</v>
      </c>
      <c r="O1398" s="48">
        <v>258627</v>
      </c>
      <c r="P1398" s="48">
        <v>258730</v>
      </c>
      <c r="Q1398" s="48">
        <v>258815</v>
      </c>
      <c r="R1398" s="48">
        <v>258922</v>
      </c>
      <c r="S1398" s="48">
        <v>259040</v>
      </c>
      <c r="T1398" s="48">
        <v>259253</v>
      </c>
      <c r="U1398" s="48">
        <v>259367</v>
      </c>
      <c r="V1398" s="48">
        <v>259505</v>
      </c>
      <c r="W1398" s="48">
        <v>259619</v>
      </c>
      <c r="X1398" s="48">
        <v>259732</v>
      </c>
      <c r="Y1398" s="48">
        <v>259835</v>
      </c>
      <c r="Z1398" s="48">
        <v>259900</v>
      </c>
      <c r="AA1398" s="48">
        <v>260016</v>
      </c>
      <c r="AB1398" s="48">
        <v>260071</v>
      </c>
      <c r="AC1398" s="48">
        <v>260166</v>
      </c>
      <c r="AD1398" s="48">
        <v>260293</v>
      </c>
      <c r="AE1398" s="48">
        <v>260409</v>
      </c>
      <c r="AF1398" s="48">
        <v>260515</v>
      </c>
      <c r="AG1398" s="48">
        <v>260631</v>
      </c>
      <c r="AH1398" s="48">
        <v>260757</v>
      </c>
      <c r="AI1398" s="48">
        <v>260862</v>
      </c>
      <c r="AJ1398" s="48">
        <v>260954</v>
      </c>
      <c r="AK1398" s="48">
        <v>261080</v>
      </c>
      <c r="AL1398" s="48">
        <v>261175</v>
      </c>
    </row>
    <row r="1399" spans="1:45" hidden="1" x14ac:dyDescent="0.25">
      <c r="A1399">
        <v>1398</v>
      </c>
      <c r="B1399">
        <v>2026</v>
      </c>
      <c r="C1399">
        <v>1</v>
      </c>
      <c r="D1399" t="s">
        <v>354</v>
      </c>
      <c r="E1399">
        <v>31</v>
      </c>
      <c r="F1399">
        <v>12</v>
      </c>
      <c r="G1399" t="s">
        <v>433</v>
      </c>
      <c r="H1399" s="48" t="s">
        <v>320</v>
      </c>
      <c r="I1399" s="48">
        <v>258115</v>
      </c>
      <c r="J1399" s="48">
        <v>258199</v>
      </c>
      <c r="K1399" s="48">
        <v>258302</v>
      </c>
      <c r="L1399" s="48">
        <v>258410</v>
      </c>
      <c r="M1399" s="48">
        <v>258536</v>
      </c>
      <c r="N1399" s="48">
        <v>258627</v>
      </c>
      <c r="O1399" s="48">
        <v>258730</v>
      </c>
      <c r="P1399" s="48">
        <v>258815</v>
      </c>
      <c r="Q1399" s="48">
        <v>258922</v>
      </c>
      <c r="R1399" s="48">
        <v>259040</v>
      </c>
      <c r="S1399" s="48">
        <v>259253</v>
      </c>
      <c r="T1399" s="48">
        <v>259367</v>
      </c>
      <c r="U1399" s="48">
        <v>259505</v>
      </c>
      <c r="V1399" s="48">
        <v>259619</v>
      </c>
      <c r="W1399" s="48">
        <v>259732</v>
      </c>
      <c r="X1399" s="48">
        <v>259835</v>
      </c>
      <c r="Y1399" s="48">
        <v>259900</v>
      </c>
      <c r="Z1399" s="48">
        <v>260016</v>
      </c>
      <c r="AA1399" s="48">
        <v>260071</v>
      </c>
      <c r="AB1399" s="48">
        <v>260166</v>
      </c>
      <c r="AC1399" s="48">
        <v>260293</v>
      </c>
      <c r="AD1399" s="48">
        <v>260409</v>
      </c>
      <c r="AE1399" s="48">
        <v>260515</v>
      </c>
      <c r="AF1399" s="48">
        <v>260631</v>
      </c>
      <c r="AG1399" s="48">
        <v>260757</v>
      </c>
      <c r="AH1399" s="48">
        <v>260862</v>
      </c>
      <c r="AI1399" s="48">
        <v>260954</v>
      </c>
      <c r="AJ1399" s="48">
        <v>261080</v>
      </c>
      <c r="AK1399" s="48">
        <v>261175</v>
      </c>
      <c r="AL1399" s="48">
        <v>261287</v>
      </c>
      <c r="AP1399" cm="1">
        <f t="array" ref="AP1399">IF(AQ1399="","",SUM(IFERROR(H1399:AL1399-H1398:AL1398,0))*AQ1399/100)</f>
        <v>489.45</v>
      </c>
      <c r="AQ1399">
        <f>_xlfn.XLOOKUP(D1399,log_prices!M:M,log_prices!L:L,,0)</f>
        <v>15</v>
      </c>
      <c r="AS1399" cm="1">
        <f t="array" ref="AS1399">IF(AQ1399="","",SUM(IFERROR(H1399:AL1399-H1398:AL1398,0)))</f>
        <v>3263</v>
      </c>
    </row>
    <row r="1400" spans="1:45" hidden="1" x14ac:dyDescent="0.25">
      <c r="A1400">
        <v>1399</v>
      </c>
      <c r="B1400">
        <v>2026</v>
      </c>
      <c r="C1400">
        <v>1</v>
      </c>
      <c r="D1400" t="s">
        <v>144</v>
      </c>
      <c r="E1400">
        <v>31</v>
      </c>
      <c r="F1400">
        <v>12</v>
      </c>
      <c r="G1400" t="s">
        <v>432</v>
      </c>
      <c r="H1400" s="48" t="s">
        <v>320</v>
      </c>
      <c r="I1400" s="48">
        <v>388318</v>
      </c>
      <c r="J1400" s="48">
        <v>388649</v>
      </c>
      <c r="K1400" s="48">
        <v>388725</v>
      </c>
      <c r="L1400" s="48">
        <v>388783</v>
      </c>
      <c r="M1400" s="48">
        <v>388983</v>
      </c>
      <c r="N1400" s="48">
        <v>389001</v>
      </c>
      <c r="O1400" s="48">
        <v>389225</v>
      </c>
      <c r="P1400" s="48">
        <v>389370</v>
      </c>
      <c r="Q1400" s="48">
        <v>389477</v>
      </c>
      <c r="R1400" s="48">
        <v>389740</v>
      </c>
      <c r="S1400" s="48">
        <v>390033</v>
      </c>
      <c r="T1400" s="48">
        <v>390176</v>
      </c>
      <c r="U1400" s="48">
        <v>390259</v>
      </c>
      <c r="V1400" s="48">
        <v>390475</v>
      </c>
      <c r="W1400" s="48">
        <v>390528</v>
      </c>
      <c r="X1400" s="48">
        <v>390650</v>
      </c>
      <c r="Y1400" s="48">
        <v>390832</v>
      </c>
      <c r="Z1400" s="48">
        <v>391060</v>
      </c>
      <c r="AA1400" s="48">
        <v>391218</v>
      </c>
      <c r="AB1400" s="48">
        <v>391269</v>
      </c>
      <c r="AC1400" s="48">
        <v>391326</v>
      </c>
      <c r="AD1400" s="48">
        <v>391524</v>
      </c>
      <c r="AE1400" s="48">
        <v>391721</v>
      </c>
      <c r="AF1400" s="48">
        <v>391970</v>
      </c>
      <c r="AG1400" s="48">
        <v>392094</v>
      </c>
      <c r="AH1400" s="48">
        <v>392229</v>
      </c>
      <c r="AI1400" s="48">
        <v>392344</v>
      </c>
      <c r="AJ1400" s="48">
        <v>392523</v>
      </c>
      <c r="AK1400" s="48">
        <v>392555</v>
      </c>
      <c r="AL1400" s="48">
        <v>392603</v>
      </c>
    </row>
    <row r="1401" spans="1:45" hidden="1" x14ac:dyDescent="0.25">
      <c r="A1401">
        <v>1400</v>
      </c>
      <c r="B1401">
        <v>2026</v>
      </c>
      <c r="C1401">
        <v>1</v>
      </c>
      <c r="D1401" t="s">
        <v>144</v>
      </c>
      <c r="E1401">
        <v>31</v>
      </c>
      <c r="F1401">
        <v>12</v>
      </c>
      <c r="G1401" t="s">
        <v>433</v>
      </c>
      <c r="H1401" s="48" t="s">
        <v>320</v>
      </c>
      <c r="I1401" s="48">
        <v>388459</v>
      </c>
      <c r="J1401" s="48">
        <v>388716</v>
      </c>
      <c r="K1401" s="48">
        <v>388783</v>
      </c>
      <c r="L1401" s="48">
        <v>388983</v>
      </c>
      <c r="M1401" s="48">
        <v>389001</v>
      </c>
      <c r="N1401" s="48">
        <v>389199</v>
      </c>
      <c r="O1401" s="48">
        <v>389310</v>
      </c>
      <c r="P1401" s="48">
        <v>389477</v>
      </c>
      <c r="Q1401" s="48">
        <v>389740</v>
      </c>
      <c r="R1401" s="48">
        <v>389862</v>
      </c>
      <c r="S1401" s="48">
        <v>390176</v>
      </c>
      <c r="T1401" s="48">
        <v>390259</v>
      </c>
      <c r="U1401" s="48">
        <v>390459</v>
      </c>
      <c r="V1401" s="48">
        <v>390528</v>
      </c>
      <c r="W1401" s="48">
        <v>390650</v>
      </c>
      <c r="X1401" s="48">
        <v>390704</v>
      </c>
      <c r="Y1401" s="48">
        <v>390942</v>
      </c>
      <c r="Z1401" s="48">
        <v>391126</v>
      </c>
      <c r="AA1401" s="48">
        <v>391269</v>
      </c>
      <c r="AB1401" s="48">
        <v>391326</v>
      </c>
      <c r="AC1401" s="48">
        <v>391463</v>
      </c>
      <c r="AD1401" s="48">
        <v>391673</v>
      </c>
      <c r="AE1401" s="48">
        <v>391970</v>
      </c>
      <c r="AF1401" s="48">
        <v>392094</v>
      </c>
      <c r="AG1401" s="48">
        <v>392225</v>
      </c>
      <c r="AH1401" s="48">
        <v>392344</v>
      </c>
      <c r="AI1401" s="48">
        <v>392523</v>
      </c>
      <c r="AJ1401" s="48">
        <v>392555</v>
      </c>
      <c r="AK1401" s="48">
        <v>392602</v>
      </c>
      <c r="AL1401" s="48">
        <v>392736</v>
      </c>
      <c r="AP1401" cm="1">
        <f t="array" ref="AP1401">IF(AQ1401="","",SUM(IFERROR(H1401:AL1401-H1400:AL1400,0))*AQ1401/100)</f>
        <v>524.1</v>
      </c>
      <c r="AQ1401">
        <f>_xlfn.XLOOKUP(D1401,log_prices!M:M,log_prices!L:L,,0)</f>
        <v>15</v>
      </c>
      <c r="AS1401" cm="1">
        <f t="array" ref="AS1401">IF(AQ1401="","",SUM(IFERROR(H1401:AL1401-H1400:AL1400,0)))</f>
        <v>3494</v>
      </c>
    </row>
    <row r="1402" spans="1:45" hidden="1" x14ac:dyDescent="0.25">
      <c r="A1402">
        <v>1401</v>
      </c>
      <c r="B1402">
        <v>2026</v>
      </c>
      <c r="C1402">
        <v>1</v>
      </c>
      <c r="D1402" t="s">
        <v>129</v>
      </c>
      <c r="E1402">
        <v>31</v>
      </c>
      <c r="F1402">
        <v>12</v>
      </c>
      <c r="G1402" t="s">
        <v>432</v>
      </c>
      <c r="H1402" s="48" t="s">
        <v>320</v>
      </c>
      <c r="I1402" s="48">
        <v>497940</v>
      </c>
      <c r="J1402" s="48">
        <v>498063</v>
      </c>
      <c r="K1402" s="48">
        <v>498075</v>
      </c>
      <c r="L1402" s="48">
        <v>498110</v>
      </c>
      <c r="M1402" s="48">
        <v>498166</v>
      </c>
      <c r="N1402" s="48">
        <v>498305</v>
      </c>
      <c r="O1402" s="48">
        <v>498433</v>
      </c>
      <c r="P1402" s="48">
        <v>498461</v>
      </c>
      <c r="Q1402" s="48">
        <v>498491</v>
      </c>
      <c r="R1402" s="48">
        <v>498600</v>
      </c>
      <c r="S1402" s="48">
        <v>498755</v>
      </c>
      <c r="T1402" s="48">
        <v>498869</v>
      </c>
      <c r="U1402" s="48">
        <v>498965</v>
      </c>
      <c r="V1402" s="48">
        <v>498973</v>
      </c>
      <c r="W1402" s="48">
        <v>499077</v>
      </c>
      <c r="X1402" s="48">
        <v>499117</v>
      </c>
      <c r="Y1402" s="48" t="s">
        <v>320</v>
      </c>
      <c r="Z1402" s="48">
        <v>499451</v>
      </c>
      <c r="AA1402" s="48">
        <v>499563</v>
      </c>
      <c r="AB1402" s="48">
        <v>499590</v>
      </c>
      <c r="AC1402" s="48">
        <v>499633</v>
      </c>
      <c r="AD1402" s="48">
        <v>499709</v>
      </c>
      <c r="AE1402" s="48">
        <v>499867</v>
      </c>
      <c r="AF1402" s="48">
        <v>499998</v>
      </c>
      <c r="AG1402" s="48">
        <v>500027</v>
      </c>
      <c r="AH1402" s="48">
        <v>500075</v>
      </c>
      <c r="AI1402" s="48">
        <v>500208</v>
      </c>
      <c r="AJ1402" s="48">
        <v>500341</v>
      </c>
      <c r="AK1402" s="48">
        <v>500451</v>
      </c>
      <c r="AL1402" s="48">
        <v>500506</v>
      </c>
    </row>
    <row r="1403" spans="1:45" hidden="1" x14ac:dyDescent="0.25">
      <c r="A1403">
        <v>1402</v>
      </c>
      <c r="B1403">
        <v>2026</v>
      </c>
      <c r="C1403">
        <v>1</v>
      </c>
      <c r="D1403" t="s">
        <v>129</v>
      </c>
      <c r="E1403">
        <v>31</v>
      </c>
      <c r="F1403">
        <v>12</v>
      </c>
      <c r="G1403" t="s">
        <v>433</v>
      </c>
      <c r="H1403" s="48" t="s">
        <v>320</v>
      </c>
      <c r="I1403" s="48">
        <v>498048</v>
      </c>
      <c r="J1403" s="48">
        <v>498075</v>
      </c>
      <c r="K1403" s="48">
        <v>498110</v>
      </c>
      <c r="L1403" s="48">
        <v>498166</v>
      </c>
      <c r="M1403" s="48">
        <v>498269</v>
      </c>
      <c r="N1403" s="48">
        <v>498433</v>
      </c>
      <c r="O1403" s="48">
        <v>498461</v>
      </c>
      <c r="P1403" s="48">
        <v>498491</v>
      </c>
      <c r="Q1403" s="48">
        <v>498538</v>
      </c>
      <c r="R1403" s="48">
        <v>498690</v>
      </c>
      <c r="S1403" s="48">
        <v>498869</v>
      </c>
      <c r="T1403" s="48">
        <v>498965</v>
      </c>
      <c r="U1403" s="48">
        <v>498973</v>
      </c>
      <c r="V1403" s="48">
        <v>499041</v>
      </c>
      <c r="W1403" s="48">
        <v>499117</v>
      </c>
      <c r="X1403" s="48">
        <v>499167</v>
      </c>
      <c r="Y1403" s="48" t="s">
        <v>320</v>
      </c>
      <c r="Z1403" s="48">
        <v>499559</v>
      </c>
      <c r="AA1403" s="48">
        <v>499590</v>
      </c>
      <c r="AB1403" s="48">
        <v>499633</v>
      </c>
      <c r="AC1403" s="48">
        <v>499680</v>
      </c>
      <c r="AD1403" s="48">
        <v>499836</v>
      </c>
      <c r="AE1403" s="48">
        <v>499998</v>
      </c>
      <c r="AF1403" s="48">
        <v>500027</v>
      </c>
      <c r="AG1403" s="48">
        <v>500075</v>
      </c>
      <c r="AH1403" s="48">
        <v>500127</v>
      </c>
      <c r="AI1403" s="48">
        <v>500327</v>
      </c>
      <c r="AJ1403" s="48">
        <v>500451</v>
      </c>
      <c r="AK1403" s="48">
        <v>500506</v>
      </c>
      <c r="AL1403" s="48">
        <v>500565</v>
      </c>
      <c r="AP1403" cm="1">
        <f t="array" ref="AP1403">IF(AQ1403="","",SUM(IFERROR(H1403:AL1403-H1402:AL1402,0))*AQ1403/100)</f>
        <v>295.2</v>
      </c>
      <c r="AQ1403">
        <f>_xlfn.XLOOKUP(D1403,log_prices!M:M,log_prices!L:L,,0)</f>
        <v>15</v>
      </c>
      <c r="AS1403" cm="1">
        <f t="array" ref="AS1403">IF(AQ1403="","",SUM(IFERROR(H1403:AL1403-H1402:AL1402,0)))</f>
        <v>1968</v>
      </c>
    </row>
    <row r="1404" spans="1:45" hidden="1" x14ac:dyDescent="0.25">
      <c r="A1404">
        <v>1403</v>
      </c>
      <c r="B1404">
        <v>2026</v>
      </c>
      <c r="C1404">
        <v>1</v>
      </c>
      <c r="D1404" t="s">
        <v>355</v>
      </c>
      <c r="E1404">
        <v>31</v>
      </c>
      <c r="F1404">
        <v>12</v>
      </c>
      <c r="G1404" t="s">
        <v>432</v>
      </c>
      <c r="H1404" s="48" t="s">
        <v>320</v>
      </c>
      <c r="I1404" s="48">
        <v>263377</v>
      </c>
      <c r="J1404" s="48">
        <v>263474</v>
      </c>
      <c r="K1404" s="48">
        <v>263489</v>
      </c>
      <c r="L1404" s="48">
        <v>263517</v>
      </c>
      <c r="M1404" s="48">
        <v>263550</v>
      </c>
      <c r="N1404" s="48">
        <v>263596</v>
      </c>
      <c r="O1404" s="48">
        <v>263720</v>
      </c>
      <c r="P1404" s="48">
        <v>263828</v>
      </c>
      <c r="Q1404" s="48">
        <v>263849</v>
      </c>
      <c r="R1404" s="48">
        <v>263882</v>
      </c>
      <c r="S1404" s="48">
        <v>263900</v>
      </c>
      <c r="T1404" s="48">
        <v>263919</v>
      </c>
      <c r="U1404" s="48">
        <v>263944</v>
      </c>
      <c r="V1404" s="48">
        <v>263976</v>
      </c>
      <c r="W1404" s="48">
        <v>264003</v>
      </c>
      <c r="X1404" s="48">
        <v>264028</v>
      </c>
      <c r="Y1404" s="48">
        <v>264074</v>
      </c>
      <c r="Z1404" s="48">
        <v>264157</v>
      </c>
      <c r="AA1404" s="48">
        <v>264229</v>
      </c>
      <c r="AB1404" s="48">
        <v>264265</v>
      </c>
      <c r="AC1404" s="48">
        <v>264301</v>
      </c>
      <c r="AD1404" s="48">
        <v>264340</v>
      </c>
      <c r="AE1404" s="48">
        <v>264369</v>
      </c>
      <c r="AF1404" s="48">
        <v>264408</v>
      </c>
      <c r="AG1404" s="48">
        <v>264437</v>
      </c>
      <c r="AH1404" s="48">
        <v>264464</v>
      </c>
      <c r="AI1404" s="48">
        <v>264494</v>
      </c>
      <c r="AJ1404" s="48">
        <v>264520</v>
      </c>
      <c r="AK1404" s="48">
        <v>264552</v>
      </c>
      <c r="AL1404" s="48">
        <v>264574</v>
      </c>
    </row>
    <row r="1405" spans="1:45" hidden="1" x14ac:dyDescent="0.25">
      <c r="A1405">
        <v>1404</v>
      </c>
      <c r="B1405">
        <v>2026</v>
      </c>
      <c r="C1405">
        <v>1</v>
      </c>
      <c r="D1405" t="s">
        <v>355</v>
      </c>
      <c r="E1405">
        <v>31</v>
      </c>
      <c r="F1405">
        <v>12</v>
      </c>
      <c r="G1405" t="s">
        <v>433</v>
      </c>
      <c r="H1405" s="48" t="s">
        <v>320</v>
      </c>
      <c r="I1405" s="48">
        <v>263454</v>
      </c>
      <c r="J1405" s="48">
        <v>263489</v>
      </c>
      <c r="K1405" s="48">
        <v>263517</v>
      </c>
      <c r="L1405" s="48">
        <v>263550</v>
      </c>
      <c r="M1405" s="48">
        <v>263596</v>
      </c>
      <c r="N1405" s="48">
        <v>263671</v>
      </c>
      <c r="O1405" s="48">
        <v>263745</v>
      </c>
      <c r="P1405" s="48">
        <v>263849</v>
      </c>
      <c r="Q1405" s="48">
        <v>263882</v>
      </c>
      <c r="R1405" s="48">
        <v>263900</v>
      </c>
      <c r="S1405" s="48">
        <v>263919</v>
      </c>
      <c r="T1405" s="48">
        <v>263944</v>
      </c>
      <c r="U1405" s="48">
        <v>263976</v>
      </c>
      <c r="V1405" s="48">
        <v>264003</v>
      </c>
      <c r="W1405" s="48">
        <v>264028</v>
      </c>
      <c r="X1405" s="48">
        <v>264074</v>
      </c>
      <c r="Y1405" s="48">
        <v>264119</v>
      </c>
      <c r="Z1405" s="48">
        <v>264229</v>
      </c>
      <c r="AA1405" s="48">
        <v>264265</v>
      </c>
      <c r="AB1405" s="48">
        <v>264301</v>
      </c>
      <c r="AC1405" s="48">
        <v>264340</v>
      </c>
      <c r="AD1405" s="48">
        <v>264369</v>
      </c>
      <c r="AE1405" s="48">
        <v>264408</v>
      </c>
      <c r="AF1405" s="48">
        <v>264437</v>
      </c>
      <c r="AG1405" s="48">
        <v>264464</v>
      </c>
      <c r="AH1405" s="48">
        <v>264494</v>
      </c>
      <c r="AI1405" s="48">
        <v>264520</v>
      </c>
      <c r="AJ1405" s="48">
        <v>264552</v>
      </c>
      <c r="AK1405" s="48">
        <v>264574</v>
      </c>
      <c r="AL1405" s="48">
        <v>264618</v>
      </c>
      <c r="AP1405" cm="1">
        <f t="array" ref="AP1405">IF(AQ1405="","",SUM(IFERROR(H1405:AL1405-H1404:AL1404,0))*AQ1405/100)</f>
        <v>157.65</v>
      </c>
      <c r="AQ1405">
        <f>_xlfn.XLOOKUP(D1405,log_prices!M:M,log_prices!L:L,,0)</f>
        <v>15</v>
      </c>
      <c r="AS1405" cm="1">
        <f t="array" ref="AS1405">IF(AQ1405="","",SUM(IFERROR(H1405:AL1405-H1404:AL1404,0)))</f>
        <v>1051</v>
      </c>
    </row>
    <row r="1406" spans="1:45" hidden="1" x14ac:dyDescent="0.25">
      <c r="A1406">
        <v>1405</v>
      </c>
      <c r="B1406">
        <v>2026</v>
      </c>
      <c r="C1406">
        <v>1</v>
      </c>
      <c r="D1406" t="s">
        <v>159</v>
      </c>
      <c r="E1406">
        <v>31</v>
      </c>
      <c r="F1406">
        <v>12</v>
      </c>
      <c r="G1406" t="s">
        <v>432</v>
      </c>
      <c r="H1406" s="48" t="s">
        <v>320</v>
      </c>
      <c r="I1406" s="48">
        <v>337766</v>
      </c>
      <c r="J1406" s="48">
        <v>337804</v>
      </c>
      <c r="K1406" s="48">
        <v>337942</v>
      </c>
      <c r="L1406" s="48">
        <v>337973</v>
      </c>
      <c r="M1406" s="48">
        <v>338005</v>
      </c>
      <c r="N1406" s="48">
        <v>338045</v>
      </c>
      <c r="O1406" s="48">
        <v>338108</v>
      </c>
      <c r="P1406" s="48">
        <v>338142</v>
      </c>
      <c r="Q1406" s="48">
        <v>338204</v>
      </c>
      <c r="R1406" s="48">
        <v>338249</v>
      </c>
      <c r="S1406" s="48">
        <v>338295</v>
      </c>
      <c r="T1406" s="48">
        <v>338346</v>
      </c>
      <c r="U1406" s="48">
        <v>338403</v>
      </c>
      <c r="V1406" s="48">
        <v>338421</v>
      </c>
      <c r="W1406" s="48">
        <v>338473</v>
      </c>
      <c r="X1406" s="48">
        <v>338528</v>
      </c>
      <c r="Y1406" s="48" t="s">
        <v>320</v>
      </c>
      <c r="Z1406" s="48">
        <v>338732</v>
      </c>
      <c r="AA1406" s="48">
        <v>338741</v>
      </c>
      <c r="AB1406" s="48">
        <v>338753</v>
      </c>
      <c r="AC1406" s="48">
        <v>338806</v>
      </c>
      <c r="AD1406" s="48">
        <v>338852</v>
      </c>
      <c r="AE1406" s="48">
        <v>338896</v>
      </c>
      <c r="AF1406" s="48">
        <v>338938</v>
      </c>
      <c r="AG1406" s="48">
        <v>338964</v>
      </c>
      <c r="AH1406" s="48">
        <v>339010</v>
      </c>
      <c r="AI1406" s="48">
        <v>339057</v>
      </c>
      <c r="AJ1406" s="48">
        <v>339093</v>
      </c>
      <c r="AK1406" s="48">
        <v>339125</v>
      </c>
      <c r="AL1406" s="48">
        <v>339154</v>
      </c>
    </row>
    <row r="1407" spans="1:45" hidden="1" x14ac:dyDescent="0.25">
      <c r="A1407">
        <v>1406</v>
      </c>
      <c r="B1407">
        <v>2026</v>
      </c>
      <c r="C1407">
        <v>1</v>
      </c>
      <c r="D1407" t="s">
        <v>159</v>
      </c>
      <c r="E1407">
        <v>31</v>
      </c>
      <c r="F1407">
        <v>12</v>
      </c>
      <c r="G1407" t="s">
        <v>433</v>
      </c>
      <c r="H1407" s="48" t="s">
        <v>320</v>
      </c>
      <c r="I1407" s="48">
        <v>337804</v>
      </c>
      <c r="J1407" s="48">
        <v>337858</v>
      </c>
      <c r="K1407" s="48">
        <v>337973</v>
      </c>
      <c r="L1407" s="48">
        <v>338004</v>
      </c>
      <c r="M1407" s="48">
        <v>338045</v>
      </c>
      <c r="N1407" s="48">
        <v>338108</v>
      </c>
      <c r="O1407" s="48">
        <v>338148</v>
      </c>
      <c r="P1407" s="48">
        <v>338204</v>
      </c>
      <c r="Q1407" s="48">
        <v>338249</v>
      </c>
      <c r="R1407" s="48">
        <v>338295</v>
      </c>
      <c r="S1407" s="48">
        <v>338346</v>
      </c>
      <c r="T1407" s="48">
        <v>338403</v>
      </c>
      <c r="U1407" s="48">
        <v>338421</v>
      </c>
      <c r="V1407" s="48">
        <v>338473</v>
      </c>
      <c r="W1407" s="48">
        <v>338528</v>
      </c>
      <c r="X1407" s="48">
        <v>338603</v>
      </c>
      <c r="Y1407" s="48" t="s">
        <v>320</v>
      </c>
      <c r="Z1407" s="48">
        <v>338739</v>
      </c>
      <c r="AA1407" s="48">
        <v>338753</v>
      </c>
      <c r="AB1407" s="48">
        <v>338806</v>
      </c>
      <c r="AC1407" s="48">
        <v>338852</v>
      </c>
      <c r="AD1407" s="48">
        <v>338896</v>
      </c>
      <c r="AE1407" s="48">
        <v>338938</v>
      </c>
      <c r="AF1407" s="48">
        <v>338964</v>
      </c>
      <c r="AG1407" s="48">
        <v>339007</v>
      </c>
      <c r="AH1407" s="48">
        <v>339057</v>
      </c>
      <c r="AI1407" s="48">
        <v>339093</v>
      </c>
      <c r="AJ1407" s="48">
        <v>339125</v>
      </c>
      <c r="AK1407" s="48">
        <v>339154</v>
      </c>
      <c r="AL1407" s="48">
        <v>339190</v>
      </c>
      <c r="AP1407" cm="1">
        <f t="array" ref="AP1407">IF(AQ1407="","",SUM(IFERROR(H1407:AL1407-H1406:AL1406,0))*AQ1407/100)</f>
        <v>181.65</v>
      </c>
      <c r="AQ1407">
        <f>_xlfn.XLOOKUP(D1407,log_prices!M:M,log_prices!L:L,,0)</f>
        <v>15</v>
      </c>
      <c r="AS1407" cm="1">
        <f t="array" ref="AS1407">IF(AQ1407="","",SUM(IFERROR(H1407:AL1407-H1406:AL1406,0)))</f>
        <v>1211</v>
      </c>
    </row>
    <row r="1408" spans="1:45" hidden="1" x14ac:dyDescent="0.25">
      <c r="A1408">
        <v>1407</v>
      </c>
      <c r="B1408">
        <v>2026</v>
      </c>
      <c r="C1408">
        <v>1</v>
      </c>
      <c r="D1408" t="s">
        <v>175</v>
      </c>
      <c r="E1408">
        <v>31</v>
      </c>
      <c r="F1408">
        <v>12</v>
      </c>
      <c r="G1408" t="s">
        <v>432</v>
      </c>
      <c r="H1408" s="48" t="s">
        <v>320</v>
      </c>
      <c r="I1408" s="48">
        <v>878469</v>
      </c>
      <c r="J1408" s="48">
        <v>878499</v>
      </c>
      <c r="K1408" s="48">
        <v>878589</v>
      </c>
      <c r="L1408" s="48">
        <v>878683</v>
      </c>
      <c r="M1408" s="48">
        <v>878761</v>
      </c>
      <c r="N1408" s="48">
        <v>878855</v>
      </c>
      <c r="O1408" s="48">
        <v>878950</v>
      </c>
      <c r="P1408" s="48">
        <v>879040</v>
      </c>
      <c r="Q1408" s="48">
        <v>879135</v>
      </c>
      <c r="R1408" s="48">
        <v>879277</v>
      </c>
      <c r="S1408" s="48">
        <v>879406</v>
      </c>
      <c r="T1408" s="48">
        <v>879509</v>
      </c>
      <c r="U1408" s="48">
        <v>879592</v>
      </c>
      <c r="V1408" s="48">
        <v>879712</v>
      </c>
      <c r="W1408" s="48">
        <v>879839</v>
      </c>
      <c r="X1408" s="48">
        <v>879940</v>
      </c>
      <c r="Y1408" s="48" t="s">
        <v>320</v>
      </c>
      <c r="Z1408" s="48">
        <v>880102</v>
      </c>
      <c r="AA1408" s="48">
        <v>880210</v>
      </c>
      <c r="AB1408" s="48">
        <v>880287</v>
      </c>
      <c r="AC1408" s="48">
        <v>880408</v>
      </c>
      <c r="AD1408" s="48">
        <v>880516</v>
      </c>
      <c r="AE1408" s="48">
        <v>880630</v>
      </c>
      <c r="AF1408" s="48">
        <v>880726</v>
      </c>
      <c r="AG1408" s="48">
        <v>880831</v>
      </c>
      <c r="AH1408" s="48">
        <v>880954</v>
      </c>
      <c r="AI1408" s="48">
        <v>881033</v>
      </c>
      <c r="AJ1408" s="48">
        <v>881111</v>
      </c>
      <c r="AK1408" s="48">
        <v>881281</v>
      </c>
      <c r="AL1408" s="48">
        <v>881430</v>
      </c>
    </row>
    <row r="1409" spans="1:45" hidden="1" x14ac:dyDescent="0.25">
      <c r="A1409">
        <v>1408</v>
      </c>
      <c r="B1409">
        <v>2026</v>
      </c>
      <c r="C1409">
        <v>1</v>
      </c>
      <c r="D1409" t="s">
        <v>175</v>
      </c>
      <c r="E1409">
        <v>31</v>
      </c>
      <c r="F1409">
        <v>12</v>
      </c>
      <c r="G1409" t="s">
        <v>433</v>
      </c>
      <c r="H1409" s="48" t="s">
        <v>320</v>
      </c>
      <c r="I1409" s="48">
        <v>878499</v>
      </c>
      <c r="J1409" s="48">
        <v>878589</v>
      </c>
      <c r="K1409" s="48">
        <v>878683</v>
      </c>
      <c r="L1409" s="48">
        <v>878761</v>
      </c>
      <c r="M1409" s="48">
        <v>878855</v>
      </c>
      <c r="N1409" s="48">
        <v>878950</v>
      </c>
      <c r="O1409" s="48">
        <v>879040</v>
      </c>
      <c r="P1409" s="48">
        <v>879135</v>
      </c>
      <c r="Q1409" s="48">
        <v>879277</v>
      </c>
      <c r="R1409" s="48">
        <v>879406</v>
      </c>
      <c r="S1409" s="48">
        <v>879509</v>
      </c>
      <c r="T1409" s="48">
        <v>879592</v>
      </c>
      <c r="U1409" s="48">
        <v>879712</v>
      </c>
      <c r="V1409" s="48">
        <v>879839</v>
      </c>
      <c r="W1409" s="48">
        <v>879940</v>
      </c>
      <c r="X1409" s="48">
        <v>880102</v>
      </c>
      <c r="Y1409" s="48" t="s">
        <v>320</v>
      </c>
      <c r="Z1409" s="48">
        <v>880210</v>
      </c>
      <c r="AA1409" s="48">
        <v>880287</v>
      </c>
      <c r="AB1409" s="48">
        <v>880408</v>
      </c>
      <c r="AC1409" s="48">
        <v>880516</v>
      </c>
      <c r="AD1409" s="48">
        <v>880630</v>
      </c>
      <c r="AE1409" s="48">
        <v>880726</v>
      </c>
      <c r="AF1409" s="48">
        <v>880831</v>
      </c>
      <c r="AG1409" s="48">
        <v>880954</v>
      </c>
      <c r="AH1409" s="48">
        <v>881033</v>
      </c>
      <c r="AI1409" s="48">
        <v>881111</v>
      </c>
      <c r="AJ1409" s="48">
        <v>881281</v>
      </c>
      <c r="AK1409" s="48">
        <v>881430</v>
      </c>
      <c r="AL1409" s="48">
        <v>881604</v>
      </c>
      <c r="AP1409" cm="1">
        <f t="array" ref="AP1409">IF(AQ1409="","",SUM(IFERROR(H1409:AL1409-H1408:AL1408,0))*AQ1409/100)</f>
        <v>470.25</v>
      </c>
      <c r="AQ1409">
        <f>_xlfn.XLOOKUP(D1409,log_prices!M:M,log_prices!L:L,,0)</f>
        <v>15</v>
      </c>
      <c r="AS1409" cm="1">
        <f t="array" ref="AS1409">IF(AQ1409="","",SUM(IFERROR(H1409:AL1409-H1408:AL1408,0)))</f>
        <v>3135</v>
      </c>
    </row>
    <row r="1410" spans="1:45" hidden="1" x14ac:dyDescent="0.25">
      <c r="A1410">
        <v>1409</v>
      </c>
      <c r="B1410">
        <v>2026</v>
      </c>
      <c r="C1410">
        <v>1</v>
      </c>
      <c r="D1410" t="s">
        <v>179</v>
      </c>
      <c r="E1410">
        <v>31</v>
      </c>
      <c r="F1410">
        <v>12</v>
      </c>
      <c r="G1410" t="s">
        <v>432</v>
      </c>
      <c r="H1410" s="48" t="s">
        <v>320</v>
      </c>
      <c r="I1410" s="48">
        <v>235393</v>
      </c>
      <c r="J1410" s="48">
        <v>235476</v>
      </c>
      <c r="K1410" s="48">
        <v>235504</v>
      </c>
      <c r="L1410" s="48">
        <v>235537</v>
      </c>
      <c r="M1410" s="48">
        <v>235733</v>
      </c>
      <c r="N1410" s="48">
        <v>235925</v>
      </c>
      <c r="O1410" s="48">
        <v>236041</v>
      </c>
      <c r="P1410" s="48">
        <v>236086</v>
      </c>
      <c r="Q1410" s="48">
        <v>236124</v>
      </c>
      <c r="R1410" s="48">
        <v>236176</v>
      </c>
      <c r="S1410" s="48">
        <v>236197</v>
      </c>
      <c r="T1410" s="48">
        <v>236314</v>
      </c>
      <c r="U1410" s="48">
        <v>236347</v>
      </c>
      <c r="V1410" s="48">
        <v>236390</v>
      </c>
      <c r="W1410" s="48">
        <v>236437</v>
      </c>
      <c r="X1410" s="48">
        <v>236556</v>
      </c>
      <c r="Y1410" s="48">
        <v>236656</v>
      </c>
      <c r="Z1410" s="48">
        <v>236676</v>
      </c>
      <c r="AA1410" s="48">
        <v>236715</v>
      </c>
      <c r="AB1410" s="48">
        <v>236730</v>
      </c>
      <c r="AC1410" s="48">
        <v>236787</v>
      </c>
      <c r="AD1410" s="48">
        <v>236830</v>
      </c>
      <c r="AE1410" s="48">
        <v>236941</v>
      </c>
      <c r="AF1410" s="48">
        <v>237061</v>
      </c>
      <c r="AG1410" s="48">
        <v>237078</v>
      </c>
      <c r="AH1410" s="48">
        <v>237121</v>
      </c>
      <c r="AI1410" s="48">
        <v>237236</v>
      </c>
      <c r="AJ1410" s="48">
        <v>237344</v>
      </c>
      <c r="AK1410" s="48">
        <v>237381</v>
      </c>
      <c r="AL1410" s="48" t="s">
        <v>320</v>
      </c>
    </row>
    <row r="1411" spans="1:45" hidden="1" x14ac:dyDescent="0.25">
      <c r="A1411">
        <v>1410</v>
      </c>
      <c r="B1411">
        <v>2026</v>
      </c>
      <c r="C1411">
        <v>1</v>
      </c>
      <c r="D1411" t="s">
        <v>179</v>
      </c>
      <c r="E1411">
        <v>31</v>
      </c>
      <c r="F1411">
        <v>12</v>
      </c>
      <c r="G1411" t="s">
        <v>433</v>
      </c>
      <c r="H1411" s="48" t="s">
        <v>320</v>
      </c>
      <c r="I1411" s="48">
        <v>235476</v>
      </c>
      <c r="J1411" s="48">
        <v>235504</v>
      </c>
      <c r="K1411" s="48">
        <v>235537</v>
      </c>
      <c r="L1411" s="48">
        <v>235733</v>
      </c>
      <c r="M1411" s="48">
        <v>235925</v>
      </c>
      <c r="N1411" s="48">
        <v>236041</v>
      </c>
      <c r="O1411" s="48">
        <v>236086</v>
      </c>
      <c r="P1411" s="48">
        <v>236124</v>
      </c>
      <c r="Q1411" s="48">
        <v>236176</v>
      </c>
      <c r="R1411" s="48">
        <v>236197</v>
      </c>
      <c r="S1411" s="48">
        <v>236314</v>
      </c>
      <c r="T1411" s="48">
        <v>236347</v>
      </c>
      <c r="U1411" s="48">
        <v>236390</v>
      </c>
      <c r="V1411" s="48">
        <v>236437</v>
      </c>
      <c r="W1411" s="48">
        <v>236556</v>
      </c>
      <c r="X1411" s="48">
        <v>236656</v>
      </c>
      <c r="Y1411" s="48">
        <v>236676</v>
      </c>
      <c r="Z1411" s="48">
        <v>236715</v>
      </c>
      <c r="AA1411" s="48">
        <v>236730</v>
      </c>
      <c r="AB1411" s="48">
        <v>236787</v>
      </c>
      <c r="AC1411" s="48">
        <v>236830</v>
      </c>
      <c r="AD1411" s="48">
        <v>236941</v>
      </c>
      <c r="AE1411" s="48">
        <v>237061</v>
      </c>
      <c r="AF1411" s="48">
        <v>237078</v>
      </c>
      <c r="AG1411" s="48">
        <v>237121</v>
      </c>
      <c r="AH1411" s="48">
        <v>237236</v>
      </c>
      <c r="AI1411" s="48">
        <v>237344</v>
      </c>
      <c r="AJ1411" s="48">
        <v>237381</v>
      </c>
      <c r="AK1411" s="48">
        <v>237497</v>
      </c>
      <c r="AL1411" s="48" t="s">
        <v>320</v>
      </c>
      <c r="AP1411" cm="1">
        <f t="array" ref="AP1411">IF(AQ1411="","",SUM(IFERROR(H1411:AL1411-H1410:AL1410,0))*AQ1411/100)</f>
        <v>315.60000000000002</v>
      </c>
      <c r="AQ1411">
        <f>_xlfn.XLOOKUP(D1411,log_prices!M:M,log_prices!L:L,,0)</f>
        <v>15</v>
      </c>
      <c r="AS1411" cm="1">
        <f t="array" ref="AS1411">IF(AQ1411="","",SUM(IFERROR(H1411:AL1411-H1410:AL1410,0)))</f>
        <v>2104</v>
      </c>
    </row>
    <row r="1412" spans="1:45" hidden="1" x14ac:dyDescent="0.25">
      <c r="A1412">
        <v>1411</v>
      </c>
      <c r="B1412">
        <v>2026</v>
      </c>
      <c r="C1412">
        <v>1</v>
      </c>
      <c r="D1412" t="s">
        <v>156</v>
      </c>
      <c r="E1412">
        <v>31</v>
      </c>
      <c r="F1412">
        <v>12</v>
      </c>
      <c r="G1412" t="s">
        <v>432</v>
      </c>
      <c r="H1412" s="48" t="s">
        <v>320</v>
      </c>
      <c r="I1412" s="48">
        <v>823588</v>
      </c>
      <c r="J1412" s="48">
        <v>823726</v>
      </c>
      <c r="K1412" s="48">
        <v>823860</v>
      </c>
      <c r="L1412" s="48">
        <v>823972</v>
      </c>
      <c r="M1412" s="48">
        <v>824106</v>
      </c>
      <c r="N1412" s="48">
        <v>824240</v>
      </c>
      <c r="O1412" s="48">
        <v>824388</v>
      </c>
      <c r="P1412" s="48">
        <v>824546</v>
      </c>
      <c r="Q1412" s="48">
        <v>824680</v>
      </c>
      <c r="R1412" s="48" t="s">
        <v>320</v>
      </c>
      <c r="S1412" s="48">
        <v>825027</v>
      </c>
      <c r="T1412" s="48">
        <v>825186</v>
      </c>
      <c r="U1412" s="48">
        <v>825372</v>
      </c>
      <c r="V1412" s="48">
        <v>825509</v>
      </c>
      <c r="W1412" s="48">
        <v>825664</v>
      </c>
      <c r="X1412" s="48">
        <v>825833</v>
      </c>
      <c r="Y1412" s="48">
        <v>825967</v>
      </c>
      <c r="Z1412" s="48">
        <v>826254</v>
      </c>
      <c r="AA1412" s="48" t="s">
        <v>320</v>
      </c>
      <c r="AB1412" s="48">
        <v>826418</v>
      </c>
      <c r="AC1412" s="48">
        <v>826552</v>
      </c>
      <c r="AD1412" s="48">
        <v>826689</v>
      </c>
      <c r="AE1412" s="48">
        <v>826849</v>
      </c>
      <c r="AF1412" s="48" t="s">
        <v>320</v>
      </c>
      <c r="AG1412" s="48">
        <v>827050</v>
      </c>
      <c r="AH1412" s="48">
        <v>827228</v>
      </c>
      <c r="AI1412" s="48">
        <v>827366</v>
      </c>
      <c r="AJ1412" s="48">
        <v>827502</v>
      </c>
      <c r="AK1412" s="48">
        <v>827650</v>
      </c>
      <c r="AL1412" s="48">
        <v>827785</v>
      </c>
    </row>
    <row r="1413" spans="1:45" hidden="1" x14ac:dyDescent="0.25">
      <c r="A1413">
        <v>1412</v>
      </c>
      <c r="B1413">
        <v>2026</v>
      </c>
      <c r="C1413">
        <v>1</v>
      </c>
      <c r="D1413" t="s">
        <v>156</v>
      </c>
      <c r="E1413">
        <v>31</v>
      </c>
      <c r="F1413">
        <v>12</v>
      </c>
      <c r="G1413" t="s">
        <v>433</v>
      </c>
      <c r="H1413" s="48" t="s">
        <v>320</v>
      </c>
      <c r="I1413" s="48">
        <v>823726</v>
      </c>
      <c r="J1413" s="48">
        <v>823860</v>
      </c>
      <c r="K1413" s="48">
        <v>823972</v>
      </c>
      <c r="L1413" s="48">
        <v>824106</v>
      </c>
      <c r="M1413" s="48">
        <v>824240</v>
      </c>
      <c r="N1413" s="48">
        <v>824388</v>
      </c>
      <c r="O1413" s="48">
        <v>824546</v>
      </c>
      <c r="P1413" s="48">
        <v>824680</v>
      </c>
      <c r="Q1413" s="48">
        <v>824827</v>
      </c>
      <c r="R1413" s="48" t="s">
        <v>320</v>
      </c>
      <c r="S1413" s="48">
        <v>825186</v>
      </c>
      <c r="T1413" s="48">
        <v>825372</v>
      </c>
      <c r="U1413" s="48">
        <v>825509</v>
      </c>
      <c r="V1413" s="48">
        <v>825664</v>
      </c>
      <c r="W1413" s="48">
        <v>825833</v>
      </c>
      <c r="X1413" s="48">
        <v>825967</v>
      </c>
      <c r="Y1413" s="48">
        <v>826254</v>
      </c>
      <c r="Z1413" s="48">
        <v>826418</v>
      </c>
      <c r="AA1413" s="48" t="s">
        <v>320</v>
      </c>
      <c r="AB1413" s="48">
        <v>826552</v>
      </c>
      <c r="AC1413" s="48">
        <v>826689</v>
      </c>
      <c r="AD1413" s="48">
        <v>826847</v>
      </c>
      <c r="AE1413" s="48">
        <v>827027</v>
      </c>
      <c r="AF1413" s="48" t="s">
        <v>320</v>
      </c>
      <c r="AG1413" s="48">
        <v>827228</v>
      </c>
      <c r="AH1413" s="48">
        <v>827366</v>
      </c>
      <c r="AI1413" s="48">
        <v>827502</v>
      </c>
      <c r="AJ1413" s="48">
        <v>827650</v>
      </c>
      <c r="AK1413" s="48">
        <v>827785</v>
      </c>
      <c r="AL1413" s="48">
        <v>827924</v>
      </c>
      <c r="AP1413" cm="1">
        <f t="array" ref="AP1413">IF(AQ1413="","",SUM(IFERROR(H1413:AL1413-H1412:AL1412,0))*AQ1413/100)</f>
        <v>739.98</v>
      </c>
      <c r="AQ1413">
        <f>_xlfn.XLOOKUP(D1413,log_prices!M:M,log_prices!L:L,,0)</f>
        <v>18</v>
      </c>
      <c r="AS1413" cm="1">
        <f t="array" ref="AS1413">IF(AQ1413="","",SUM(IFERROR(H1413:AL1413-H1412:AL1412,0)))</f>
        <v>4111</v>
      </c>
    </row>
    <row r="1414" spans="1:45" hidden="1" x14ac:dyDescent="0.25">
      <c r="A1414">
        <v>1413</v>
      </c>
      <c r="B1414">
        <v>2026</v>
      </c>
      <c r="C1414">
        <v>1</v>
      </c>
      <c r="D1414" t="s">
        <v>168</v>
      </c>
      <c r="E1414">
        <v>31</v>
      </c>
      <c r="F1414">
        <v>12</v>
      </c>
      <c r="G1414" t="s">
        <v>432</v>
      </c>
      <c r="H1414" s="48" t="s">
        <v>320</v>
      </c>
      <c r="I1414" s="48">
        <v>288909</v>
      </c>
      <c r="J1414" s="48">
        <v>288990</v>
      </c>
      <c r="K1414" s="48">
        <v>289076</v>
      </c>
      <c r="L1414" s="48">
        <v>289161</v>
      </c>
      <c r="M1414" s="48">
        <v>289221</v>
      </c>
      <c r="N1414" s="48">
        <v>289302</v>
      </c>
      <c r="O1414" s="48">
        <v>289343</v>
      </c>
      <c r="P1414" s="48">
        <v>289379</v>
      </c>
      <c r="Q1414" s="48">
        <v>289411</v>
      </c>
      <c r="R1414" s="48">
        <v>289437</v>
      </c>
      <c r="S1414" s="48">
        <v>289539</v>
      </c>
      <c r="T1414" s="48">
        <v>289619</v>
      </c>
      <c r="U1414" s="48">
        <v>289646</v>
      </c>
      <c r="V1414" s="48">
        <v>289671</v>
      </c>
      <c r="W1414" s="48">
        <v>289777</v>
      </c>
      <c r="X1414" s="48">
        <v>289892</v>
      </c>
      <c r="Y1414" s="48">
        <v>289929</v>
      </c>
      <c r="Z1414" s="48">
        <v>290026</v>
      </c>
      <c r="AA1414" s="48">
        <v>290128</v>
      </c>
      <c r="AB1414" s="48">
        <v>290142</v>
      </c>
      <c r="AC1414" s="48">
        <v>290169</v>
      </c>
      <c r="AD1414" s="48">
        <v>290207</v>
      </c>
      <c r="AE1414" s="48">
        <v>290242</v>
      </c>
      <c r="AF1414" s="48">
        <v>290268</v>
      </c>
      <c r="AG1414" s="48">
        <v>290303</v>
      </c>
      <c r="AH1414" s="48">
        <v>290399</v>
      </c>
      <c r="AI1414" s="48">
        <v>290495</v>
      </c>
      <c r="AJ1414" s="48">
        <v>290529</v>
      </c>
      <c r="AK1414" s="48">
        <v>290562</v>
      </c>
      <c r="AL1414" s="48">
        <v>290581</v>
      </c>
    </row>
    <row r="1415" spans="1:45" hidden="1" x14ac:dyDescent="0.25">
      <c r="A1415">
        <v>1414</v>
      </c>
      <c r="B1415">
        <v>2026</v>
      </c>
      <c r="C1415">
        <v>1</v>
      </c>
      <c r="D1415" t="s">
        <v>168</v>
      </c>
      <c r="E1415">
        <v>31</v>
      </c>
      <c r="F1415">
        <v>12</v>
      </c>
      <c r="G1415" t="s">
        <v>433</v>
      </c>
      <c r="H1415" s="48" t="s">
        <v>320</v>
      </c>
      <c r="I1415" s="48">
        <v>288990</v>
      </c>
      <c r="J1415" s="48">
        <v>289076</v>
      </c>
      <c r="K1415" s="48">
        <v>289161</v>
      </c>
      <c r="L1415" s="48">
        <v>289221</v>
      </c>
      <c r="M1415" s="48">
        <v>289302</v>
      </c>
      <c r="N1415" s="48">
        <v>289343</v>
      </c>
      <c r="O1415" s="48">
        <v>289379</v>
      </c>
      <c r="P1415" s="48">
        <v>289411</v>
      </c>
      <c r="Q1415" s="48">
        <v>289437</v>
      </c>
      <c r="R1415" s="48">
        <v>289539</v>
      </c>
      <c r="S1415" s="48">
        <v>289619</v>
      </c>
      <c r="T1415" s="48">
        <v>289646</v>
      </c>
      <c r="U1415" s="48">
        <v>289671</v>
      </c>
      <c r="V1415" s="48">
        <v>289777</v>
      </c>
      <c r="W1415" s="48">
        <v>289892</v>
      </c>
      <c r="X1415" s="48">
        <v>289929</v>
      </c>
      <c r="Y1415" s="48">
        <v>290026</v>
      </c>
      <c r="Z1415" s="48">
        <v>290128</v>
      </c>
      <c r="AA1415" s="48">
        <v>290142</v>
      </c>
      <c r="AB1415" s="48">
        <v>290169</v>
      </c>
      <c r="AC1415" s="48">
        <v>290207</v>
      </c>
      <c r="AD1415" s="48">
        <v>290242</v>
      </c>
      <c r="AE1415" s="48">
        <v>290268</v>
      </c>
      <c r="AF1415" s="48">
        <v>290303</v>
      </c>
      <c r="AG1415" s="48">
        <v>290399</v>
      </c>
      <c r="AH1415" s="48">
        <v>290495</v>
      </c>
      <c r="AI1415" s="48">
        <v>290529</v>
      </c>
      <c r="AJ1415" s="48">
        <v>290562</v>
      </c>
      <c r="AK1415" s="48">
        <v>290581</v>
      </c>
      <c r="AL1415" s="48">
        <v>290665</v>
      </c>
      <c r="AP1415" cm="1">
        <f t="array" ref="AP1415">IF(AQ1415="","",SUM(IFERROR(H1415:AL1415-H1414:AL1414,0))*AQ1415/100)</f>
        <v>263.39999999999998</v>
      </c>
      <c r="AQ1415">
        <f>_xlfn.XLOOKUP(D1415,log_prices!M:M,log_prices!L:L,,0)</f>
        <v>15</v>
      </c>
      <c r="AS1415" cm="1">
        <f t="array" ref="AS1415">IF(AQ1415="","",SUM(IFERROR(H1415:AL1415-H1414:AL1414,0)))</f>
        <v>1756</v>
      </c>
    </row>
    <row r="1416" spans="1:45" hidden="1" x14ac:dyDescent="0.25">
      <c r="A1416">
        <v>1415</v>
      </c>
      <c r="B1416">
        <v>2026</v>
      </c>
      <c r="C1416">
        <v>1</v>
      </c>
      <c r="D1416" t="s">
        <v>164</v>
      </c>
      <c r="E1416">
        <v>31</v>
      </c>
      <c r="F1416">
        <v>12</v>
      </c>
      <c r="G1416" t="s">
        <v>432</v>
      </c>
      <c r="H1416" s="48" t="s">
        <v>320</v>
      </c>
      <c r="I1416" s="48">
        <v>34103</v>
      </c>
      <c r="J1416" s="48">
        <v>34120</v>
      </c>
      <c r="K1416" s="48">
        <v>34134</v>
      </c>
      <c r="L1416" s="48">
        <v>34267</v>
      </c>
      <c r="M1416" s="48">
        <v>34442</v>
      </c>
      <c r="N1416" s="48">
        <v>34628</v>
      </c>
      <c r="O1416" s="48">
        <v>34643</v>
      </c>
      <c r="P1416" s="48">
        <v>34661</v>
      </c>
      <c r="Q1416" s="48">
        <v>34692</v>
      </c>
      <c r="R1416" s="48">
        <v>34862</v>
      </c>
      <c r="S1416" s="48">
        <v>34880</v>
      </c>
      <c r="T1416" s="48">
        <v>35150</v>
      </c>
      <c r="U1416" s="48">
        <v>35310</v>
      </c>
      <c r="V1416" s="48">
        <v>35608</v>
      </c>
      <c r="W1416" s="48">
        <v>35650</v>
      </c>
      <c r="X1416" s="48">
        <v>35860</v>
      </c>
      <c r="Y1416" s="48">
        <v>36035</v>
      </c>
      <c r="Z1416" s="48">
        <v>36070</v>
      </c>
      <c r="AA1416" s="48">
        <v>36085</v>
      </c>
      <c r="AB1416" s="48">
        <v>36107</v>
      </c>
      <c r="AC1416" s="48">
        <v>36130</v>
      </c>
      <c r="AD1416" s="48">
        <v>36160</v>
      </c>
      <c r="AE1416" s="48">
        <v>36182</v>
      </c>
      <c r="AF1416" s="48">
        <v>36195</v>
      </c>
      <c r="AG1416" s="48">
        <v>36210</v>
      </c>
      <c r="AH1416" s="48">
        <v>36310</v>
      </c>
      <c r="AI1416" s="48">
        <v>36370</v>
      </c>
      <c r="AJ1416" s="48">
        <v>36440</v>
      </c>
      <c r="AK1416" s="48">
        <v>36510</v>
      </c>
      <c r="AL1416" s="48">
        <v>36624</v>
      </c>
    </row>
    <row r="1417" spans="1:45" hidden="1" x14ac:dyDescent="0.25">
      <c r="A1417">
        <v>1416</v>
      </c>
      <c r="B1417">
        <v>2026</v>
      </c>
      <c r="C1417">
        <v>1</v>
      </c>
      <c r="D1417" t="s">
        <v>164</v>
      </c>
      <c r="E1417">
        <v>31</v>
      </c>
      <c r="F1417">
        <v>12</v>
      </c>
      <c r="G1417" t="s">
        <v>433</v>
      </c>
      <c r="H1417" s="48" t="s">
        <v>320</v>
      </c>
      <c r="I1417" s="48">
        <v>34120</v>
      </c>
      <c r="J1417" s="48">
        <v>34134</v>
      </c>
      <c r="K1417" s="48">
        <v>34267</v>
      </c>
      <c r="L1417" s="48">
        <v>34442</v>
      </c>
      <c r="M1417" s="48">
        <v>34628</v>
      </c>
      <c r="N1417" s="48">
        <v>34643</v>
      </c>
      <c r="O1417" s="48">
        <v>34661</v>
      </c>
      <c r="P1417" s="48">
        <v>34692</v>
      </c>
      <c r="Q1417" s="48">
        <v>34862</v>
      </c>
      <c r="R1417" s="48">
        <v>34880</v>
      </c>
      <c r="S1417" s="48">
        <v>35150</v>
      </c>
      <c r="T1417" s="48">
        <v>35310</v>
      </c>
      <c r="U1417" s="48">
        <v>35608</v>
      </c>
      <c r="V1417" s="48">
        <v>35650</v>
      </c>
      <c r="W1417" s="48">
        <v>35860</v>
      </c>
      <c r="X1417" s="48">
        <v>36035</v>
      </c>
      <c r="Y1417" s="48">
        <v>36070</v>
      </c>
      <c r="Z1417" s="48">
        <v>36085</v>
      </c>
      <c r="AA1417" s="48">
        <v>36107</v>
      </c>
      <c r="AB1417" s="48">
        <v>36130</v>
      </c>
      <c r="AC1417" s="48">
        <v>36160</v>
      </c>
      <c r="AD1417" s="48">
        <v>36182</v>
      </c>
      <c r="AE1417" s="48">
        <v>36195</v>
      </c>
      <c r="AF1417" s="48">
        <v>36210</v>
      </c>
      <c r="AG1417" s="48">
        <v>36310</v>
      </c>
      <c r="AH1417" s="48">
        <v>36370</v>
      </c>
      <c r="AI1417" s="48">
        <v>36440</v>
      </c>
      <c r="AJ1417" s="48">
        <v>36510</v>
      </c>
      <c r="AK1417" s="48">
        <v>36624</v>
      </c>
      <c r="AL1417" s="48">
        <v>36756</v>
      </c>
      <c r="AP1417" cm="1">
        <f t="array" ref="AP1417">IF(AQ1417="","",SUM(IFERROR(H1417:AL1417-H1416:AL1416,0))*AQ1417/100)</f>
        <v>397.95</v>
      </c>
      <c r="AQ1417">
        <f>_xlfn.XLOOKUP(D1417,log_prices!M:M,log_prices!L:L,,0)</f>
        <v>15</v>
      </c>
      <c r="AS1417" cm="1">
        <f t="array" ref="AS1417">IF(AQ1417="","",SUM(IFERROR(H1417:AL1417-H1416:AL1416,0)))</f>
        <v>2653</v>
      </c>
    </row>
    <row r="1418" spans="1:45" hidden="1" x14ac:dyDescent="0.25">
      <c r="A1418">
        <v>1417</v>
      </c>
      <c r="B1418">
        <v>2026</v>
      </c>
      <c r="C1418">
        <v>1</v>
      </c>
      <c r="D1418" t="s">
        <v>163</v>
      </c>
      <c r="E1418">
        <v>31</v>
      </c>
      <c r="F1418">
        <v>12</v>
      </c>
      <c r="G1418" t="s">
        <v>432</v>
      </c>
      <c r="H1418" s="48">
        <v>360974</v>
      </c>
      <c r="I1418" s="48">
        <v>361125</v>
      </c>
      <c r="J1418" s="48">
        <v>361311</v>
      </c>
      <c r="K1418" s="48">
        <v>361498</v>
      </c>
      <c r="L1418" s="48">
        <v>361650</v>
      </c>
      <c r="M1418" s="48">
        <v>361733</v>
      </c>
      <c r="N1418" s="48">
        <v>361801</v>
      </c>
      <c r="O1418" s="48">
        <v>361932</v>
      </c>
      <c r="P1418" s="48">
        <v>362079</v>
      </c>
      <c r="Q1418" s="48">
        <v>362256</v>
      </c>
      <c r="R1418" s="48">
        <v>362449</v>
      </c>
      <c r="S1418" s="48">
        <v>362771</v>
      </c>
      <c r="T1418" s="48">
        <v>363061</v>
      </c>
      <c r="U1418" s="48">
        <v>363312</v>
      </c>
      <c r="V1418" s="48">
        <v>363487</v>
      </c>
      <c r="W1418" s="48">
        <v>363756</v>
      </c>
      <c r="X1418" s="48">
        <v>363938</v>
      </c>
      <c r="Y1418" s="48">
        <v>364080</v>
      </c>
      <c r="Z1418" s="48">
        <v>364287</v>
      </c>
      <c r="AA1418" s="48">
        <v>364507</v>
      </c>
      <c r="AB1418" s="48">
        <v>364699</v>
      </c>
      <c r="AC1418" s="48">
        <v>364867</v>
      </c>
      <c r="AD1418" s="48">
        <v>365030</v>
      </c>
      <c r="AE1418" s="48">
        <v>365235</v>
      </c>
      <c r="AF1418" s="48">
        <v>365365</v>
      </c>
      <c r="AG1418" s="48">
        <v>365622</v>
      </c>
      <c r="AH1418" s="48">
        <v>365854</v>
      </c>
      <c r="AI1418" s="48">
        <v>366019</v>
      </c>
      <c r="AJ1418" s="48">
        <v>366269</v>
      </c>
      <c r="AK1418" s="48">
        <v>366446</v>
      </c>
      <c r="AL1418" s="48">
        <v>366649</v>
      </c>
    </row>
    <row r="1419" spans="1:45" hidden="1" x14ac:dyDescent="0.25">
      <c r="A1419">
        <v>1418</v>
      </c>
      <c r="B1419">
        <v>2026</v>
      </c>
      <c r="C1419">
        <v>1</v>
      </c>
      <c r="D1419" t="s">
        <v>163</v>
      </c>
      <c r="E1419">
        <v>31</v>
      </c>
      <c r="F1419">
        <v>12</v>
      </c>
      <c r="G1419" t="s">
        <v>433</v>
      </c>
      <c r="H1419" s="48">
        <v>361125</v>
      </c>
      <c r="I1419" s="48">
        <v>361311</v>
      </c>
      <c r="J1419" s="48">
        <v>361498</v>
      </c>
      <c r="K1419" s="48">
        <v>361650</v>
      </c>
      <c r="L1419" s="48">
        <v>361733</v>
      </c>
      <c r="M1419" s="48">
        <v>361801</v>
      </c>
      <c r="N1419" s="48">
        <v>361932</v>
      </c>
      <c r="O1419" s="48">
        <v>362079</v>
      </c>
      <c r="P1419" s="48">
        <v>362256</v>
      </c>
      <c r="Q1419" s="48">
        <v>362449</v>
      </c>
      <c r="R1419" s="48">
        <v>362734</v>
      </c>
      <c r="S1419" s="48">
        <v>363061</v>
      </c>
      <c r="T1419" s="48">
        <v>363312</v>
      </c>
      <c r="U1419" s="48">
        <v>363487</v>
      </c>
      <c r="V1419" s="48">
        <v>363756</v>
      </c>
      <c r="W1419" s="48">
        <v>363938</v>
      </c>
      <c r="X1419" s="48">
        <v>364080</v>
      </c>
      <c r="Y1419" s="48">
        <v>364287</v>
      </c>
      <c r="Z1419" s="48">
        <v>364507</v>
      </c>
      <c r="AA1419" s="48">
        <v>364699</v>
      </c>
      <c r="AB1419" s="48">
        <v>364867</v>
      </c>
      <c r="AC1419" s="48">
        <v>365030</v>
      </c>
      <c r="AD1419" s="48">
        <v>365235</v>
      </c>
      <c r="AE1419" s="48">
        <v>365365</v>
      </c>
      <c r="AF1419" s="48">
        <v>365622</v>
      </c>
      <c r="AG1419" s="48">
        <v>365854</v>
      </c>
      <c r="AH1419" s="48">
        <v>366019</v>
      </c>
      <c r="AI1419" s="48">
        <v>366269</v>
      </c>
      <c r="AJ1419" s="48">
        <v>366446</v>
      </c>
      <c r="AK1419" s="48">
        <v>366649</v>
      </c>
      <c r="AL1419" s="48">
        <v>366928</v>
      </c>
      <c r="AP1419" cm="1">
        <f t="array" ref="AP1419">IF(AQ1419="","",SUM(IFERROR(H1419:AL1419-H1418:AL1418,0))*AQ1419/100)</f>
        <v>887.55</v>
      </c>
      <c r="AQ1419">
        <f>_xlfn.XLOOKUP(D1419,log_prices!M:M,log_prices!L:L,,0)</f>
        <v>15</v>
      </c>
      <c r="AS1419" cm="1">
        <f t="array" ref="AS1419">IF(AQ1419="","",SUM(IFERROR(H1419:AL1419-H1418:AL1418,0)))</f>
        <v>5917</v>
      </c>
    </row>
    <row r="1420" spans="1:45" hidden="1" x14ac:dyDescent="0.25">
      <c r="A1420">
        <v>1419</v>
      </c>
      <c r="B1420">
        <v>2026</v>
      </c>
      <c r="C1420">
        <v>1</v>
      </c>
      <c r="D1420" t="s">
        <v>131</v>
      </c>
      <c r="E1420">
        <v>31</v>
      </c>
      <c r="F1420">
        <v>12</v>
      </c>
      <c r="G1420" t="s">
        <v>432</v>
      </c>
      <c r="H1420" s="48" t="s">
        <v>320</v>
      </c>
      <c r="I1420" s="48">
        <v>695701</v>
      </c>
      <c r="J1420" s="48">
        <v>695705</v>
      </c>
      <c r="K1420" s="48">
        <v>695731</v>
      </c>
      <c r="L1420" s="48">
        <v>695850</v>
      </c>
      <c r="M1420" s="48">
        <v>695869</v>
      </c>
      <c r="N1420" s="48">
        <v>695914</v>
      </c>
      <c r="O1420" s="48">
        <v>695952</v>
      </c>
      <c r="P1420" s="48">
        <v>696074</v>
      </c>
      <c r="Q1420" s="48">
        <v>696265</v>
      </c>
      <c r="R1420" s="48">
        <v>696320</v>
      </c>
      <c r="S1420" s="48">
        <v>696431</v>
      </c>
      <c r="T1420" s="48">
        <v>696584</v>
      </c>
      <c r="U1420" s="48">
        <v>696650</v>
      </c>
      <c r="V1420" s="48">
        <v>696678</v>
      </c>
      <c r="W1420" s="48">
        <v>696699</v>
      </c>
      <c r="X1420" s="48">
        <v>696726</v>
      </c>
      <c r="Y1420" s="48">
        <v>696809</v>
      </c>
      <c r="Z1420" s="48">
        <v>696899</v>
      </c>
      <c r="AA1420" s="48">
        <v>696936</v>
      </c>
      <c r="AB1420" s="48">
        <v>696964</v>
      </c>
      <c r="AC1420" s="48">
        <v>697012</v>
      </c>
      <c r="AD1420" s="48" t="s">
        <v>320</v>
      </c>
      <c r="AE1420" s="48">
        <v>697306</v>
      </c>
      <c r="AF1420" s="48">
        <v>697431</v>
      </c>
      <c r="AG1420" s="48">
        <v>697682</v>
      </c>
      <c r="AH1420" s="48">
        <v>697748</v>
      </c>
      <c r="AI1420" s="48">
        <v>697877</v>
      </c>
      <c r="AJ1420" s="48">
        <v>698060</v>
      </c>
      <c r="AK1420" s="48">
        <v>698146</v>
      </c>
      <c r="AL1420" s="48">
        <v>698188</v>
      </c>
    </row>
    <row r="1421" spans="1:45" hidden="1" x14ac:dyDescent="0.25">
      <c r="A1421">
        <v>1420</v>
      </c>
      <c r="B1421">
        <v>2026</v>
      </c>
      <c r="C1421">
        <v>1</v>
      </c>
      <c r="D1421" t="s">
        <v>131</v>
      </c>
      <c r="E1421">
        <v>31</v>
      </c>
      <c r="F1421">
        <v>12</v>
      </c>
      <c r="G1421" t="s">
        <v>433</v>
      </c>
      <c r="H1421" s="48" t="s">
        <v>320</v>
      </c>
      <c r="I1421" s="48">
        <v>695705</v>
      </c>
      <c r="J1421" s="48">
        <v>695731</v>
      </c>
      <c r="K1421" s="48">
        <v>695850</v>
      </c>
      <c r="L1421" s="48">
        <v>695869</v>
      </c>
      <c r="M1421" s="48">
        <v>695914</v>
      </c>
      <c r="N1421" s="48">
        <v>695952</v>
      </c>
      <c r="O1421" s="48">
        <v>696074</v>
      </c>
      <c r="P1421" s="48">
        <v>696127</v>
      </c>
      <c r="Q1421" s="48">
        <v>696320</v>
      </c>
      <c r="R1421" s="48">
        <v>696431</v>
      </c>
      <c r="S1421" s="48">
        <v>696521</v>
      </c>
      <c r="T1421" s="48">
        <v>696650</v>
      </c>
      <c r="U1421" s="48">
        <v>696678</v>
      </c>
      <c r="V1421" s="48">
        <v>696699</v>
      </c>
      <c r="W1421" s="48">
        <v>696726</v>
      </c>
      <c r="X1421" s="48">
        <v>696809</v>
      </c>
      <c r="Y1421" s="48">
        <v>696899</v>
      </c>
      <c r="Z1421" s="48">
        <v>696936</v>
      </c>
      <c r="AA1421" s="48">
        <v>696964</v>
      </c>
      <c r="AB1421" s="48">
        <v>697012</v>
      </c>
      <c r="AC1421" s="48">
        <v>697089</v>
      </c>
      <c r="AD1421" s="48" t="s">
        <v>320</v>
      </c>
      <c r="AE1421" s="48">
        <v>697431</v>
      </c>
      <c r="AF1421" s="48">
        <v>697560</v>
      </c>
      <c r="AG1421" s="48">
        <v>697748</v>
      </c>
      <c r="AH1421" s="48">
        <v>697877</v>
      </c>
      <c r="AI1421" s="48">
        <v>697946</v>
      </c>
      <c r="AJ1421" s="48">
        <v>698146</v>
      </c>
      <c r="AK1421" s="48">
        <v>698188</v>
      </c>
      <c r="AL1421" s="48">
        <v>698255</v>
      </c>
      <c r="AP1421" cm="1">
        <f t="array" ref="AP1421">IF(AQ1421="","",SUM(IFERROR(H1421:AL1421-H1420:AL1420,0))*AQ1421/100)</f>
        <v>285</v>
      </c>
      <c r="AQ1421">
        <f>_xlfn.XLOOKUP(D1421,log_prices!M:M,log_prices!L:L,,0)</f>
        <v>15</v>
      </c>
      <c r="AS1421" cm="1">
        <f t="array" ref="AS1421">IF(AQ1421="","",SUM(IFERROR(H1421:AL1421-H1420:AL1420,0)))</f>
        <v>1900</v>
      </c>
    </row>
    <row r="1422" spans="1:45" hidden="1" x14ac:dyDescent="0.25">
      <c r="A1422">
        <v>1421</v>
      </c>
      <c r="B1422">
        <v>2026</v>
      </c>
      <c r="C1422">
        <v>1</v>
      </c>
      <c r="D1422" t="s">
        <v>174</v>
      </c>
      <c r="E1422">
        <v>31</v>
      </c>
      <c r="F1422">
        <v>12</v>
      </c>
      <c r="G1422" t="s">
        <v>432</v>
      </c>
      <c r="H1422" s="48">
        <v>4078</v>
      </c>
      <c r="I1422" s="48">
        <v>4299</v>
      </c>
      <c r="J1422" s="48">
        <v>4943</v>
      </c>
      <c r="K1422" s="48">
        <v>5479</v>
      </c>
      <c r="L1422" s="48">
        <v>5679</v>
      </c>
      <c r="M1422" s="48">
        <v>5911</v>
      </c>
      <c r="N1422" s="48">
        <v>6506</v>
      </c>
      <c r="O1422" s="48">
        <v>6827</v>
      </c>
      <c r="P1422" s="48">
        <v>6979</v>
      </c>
      <c r="Q1422" s="48">
        <v>7556</v>
      </c>
      <c r="R1422" s="48">
        <v>7892</v>
      </c>
      <c r="S1422" s="48">
        <v>8350</v>
      </c>
      <c r="T1422" s="48">
        <v>8805</v>
      </c>
      <c r="U1422" s="48">
        <v>9219</v>
      </c>
      <c r="V1422" s="48">
        <v>9426</v>
      </c>
      <c r="W1422" s="48">
        <v>9884</v>
      </c>
      <c r="X1422" s="48">
        <v>10482</v>
      </c>
      <c r="Y1422" s="48">
        <v>10495</v>
      </c>
      <c r="Z1422" s="48">
        <v>11171</v>
      </c>
      <c r="AA1422" s="48">
        <v>11649</v>
      </c>
      <c r="AB1422" s="48">
        <v>11959</v>
      </c>
      <c r="AC1422" s="48">
        <v>12302</v>
      </c>
      <c r="AD1422" s="48">
        <v>12795</v>
      </c>
      <c r="AE1422" s="48">
        <v>13291</v>
      </c>
      <c r="AF1422" s="48">
        <v>13621</v>
      </c>
      <c r="AG1422" s="48">
        <v>14123</v>
      </c>
      <c r="AH1422" s="48">
        <v>14573</v>
      </c>
      <c r="AI1422" s="48">
        <v>15162</v>
      </c>
      <c r="AJ1422" s="48">
        <v>15462</v>
      </c>
      <c r="AK1422" s="48">
        <v>15867</v>
      </c>
      <c r="AL1422" s="48">
        <v>16330</v>
      </c>
    </row>
    <row r="1423" spans="1:45" hidden="1" x14ac:dyDescent="0.25">
      <c r="A1423">
        <v>1422</v>
      </c>
      <c r="B1423">
        <v>2026</v>
      </c>
      <c r="C1423">
        <v>1</v>
      </c>
      <c r="D1423" t="s">
        <v>174</v>
      </c>
      <c r="E1423">
        <v>31</v>
      </c>
      <c r="F1423">
        <v>12</v>
      </c>
      <c r="G1423" t="s">
        <v>433</v>
      </c>
      <c r="H1423" s="48">
        <v>4299</v>
      </c>
      <c r="I1423" s="48">
        <v>4943</v>
      </c>
      <c r="J1423" s="48">
        <v>5190</v>
      </c>
      <c r="K1423" s="48">
        <v>5679</v>
      </c>
      <c r="L1423" s="48">
        <v>5911</v>
      </c>
      <c r="M1423" s="48">
        <v>6506</v>
      </c>
      <c r="N1423" s="48">
        <v>6827</v>
      </c>
      <c r="O1423" s="48">
        <v>6979</v>
      </c>
      <c r="P1423" s="48">
        <v>7556</v>
      </c>
      <c r="Q1423" s="48">
        <v>7892</v>
      </c>
      <c r="R1423" s="48">
        <v>8350</v>
      </c>
      <c r="S1423" s="48">
        <v>8805</v>
      </c>
      <c r="T1423" s="48">
        <v>9219</v>
      </c>
      <c r="U1423" s="48">
        <v>9426</v>
      </c>
      <c r="V1423" s="48">
        <v>9884</v>
      </c>
      <c r="W1423" s="48">
        <v>10482</v>
      </c>
      <c r="X1423" s="48">
        <v>10495</v>
      </c>
      <c r="Y1423" s="48">
        <v>11171</v>
      </c>
      <c r="Z1423" s="48">
        <v>11649</v>
      </c>
      <c r="AA1423" s="48">
        <v>11959</v>
      </c>
      <c r="AB1423" s="48">
        <v>12302</v>
      </c>
      <c r="AC1423" s="48">
        <v>12795</v>
      </c>
      <c r="AD1423" s="48">
        <v>13291</v>
      </c>
      <c r="AE1423" s="48">
        <v>13621</v>
      </c>
      <c r="AF1423" s="48">
        <v>14123</v>
      </c>
      <c r="AG1423" s="48">
        <v>14573</v>
      </c>
      <c r="AH1423" s="48">
        <v>14996</v>
      </c>
      <c r="AI1423" s="48">
        <v>15462</v>
      </c>
      <c r="AJ1423" s="48">
        <v>15867</v>
      </c>
      <c r="AK1423" s="48">
        <v>16330</v>
      </c>
      <c r="AL1423" s="48">
        <v>16593</v>
      </c>
      <c r="AP1423" cm="1">
        <f t="array" ref="AP1423">IF(AQ1423="","",SUM(IFERROR(H1423:AL1423-H1422:AL1422,0))*AQ1423/100)</f>
        <v>1447.2</v>
      </c>
      <c r="AQ1423">
        <f>_xlfn.XLOOKUP(D1423,log_prices!M:M,log_prices!L:L,,0)</f>
        <v>12</v>
      </c>
      <c r="AS1423" cm="1">
        <f t="array" ref="AS1423">IF(AQ1423="","",SUM(IFERROR(H1423:AL1423-H1422:AL1422,0)))</f>
        <v>12060</v>
      </c>
    </row>
    <row r="1424" spans="1:45" hidden="1" x14ac:dyDescent="0.25">
      <c r="A1424">
        <v>1423</v>
      </c>
      <c r="B1424">
        <v>2026</v>
      </c>
      <c r="C1424">
        <v>1</v>
      </c>
      <c r="D1424" t="s">
        <v>751</v>
      </c>
      <c r="E1424">
        <v>31</v>
      </c>
      <c r="F1424">
        <v>12</v>
      </c>
      <c r="G1424" t="s">
        <v>430</v>
      </c>
      <c r="H1424" s="48" t="s">
        <v>320</v>
      </c>
      <c r="I1424" s="48" t="s">
        <v>320</v>
      </c>
      <c r="J1424" s="48" t="s">
        <v>320</v>
      </c>
      <c r="K1424" s="48" t="s">
        <v>320</v>
      </c>
      <c r="L1424" s="48" t="s">
        <v>320</v>
      </c>
      <c r="M1424" s="48" t="s">
        <v>320</v>
      </c>
      <c r="N1424" s="48" t="s">
        <v>375</v>
      </c>
      <c r="O1424" s="48" t="s">
        <v>375</v>
      </c>
      <c r="P1424" s="48" t="s">
        <v>375</v>
      </c>
      <c r="Q1424" s="48" t="s">
        <v>375</v>
      </c>
      <c r="R1424" s="48" t="s">
        <v>375</v>
      </c>
      <c r="S1424" s="48" t="s">
        <v>375</v>
      </c>
      <c r="T1424" s="48" t="s">
        <v>375</v>
      </c>
      <c r="U1424" s="48" t="s">
        <v>375</v>
      </c>
      <c r="V1424" s="48" t="s">
        <v>375</v>
      </c>
      <c r="W1424" s="48" t="s">
        <v>375</v>
      </c>
      <c r="X1424" s="48" t="s">
        <v>375</v>
      </c>
      <c r="Y1424" s="48" t="s">
        <v>320</v>
      </c>
      <c r="Z1424" s="48" t="s">
        <v>375</v>
      </c>
      <c r="AA1424" s="48" t="s">
        <v>375</v>
      </c>
      <c r="AB1424" s="48" t="s">
        <v>375</v>
      </c>
      <c r="AC1424" s="48" t="s">
        <v>375</v>
      </c>
      <c r="AD1424" s="48" t="s">
        <v>375</v>
      </c>
      <c r="AE1424" s="48" t="s">
        <v>375</v>
      </c>
      <c r="AF1424" s="48" t="s">
        <v>375</v>
      </c>
      <c r="AG1424" s="48" t="s">
        <v>375</v>
      </c>
      <c r="AH1424" s="48" t="s">
        <v>375</v>
      </c>
      <c r="AI1424" s="48" t="s">
        <v>375</v>
      </c>
      <c r="AJ1424" s="48" t="s">
        <v>375</v>
      </c>
      <c r="AK1424" s="48" t="s">
        <v>375</v>
      </c>
      <c r="AL1424" s="48" t="s">
        <v>375</v>
      </c>
    </row>
    <row r="1425" spans="1:45" hidden="1" x14ac:dyDescent="0.25">
      <c r="A1425">
        <v>1424</v>
      </c>
      <c r="B1425">
        <v>2026</v>
      </c>
      <c r="C1425">
        <v>1</v>
      </c>
      <c r="D1425" t="s">
        <v>751</v>
      </c>
      <c r="E1425">
        <v>31</v>
      </c>
      <c r="F1425">
        <v>12</v>
      </c>
      <c r="G1425" t="s">
        <v>431</v>
      </c>
      <c r="H1425" s="48" t="s">
        <v>320</v>
      </c>
      <c r="I1425" s="48" t="s">
        <v>320</v>
      </c>
      <c r="J1425" s="48" t="s">
        <v>320</v>
      </c>
      <c r="K1425" s="48" t="s">
        <v>320</v>
      </c>
      <c r="L1425" s="48" t="s">
        <v>320</v>
      </c>
      <c r="M1425" s="48" t="s">
        <v>320</v>
      </c>
      <c r="N1425" s="48">
        <v>0.75</v>
      </c>
      <c r="O1425" s="48">
        <v>0.75</v>
      </c>
      <c r="P1425" s="48">
        <v>0.83333333333333326</v>
      </c>
      <c r="Q1425" s="48">
        <v>0.79166666666666674</v>
      </c>
      <c r="R1425" s="48">
        <v>0.75</v>
      </c>
      <c r="S1425" s="48">
        <v>0.95833333333333326</v>
      </c>
      <c r="T1425" s="48">
        <v>0.875</v>
      </c>
      <c r="U1425" s="48">
        <v>0.75</v>
      </c>
      <c r="V1425" s="48">
        <v>0.75</v>
      </c>
      <c r="W1425" s="48">
        <v>0.83333333333333326</v>
      </c>
      <c r="X1425" s="48">
        <v>0.83333333333333326</v>
      </c>
      <c r="Y1425" s="48" t="s">
        <v>320</v>
      </c>
      <c r="Z1425" s="48">
        <v>0.91666666666666674</v>
      </c>
      <c r="AA1425" s="48">
        <v>0.75</v>
      </c>
      <c r="AB1425" s="48">
        <v>0.91666666666666674</v>
      </c>
      <c r="AC1425" s="48">
        <v>0.91666666666666674</v>
      </c>
      <c r="AD1425" s="48">
        <v>0.91666666666666674</v>
      </c>
      <c r="AE1425" s="48">
        <v>0.75</v>
      </c>
      <c r="AF1425" s="48">
        <v>0.75</v>
      </c>
      <c r="AG1425" s="48">
        <v>0.79166666666666674</v>
      </c>
      <c r="AH1425" s="48">
        <v>0.75</v>
      </c>
      <c r="AI1425" s="48">
        <v>0.79166666666666674</v>
      </c>
      <c r="AJ1425" s="48">
        <v>0.91666666666666674</v>
      </c>
      <c r="AK1425" s="48">
        <v>0.79166666666666674</v>
      </c>
      <c r="AL1425" s="48">
        <v>0.75</v>
      </c>
      <c r="AM1425" cm="1">
        <f t="array" ref="AM1425">SUM(_xlfn.LET(_xlpm.r,((IFERROR(H1425:AL1425-H1424:AL1424,0))*24)/10,IF(_xlpm.r&gt;1,1,_xlpm.r)))</f>
        <v>24</v>
      </c>
      <c r="AO1425" cm="1">
        <f t="array" ref="AO1425">SUM(IFERROR(MOD((H1425:AL1425-H1424:AL1424)*24,11),""))</f>
        <v>37.999999999999986</v>
      </c>
    </row>
    <row r="1426" spans="1:45" hidden="1" x14ac:dyDescent="0.25">
      <c r="A1426">
        <v>1425</v>
      </c>
      <c r="B1426">
        <v>2026</v>
      </c>
      <c r="C1426">
        <v>1</v>
      </c>
      <c r="D1426" t="s">
        <v>751</v>
      </c>
      <c r="E1426">
        <v>31</v>
      </c>
      <c r="F1426">
        <v>12</v>
      </c>
      <c r="G1426" t="s">
        <v>432</v>
      </c>
      <c r="H1426" s="48" t="s">
        <v>320</v>
      </c>
      <c r="I1426" s="48" t="s">
        <v>320</v>
      </c>
      <c r="J1426" s="48" t="s">
        <v>320</v>
      </c>
      <c r="K1426" s="48" t="s">
        <v>320</v>
      </c>
      <c r="L1426" s="48" t="s">
        <v>320</v>
      </c>
      <c r="M1426" s="48" t="s">
        <v>320</v>
      </c>
      <c r="N1426" s="48">
        <v>371580</v>
      </c>
      <c r="O1426" s="48">
        <v>371583</v>
      </c>
      <c r="P1426" s="48">
        <v>371586</v>
      </c>
      <c r="Q1426" s="48">
        <v>371629</v>
      </c>
      <c r="R1426" s="48">
        <v>371680</v>
      </c>
      <c r="S1426" s="48">
        <v>371718</v>
      </c>
      <c r="T1426" s="48">
        <v>371842</v>
      </c>
      <c r="U1426" s="48">
        <v>371889</v>
      </c>
      <c r="V1426" s="48">
        <v>371891</v>
      </c>
      <c r="W1426" s="48">
        <v>371925</v>
      </c>
      <c r="X1426" s="48">
        <v>371977</v>
      </c>
      <c r="Y1426" s="48" t="s">
        <v>320</v>
      </c>
      <c r="Z1426" s="48">
        <v>372024</v>
      </c>
      <c r="AA1426" s="48">
        <v>372142</v>
      </c>
      <c r="AB1426" s="48">
        <v>372143</v>
      </c>
      <c r="AC1426" s="48">
        <v>372271</v>
      </c>
      <c r="AD1426" s="48">
        <v>372359</v>
      </c>
      <c r="AE1426" s="48">
        <v>372421</v>
      </c>
      <c r="AF1426" s="48">
        <v>372450</v>
      </c>
      <c r="AG1426" s="48">
        <v>372474</v>
      </c>
      <c r="AH1426" s="48">
        <v>372525</v>
      </c>
      <c r="AI1426" s="48">
        <v>372597</v>
      </c>
      <c r="AJ1426" s="48">
        <v>372678</v>
      </c>
      <c r="AK1426" s="48">
        <v>372773</v>
      </c>
      <c r="AL1426" s="48">
        <v>372832</v>
      </c>
    </row>
    <row r="1427" spans="1:45" hidden="1" x14ac:dyDescent="0.25">
      <c r="A1427">
        <v>1426</v>
      </c>
      <c r="B1427">
        <v>2026</v>
      </c>
      <c r="C1427">
        <v>1</v>
      </c>
      <c r="D1427" t="s">
        <v>751</v>
      </c>
      <c r="E1427">
        <v>31</v>
      </c>
      <c r="F1427">
        <v>12</v>
      </c>
      <c r="G1427" t="s">
        <v>433</v>
      </c>
      <c r="H1427" s="48" t="s">
        <v>320</v>
      </c>
      <c r="I1427" s="48" t="s">
        <v>320</v>
      </c>
      <c r="J1427" s="48" t="s">
        <v>320</v>
      </c>
      <c r="K1427" s="48" t="s">
        <v>320</v>
      </c>
      <c r="L1427" s="48" t="s">
        <v>320</v>
      </c>
      <c r="M1427" s="48" t="s">
        <v>320</v>
      </c>
      <c r="N1427" s="48">
        <v>371583</v>
      </c>
      <c r="O1427" s="48">
        <v>371586</v>
      </c>
      <c r="P1427" s="48">
        <v>371629</v>
      </c>
      <c r="Q1427" s="48">
        <v>371680</v>
      </c>
      <c r="R1427" s="48">
        <v>371718</v>
      </c>
      <c r="S1427" s="48">
        <v>371842</v>
      </c>
      <c r="T1427" s="48">
        <v>371889</v>
      </c>
      <c r="U1427" s="48">
        <v>371891</v>
      </c>
      <c r="V1427" s="48">
        <v>371925</v>
      </c>
      <c r="W1427" s="48">
        <v>371977</v>
      </c>
      <c r="X1427" s="48">
        <v>372024</v>
      </c>
      <c r="Y1427" s="48" t="s">
        <v>320</v>
      </c>
      <c r="Z1427" s="48">
        <v>372142</v>
      </c>
      <c r="AA1427" s="48">
        <v>372143</v>
      </c>
      <c r="AB1427" s="48">
        <v>372271</v>
      </c>
      <c r="AC1427" s="48">
        <v>372359</v>
      </c>
      <c r="AD1427" s="48">
        <v>372421</v>
      </c>
      <c r="AE1427" s="48">
        <v>372450</v>
      </c>
      <c r="AF1427" s="48">
        <v>372474</v>
      </c>
      <c r="AG1427" s="48">
        <v>372525</v>
      </c>
      <c r="AH1427" s="48">
        <v>372597</v>
      </c>
      <c r="AI1427" s="48">
        <v>372678</v>
      </c>
      <c r="AJ1427" s="48">
        <v>372773</v>
      </c>
      <c r="AK1427" s="48">
        <v>372832</v>
      </c>
      <c r="AL1427" s="48">
        <v>372903</v>
      </c>
      <c r="AP1427" cm="1">
        <f t="array" ref="AP1427">IF(AQ1427="","",SUM(IFERROR(H1427:AL1427-H1426:AL1426,0))*AQ1427/100)</f>
        <v>198.45</v>
      </c>
      <c r="AQ1427">
        <f>_xlfn.XLOOKUP(D1427,log_prices!M:M,log_prices!L:L,,0)</f>
        <v>15</v>
      </c>
      <c r="AS1427" cm="1">
        <f t="array" ref="AS1427">IF(AQ1427="","",SUM(IFERROR(H1427:AL1427-H1426:AL1426,0)))</f>
        <v>1323</v>
      </c>
    </row>
    <row r="1428" spans="1:45" hidden="1" x14ac:dyDescent="0.25">
      <c r="A1428">
        <v>1427</v>
      </c>
      <c r="B1428">
        <v>2026</v>
      </c>
      <c r="C1428">
        <v>1</v>
      </c>
      <c r="D1428" t="s">
        <v>752</v>
      </c>
      <c r="E1428">
        <v>31</v>
      </c>
      <c r="F1428">
        <v>12</v>
      </c>
      <c r="G1428" t="s">
        <v>430</v>
      </c>
      <c r="H1428" s="48" t="s">
        <v>320</v>
      </c>
      <c r="I1428" s="48" t="s">
        <v>320</v>
      </c>
      <c r="J1428" s="48" t="s">
        <v>320</v>
      </c>
      <c r="K1428" s="48" t="s">
        <v>320</v>
      </c>
      <c r="L1428" s="48" t="s">
        <v>320</v>
      </c>
      <c r="M1428" s="48" t="s">
        <v>320</v>
      </c>
      <c r="N1428" s="48" t="s">
        <v>375</v>
      </c>
      <c r="O1428" s="48" t="s">
        <v>375</v>
      </c>
      <c r="P1428" s="48" t="s">
        <v>375</v>
      </c>
      <c r="Q1428" s="48" t="s">
        <v>375</v>
      </c>
      <c r="R1428" s="48" t="s">
        <v>375</v>
      </c>
      <c r="S1428" s="48" t="s">
        <v>375</v>
      </c>
      <c r="T1428" s="48" t="s">
        <v>375</v>
      </c>
      <c r="U1428" s="48" t="s">
        <v>375</v>
      </c>
      <c r="V1428" s="48" t="s">
        <v>375</v>
      </c>
      <c r="W1428" s="48" t="s">
        <v>375</v>
      </c>
      <c r="X1428" s="48" t="s">
        <v>375</v>
      </c>
      <c r="Y1428" s="48" t="s">
        <v>375</v>
      </c>
      <c r="Z1428" s="48" t="s">
        <v>375</v>
      </c>
      <c r="AA1428" s="48" t="s">
        <v>375</v>
      </c>
      <c r="AB1428" s="48" t="s">
        <v>375</v>
      </c>
      <c r="AC1428" s="48" t="s">
        <v>375</v>
      </c>
      <c r="AD1428" s="48" t="s">
        <v>375</v>
      </c>
      <c r="AE1428" s="48" t="s">
        <v>375</v>
      </c>
      <c r="AF1428" s="48" t="s">
        <v>375</v>
      </c>
      <c r="AG1428" s="48" t="s">
        <v>320</v>
      </c>
      <c r="AH1428" s="48" t="s">
        <v>320</v>
      </c>
      <c r="AI1428" s="48" t="s">
        <v>320</v>
      </c>
      <c r="AJ1428" s="48" t="s">
        <v>320</v>
      </c>
      <c r="AK1428" s="48" t="s">
        <v>320</v>
      </c>
      <c r="AL1428" s="48" t="s">
        <v>320</v>
      </c>
    </row>
    <row r="1429" spans="1:45" hidden="1" x14ac:dyDescent="0.25">
      <c r="A1429">
        <v>1428</v>
      </c>
      <c r="B1429">
        <v>2026</v>
      </c>
      <c r="C1429">
        <v>1</v>
      </c>
      <c r="D1429" t="s">
        <v>752</v>
      </c>
      <c r="E1429">
        <v>31</v>
      </c>
      <c r="F1429">
        <v>12</v>
      </c>
      <c r="G1429" t="s">
        <v>431</v>
      </c>
      <c r="H1429" s="48" t="s">
        <v>320</v>
      </c>
      <c r="I1429" s="48" t="s">
        <v>320</v>
      </c>
      <c r="J1429" s="48" t="s">
        <v>320</v>
      </c>
      <c r="K1429" s="48" t="s">
        <v>320</v>
      </c>
      <c r="L1429" s="48" t="s">
        <v>320</v>
      </c>
      <c r="M1429" s="48" t="s">
        <v>320</v>
      </c>
      <c r="N1429" s="48">
        <v>0.75</v>
      </c>
      <c r="O1429" s="48">
        <v>0.75</v>
      </c>
      <c r="P1429" s="48">
        <v>0.75</v>
      </c>
      <c r="Q1429" s="48">
        <v>0.75</v>
      </c>
      <c r="R1429" s="48">
        <v>0.75</v>
      </c>
      <c r="S1429" s="48">
        <v>0.75</v>
      </c>
      <c r="T1429" s="48">
        <v>0.75</v>
      </c>
      <c r="U1429" s="48">
        <v>0.75</v>
      </c>
      <c r="V1429" s="48">
        <v>0.75</v>
      </c>
      <c r="W1429" s="48">
        <v>0.75</v>
      </c>
      <c r="X1429" s="48">
        <v>0.75</v>
      </c>
      <c r="Y1429" s="48">
        <v>0.75</v>
      </c>
      <c r="Z1429" s="48">
        <v>0.75</v>
      </c>
      <c r="AA1429" s="48">
        <v>0.75</v>
      </c>
      <c r="AB1429" s="48">
        <v>0.75</v>
      </c>
      <c r="AC1429" s="48">
        <v>0.75</v>
      </c>
      <c r="AD1429" s="48">
        <v>0.75</v>
      </c>
      <c r="AE1429" s="48">
        <v>0.75</v>
      </c>
      <c r="AF1429" s="48">
        <v>0.75</v>
      </c>
      <c r="AG1429" s="48" t="s">
        <v>320</v>
      </c>
      <c r="AH1429" s="48" t="s">
        <v>320</v>
      </c>
      <c r="AI1429" s="48" t="s">
        <v>320</v>
      </c>
      <c r="AJ1429" s="48" t="s">
        <v>320</v>
      </c>
      <c r="AK1429" s="48" t="s">
        <v>320</v>
      </c>
      <c r="AL1429" s="48" t="s">
        <v>320</v>
      </c>
      <c r="AM1429" cm="1">
        <f t="array" ref="AM1429">SUM(_xlfn.LET(_xlpm.r,((IFERROR(H1429:AL1429-H1428:AL1428,0))*24)/10,IF(_xlpm.r&gt;1,1,_xlpm.r)))</f>
        <v>19</v>
      </c>
    </row>
    <row r="1430" spans="1:45" hidden="1" x14ac:dyDescent="0.25">
      <c r="A1430">
        <v>1429</v>
      </c>
      <c r="B1430">
        <v>2026</v>
      </c>
      <c r="C1430">
        <v>1</v>
      </c>
      <c r="D1430" t="s">
        <v>752</v>
      </c>
      <c r="E1430">
        <v>31</v>
      </c>
      <c r="F1430">
        <v>12</v>
      </c>
      <c r="G1430" t="s">
        <v>432</v>
      </c>
      <c r="H1430" s="48" t="s">
        <v>320</v>
      </c>
      <c r="I1430" s="48" t="s">
        <v>320</v>
      </c>
      <c r="J1430" s="48" t="s">
        <v>320</v>
      </c>
      <c r="K1430" s="48" t="s">
        <v>320</v>
      </c>
      <c r="L1430" s="48" t="s">
        <v>320</v>
      </c>
      <c r="M1430" s="48" t="s">
        <v>320</v>
      </c>
      <c r="N1430" s="48">
        <v>288150</v>
      </c>
      <c r="O1430" s="48">
        <v>288170</v>
      </c>
      <c r="P1430" s="48">
        <v>288206</v>
      </c>
      <c r="Q1430" s="48">
        <v>288244</v>
      </c>
      <c r="R1430" s="48">
        <v>288281</v>
      </c>
      <c r="S1430" s="48">
        <v>288319</v>
      </c>
      <c r="T1430" s="48">
        <v>288357</v>
      </c>
      <c r="U1430" s="48">
        <v>288444</v>
      </c>
      <c r="V1430" s="48">
        <v>288532</v>
      </c>
      <c r="W1430" s="48">
        <v>288617</v>
      </c>
      <c r="X1430" s="48">
        <v>288634</v>
      </c>
      <c r="Y1430" s="48">
        <v>288649</v>
      </c>
      <c r="Z1430" s="48">
        <v>288720</v>
      </c>
      <c r="AA1430" s="48">
        <v>288782</v>
      </c>
      <c r="AB1430" s="48">
        <v>288858</v>
      </c>
      <c r="AC1430" s="48">
        <v>288888</v>
      </c>
      <c r="AD1430" s="48">
        <v>288928</v>
      </c>
      <c r="AE1430" s="48">
        <v>288953</v>
      </c>
      <c r="AF1430" s="48">
        <v>288973</v>
      </c>
      <c r="AG1430" s="48" t="s">
        <v>320</v>
      </c>
      <c r="AH1430" s="48" t="s">
        <v>320</v>
      </c>
      <c r="AI1430" s="48" t="s">
        <v>320</v>
      </c>
      <c r="AJ1430" s="48" t="s">
        <v>320</v>
      </c>
      <c r="AK1430" s="48" t="s">
        <v>320</v>
      </c>
      <c r="AL1430" s="48" t="s">
        <v>320</v>
      </c>
    </row>
    <row r="1431" spans="1:45" hidden="1" x14ac:dyDescent="0.25">
      <c r="A1431">
        <v>1430</v>
      </c>
      <c r="B1431">
        <v>2026</v>
      </c>
      <c r="C1431">
        <v>1</v>
      </c>
      <c r="D1431" t="s">
        <v>752</v>
      </c>
      <c r="E1431">
        <v>31</v>
      </c>
      <c r="F1431">
        <v>12</v>
      </c>
      <c r="G1431" t="s">
        <v>433</v>
      </c>
      <c r="H1431" s="48" t="s">
        <v>320</v>
      </c>
      <c r="I1431" s="48" t="s">
        <v>320</v>
      </c>
      <c r="J1431" s="48" t="s">
        <v>320</v>
      </c>
      <c r="K1431" s="48" t="s">
        <v>320</v>
      </c>
      <c r="L1431" s="48" t="s">
        <v>320</v>
      </c>
      <c r="M1431" s="48" t="s">
        <v>320</v>
      </c>
      <c r="N1431" s="48">
        <v>288170</v>
      </c>
      <c r="O1431" s="48">
        <v>288206</v>
      </c>
      <c r="P1431" s="48">
        <v>288244</v>
      </c>
      <c r="Q1431" s="48">
        <v>288281</v>
      </c>
      <c r="R1431" s="48">
        <v>288319</v>
      </c>
      <c r="S1431" s="48">
        <v>288357</v>
      </c>
      <c r="T1431" s="48">
        <v>288444</v>
      </c>
      <c r="U1431" s="48">
        <v>288532</v>
      </c>
      <c r="V1431" s="48">
        <v>288617</v>
      </c>
      <c r="W1431" s="48">
        <v>288634</v>
      </c>
      <c r="X1431" s="48">
        <v>288649</v>
      </c>
      <c r="Y1431" s="48">
        <v>288720</v>
      </c>
      <c r="Z1431" s="48">
        <v>288782</v>
      </c>
      <c r="AA1431" s="48">
        <v>288858</v>
      </c>
      <c r="AB1431" s="48">
        <v>288888</v>
      </c>
      <c r="AC1431" s="48">
        <v>288928</v>
      </c>
      <c r="AD1431" s="48">
        <v>288953</v>
      </c>
      <c r="AE1431" s="48">
        <v>288973</v>
      </c>
      <c r="AF1431" s="48">
        <v>288991</v>
      </c>
      <c r="AG1431" s="48" t="s">
        <v>320</v>
      </c>
      <c r="AH1431" s="48" t="s">
        <v>320</v>
      </c>
      <c r="AI1431" s="48" t="s">
        <v>320</v>
      </c>
      <c r="AJ1431" s="48" t="s">
        <v>320</v>
      </c>
      <c r="AK1431" s="48" t="s">
        <v>320</v>
      </c>
      <c r="AL1431" s="48" t="s">
        <v>320</v>
      </c>
      <c r="AP1431" cm="1">
        <f t="array" ref="AP1431">IF(AQ1431="","",SUM(IFERROR(H1431:AL1431-H1430:AL1430,0))*AQ1431/100)</f>
        <v>126.15</v>
      </c>
      <c r="AQ1431">
        <f>_xlfn.XLOOKUP(D1431,log_prices!M:M,log_prices!L:L,,0)</f>
        <v>15</v>
      </c>
      <c r="AS1431" cm="1">
        <f t="array" ref="AS1431">IF(AQ1431="","",SUM(IFERROR(H1431:AL1431-H1430:AL1430,0)))</f>
        <v>841</v>
      </c>
    </row>
    <row r="1432" spans="1:45" hidden="1" x14ac:dyDescent="0.25">
      <c r="A1432">
        <v>1431</v>
      </c>
      <c r="B1432">
        <v>2026</v>
      </c>
      <c r="C1432">
        <v>1</v>
      </c>
      <c r="D1432" t="s">
        <v>753</v>
      </c>
      <c r="E1432">
        <v>31</v>
      </c>
      <c r="F1432">
        <v>12</v>
      </c>
      <c r="G1432" t="s">
        <v>430</v>
      </c>
      <c r="H1432" s="48" t="s">
        <v>320</v>
      </c>
      <c r="I1432" s="48" t="s">
        <v>320</v>
      </c>
      <c r="J1432" s="48" t="s">
        <v>320</v>
      </c>
      <c r="K1432" s="48" t="s">
        <v>320</v>
      </c>
      <c r="L1432" s="48" t="s">
        <v>320</v>
      </c>
      <c r="M1432" s="48" t="s">
        <v>375</v>
      </c>
      <c r="N1432" s="48" t="s">
        <v>375</v>
      </c>
      <c r="O1432" s="48" t="s">
        <v>375</v>
      </c>
      <c r="P1432" s="48" t="s">
        <v>375</v>
      </c>
      <c r="Q1432" s="48" t="s">
        <v>375</v>
      </c>
      <c r="R1432" s="48" t="s">
        <v>375</v>
      </c>
      <c r="S1432" s="48" t="s">
        <v>375</v>
      </c>
      <c r="T1432" s="48" t="s">
        <v>375</v>
      </c>
      <c r="U1432" s="48" t="s">
        <v>375</v>
      </c>
      <c r="V1432" s="48" t="s">
        <v>375</v>
      </c>
      <c r="W1432" s="48" t="s">
        <v>375</v>
      </c>
      <c r="X1432" s="48" t="s">
        <v>375</v>
      </c>
      <c r="Y1432" s="48" t="s">
        <v>375</v>
      </c>
      <c r="Z1432" s="48" t="s">
        <v>375</v>
      </c>
      <c r="AA1432" s="48" t="s">
        <v>375</v>
      </c>
      <c r="AB1432" s="48" t="s">
        <v>375</v>
      </c>
      <c r="AC1432" s="48" t="s">
        <v>375</v>
      </c>
      <c r="AD1432" s="48" t="s">
        <v>375</v>
      </c>
      <c r="AE1432" s="48" t="s">
        <v>375</v>
      </c>
      <c r="AF1432" s="48" t="s">
        <v>375</v>
      </c>
      <c r="AG1432" s="48" t="s">
        <v>375</v>
      </c>
      <c r="AH1432" s="48" t="s">
        <v>375</v>
      </c>
      <c r="AI1432" s="48" t="s">
        <v>375</v>
      </c>
      <c r="AJ1432" s="48" t="s">
        <v>375</v>
      </c>
      <c r="AK1432" s="48" t="s">
        <v>375</v>
      </c>
      <c r="AL1432" s="48" t="s">
        <v>375</v>
      </c>
    </row>
    <row r="1433" spans="1:45" hidden="1" x14ac:dyDescent="0.25">
      <c r="A1433">
        <v>1432</v>
      </c>
      <c r="B1433">
        <v>2026</v>
      </c>
      <c r="C1433">
        <v>1</v>
      </c>
      <c r="D1433" t="s">
        <v>753</v>
      </c>
      <c r="E1433">
        <v>31</v>
      </c>
      <c r="F1433">
        <v>12</v>
      </c>
      <c r="G1433" t="s">
        <v>431</v>
      </c>
      <c r="H1433" s="48" t="s">
        <v>320</v>
      </c>
      <c r="I1433" s="48" t="s">
        <v>320</v>
      </c>
      <c r="J1433" s="48" t="s">
        <v>320</v>
      </c>
      <c r="K1433" s="48" t="s">
        <v>320</v>
      </c>
      <c r="L1433" s="48" t="s">
        <v>320</v>
      </c>
      <c r="M1433" s="48">
        <v>0.875</v>
      </c>
      <c r="N1433" s="48">
        <v>0.75</v>
      </c>
      <c r="O1433" s="48">
        <v>0.83333333333333326</v>
      </c>
      <c r="P1433" s="48">
        <v>0.75</v>
      </c>
      <c r="Q1433" s="48">
        <v>0.875</v>
      </c>
      <c r="R1433" s="48">
        <v>0.75</v>
      </c>
      <c r="S1433" s="48">
        <v>0.875</v>
      </c>
      <c r="T1433" s="48">
        <v>0.75</v>
      </c>
      <c r="U1433" s="48">
        <v>0.875</v>
      </c>
      <c r="V1433" s="48">
        <v>0.75</v>
      </c>
      <c r="W1433" s="48">
        <v>0.75</v>
      </c>
      <c r="X1433" s="48">
        <v>0.875</v>
      </c>
      <c r="Y1433" s="48">
        <v>0.83333333333333326</v>
      </c>
      <c r="Z1433" s="48">
        <v>0.75</v>
      </c>
      <c r="AA1433" s="48">
        <v>0.75</v>
      </c>
      <c r="AB1433" s="48">
        <v>0.75</v>
      </c>
      <c r="AC1433" s="48">
        <v>0.83333333333333326</v>
      </c>
      <c r="AD1433" s="48">
        <v>0.75</v>
      </c>
      <c r="AE1433" s="48">
        <v>0.75</v>
      </c>
      <c r="AF1433" s="48">
        <v>0.75</v>
      </c>
      <c r="AG1433" s="48">
        <v>0.75</v>
      </c>
      <c r="AH1433" s="48">
        <v>0.75</v>
      </c>
      <c r="AI1433" s="48">
        <v>0.75</v>
      </c>
      <c r="AJ1433" s="48">
        <v>0.875</v>
      </c>
      <c r="AK1433" s="48">
        <v>0.75</v>
      </c>
      <c r="AL1433" s="48">
        <v>0.75</v>
      </c>
      <c r="AM1433" cm="1">
        <f t="array" ref="AM1433">SUM(_xlfn.LET(_xlpm.r,((IFERROR(H1433:AL1433-H1432:AL1432,0))*24)/10,IF(_xlpm.r&gt;1,1,_xlpm.r)))</f>
        <v>26</v>
      </c>
      <c r="AO1433" cm="1">
        <f t="array" ref="AO1433">SUM(IFERROR(MOD((H1433:AL1433-H1432:AL1432)*24,11),""))</f>
        <v>23.999999999999979</v>
      </c>
    </row>
    <row r="1434" spans="1:45" hidden="1" x14ac:dyDescent="0.25">
      <c r="A1434">
        <v>1433</v>
      </c>
      <c r="B1434">
        <v>2026</v>
      </c>
      <c r="C1434">
        <v>1</v>
      </c>
      <c r="D1434" t="s">
        <v>753</v>
      </c>
      <c r="E1434">
        <v>31</v>
      </c>
      <c r="F1434">
        <v>12</v>
      </c>
      <c r="G1434" t="s">
        <v>432</v>
      </c>
      <c r="H1434" s="48" t="s">
        <v>320</v>
      </c>
      <c r="I1434" s="48" t="s">
        <v>320</v>
      </c>
      <c r="J1434" s="48" t="s">
        <v>320</v>
      </c>
      <c r="K1434" s="48" t="s">
        <v>320</v>
      </c>
      <c r="L1434" s="48" t="s">
        <v>320</v>
      </c>
      <c r="M1434" s="48">
        <v>580372</v>
      </c>
      <c r="N1434" s="48">
        <v>580387</v>
      </c>
      <c r="O1434" s="48">
        <v>580410</v>
      </c>
      <c r="P1434" s="48">
        <v>580440</v>
      </c>
      <c r="Q1434" s="48">
        <v>580465</v>
      </c>
      <c r="R1434" s="48">
        <v>580495</v>
      </c>
      <c r="S1434" s="48">
        <v>580542</v>
      </c>
      <c r="T1434" s="48">
        <v>580575</v>
      </c>
      <c r="U1434" s="48">
        <v>580616</v>
      </c>
      <c r="V1434" s="48">
        <v>580660</v>
      </c>
      <c r="W1434" s="48">
        <v>580727</v>
      </c>
      <c r="X1434" s="48">
        <v>580783</v>
      </c>
      <c r="Y1434" s="48">
        <v>580869</v>
      </c>
      <c r="Z1434" s="48">
        <v>580912</v>
      </c>
      <c r="AA1434" s="48">
        <v>580995</v>
      </c>
      <c r="AB1434" s="48">
        <v>581044</v>
      </c>
      <c r="AC1434" s="48">
        <v>581085</v>
      </c>
      <c r="AD1434" s="48">
        <v>581153</v>
      </c>
      <c r="AE1434" s="48">
        <v>581257</v>
      </c>
      <c r="AF1434" s="48">
        <v>581336</v>
      </c>
      <c r="AG1434" s="48">
        <v>581386</v>
      </c>
      <c r="AH1434" s="48">
        <v>581419</v>
      </c>
      <c r="AI1434" s="48">
        <v>581543</v>
      </c>
      <c r="AJ1434" s="48">
        <v>581603</v>
      </c>
      <c r="AK1434" s="48">
        <v>581679</v>
      </c>
      <c r="AL1434" s="48">
        <v>581737</v>
      </c>
    </row>
    <row r="1435" spans="1:45" hidden="1" x14ac:dyDescent="0.25">
      <c r="A1435">
        <v>1434</v>
      </c>
      <c r="B1435">
        <v>2026</v>
      </c>
      <c r="C1435">
        <v>1</v>
      </c>
      <c r="D1435" t="s">
        <v>753</v>
      </c>
      <c r="E1435">
        <v>31</v>
      </c>
      <c r="F1435">
        <v>12</v>
      </c>
      <c r="G1435" t="s">
        <v>433</v>
      </c>
      <c r="H1435" s="48" t="s">
        <v>320</v>
      </c>
      <c r="I1435" s="48" t="s">
        <v>320</v>
      </c>
      <c r="J1435" s="48" t="s">
        <v>320</v>
      </c>
      <c r="K1435" s="48" t="s">
        <v>320</v>
      </c>
      <c r="L1435" s="48" t="s">
        <v>320</v>
      </c>
      <c r="M1435" s="48">
        <v>580387</v>
      </c>
      <c r="N1435" s="48">
        <v>580410</v>
      </c>
      <c r="O1435" s="48">
        <v>580440</v>
      </c>
      <c r="P1435" s="48">
        <v>580465</v>
      </c>
      <c r="Q1435" s="48">
        <v>580495</v>
      </c>
      <c r="R1435" s="48">
        <v>580542</v>
      </c>
      <c r="S1435" s="48">
        <v>580575</v>
      </c>
      <c r="T1435" s="48">
        <v>580616</v>
      </c>
      <c r="U1435" s="48">
        <v>580660</v>
      </c>
      <c r="V1435" s="48">
        <v>580727</v>
      </c>
      <c r="W1435" s="48">
        <v>580783</v>
      </c>
      <c r="X1435" s="48">
        <v>580869</v>
      </c>
      <c r="Y1435" s="48">
        <v>580912</v>
      </c>
      <c r="Z1435" s="48">
        <v>580995</v>
      </c>
      <c r="AA1435" s="48">
        <v>581044</v>
      </c>
      <c r="AB1435" s="48">
        <v>581085</v>
      </c>
      <c r="AC1435" s="48">
        <v>581153</v>
      </c>
      <c r="AD1435" s="48">
        <v>581257</v>
      </c>
      <c r="AE1435" s="48">
        <v>581336</v>
      </c>
      <c r="AF1435" s="48">
        <v>581386</v>
      </c>
      <c r="AG1435" s="48">
        <v>581419</v>
      </c>
      <c r="AH1435" s="48">
        <v>581543</v>
      </c>
      <c r="AI1435" s="48">
        <v>581603</v>
      </c>
      <c r="AJ1435" s="48">
        <v>581679</v>
      </c>
      <c r="AK1435" s="48">
        <v>581737</v>
      </c>
      <c r="AL1435" s="48">
        <v>581774</v>
      </c>
      <c r="AP1435" cm="1">
        <f t="array" ref="AP1435">IF(AQ1435="","",SUM(IFERROR(H1435:AL1435-H1434:AL1434,0))*AQ1435/100)</f>
        <v>210.3</v>
      </c>
      <c r="AQ1435">
        <f>_xlfn.XLOOKUP(D1435,log_prices!M:M,log_prices!L:L,,0)</f>
        <v>15</v>
      </c>
      <c r="AS1435" cm="1">
        <f t="array" ref="AS1435">IF(AQ1435="","",SUM(IFERROR(H1435:AL1435-H1434:AL1434,0)))</f>
        <v>1402</v>
      </c>
    </row>
    <row r="1436" spans="1:45" hidden="1" x14ac:dyDescent="0.25">
      <c r="A1436">
        <v>1435</v>
      </c>
      <c r="B1436">
        <v>2026</v>
      </c>
      <c r="C1436">
        <v>1</v>
      </c>
      <c r="D1436" t="s">
        <v>754</v>
      </c>
      <c r="E1436">
        <v>31</v>
      </c>
      <c r="F1436">
        <v>12</v>
      </c>
      <c r="G1436" t="s">
        <v>430</v>
      </c>
      <c r="H1436" s="48" t="s">
        <v>320</v>
      </c>
      <c r="I1436" s="48" t="s">
        <v>320</v>
      </c>
      <c r="J1436" s="48" t="s">
        <v>320</v>
      </c>
      <c r="K1436" s="48" t="s">
        <v>320</v>
      </c>
      <c r="L1436" s="48" t="s">
        <v>320</v>
      </c>
      <c r="M1436" s="48" t="s">
        <v>320</v>
      </c>
      <c r="N1436" s="48" t="s">
        <v>320</v>
      </c>
      <c r="O1436" s="48" t="s">
        <v>320</v>
      </c>
      <c r="P1436" s="48" t="s">
        <v>320</v>
      </c>
      <c r="Q1436" s="48" t="s">
        <v>320</v>
      </c>
      <c r="R1436" s="48" t="s">
        <v>320</v>
      </c>
      <c r="S1436" s="48" t="s">
        <v>320</v>
      </c>
      <c r="T1436" s="48" t="s">
        <v>320</v>
      </c>
      <c r="U1436" s="48" t="s">
        <v>320</v>
      </c>
      <c r="V1436" s="48" t="s">
        <v>320</v>
      </c>
      <c r="W1436" s="48" t="s">
        <v>375</v>
      </c>
      <c r="X1436" s="48" t="s">
        <v>375</v>
      </c>
      <c r="Y1436" s="48" t="s">
        <v>375</v>
      </c>
      <c r="Z1436" s="48" t="s">
        <v>375</v>
      </c>
      <c r="AA1436" s="48" t="s">
        <v>375</v>
      </c>
      <c r="AB1436" s="48" t="s">
        <v>375</v>
      </c>
      <c r="AC1436" s="48" t="s">
        <v>375</v>
      </c>
      <c r="AD1436" s="48" t="s">
        <v>375</v>
      </c>
      <c r="AE1436" s="48" t="s">
        <v>375</v>
      </c>
      <c r="AF1436" s="48" t="s">
        <v>375</v>
      </c>
      <c r="AG1436" s="48" t="s">
        <v>375</v>
      </c>
      <c r="AH1436" s="48" t="s">
        <v>375</v>
      </c>
      <c r="AI1436" s="48" t="s">
        <v>375</v>
      </c>
      <c r="AJ1436" s="48" t="s">
        <v>375</v>
      </c>
      <c r="AK1436" s="48" t="s">
        <v>375</v>
      </c>
      <c r="AL1436" s="48" t="s">
        <v>375</v>
      </c>
    </row>
    <row r="1437" spans="1:45" hidden="1" x14ac:dyDescent="0.25">
      <c r="A1437">
        <v>1436</v>
      </c>
      <c r="B1437">
        <v>2026</v>
      </c>
      <c r="C1437">
        <v>1</v>
      </c>
      <c r="D1437" t="s">
        <v>754</v>
      </c>
      <c r="E1437">
        <v>31</v>
      </c>
      <c r="F1437">
        <v>12</v>
      </c>
      <c r="G1437" t="s">
        <v>431</v>
      </c>
      <c r="H1437" s="48" t="s">
        <v>320</v>
      </c>
      <c r="I1437" s="48" t="s">
        <v>320</v>
      </c>
      <c r="J1437" s="48" t="s">
        <v>320</v>
      </c>
      <c r="K1437" s="48" t="s">
        <v>320</v>
      </c>
      <c r="L1437" s="48" t="s">
        <v>320</v>
      </c>
      <c r="M1437" s="48" t="s">
        <v>320</v>
      </c>
      <c r="N1437" s="48" t="s">
        <v>320</v>
      </c>
      <c r="O1437" s="48" t="s">
        <v>320</v>
      </c>
      <c r="P1437" s="48" t="s">
        <v>320</v>
      </c>
      <c r="Q1437" s="48" t="s">
        <v>320</v>
      </c>
      <c r="R1437" s="48" t="s">
        <v>320</v>
      </c>
      <c r="S1437" s="48" t="s">
        <v>320</v>
      </c>
      <c r="T1437" s="48" t="s">
        <v>320</v>
      </c>
      <c r="U1437" s="48" t="s">
        <v>320</v>
      </c>
      <c r="V1437" s="48" t="s">
        <v>320</v>
      </c>
      <c r="W1437" s="48">
        <v>0.75</v>
      </c>
      <c r="X1437" s="48">
        <v>0.875</v>
      </c>
      <c r="Y1437" s="48">
        <v>0.75</v>
      </c>
      <c r="Z1437" s="48">
        <v>0.75</v>
      </c>
      <c r="AA1437" s="48">
        <v>0.75</v>
      </c>
      <c r="AB1437" s="48">
        <v>1</v>
      </c>
      <c r="AC1437" s="48">
        <v>0.75</v>
      </c>
      <c r="AD1437" s="48">
        <v>0.95833333333333326</v>
      </c>
      <c r="AE1437" s="48">
        <v>0.75</v>
      </c>
      <c r="AF1437" s="48">
        <v>0.95833333333333326</v>
      </c>
      <c r="AG1437" s="48">
        <v>0.875</v>
      </c>
      <c r="AH1437" s="48">
        <v>0.91666666666666674</v>
      </c>
      <c r="AI1437" s="48">
        <v>0.75</v>
      </c>
      <c r="AJ1437" s="48">
        <v>0.91666666666666674</v>
      </c>
      <c r="AK1437" s="48">
        <v>0.75</v>
      </c>
      <c r="AL1437" s="48">
        <v>0.75</v>
      </c>
      <c r="AM1437" cm="1">
        <f t="array" ref="AM1437">SUM(_xlfn.LET(_xlpm.r,((IFERROR(H1437:AL1437-H1436:AL1436,0))*24)/10,IF(_xlpm.r&gt;1,1,_xlpm.r)))</f>
        <v>16</v>
      </c>
      <c r="AO1437" cm="1">
        <f t="array" ref="AO1437">SUM(IFERROR(MOD((H1437:AL1437-H1436:AL1436)*24,11),""))</f>
        <v>29.999999999999993</v>
      </c>
    </row>
    <row r="1438" spans="1:45" hidden="1" x14ac:dyDescent="0.25">
      <c r="A1438">
        <v>1437</v>
      </c>
      <c r="B1438">
        <v>2026</v>
      </c>
      <c r="C1438">
        <v>1</v>
      </c>
      <c r="D1438" t="s">
        <v>754</v>
      </c>
      <c r="E1438">
        <v>31</v>
      </c>
      <c r="F1438">
        <v>12</v>
      </c>
      <c r="G1438" t="s">
        <v>432</v>
      </c>
      <c r="H1438" s="48" t="s">
        <v>320</v>
      </c>
      <c r="I1438" s="48" t="s">
        <v>320</v>
      </c>
      <c r="J1438" s="48" t="s">
        <v>320</v>
      </c>
      <c r="K1438" s="48" t="s">
        <v>320</v>
      </c>
      <c r="L1438" s="48" t="s">
        <v>320</v>
      </c>
      <c r="M1438" s="48" t="s">
        <v>320</v>
      </c>
      <c r="N1438" s="48" t="s">
        <v>320</v>
      </c>
      <c r="O1438" s="48" t="s">
        <v>320</v>
      </c>
      <c r="P1438" s="48" t="s">
        <v>320</v>
      </c>
      <c r="Q1438" s="48" t="s">
        <v>320</v>
      </c>
      <c r="R1438" s="48" t="s">
        <v>320</v>
      </c>
      <c r="S1438" s="48" t="s">
        <v>320</v>
      </c>
      <c r="T1438" s="48" t="s">
        <v>320</v>
      </c>
      <c r="U1438" s="48" t="s">
        <v>320</v>
      </c>
      <c r="V1438" s="48" t="s">
        <v>320</v>
      </c>
      <c r="W1438" s="48">
        <v>447518</v>
      </c>
      <c r="X1438" s="48">
        <v>447542</v>
      </c>
      <c r="Y1438" s="48">
        <v>447583</v>
      </c>
      <c r="Z1438" s="48">
        <v>447584</v>
      </c>
      <c r="AA1438" s="48">
        <v>447604</v>
      </c>
      <c r="AB1438" s="48">
        <v>447606</v>
      </c>
      <c r="AC1438" s="48">
        <v>447706</v>
      </c>
      <c r="AD1438" s="48">
        <v>447784</v>
      </c>
      <c r="AE1438" s="48">
        <v>447874</v>
      </c>
      <c r="AF1438" s="48">
        <v>448089</v>
      </c>
      <c r="AG1438" s="48">
        <v>448186</v>
      </c>
      <c r="AH1438" s="48">
        <v>448240</v>
      </c>
      <c r="AI1438" s="48">
        <v>448310</v>
      </c>
      <c r="AJ1438" s="48">
        <v>448355</v>
      </c>
      <c r="AK1438" s="48">
        <v>448416</v>
      </c>
      <c r="AL1438" s="48">
        <v>448463</v>
      </c>
    </row>
    <row r="1439" spans="1:45" hidden="1" x14ac:dyDescent="0.25">
      <c r="A1439">
        <v>1438</v>
      </c>
      <c r="B1439">
        <v>2026</v>
      </c>
      <c r="C1439">
        <v>1</v>
      </c>
      <c r="D1439" t="s">
        <v>754</v>
      </c>
      <c r="E1439">
        <v>31</v>
      </c>
      <c r="F1439">
        <v>12</v>
      </c>
      <c r="G1439" t="s">
        <v>433</v>
      </c>
      <c r="H1439" s="48" t="s">
        <v>320</v>
      </c>
      <c r="I1439" s="48" t="s">
        <v>320</v>
      </c>
      <c r="J1439" s="48" t="s">
        <v>320</v>
      </c>
      <c r="K1439" s="48" t="s">
        <v>320</v>
      </c>
      <c r="L1439" s="48" t="s">
        <v>320</v>
      </c>
      <c r="M1439" s="48" t="s">
        <v>320</v>
      </c>
      <c r="N1439" s="48" t="s">
        <v>320</v>
      </c>
      <c r="O1439" s="48" t="s">
        <v>320</v>
      </c>
      <c r="P1439" s="48" t="s">
        <v>320</v>
      </c>
      <c r="Q1439" s="48" t="s">
        <v>320</v>
      </c>
      <c r="R1439" s="48" t="s">
        <v>320</v>
      </c>
      <c r="S1439" s="48" t="s">
        <v>320</v>
      </c>
      <c r="T1439" s="48" t="s">
        <v>320</v>
      </c>
      <c r="U1439" s="48" t="s">
        <v>320</v>
      </c>
      <c r="V1439" s="48" t="s">
        <v>320</v>
      </c>
      <c r="W1439" s="48">
        <v>447542</v>
      </c>
      <c r="X1439" s="48">
        <v>447583</v>
      </c>
      <c r="Y1439" s="48">
        <v>447584</v>
      </c>
      <c r="Z1439" s="48">
        <v>447604</v>
      </c>
      <c r="AA1439" s="48">
        <v>447606</v>
      </c>
      <c r="AB1439" s="48">
        <v>447706</v>
      </c>
      <c r="AC1439" s="48">
        <v>447784</v>
      </c>
      <c r="AD1439" s="48">
        <v>447874</v>
      </c>
      <c r="AE1439" s="48">
        <v>447913</v>
      </c>
      <c r="AF1439" s="48">
        <v>448186</v>
      </c>
      <c r="AG1439" s="48">
        <v>448240</v>
      </c>
      <c r="AH1439" s="48">
        <v>448310</v>
      </c>
      <c r="AI1439" s="48">
        <v>448355</v>
      </c>
      <c r="AJ1439" s="48">
        <v>448416</v>
      </c>
      <c r="AK1439" s="48">
        <v>448463</v>
      </c>
      <c r="AL1439" s="48">
        <v>448492</v>
      </c>
      <c r="AP1439" cm="1">
        <f t="array" ref="AP1439">IF(AQ1439="","",SUM(IFERROR(H1439:AL1439-H1438:AL1438,0))*AQ1439/100)</f>
        <v>119.7</v>
      </c>
      <c r="AQ1439">
        <f>_xlfn.XLOOKUP(D1439,log_prices!M:M,log_prices!L:L,,0)</f>
        <v>15</v>
      </c>
      <c r="AS1439" cm="1">
        <f t="array" ref="AS1439">IF(AQ1439="","",SUM(IFERROR(H1439:AL1439-H1438:AL1438,0)))</f>
        <v>798</v>
      </c>
    </row>
    <row r="1440" spans="1:45" hidden="1" x14ac:dyDescent="0.25">
      <c r="A1440">
        <v>1439</v>
      </c>
      <c r="B1440">
        <v>2026</v>
      </c>
      <c r="C1440">
        <v>1</v>
      </c>
      <c r="D1440" t="s">
        <v>755</v>
      </c>
      <c r="E1440">
        <v>31</v>
      </c>
      <c r="F1440">
        <v>12</v>
      </c>
      <c r="G1440" t="s">
        <v>430</v>
      </c>
      <c r="H1440" s="48" t="s">
        <v>320</v>
      </c>
      <c r="I1440" s="48" t="s">
        <v>320</v>
      </c>
      <c r="J1440" s="48" t="s">
        <v>320</v>
      </c>
      <c r="K1440" s="48" t="s">
        <v>320</v>
      </c>
      <c r="L1440" s="48" t="s">
        <v>320</v>
      </c>
      <c r="M1440" s="48" t="s">
        <v>320</v>
      </c>
      <c r="N1440" s="48" t="s">
        <v>320</v>
      </c>
      <c r="O1440" s="48" t="s">
        <v>320</v>
      </c>
      <c r="P1440" s="48" t="s">
        <v>320</v>
      </c>
      <c r="Q1440" s="48" t="s">
        <v>320</v>
      </c>
      <c r="R1440" s="48" t="s">
        <v>320</v>
      </c>
      <c r="S1440" s="48" t="s">
        <v>320</v>
      </c>
      <c r="T1440" s="48" t="s">
        <v>320</v>
      </c>
      <c r="U1440" s="48" t="s">
        <v>320</v>
      </c>
      <c r="V1440" s="48" t="s">
        <v>320</v>
      </c>
      <c r="W1440" s="48" t="s">
        <v>320</v>
      </c>
      <c r="X1440" s="48" t="s">
        <v>429</v>
      </c>
      <c r="Y1440" s="48" t="s">
        <v>375</v>
      </c>
      <c r="Z1440" s="48" t="s">
        <v>375</v>
      </c>
      <c r="AA1440" s="48" t="s">
        <v>375</v>
      </c>
      <c r="AB1440" s="48" t="s">
        <v>375</v>
      </c>
      <c r="AC1440" s="48" t="s">
        <v>375</v>
      </c>
      <c r="AD1440" s="48" t="s">
        <v>375</v>
      </c>
      <c r="AE1440" s="48" t="s">
        <v>375</v>
      </c>
      <c r="AF1440" s="48" t="s">
        <v>375</v>
      </c>
      <c r="AG1440" s="48" t="s">
        <v>375</v>
      </c>
      <c r="AH1440" s="48" t="s">
        <v>375</v>
      </c>
      <c r="AI1440" s="48" t="s">
        <v>375</v>
      </c>
      <c r="AJ1440" s="48" t="s">
        <v>375</v>
      </c>
      <c r="AK1440" s="48" t="s">
        <v>375</v>
      </c>
      <c r="AL1440" s="48" t="s">
        <v>375</v>
      </c>
    </row>
    <row r="1441" spans="1:45" hidden="1" x14ac:dyDescent="0.25">
      <c r="A1441">
        <v>1440</v>
      </c>
      <c r="B1441">
        <v>2026</v>
      </c>
      <c r="C1441">
        <v>1</v>
      </c>
      <c r="D1441" t="s">
        <v>755</v>
      </c>
      <c r="E1441">
        <v>31</v>
      </c>
      <c r="F1441">
        <v>12</v>
      </c>
      <c r="G1441" t="s">
        <v>431</v>
      </c>
      <c r="H1441" s="48" t="s">
        <v>320</v>
      </c>
      <c r="I1441" s="48" t="s">
        <v>320</v>
      </c>
      <c r="J1441" s="48" t="s">
        <v>320</v>
      </c>
      <c r="K1441" s="48" t="s">
        <v>320</v>
      </c>
      <c r="L1441" s="48" t="s">
        <v>320</v>
      </c>
      <c r="M1441" s="48" t="s">
        <v>320</v>
      </c>
      <c r="N1441" s="48" t="s">
        <v>320</v>
      </c>
      <c r="O1441" s="48" t="s">
        <v>320</v>
      </c>
      <c r="P1441" s="48" t="s">
        <v>320</v>
      </c>
      <c r="Q1441" s="48" t="s">
        <v>320</v>
      </c>
      <c r="R1441" s="48" t="s">
        <v>320</v>
      </c>
      <c r="S1441" s="48" t="s">
        <v>320</v>
      </c>
      <c r="T1441" s="48" t="s">
        <v>320</v>
      </c>
      <c r="U1441" s="48" t="s">
        <v>320</v>
      </c>
      <c r="V1441" s="48" t="s">
        <v>320</v>
      </c>
      <c r="W1441" s="48" t="s">
        <v>320</v>
      </c>
      <c r="X1441" s="48">
        <v>1</v>
      </c>
      <c r="Y1441" s="48">
        <v>0.75</v>
      </c>
      <c r="Z1441" s="48">
        <v>0.75</v>
      </c>
      <c r="AA1441" s="48">
        <v>0.91666666666666674</v>
      </c>
      <c r="AB1441" s="48">
        <v>0.75</v>
      </c>
      <c r="AC1441" s="48">
        <v>0.75</v>
      </c>
      <c r="AD1441" s="48">
        <v>0.875</v>
      </c>
      <c r="AE1441" s="48">
        <v>0.75</v>
      </c>
      <c r="AF1441" s="48">
        <v>0.75</v>
      </c>
      <c r="AG1441" s="48">
        <v>0.75</v>
      </c>
      <c r="AH1441" s="48">
        <v>0.91666666666666674</v>
      </c>
      <c r="AI1441" s="48">
        <v>0.75</v>
      </c>
      <c r="AJ1441" s="48">
        <v>0.875</v>
      </c>
      <c r="AK1441" s="48">
        <v>0.75</v>
      </c>
      <c r="AL1441" s="48">
        <v>0.75</v>
      </c>
      <c r="AM1441" cm="1">
        <f t="array" ref="AM1441">SUM(_xlfn.LET(_xlpm.r,((IFERROR(H1441:AL1441-H1440:AL1440,0))*24)/10,IF(_xlpm.r&gt;1,1,_xlpm.r)))</f>
        <v>15</v>
      </c>
      <c r="AO1441" cm="1">
        <f t="array" ref="AO1441">SUM(IFERROR(MOD((H1441:AL1441-H1440:AL1440)*24,11),""))</f>
        <v>13.999999999999996</v>
      </c>
    </row>
    <row r="1442" spans="1:45" hidden="1" x14ac:dyDescent="0.25">
      <c r="A1442">
        <v>1441</v>
      </c>
      <c r="B1442">
        <v>2026</v>
      </c>
      <c r="C1442">
        <v>1</v>
      </c>
      <c r="D1442" t="s">
        <v>755</v>
      </c>
      <c r="E1442">
        <v>31</v>
      </c>
      <c r="F1442">
        <v>12</v>
      </c>
      <c r="G1442" t="s">
        <v>432</v>
      </c>
      <c r="H1442" s="48" t="s">
        <v>320</v>
      </c>
      <c r="I1442" s="48" t="s">
        <v>320</v>
      </c>
      <c r="J1442" s="48" t="s">
        <v>320</v>
      </c>
      <c r="K1442" s="48" t="s">
        <v>320</v>
      </c>
      <c r="L1442" s="48" t="s">
        <v>320</v>
      </c>
      <c r="M1442" s="48" t="s">
        <v>320</v>
      </c>
      <c r="N1442" s="48" t="s">
        <v>320</v>
      </c>
      <c r="O1442" s="48" t="s">
        <v>320</v>
      </c>
      <c r="P1442" s="48" t="s">
        <v>320</v>
      </c>
      <c r="Q1442" s="48" t="s">
        <v>320</v>
      </c>
      <c r="R1442" s="48" t="s">
        <v>320</v>
      </c>
      <c r="S1442" s="48" t="s">
        <v>320</v>
      </c>
      <c r="T1442" s="48" t="s">
        <v>320</v>
      </c>
      <c r="U1442" s="48" t="s">
        <v>320</v>
      </c>
      <c r="V1442" s="48" t="s">
        <v>320</v>
      </c>
      <c r="W1442" s="48" t="s">
        <v>320</v>
      </c>
      <c r="X1442" s="48">
        <v>219009</v>
      </c>
      <c r="Y1442" s="48">
        <v>219027</v>
      </c>
      <c r="Z1442" s="48">
        <v>219131</v>
      </c>
      <c r="AA1442" s="48">
        <v>219150</v>
      </c>
      <c r="AB1442" s="48">
        <v>219160</v>
      </c>
      <c r="AC1442" s="48">
        <v>219192</v>
      </c>
      <c r="AD1442" s="48">
        <v>219297</v>
      </c>
      <c r="AE1442" s="48">
        <v>219320</v>
      </c>
      <c r="AF1442" s="48">
        <v>219350</v>
      </c>
      <c r="AG1442" s="48">
        <v>219379</v>
      </c>
      <c r="AH1442" s="48">
        <v>219407</v>
      </c>
      <c r="AI1442" s="48">
        <v>219445</v>
      </c>
      <c r="AJ1442" s="48">
        <v>219473</v>
      </c>
      <c r="AK1442" s="48">
        <v>219505</v>
      </c>
      <c r="AL1442" s="48">
        <v>219551</v>
      </c>
    </row>
    <row r="1443" spans="1:45" hidden="1" x14ac:dyDescent="0.25">
      <c r="A1443">
        <v>1442</v>
      </c>
      <c r="B1443">
        <v>2026</v>
      </c>
      <c r="C1443">
        <v>1</v>
      </c>
      <c r="D1443" t="s">
        <v>755</v>
      </c>
      <c r="E1443">
        <v>31</v>
      </c>
      <c r="F1443">
        <v>12</v>
      </c>
      <c r="G1443" t="s">
        <v>433</v>
      </c>
      <c r="H1443" s="48" t="s">
        <v>320</v>
      </c>
      <c r="I1443" s="48" t="s">
        <v>320</v>
      </c>
      <c r="J1443" s="48" t="s">
        <v>320</v>
      </c>
      <c r="K1443" s="48" t="s">
        <v>320</v>
      </c>
      <c r="L1443" s="48" t="s">
        <v>320</v>
      </c>
      <c r="M1443" s="48" t="s">
        <v>320</v>
      </c>
      <c r="N1443" s="48" t="s">
        <v>320</v>
      </c>
      <c r="O1443" s="48" t="s">
        <v>320</v>
      </c>
      <c r="P1443" s="48" t="s">
        <v>320</v>
      </c>
      <c r="Q1443" s="48" t="s">
        <v>320</v>
      </c>
      <c r="R1443" s="48" t="s">
        <v>320</v>
      </c>
      <c r="S1443" s="48" t="s">
        <v>320</v>
      </c>
      <c r="T1443" s="48" t="s">
        <v>320</v>
      </c>
      <c r="U1443" s="48" t="s">
        <v>320</v>
      </c>
      <c r="V1443" s="48" t="s">
        <v>320</v>
      </c>
      <c r="W1443" s="48" t="s">
        <v>320</v>
      </c>
      <c r="X1443" s="48">
        <v>219027</v>
      </c>
      <c r="Y1443" s="48">
        <v>219131</v>
      </c>
      <c r="Z1443" s="48">
        <v>219150</v>
      </c>
      <c r="AA1443" s="48">
        <v>219160</v>
      </c>
      <c r="AB1443" s="48">
        <v>219192</v>
      </c>
      <c r="AC1443" s="48">
        <v>219297</v>
      </c>
      <c r="AD1443" s="48">
        <v>219320</v>
      </c>
      <c r="AE1443" s="48">
        <v>219350</v>
      </c>
      <c r="AF1443" s="48">
        <v>219379</v>
      </c>
      <c r="AG1443" s="48">
        <v>219407</v>
      </c>
      <c r="AH1443" s="48">
        <v>219445</v>
      </c>
      <c r="AI1443" s="48">
        <v>219473</v>
      </c>
      <c r="AJ1443" s="48">
        <v>219505</v>
      </c>
      <c r="AK1443" s="48">
        <v>219551</v>
      </c>
      <c r="AL1443" s="48">
        <v>219585</v>
      </c>
      <c r="AP1443" cm="1">
        <f t="array" ref="AP1443">IF(AQ1443="","",SUM(IFERROR(H1443:AL1443-H1442:AL1442,0))*AQ1443/100)</f>
        <v>86.4</v>
      </c>
      <c r="AQ1443">
        <f>_xlfn.XLOOKUP(D1443,log_prices!M:M,log_prices!L:L,,0)</f>
        <v>15</v>
      </c>
      <c r="AS1443" cm="1">
        <f t="array" ref="AS1443">IF(AQ1443="","",SUM(IFERROR(H1443:AL1443-H1442:AL1442,0)))</f>
        <v>576</v>
      </c>
    </row>
    <row r="1444" spans="1:45" hidden="1" x14ac:dyDescent="0.25">
      <c r="A1444">
        <v>1443</v>
      </c>
      <c r="B1444">
        <v>2026</v>
      </c>
      <c r="C1444">
        <v>1</v>
      </c>
      <c r="D1444" t="s">
        <v>756</v>
      </c>
      <c r="E1444">
        <v>31</v>
      </c>
      <c r="F1444">
        <v>12</v>
      </c>
      <c r="G1444" t="s">
        <v>430</v>
      </c>
      <c r="H1444" s="48" t="s">
        <v>320</v>
      </c>
      <c r="I1444" s="48" t="s">
        <v>320</v>
      </c>
      <c r="J1444" s="48" t="s">
        <v>320</v>
      </c>
      <c r="K1444" s="48" t="s">
        <v>320</v>
      </c>
      <c r="L1444" s="48" t="s">
        <v>320</v>
      </c>
      <c r="M1444" s="48" t="s">
        <v>320</v>
      </c>
      <c r="N1444" s="48" t="s">
        <v>320</v>
      </c>
      <c r="O1444" s="48" t="s">
        <v>320</v>
      </c>
      <c r="P1444" s="48" t="s">
        <v>320</v>
      </c>
      <c r="Q1444" s="48" t="s">
        <v>320</v>
      </c>
      <c r="R1444" s="48" t="s">
        <v>320</v>
      </c>
      <c r="S1444" s="48" t="s">
        <v>320</v>
      </c>
      <c r="T1444" s="48" t="s">
        <v>320</v>
      </c>
      <c r="U1444" s="48" t="s">
        <v>320</v>
      </c>
      <c r="V1444" s="48" t="s">
        <v>320</v>
      </c>
      <c r="W1444" s="48" t="s">
        <v>320</v>
      </c>
      <c r="X1444" s="48" t="s">
        <v>375</v>
      </c>
      <c r="Y1444" s="48" t="s">
        <v>375</v>
      </c>
      <c r="Z1444" s="48" t="s">
        <v>375</v>
      </c>
      <c r="AA1444" s="48" t="s">
        <v>375</v>
      </c>
      <c r="AB1444" s="48" t="s">
        <v>375</v>
      </c>
      <c r="AC1444" s="48" t="s">
        <v>375</v>
      </c>
      <c r="AD1444" s="48" t="s">
        <v>375</v>
      </c>
      <c r="AE1444" s="48" t="s">
        <v>375</v>
      </c>
      <c r="AF1444" s="48" t="s">
        <v>375</v>
      </c>
      <c r="AG1444" s="48" t="s">
        <v>375</v>
      </c>
      <c r="AH1444" s="48" t="s">
        <v>375</v>
      </c>
      <c r="AI1444" s="48" t="s">
        <v>375</v>
      </c>
      <c r="AJ1444" s="48" t="s">
        <v>375</v>
      </c>
      <c r="AK1444" s="48" t="s">
        <v>375</v>
      </c>
      <c r="AL1444" s="48" t="s">
        <v>375</v>
      </c>
    </row>
    <row r="1445" spans="1:45" hidden="1" x14ac:dyDescent="0.25">
      <c r="A1445">
        <v>1444</v>
      </c>
      <c r="B1445">
        <v>2026</v>
      </c>
      <c r="C1445">
        <v>1</v>
      </c>
      <c r="D1445" t="s">
        <v>756</v>
      </c>
      <c r="E1445">
        <v>31</v>
      </c>
      <c r="F1445">
        <v>12</v>
      </c>
      <c r="G1445" t="s">
        <v>431</v>
      </c>
      <c r="H1445" s="48" t="s">
        <v>320</v>
      </c>
      <c r="I1445" s="48" t="s">
        <v>320</v>
      </c>
      <c r="J1445" s="48" t="s">
        <v>320</v>
      </c>
      <c r="K1445" s="48" t="s">
        <v>320</v>
      </c>
      <c r="L1445" s="48" t="s">
        <v>320</v>
      </c>
      <c r="M1445" s="48" t="s">
        <v>320</v>
      </c>
      <c r="N1445" s="48" t="s">
        <v>320</v>
      </c>
      <c r="O1445" s="48" t="s">
        <v>320</v>
      </c>
      <c r="P1445" s="48" t="s">
        <v>320</v>
      </c>
      <c r="Q1445" s="48" t="s">
        <v>320</v>
      </c>
      <c r="R1445" s="48" t="s">
        <v>320</v>
      </c>
      <c r="S1445" s="48" t="s">
        <v>320</v>
      </c>
      <c r="T1445" s="48" t="s">
        <v>320</v>
      </c>
      <c r="U1445" s="48" t="s">
        <v>320</v>
      </c>
      <c r="V1445" s="48" t="s">
        <v>320</v>
      </c>
      <c r="W1445" s="48" t="s">
        <v>320</v>
      </c>
      <c r="X1445" s="48">
        <v>0.75</v>
      </c>
      <c r="Y1445" s="48">
        <v>0.75</v>
      </c>
      <c r="Z1445" s="48">
        <v>0.75</v>
      </c>
      <c r="AA1445" s="48">
        <v>0.75</v>
      </c>
      <c r="AB1445" s="48">
        <v>0.75</v>
      </c>
      <c r="AC1445" s="48">
        <v>0.75</v>
      </c>
      <c r="AD1445" s="48">
        <v>0.75</v>
      </c>
      <c r="AE1445" s="48">
        <v>0.75</v>
      </c>
      <c r="AF1445" s="48">
        <v>0.75</v>
      </c>
      <c r="AG1445" s="48">
        <v>0.75</v>
      </c>
      <c r="AH1445" s="48">
        <v>0.75</v>
      </c>
      <c r="AI1445" s="48">
        <v>0.75</v>
      </c>
      <c r="AJ1445" s="48">
        <v>0.75</v>
      </c>
      <c r="AK1445" s="48">
        <v>0.75</v>
      </c>
      <c r="AL1445" s="48">
        <v>0.75</v>
      </c>
      <c r="AM1445" cm="1">
        <f t="array" ref="AM1445">SUM(_xlfn.LET(_xlpm.r,((IFERROR(H1445:AL1445-H1444:AL1444,0))*24)/10,IF(_xlpm.r&gt;1,1,_xlpm.r)))</f>
        <v>15</v>
      </c>
    </row>
    <row r="1446" spans="1:45" hidden="1" x14ac:dyDescent="0.25">
      <c r="A1446">
        <v>1445</v>
      </c>
      <c r="B1446">
        <v>2026</v>
      </c>
      <c r="C1446">
        <v>1</v>
      </c>
      <c r="D1446" t="s">
        <v>757</v>
      </c>
      <c r="E1446">
        <v>31</v>
      </c>
      <c r="F1446">
        <v>12</v>
      </c>
      <c r="G1446" t="s">
        <v>430</v>
      </c>
      <c r="H1446" s="48" t="s">
        <v>320</v>
      </c>
      <c r="I1446" s="48" t="s">
        <v>320</v>
      </c>
      <c r="J1446" s="48" t="s">
        <v>320</v>
      </c>
      <c r="K1446" s="48" t="s">
        <v>320</v>
      </c>
      <c r="L1446" s="48" t="s">
        <v>320</v>
      </c>
      <c r="M1446" s="48" t="s">
        <v>320</v>
      </c>
      <c r="N1446" s="48" t="s">
        <v>320</v>
      </c>
      <c r="O1446" s="48" t="s">
        <v>320</v>
      </c>
      <c r="P1446" s="48" t="s">
        <v>320</v>
      </c>
      <c r="Q1446" s="48" t="s">
        <v>320</v>
      </c>
      <c r="R1446" s="48" t="s">
        <v>320</v>
      </c>
      <c r="S1446" s="48" t="s">
        <v>320</v>
      </c>
      <c r="T1446" s="48" t="s">
        <v>320</v>
      </c>
      <c r="U1446" s="48" t="s">
        <v>320</v>
      </c>
      <c r="V1446" s="48" t="s">
        <v>320</v>
      </c>
      <c r="W1446" s="48" t="s">
        <v>320</v>
      </c>
      <c r="X1446" s="48" t="s">
        <v>320</v>
      </c>
      <c r="Y1446" s="48" t="s">
        <v>320</v>
      </c>
      <c r="Z1446" s="48" t="s">
        <v>320</v>
      </c>
      <c r="AA1446" s="48" t="s">
        <v>320</v>
      </c>
      <c r="AB1446" s="48" t="s">
        <v>375</v>
      </c>
      <c r="AC1446" s="48" t="s">
        <v>375</v>
      </c>
      <c r="AD1446" s="48" t="s">
        <v>375</v>
      </c>
      <c r="AE1446" s="48" t="s">
        <v>375</v>
      </c>
      <c r="AF1446" s="48" t="s">
        <v>375</v>
      </c>
      <c r="AG1446" s="48" t="s">
        <v>375</v>
      </c>
      <c r="AH1446" s="48" t="s">
        <v>375</v>
      </c>
      <c r="AI1446" s="48" t="s">
        <v>375</v>
      </c>
      <c r="AJ1446" s="48" t="s">
        <v>375</v>
      </c>
      <c r="AK1446" s="48" t="s">
        <v>375</v>
      </c>
      <c r="AL1446" s="48" t="s">
        <v>375</v>
      </c>
    </row>
    <row r="1447" spans="1:45" hidden="1" x14ac:dyDescent="0.25">
      <c r="A1447">
        <v>1446</v>
      </c>
      <c r="B1447">
        <v>2026</v>
      </c>
      <c r="C1447">
        <v>1</v>
      </c>
      <c r="D1447" t="s">
        <v>757</v>
      </c>
      <c r="E1447">
        <v>31</v>
      </c>
      <c r="F1447">
        <v>12</v>
      </c>
      <c r="G1447" t="s">
        <v>431</v>
      </c>
      <c r="H1447" s="48" t="s">
        <v>320</v>
      </c>
      <c r="I1447" s="48" t="s">
        <v>320</v>
      </c>
      <c r="J1447" s="48" t="s">
        <v>320</v>
      </c>
      <c r="K1447" s="48" t="s">
        <v>320</v>
      </c>
      <c r="L1447" s="48" t="s">
        <v>320</v>
      </c>
      <c r="M1447" s="48" t="s">
        <v>320</v>
      </c>
      <c r="N1447" s="48" t="s">
        <v>320</v>
      </c>
      <c r="O1447" s="48" t="s">
        <v>320</v>
      </c>
      <c r="P1447" s="48" t="s">
        <v>320</v>
      </c>
      <c r="Q1447" s="48" t="s">
        <v>320</v>
      </c>
      <c r="R1447" s="48" t="s">
        <v>320</v>
      </c>
      <c r="S1447" s="48" t="s">
        <v>320</v>
      </c>
      <c r="T1447" s="48" t="s">
        <v>320</v>
      </c>
      <c r="U1447" s="48" t="s">
        <v>320</v>
      </c>
      <c r="V1447" s="48" t="s">
        <v>320</v>
      </c>
      <c r="W1447" s="48" t="s">
        <v>320</v>
      </c>
      <c r="X1447" s="48" t="s">
        <v>320</v>
      </c>
      <c r="Y1447" s="48" t="s">
        <v>320</v>
      </c>
      <c r="Z1447" s="48" t="s">
        <v>320</v>
      </c>
      <c r="AA1447" s="48" t="s">
        <v>320</v>
      </c>
      <c r="AB1447" s="48">
        <v>0.75</v>
      </c>
      <c r="AC1447" s="48">
        <v>0.75</v>
      </c>
      <c r="AD1447" s="48">
        <v>0.75</v>
      </c>
      <c r="AE1447" s="48">
        <v>0.75</v>
      </c>
      <c r="AF1447" s="48">
        <v>0.75</v>
      </c>
      <c r="AG1447" s="48">
        <v>0.75</v>
      </c>
      <c r="AH1447" s="48">
        <v>0.75</v>
      </c>
      <c r="AI1447" s="48">
        <v>0.75</v>
      </c>
      <c r="AJ1447" s="48">
        <v>0.75</v>
      </c>
      <c r="AK1447" s="48">
        <v>0.75</v>
      </c>
      <c r="AL1447" s="48">
        <v>0.75</v>
      </c>
      <c r="AS1447" t="str" cm="1">
        <f t="array" ref="AS1447">IF(AQ1447="","",SUM(IFERROR(H1447:AL1447-H1446:AL1446,0)))</f>
        <v/>
      </c>
    </row>
    <row r="1448" spans="1:45" hidden="1" x14ac:dyDescent="0.25">
      <c r="A1448">
        <v>1447</v>
      </c>
      <c r="B1448">
        <v>2026</v>
      </c>
      <c r="C1448">
        <v>1</v>
      </c>
      <c r="D1448" t="s">
        <v>757</v>
      </c>
      <c r="E1448">
        <v>31</v>
      </c>
      <c r="F1448">
        <v>12</v>
      </c>
      <c r="G1448" t="s">
        <v>432</v>
      </c>
      <c r="H1448" s="48" t="s">
        <v>320</v>
      </c>
      <c r="I1448" s="48" t="s">
        <v>320</v>
      </c>
      <c r="J1448" s="48" t="s">
        <v>320</v>
      </c>
      <c r="K1448" s="48" t="s">
        <v>320</v>
      </c>
      <c r="L1448" s="48" t="s">
        <v>320</v>
      </c>
      <c r="M1448" s="48" t="s">
        <v>320</v>
      </c>
      <c r="N1448" s="48" t="s">
        <v>320</v>
      </c>
      <c r="O1448" s="48" t="s">
        <v>320</v>
      </c>
      <c r="P1448" s="48" t="s">
        <v>320</v>
      </c>
      <c r="Q1448" s="48" t="s">
        <v>320</v>
      </c>
      <c r="R1448" s="48" t="s">
        <v>320</v>
      </c>
      <c r="S1448" s="48" t="s">
        <v>320</v>
      </c>
      <c r="T1448" s="48" t="s">
        <v>320</v>
      </c>
      <c r="U1448" s="48" t="s">
        <v>320</v>
      </c>
      <c r="V1448" s="48" t="s">
        <v>320</v>
      </c>
      <c r="W1448" s="48" t="s">
        <v>320</v>
      </c>
      <c r="X1448" s="48" t="s">
        <v>320</v>
      </c>
      <c r="Y1448" s="48" t="s">
        <v>320</v>
      </c>
      <c r="Z1448" s="48" t="s">
        <v>320</v>
      </c>
      <c r="AA1448" s="48" t="s">
        <v>320</v>
      </c>
      <c r="AB1448" s="48">
        <v>281061</v>
      </c>
      <c r="AC1448" s="48">
        <v>281089</v>
      </c>
      <c r="AD1448" s="48">
        <v>281108</v>
      </c>
      <c r="AE1448" s="48">
        <v>281130</v>
      </c>
      <c r="AF1448" s="48">
        <v>281149</v>
      </c>
      <c r="AG1448" s="48">
        <v>281188</v>
      </c>
      <c r="AH1448" s="48">
        <v>281232</v>
      </c>
      <c r="AI1448" s="48">
        <v>281270</v>
      </c>
      <c r="AJ1448" s="48">
        <v>281308</v>
      </c>
      <c r="AK1448" s="48">
        <v>281362</v>
      </c>
      <c r="AL1448" s="48">
        <v>281515</v>
      </c>
    </row>
    <row r="1449" spans="1:45" hidden="1" x14ac:dyDescent="0.25">
      <c r="A1449">
        <v>1448</v>
      </c>
      <c r="B1449">
        <v>2026</v>
      </c>
      <c r="C1449">
        <v>1</v>
      </c>
      <c r="D1449" t="s">
        <v>757</v>
      </c>
      <c r="E1449">
        <v>31</v>
      </c>
      <c r="F1449">
        <v>12</v>
      </c>
      <c r="G1449" t="s">
        <v>433</v>
      </c>
      <c r="H1449" s="48" t="s">
        <v>320</v>
      </c>
      <c r="I1449" s="48" t="s">
        <v>320</v>
      </c>
      <c r="J1449" s="48" t="s">
        <v>320</v>
      </c>
      <c r="K1449" s="48" t="s">
        <v>320</v>
      </c>
      <c r="L1449" s="48" t="s">
        <v>320</v>
      </c>
      <c r="M1449" s="48" t="s">
        <v>320</v>
      </c>
      <c r="N1449" s="48" t="s">
        <v>320</v>
      </c>
      <c r="O1449" s="48" t="s">
        <v>320</v>
      </c>
      <c r="P1449" s="48" t="s">
        <v>320</v>
      </c>
      <c r="Q1449" s="48" t="s">
        <v>320</v>
      </c>
      <c r="R1449" s="48" t="s">
        <v>320</v>
      </c>
      <c r="S1449" s="48" t="s">
        <v>320</v>
      </c>
      <c r="T1449" s="48" t="s">
        <v>320</v>
      </c>
      <c r="U1449" s="48" t="s">
        <v>320</v>
      </c>
      <c r="V1449" s="48" t="s">
        <v>320</v>
      </c>
      <c r="W1449" s="48" t="s">
        <v>320</v>
      </c>
      <c r="X1449" s="48" t="s">
        <v>320</v>
      </c>
      <c r="Y1449" s="48" t="s">
        <v>320</v>
      </c>
      <c r="Z1449" s="48" t="s">
        <v>320</v>
      </c>
      <c r="AA1449" s="48" t="s">
        <v>320</v>
      </c>
      <c r="AB1449" s="48">
        <v>281089</v>
      </c>
      <c r="AC1449" s="48">
        <v>281108</v>
      </c>
      <c r="AD1449" s="48">
        <v>281130</v>
      </c>
      <c r="AE1449" s="48">
        <v>281149</v>
      </c>
      <c r="AF1449" s="48">
        <v>281188</v>
      </c>
      <c r="AG1449" s="48">
        <v>281232</v>
      </c>
      <c r="AH1449" s="48">
        <v>281270</v>
      </c>
      <c r="AI1449" s="48">
        <v>281308</v>
      </c>
      <c r="AJ1449" s="48">
        <v>281362</v>
      </c>
      <c r="AK1449" s="48">
        <v>281515</v>
      </c>
      <c r="AL1449" s="48">
        <v>281555</v>
      </c>
      <c r="AM1449" cm="1">
        <f t="array" ref="AM1449">SUM(_xlfn.LET(_xlpm.r,((IFERROR(H1449:AL1449-H1448:AL1448,0))*24)/10,IF(_xlpm.r&gt;1,1,_xlpm.r)))</f>
        <v>11</v>
      </c>
      <c r="AP1449" cm="1">
        <f t="array" ref="AP1449">IF(AQ1449="","",SUM(IFERROR(H1449:AL1449-H1448:AL1448,0))*AQ1449/100)</f>
        <v>74.099999999999994</v>
      </c>
      <c r="AQ1449">
        <f>_xlfn.XLOOKUP(D1449,log_prices!M:M,log_prices!L:L,,0)</f>
        <v>15</v>
      </c>
      <c r="AS1449" cm="1">
        <f t="array" ref="AS1449">IF(AQ1449="","",SUM(IFERROR(H1449:AL1449-H1448:AL1448,0)))</f>
        <v>494</v>
      </c>
    </row>
    <row r="1450" spans="1:45" hidden="1" x14ac:dyDescent="0.25">
      <c r="A1450">
        <v>1449</v>
      </c>
      <c r="B1450">
        <v>2026</v>
      </c>
      <c r="C1450">
        <v>1</v>
      </c>
      <c r="D1450" t="s">
        <v>758</v>
      </c>
      <c r="E1450">
        <v>31</v>
      </c>
      <c r="F1450">
        <v>12</v>
      </c>
      <c r="G1450" t="s">
        <v>430</v>
      </c>
      <c r="H1450" s="48" t="s">
        <v>320</v>
      </c>
      <c r="I1450" s="48" t="s">
        <v>320</v>
      </c>
      <c r="J1450" s="48" t="s">
        <v>320</v>
      </c>
      <c r="K1450" s="48" t="s">
        <v>320</v>
      </c>
      <c r="L1450" s="48" t="s">
        <v>320</v>
      </c>
      <c r="M1450" s="48" t="s">
        <v>320</v>
      </c>
      <c r="N1450" s="48" t="s">
        <v>320</v>
      </c>
      <c r="O1450" s="48" t="s">
        <v>320</v>
      </c>
      <c r="P1450" s="48" t="s">
        <v>320</v>
      </c>
      <c r="Q1450" s="48" t="s">
        <v>320</v>
      </c>
      <c r="R1450" s="48" t="s">
        <v>320</v>
      </c>
      <c r="S1450" s="48" t="s">
        <v>320</v>
      </c>
      <c r="T1450" s="48" t="s">
        <v>320</v>
      </c>
      <c r="U1450" s="48" t="s">
        <v>320</v>
      </c>
      <c r="V1450" s="48" t="s">
        <v>320</v>
      </c>
      <c r="W1450" s="48" t="s">
        <v>320</v>
      </c>
      <c r="X1450" s="48" t="s">
        <v>320</v>
      </c>
      <c r="Y1450" s="48" t="s">
        <v>320</v>
      </c>
      <c r="Z1450" s="48" t="s">
        <v>320</v>
      </c>
      <c r="AA1450" s="48" t="s">
        <v>320</v>
      </c>
      <c r="AB1450" s="48" t="s">
        <v>320</v>
      </c>
      <c r="AC1450" s="48" t="s">
        <v>320</v>
      </c>
      <c r="AD1450" s="48" t="s">
        <v>320</v>
      </c>
      <c r="AE1450" s="48" t="s">
        <v>320</v>
      </c>
      <c r="AF1450" s="48" t="s">
        <v>320</v>
      </c>
      <c r="AG1450" s="48" t="s">
        <v>320</v>
      </c>
      <c r="AH1450" s="48" t="s">
        <v>375</v>
      </c>
      <c r="AI1450" s="48" t="s">
        <v>375</v>
      </c>
      <c r="AJ1450" s="48" t="s">
        <v>375</v>
      </c>
      <c r="AK1450" s="48" t="s">
        <v>375</v>
      </c>
      <c r="AL1450" s="48" t="s">
        <v>375</v>
      </c>
    </row>
    <row r="1451" spans="1:45" hidden="1" x14ac:dyDescent="0.25">
      <c r="A1451">
        <v>1450</v>
      </c>
      <c r="B1451">
        <v>2026</v>
      </c>
      <c r="C1451">
        <v>1</v>
      </c>
      <c r="D1451" t="s">
        <v>758</v>
      </c>
      <c r="E1451">
        <v>31</v>
      </c>
      <c r="F1451">
        <v>12</v>
      </c>
      <c r="G1451" t="s">
        <v>431</v>
      </c>
      <c r="H1451" s="48" t="s">
        <v>320</v>
      </c>
      <c r="I1451" s="48" t="s">
        <v>320</v>
      </c>
      <c r="J1451" s="48" t="s">
        <v>320</v>
      </c>
      <c r="K1451" s="48" t="s">
        <v>320</v>
      </c>
      <c r="L1451" s="48" t="s">
        <v>320</v>
      </c>
      <c r="M1451" s="48" t="s">
        <v>320</v>
      </c>
      <c r="N1451" s="48" t="s">
        <v>320</v>
      </c>
      <c r="O1451" s="48" t="s">
        <v>320</v>
      </c>
      <c r="P1451" s="48" t="s">
        <v>320</v>
      </c>
      <c r="Q1451" s="48" t="s">
        <v>320</v>
      </c>
      <c r="R1451" s="48" t="s">
        <v>320</v>
      </c>
      <c r="S1451" s="48" t="s">
        <v>320</v>
      </c>
      <c r="T1451" s="48" t="s">
        <v>320</v>
      </c>
      <c r="U1451" s="48" t="s">
        <v>320</v>
      </c>
      <c r="V1451" s="48" t="s">
        <v>320</v>
      </c>
      <c r="W1451" s="48" t="s">
        <v>320</v>
      </c>
      <c r="X1451" s="48" t="s">
        <v>320</v>
      </c>
      <c r="Y1451" s="48" t="s">
        <v>320</v>
      </c>
      <c r="Z1451" s="48" t="s">
        <v>320</v>
      </c>
      <c r="AA1451" s="48" t="s">
        <v>320</v>
      </c>
      <c r="AB1451" s="48" t="s">
        <v>320</v>
      </c>
      <c r="AC1451" s="48" t="s">
        <v>320</v>
      </c>
      <c r="AD1451" s="48" t="s">
        <v>320</v>
      </c>
      <c r="AE1451" s="48" t="s">
        <v>320</v>
      </c>
      <c r="AF1451" s="48" t="s">
        <v>320</v>
      </c>
      <c r="AG1451" s="48" t="s">
        <v>320</v>
      </c>
      <c r="AH1451" s="48">
        <v>0.75</v>
      </c>
      <c r="AI1451" s="48">
        <v>0.75</v>
      </c>
      <c r="AJ1451" s="48">
        <v>0.75</v>
      </c>
      <c r="AK1451" s="48">
        <v>0.75</v>
      </c>
      <c r="AL1451" s="48">
        <v>0.75</v>
      </c>
      <c r="AM1451" cm="1">
        <f t="array" ref="AM1451">SUM(_xlfn.LET(_xlpm.r,((IFERROR(H1451:AL1451-H1450:AL1450,0))*24)/10,IF(_xlpm.r&gt;1,1,_xlpm.r)))</f>
        <v>5</v>
      </c>
    </row>
    <row r="1452" spans="1:45" hidden="1" x14ac:dyDescent="0.25">
      <c r="A1452">
        <v>1451</v>
      </c>
      <c r="B1452">
        <v>2026</v>
      </c>
      <c r="C1452">
        <v>2</v>
      </c>
      <c r="D1452" t="s">
        <v>460</v>
      </c>
      <c r="E1452">
        <v>50</v>
      </c>
      <c r="F1452">
        <v>9</v>
      </c>
      <c r="G1452" t="s">
        <v>430</v>
      </c>
      <c r="H1452" s="134">
        <v>0.33333333333333331</v>
      </c>
      <c r="I1452" s="48">
        <v>0.33333333333333331</v>
      </c>
      <c r="J1452" s="48">
        <v>0.33333333333333331</v>
      </c>
      <c r="K1452" s="48">
        <v>0.33333333333333331</v>
      </c>
      <c r="L1452" s="48">
        <v>0.33333333333333331</v>
      </c>
      <c r="M1452" s="48">
        <v>0.33333333333333331</v>
      </c>
      <c r="N1452" s="48">
        <v>0.33333333333333331</v>
      </c>
      <c r="P1452" s="48">
        <v>0.33333333333333331</v>
      </c>
      <c r="Q1452" s="48">
        <v>0.33333333333333331</v>
      </c>
      <c r="R1452" s="48">
        <v>0.33333333333333331</v>
      </c>
      <c r="S1452" s="48">
        <v>0.33333333333333331</v>
      </c>
      <c r="T1452" s="48">
        <v>0.33333333333333331</v>
      </c>
      <c r="U1452" s="48">
        <v>0.33333333333333331</v>
      </c>
      <c r="W1452" s="48">
        <v>0.33333333333333331</v>
      </c>
      <c r="X1452" s="48">
        <v>0.33333333333333331</v>
      </c>
      <c r="Y1452" s="48">
        <v>0.33333333333333331</v>
      </c>
      <c r="Z1452" s="48">
        <v>0.33333333333333331</v>
      </c>
      <c r="AA1452" s="48">
        <v>0.33333333333333331</v>
      </c>
      <c r="AB1452" s="48">
        <v>0.33333333333333331</v>
      </c>
      <c r="AC1452" s="48">
        <v>0.33333333333333331</v>
      </c>
      <c r="AD1452" s="48">
        <v>0.33333333333333331</v>
      </c>
      <c r="AE1452" s="48">
        <v>0.33333333333333331</v>
      </c>
      <c r="AF1452" s="48">
        <v>0.33333333333333331</v>
      </c>
      <c r="AG1452" s="48">
        <v>0.33333333333333331</v>
      </c>
      <c r="AH1452" s="48">
        <v>0.33333333333333331</v>
      </c>
      <c r="AI1452" s="48">
        <v>0.33333333333333331</v>
      </c>
    </row>
    <row r="1453" spans="1:45" hidden="1" x14ac:dyDescent="0.25">
      <c r="A1453">
        <v>1452</v>
      </c>
      <c r="B1453">
        <v>2026</v>
      </c>
      <c r="C1453">
        <v>2</v>
      </c>
      <c r="D1453" t="s">
        <v>460</v>
      </c>
      <c r="E1453">
        <v>50</v>
      </c>
      <c r="F1453">
        <v>9</v>
      </c>
      <c r="G1453" t="s">
        <v>431</v>
      </c>
      <c r="H1453" s="48">
        <v>0.75</v>
      </c>
      <c r="I1453" s="48">
        <v>0.75</v>
      </c>
      <c r="J1453" s="48">
        <v>0.75</v>
      </c>
      <c r="K1453" s="48">
        <v>0.75</v>
      </c>
      <c r="L1453" s="48">
        <v>0.75</v>
      </c>
      <c r="M1453" s="48">
        <v>0.75</v>
      </c>
      <c r="N1453" s="48">
        <v>0.75</v>
      </c>
      <c r="P1453" s="48">
        <v>0.75</v>
      </c>
      <c r="Q1453" s="48">
        <v>0.75</v>
      </c>
      <c r="R1453" s="48">
        <v>0.75</v>
      </c>
      <c r="S1453" s="48">
        <v>0.75</v>
      </c>
      <c r="T1453" s="48">
        <v>0.75</v>
      </c>
      <c r="U1453" s="48">
        <v>0.75</v>
      </c>
      <c r="W1453" s="48">
        <v>0.75</v>
      </c>
      <c r="X1453" s="48">
        <v>0.75</v>
      </c>
      <c r="Y1453" s="48">
        <v>0.75</v>
      </c>
      <c r="Z1453" s="48">
        <v>0.75</v>
      </c>
      <c r="AA1453" s="48">
        <v>0.75</v>
      </c>
      <c r="AB1453" s="48">
        <v>0.75</v>
      </c>
      <c r="AC1453" s="48">
        <v>0.75</v>
      </c>
      <c r="AD1453" s="48">
        <v>0.75</v>
      </c>
      <c r="AE1453" s="48">
        <v>0.75</v>
      </c>
      <c r="AF1453" s="48">
        <v>0.75</v>
      </c>
      <c r="AG1453" s="48">
        <v>0.75</v>
      </c>
      <c r="AH1453" s="48">
        <v>0.75</v>
      </c>
      <c r="AI1453" s="48">
        <v>0.75</v>
      </c>
      <c r="AM1453">
        <v>28</v>
      </c>
    </row>
    <row r="1454" spans="1:45" hidden="1" x14ac:dyDescent="0.25">
      <c r="A1454">
        <v>1453</v>
      </c>
      <c r="B1454">
        <v>2026</v>
      </c>
      <c r="C1454">
        <v>2</v>
      </c>
      <c r="D1454" t="s">
        <v>477</v>
      </c>
      <c r="E1454">
        <v>65</v>
      </c>
      <c r="F1454">
        <v>10</v>
      </c>
      <c r="G1454" t="s">
        <v>430</v>
      </c>
      <c r="H1454" s="134">
        <v>0.33333333333333331</v>
      </c>
      <c r="I1454" s="48">
        <v>0.33333333333333331</v>
      </c>
      <c r="J1454" s="48">
        <v>0.33333333333333331</v>
      </c>
      <c r="K1454" s="48">
        <v>0.33333333333333331</v>
      </c>
      <c r="L1454" s="48">
        <v>0.33333333333333331</v>
      </c>
      <c r="M1454" s="48">
        <v>0.33333333333333331</v>
      </c>
      <c r="N1454" s="48">
        <v>0.33333333333333331</v>
      </c>
      <c r="P1454" s="48">
        <v>0.33333333333333331</v>
      </c>
      <c r="Q1454" s="48">
        <v>0.33333333333333331</v>
      </c>
      <c r="R1454" s="48">
        <v>0.33333333333333331</v>
      </c>
      <c r="S1454" s="48">
        <v>0.33333333333333331</v>
      </c>
      <c r="T1454" s="48">
        <v>0.33333333333333331</v>
      </c>
      <c r="U1454" s="48">
        <v>0.33333333333333331</v>
      </c>
      <c r="W1454" s="48">
        <v>0.33333333333333331</v>
      </c>
      <c r="X1454" s="48">
        <v>0.33333333333333331</v>
      </c>
      <c r="Y1454" s="48">
        <v>0.33333333333333331</v>
      </c>
      <c r="Z1454" s="48">
        <v>0.33333333333333331</v>
      </c>
      <c r="AA1454" s="48">
        <v>0.33333333333333331</v>
      </c>
      <c r="AB1454" s="48">
        <v>0.33333333333333331</v>
      </c>
      <c r="AC1454" s="48">
        <v>0.33333333333333331</v>
      </c>
      <c r="AD1454" s="48">
        <v>0.33333333333333331</v>
      </c>
      <c r="AE1454" s="48">
        <v>0.33333333333333331</v>
      </c>
      <c r="AF1454" s="48">
        <v>0.33333333333333331</v>
      </c>
      <c r="AG1454" s="48">
        <v>0.33333333333333331</v>
      </c>
      <c r="AH1454" s="48">
        <v>0.33333333333333331</v>
      </c>
      <c r="AI1454" s="48">
        <v>0.33333333333333331</v>
      </c>
    </row>
    <row r="1455" spans="1:45" hidden="1" x14ac:dyDescent="0.25">
      <c r="A1455">
        <v>1454</v>
      </c>
      <c r="B1455">
        <v>2026</v>
      </c>
      <c r="C1455">
        <v>2</v>
      </c>
      <c r="D1455" t="s">
        <v>477</v>
      </c>
      <c r="E1455">
        <v>65</v>
      </c>
      <c r="F1455">
        <v>10</v>
      </c>
      <c r="G1455" t="s">
        <v>431</v>
      </c>
      <c r="H1455" s="48">
        <v>0.75</v>
      </c>
      <c r="I1455" s="48">
        <v>0.75</v>
      </c>
      <c r="J1455" s="48">
        <v>0.75</v>
      </c>
      <c r="K1455" s="48">
        <v>0.75</v>
      </c>
      <c r="L1455" s="48">
        <v>0.75</v>
      </c>
      <c r="M1455" s="48">
        <v>0.75</v>
      </c>
      <c r="N1455" s="48">
        <v>0.75</v>
      </c>
      <c r="P1455" s="48">
        <v>0.75</v>
      </c>
      <c r="Q1455" s="48">
        <v>0.75</v>
      </c>
      <c r="R1455" s="48">
        <v>0.75</v>
      </c>
      <c r="S1455" s="48">
        <v>0.75</v>
      </c>
      <c r="T1455" s="48">
        <v>0.75</v>
      </c>
      <c r="U1455" s="48">
        <v>0.75</v>
      </c>
      <c r="W1455" s="48">
        <v>0.75</v>
      </c>
      <c r="X1455" s="48">
        <v>0.75</v>
      </c>
      <c r="Y1455" s="48">
        <v>0.75</v>
      </c>
      <c r="Z1455" s="48">
        <v>0.75</v>
      </c>
      <c r="AA1455" s="48">
        <v>0.75</v>
      </c>
      <c r="AB1455" s="48">
        <v>0.75</v>
      </c>
      <c r="AC1455" s="48">
        <v>0.75</v>
      </c>
      <c r="AD1455" s="48">
        <v>0.75</v>
      </c>
      <c r="AE1455" s="48">
        <v>0.75</v>
      </c>
      <c r="AF1455" s="48">
        <v>0.75</v>
      </c>
      <c r="AG1455" s="48">
        <v>0.75</v>
      </c>
      <c r="AH1455" s="48">
        <v>0.75</v>
      </c>
      <c r="AI1455" s="48">
        <v>0.75</v>
      </c>
      <c r="AM1455">
        <v>28</v>
      </c>
    </row>
    <row r="1456" spans="1:45" hidden="1" x14ac:dyDescent="0.25">
      <c r="A1456">
        <v>1455</v>
      </c>
      <c r="B1456">
        <v>2026</v>
      </c>
      <c r="C1456">
        <v>2</v>
      </c>
      <c r="D1456" t="s">
        <v>481</v>
      </c>
      <c r="E1456">
        <v>85</v>
      </c>
      <c r="F1456">
        <v>9</v>
      </c>
      <c r="G1456" t="s">
        <v>430</v>
      </c>
      <c r="H1456" s="134">
        <v>0.33333333333333331</v>
      </c>
      <c r="I1456" s="48">
        <v>0.33333333333333331</v>
      </c>
      <c r="J1456" s="48">
        <v>0.33333333333333331</v>
      </c>
      <c r="K1456" s="48">
        <v>0.33333333333333331</v>
      </c>
      <c r="L1456" s="48">
        <v>0.33333333333333331</v>
      </c>
      <c r="M1456" s="48">
        <v>0.33333333333333331</v>
      </c>
      <c r="N1456" s="48">
        <v>0.33333333333333331</v>
      </c>
      <c r="O1456" s="48">
        <v>0.33333333333333331</v>
      </c>
      <c r="P1456" s="48">
        <v>0.33333333333333331</v>
      </c>
      <c r="Q1456" s="48">
        <v>0.33333333333333331</v>
      </c>
      <c r="R1456" s="48">
        <v>0.33333333333333331</v>
      </c>
      <c r="S1456" s="48">
        <v>0.33333333333333331</v>
      </c>
      <c r="T1456" s="48">
        <v>0.33333333333333331</v>
      </c>
      <c r="U1456" s="48">
        <v>0.33333333333333331</v>
      </c>
      <c r="W1456" s="48">
        <v>0.33333333333333331</v>
      </c>
      <c r="X1456" s="48">
        <v>0.33333333333333331</v>
      </c>
      <c r="Y1456" s="48">
        <v>0.33333333333333331</v>
      </c>
      <c r="Z1456" s="48">
        <v>0.33333333333333331</v>
      </c>
      <c r="AA1456" s="48">
        <v>0.33333333333333331</v>
      </c>
      <c r="AB1456" s="48">
        <v>0.33333333333333331</v>
      </c>
      <c r="AC1456" s="48">
        <v>0.33333333333333331</v>
      </c>
      <c r="AD1456" s="48">
        <v>0.33333333333333331</v>
      </c>
      <c r="AE1456" s="48">
        <v>0.33333333333333331</v>
      </c>
      <c r="AF1456" s="48">
        <v>0.33333333333333331</v>
      </c>
      <c r="AG1456" s="48">
        <v>0.33333333333333331</v>
      </c>
      <c r="AH1456" s="48">
        <v>0.33333333333333331</v>
      </c>
      <c r="AI1456" s="48">
        <v>0.33333333333333331</v>
      </c>
    </row>
    <row r="1457" spans="1:41" hidden="1" x14ac:dyDescent="0.25">
      <c r="A1457">
        <v>1456</v>
      </c>
      <c r="B1457">
        <v>2026</v>
      </c>
      <c r="C1457">
        <v>2</v>
      </c>
      <c r="D1457" t="s">
        <v>481</v>
      </c>
      <c r="E1457">
        <v>85</v>
      </c>
      <c r="F1457">
        <v>9</v>
      </c>
      <c r="G1457" t="s">
        <v>431</v>
      </c>
      <c r="H1457" s="48">
        <v>0.79166666666666663</v>
      </c>
      <c r="I1457" s="48">
        <v>0.75</v>
      </c>
      <c r="J1457" s="48">
        <v>0.83333333333333337</v>
      </c>
      <c r="K1457" s="48">
        <v>0.75</v>
      </c>
      <c r="L1457" s="48">
        <v>0.79166666666666663</v>
      </c>
      <c r="M1457" s="48">
        <v>0.79166666666666663</v>
      </c>
      <c r="N1457" s="48">
        <v>0.83333333333333337</v>
      </c>
      <c r="O1457" s="48">
        <v>0.875</v>
      </c>
      <c r="P1457" s="48">
        <v>0.79166666666666663</v>
      </c>
      <c r="Q1457" s="48">
        <v>0.75</v>
      </c>
      <c r="R1457" s="48">
        <v>0.91666666666666663</v>
      </c>
      <c r="S1457" s="48">
        <v>0.75</v>
      </c>
      <c r="T1457" s="48">
        <v>0.95833333333333337</v>
      </c>
      <c r="U1457" s="48">
        <v>0.75</v>
      </c>
      <c r="W1457" s="48">
        <v>0.75</v>
      </c>
      <c r="X1457" s="48">
        <v>0.75</v>
      </c>
      <c r="Y1457" s="48">
        <v>1.0416666666666667</v>
      </c>
      <c r="Z1457" s="48">
        <v>1.0833333333333333</v>
      </c>
      <c r="AA1457" s="48">
        <v>0.79166666666666663</v>
      </c>
      <c r="AB1457" s="48">
        <v>0.83333333333333337</v>
      </c>
      <c r="AC1457" s="48">
        <v>0.95833333333333337</v>
      </c>
      <c r="AD1457" s="48">
        <v>0.91666666666666663</v>
      </c>
      <c r="AE1457" s="48">
        <v>0.95833333333333337</v>
      </c>
      <c r="AF1457" s="48">
        <v>0.875</v>
      </c>
      <c r="AG1457" s="48">
        <v>1.0833333333333333</v>
      </c>
      <c r="AH1457" s="48">
        <v>0.83333333333333337</v>
      </c>
      <c r="AI1457" s="48">
        <v>0.75</v>
      </c>
      <c r="AJ1457" s="48" t="s">
        <v>320</v>
      </c>
      <c r="AK1457" s="48" t="s">
        <v>320</v>
      </c>
      <c r="AL1457" s="48" t="s">
        <v>320</v>
      </c>
      <c r="AM1457">
        <v>29</v>
      </c>
      <c r="AO1457" cm="1">
        <f t="array" ref="AO1457">SUM(IFERROR(MOD((H1457:AL1457-H1456:AL1456)*24,10),""))</f>
        <v>65</v>
      </c>
    </row>
    <row r="1458" spans="1:41" hidden="1" x14ac:dyDescent="0.25">
      <c r="A1458">
        <v>1457</v>
      </c>
      <c r="B1458">
        <v>2026</v>
      </c>
      <c r="C1458">
        <v>2</v>
      </c>
      <c r="D1458" t="s">
        <v>494</v>
      </c>
      <c r="E1458">
        <v>95</v>
      </c>
      <c r="F1458">
        <v>8</v>
      </c>
      <c r="G1458" t="s">
        <v>430</v>
      </c>
      <c r="H1458" s="134">
        <v>0.33333333333333331</v>
      </c>
      <c r="I1458" s="48">
        <v>0.33333333333333331</v>
      </c>
      <c r="J1458" s="48">
        <v>0.33333333333333331</v>
      </c>
      <c r="K1458" s="48">
        <v>0.33333333333333331</v>
      </c>
      <c r="L1458" s="48">
        <v>0.33333333333333331</v>
      </c>
      <c r="M1458" s="48">
        <v>0.33333333333333331</v>
      </c>
      <c r="N1458" s="48">
        <v>0.33333333333333331</v>
      </c>
      <c r="P1458" s="48">
        <v>0.33333333333333331</v>
      </c>
      <c r="Q1458" s="48">
        <v>0.33333333333333331</v>
      </c>
      <c r="R1458" s="48">
        <v>0.33333333333333331</v>
      </c>
      <c r="S1458" s="48">
        <v>0.33333333333333331</v>
      </c>
      <c r="T1458" s="48">
        <v>0.33333333333333331</v>
      </c>
      <c r="U1458" s="48">
        <v>0.33333333333333331</v>
      </c>
      <c r="X1458" s="48">
        <v>0.33333333333333331</v>
      </c>
      <c r="Y1458" s="48">
        <v>0.33333333333333331</v>
      </c>
      <c r="Z1458" s="48">
        <v>0.33333333333333331</v>
      </c>
      <c r="AA1458" s="48">
        <v>0.33333333333333331</v>
      </c>
      <c r="AB1458" s="48">
        <v>0.33333333333333331</v>
      </c>
      <c r="AC1458" s="48">
        <v>0.33333333333333331</v>
      </c>
      <c r="AD1458" s="48">
        <v>0.33333333333333331</v>
      </c>
      <c r="AE1458" s="48">
        <v>0.33333333333333331</v>
      </c>
      <c r="AF1458" s="48">
        <v>0.33333333333333331</v>
      </c>
      <c r="AG1458" s="48">
        <v>0.33333333333333331</v>
      </c>
      <c r="AH1458" s="48">
        <v>0.33333333333333331</v>
      </c>
      <c r="AI1458" s="48">
        <v>0.33333333333333331</v>
      </c>
    </row>
    <row r="1459" spans="1:41" hidden="1" x14ac:dyDescent="0.25">
      <c r="A1459">
        <v>1458</v>
      </c>
      <c r="B1459">
        <v>2026</v>
      </c>
      <c r="C1459">
        <v>2</v>
      </c>
      <c r="D1459" t="s">
        <v>494</v>
      </c>
      <c r="E1459">
        <v>95</v>
      </c>
      <c r="F1459">
        <v>8</v>
      </c>
      <c r="G1459" t="s">
        <v>431</v>
      </c>
      <c r="H1459" s="48">
        <v>0.75</v>
      </c>
      <c r="I1459" s="48">
        <v>0.75</v>
      </c>
      <c r="J1459" s="48">
        <v>0.75</v>
      </c>
      <c r="K1459" s="48">
        <v>0.75</v>
      </c>
      <c r="L1459" s="48">
        <v>0.75</v>
      </c>
      <c r="M1459" s="48">
        <v>0.75</v>
      </c>
      <c r="N1459" s="48">
        <v>0.75</v>
      </c>
      <c r="P1459" s="48">
        <v>0.75</v>
      </c>
      <c r="Q1459" s="48">
        <v>0.75</v>
      </c>
      <c r="R1459" s="48">
        <v>0.75</v>
      </c>
      <c r="S1459" s="48">
        <v>0.75</v>
      </c>
      <c r="T1459" s="48">
        <v>0.75</v>
      </c>
      <c r="U1459" s="48">
        <v>0.75</v>
      </c>
      <c r="X1459" s="48">
        <v>0.75</v>
      </c>
      <c r="Y1459" s="48">
        <v>0.75</v>
      </c>
      <c r="Z1459" s="48">
        <v>0.75</v>
      </c>
      <c r="AA1459" s="48">
        <v>0.75</v>
      </c>
      <c r="AB1459" s="48">
        <v>0.75</v>
      </c>
      <c r="AC1459" s="48">
        <v>0.75</v>
      </c>
      <c r="AD1459" s="48">
        <v>0.75</v>
      </c>
      <c r="AE1459" s="48">
        <v>0.75</v>
      </c>
      <c r="AF1459" s="48">
        <v>0.75</v>
      </c>
      <c r="AG1459" s="48">
        <v>0.75</v>
      </c>
      <c r="AH1459" s="48">
        <v>0.75</v>
      </c>
      <c r="AI1459" s="48">
        <v>0.75</v>
      </c>
      <c r="AM1459">
        <v>27</v>
      </c>
    </row>
    <row r="1460" spans="1:41" hidden="1" x14ac:dyDescent="0.25">
      <c r="A1460">
        <v>1459</v>
      </c>
      <c r="B1460">
        <v>2026</v>
      </c>
      <c r="C1460">
        <v>2</v>
      </c>
      <c r="D1460" t="s">
        <v>501</v>
      </c>
      <c r="E1460">
        <v>98</v>
      </c>
      <c r="F1460">
        <v>8</v>
      </c>
      <c r="G1460" t="s">
        <v>430</v>
      </c>
      <c r="H1460" s="134">
        <v>0.33333333333333331</v>
      </c>
      <c r="I1460" s="48">
        <v>0.33333333333333331</v>
      </c>
      <c r="J1460" s="48">
        <v>0.33333333333333331</v>
      </c>
      <c r="L1460" s="48">
        <v>0.33333333333333331</v>
      </c>
      <c r="M1460" s="48">
        <v>0.33333333333333331</v>
      </c>
      <c r="N1460" s="48">
        <v>0.33333333333333331</v>
      </c>
      <c r="O1460" s="48">
        <v>0.33333333333333331</v>
      </c>
      <c r="P1460" s="48">
        <v>0.33333333333333331</v>
      </c>
      <c r="Q1460" s="48">
        <v>0.33333333333333331</v>
      </c>
      <c r="R1460" s="48">
        <v>0.33333333333333331</v>
      </c>
      <c r="S1460" s="48">
        <v>0.33333333333333331</v>
      </c>
      <c r="T1460" s="48">
        <v>0.33333333333333331</v>
      </c>
      <c r="U1460" s="48">
        <v>0.33333333333333331</v>
      </c>
      <c r="V1460" s="48">
        <v>0.33333333333333331</v>
      </c>
      <c r="W1460" s="48">
        <v>0.33333333333333331</v>
      </c>
      <c r="X1460" s="48">
        <v>0.33333333333333331</v>
      </c>
      <c r="Y1460" s="48">
        <v>0.33333333333333331</v>
      </c>
      <c r="Z1460" s="48">
        <v>0.33333333333333331</v>
      </c>
      <c r="AA1460" s="48">
        <v>0.33333333333333331</v>
      </c>
      <c r="AB1460" s="48">
        <v>0.33333333333333331</v>
      </c>
      <c r="AC1460" s="48">
        <v>0.33333333333333331</v>
      </c>
      <c r="AD1460" s="48">
        <v>0.33333333333333331</v>
      </c>
      <c r="AE1460" s="48">
        <v>0.33333333333333331</v>
      </c>
      <c r="AF1460" s="48">
        <v>0.33333333333333331</v>
      </c>
      <c r="AG1460" s="48">
        <v>0.33333333333333331</v>
      </c>
      <c r="AH1460" s="48">
        <v>0.33333333333333331</v>
      </c>
      <c r="AI1460" s="48">
        <v>0.33333333333333331</v>
      </c>
    </row>
    <row r="1461" spans="1:41" hidden="1" x14ac:dyDescent="0.25">
      <c r="A1461">
        <v>1460</v>
      </c>
      <c r="B1461">
        <v>2026</v>
      </c>
      <c r="C1461">
        <v>2</v>
      </c>
      <c r="D1461" t="s">
        <v>501</v>
      </c>
      <c r="E1461">
        <v>98</v>
      </c>
      <c r="F1461">
        <v>8</v>
      </c>
      <c r="G1461" t="s">
        <v>431</v>
      </c>
      <c r="H1461" s="48">
        <v>0.75</v>
      </c>
      <c r="I1461" s="48">
        <v>0.75</v>
      </c>
      <c r="J1461" s="48">
        <v>0.75</v>
      </c>
      <c r="L1461" s="48">
        <v>0.75</v>
      </c>
      <c r="M1461" s="48">
        <v>0.75</v>
      </c>
      <c r="N1461" s="48">
        <v>0.75</v>
      </c>
      <c r="O1461" s="48">
        <v>0.75</v>
      </c>
      <c r="P1461" s="48">
        <v>0.75</v>
      </c>
      <c r="Q1461" s="48">
        <v>0.75</v>
      </c>
      <c r="R1461" s="48">
        <v>0.75</v>
      </c>
      <c r="S1461" s="48">
        <v>0.75</v>
      </c>
      <c r="T1461" s="48">
        <v>0.75</v>
      </c>
      <c r="U1461" s="48">
        <v>0.75</v>
      </c>
      <c r="V1461" s="48">
        <v>0.75</v>
      </c>
      <c r="W1461" s="48">
        <v>0.75</v>
      </c>
      <c r="X1461" s="48">
        <v>0.75</v>
      </c>
      <c r="Y1461" s="48">
        <v>0.75</v>
      </c>
      <c r="Z1461" s="48">
        <v>0.75</v>
      </c>
      <c r="AA1461" s="48">
        <v>0.75</v>
      </c>
      <c r="AB1461" s="48">
        <v>0.75</v>
      </c>
      <c r="AC1461" s="48">
        <v>0.75</v>
      </c>
      <c r="AD1461" s="48">
        <v>0.75</v>
      </c>
      <c r="AE1461" s="48">
        <v>0.75</v>
      </c>
      <c r="AF1461" s="48">
        <v>0.75</v>
      </c>
      <c r="AG1461" s="48">
        <v>0.75</v>
      </c>
      <c r="AH1461" s="48">
        <v>0.75</v>
      </c>
      <c r="AI1461" s="48">
        <v>0.75</v>
      </c>
      <c r="AM1461">
        <v>29</v>
      </c>
    </row>
    <row r="1462" spans="1:41" hidden="1" x14ac:dyDescent="0.25">
      <c r="A1462">
        <v>1461</v>
      </c>
      <c r="B1462">
        <v>2026</v>
      </c>
      <c r="C1462">
        <v>2</v>
      </c>
      <c r="D1462" t="s">
        <v>504</v>
      </c>
      <c r="E1462">
        <v>100</v>
      </c>
      <c r="F1462">
        <v>8</v>
      </c>
      <c r="G1462" t="s">
        <v>430</v>
      </c>
      <c r="H1462" s="134">
        <v>0.33333333333333331</v>
      </c>
      <c r="I1462" s="48">
        <v>0.33333333333333331</v>
      </c>
      <c r="J1462" s="48">
        <v>0.33333333333333331</v>
      </c>
      <c r="K1462" s="48">
        <v>0.33333333333333331</v>
      </c>
      <c r="L1462" s="48">
        <v>0.33333333333333331</v>
      </c>
      <c r="M1462" s="48">
        <v>0.33333333333333331</v>
      </c>
      <c r="N1462" s="48">
        <v>0.33333333333333331</v>
      </c>
      <c r="P1462" s="48">
        <v>0.33333333333333331</v>
      </c>
      <c r="Q1462" s="48">
        <v>0.33333333333333331</v>
      </c>
      <c r="R1462" s="48">
        <v>0.33333333333333331</v>
      </c>
      <c r="S1462" s="48">
        <v>0.33333333333333331</v>
      </c>
      <c r="T1462" s="48">
        <v>0.33333333333333331</v>
      </c>
      <c r="U1462" s="48">
        <v>0.33333333333333331</v>
      </c>
      <c r="W1462" s="48">
        <v>0.33333333333333331</v>
      </c>
      <c r="X1462" s="48">
        <v>0.33333333333333331</v>
      </c>
      <c r="Y1462" s="48">
        <v>0.33333333333333331</v>
      </c>
      <c r="Z1462" s="48">
        <v>0.33333333333333331</v>
      </c>
      <c r="AA1462" s="48">
        <v>0.33333333333333331</v>
      </c>
      <c r="AB1462" s="48">
        <v>0.33333333333333331</v>
      </c>
      <c r="AC1462" s="48">
        <v>0.33333333333333331</v>
      </c>
      <c r="AD1462" s="48">
        <v>0.33333333333333331</v>
      </c>
      <c r="AE1462" s="48">
        <v>0.33333333333333331</v>
      </c>
      <c r="AF1462" s="48">
        <v>0.33333333333333331</v>
      </c>
      <c r="AG1462" s="48">
        <v>0.33333333333333331</v>
      </c>
      <c r="AH1462" s="48">
        <v>0.33333333333333331</v>
      </c>
      <c r="AI1462" s="48">
        <v>0.33333333333333331</v>
      </c>
    </row>
    <row r="1463" spans="1:41" hidden="1" x14ac:dyDescent="0.25">
      <c r="A1463">
        <v>1462</v>
      </c>
      <c r="B1463">
        <v>2026</v>
      </c>
      <c r="C1463">
        <v>2</v>
      </c>
      <c r="D1463" t="s">
        <v>504</v>
      </c>
      <c r="E1463">
        <v>100</v>
      </c>
      <c r="F1463">
        <v>8</v>
      </c>
      <c r="G1463" t="s">
        <v>431</v>
      </c>
      <c r="H1463" s="48">
        <v>0.75</v>
      </c>
      <c r="I1463" s="48">
        <v>0.75</v>
      </c>
      <c r="J1463" s="48">
        <v>0.75</v>
      </c>
      <c r="K1463" s="48">
        <v>0.75</v>
      </c>
      <c r="L1463" s="48">
        <v>0.75</v>
      </c>
      <c r="M1463" s="48">
        <v>0.75</v>
      </c>
      <c r="N1463" s="48">
        <v>0.75</v>
      </c>
      <c r="P1463" s="48">
        <v>0.75</v>
      </c>
      <c r="Q1463" s="48">
        <v>0.75</v>
      </c>
      <c r="R1463" s="48">
        <v>0.75</v>
      </c>
      <c r="S1463" s="48">
        <v>0.75</v>
      </c>
      <c r="T1463" s="48">
        <v>0.75</v>
      </c>
      <c r="U1463" s="48">
        <v>0.75</v>
      </c>
      <c r="W1463" s="48">
        <v>0.75</v>
      </c>
      <c r="X1463" s="48">
        <v>0.75</v>
      </c>
      <c r="Y1463" s="48">
        <v>0.75</v>
      </c>
      <c r="Z1463" s="48">
        <v>0.75</v>
      </c>
      <c r="AA1463" s="48">
        <v>0.75</v>
      </c>
      <c r="AB1463" s="48">
        <v>0.75</v>
      </c>
      <c r="AC1463" s="48">
        <v>0.75</v>
      </c>
      <c r="AD1463" s="48">
        <v>0.75</v>
      </c>
      <c r="AE1463" s="48">
        <v>0.75</v>
      </c>
      <c r="AF1463" s="48">
        <v>0.75</v>
      </c>
      <c r="AG1463" s="48">
        <v>0.75</v>
      </c>
      <c r="AH1463" s="48">
        <v>0.75</v>
      </c>
      <c r="AI1463" s="48">
        <v>0.75</v>
      </c>
      <c r="AM1463">
        <v>27.999797999999998</v>
      </c>
    </row>
    <row r="1464" spans="1:41" hidden="1" x14ac:dyDescent="0.25">
      <c r="A1464">
        <v>1463</v>
      </c>
      <c r="B1464">
        <v>2026</v>
      </c>
      <c r="C1464">
        <v>2</v>
      </c>
      <c r="D1464" t="s">
        <v>525</v>
      </c>
      <c r="E1464">
        <v>110</v>
      </c>
      <c r="F1464">
        <v>7</v>
      </c>
      <c r="G1464" t="s">
        <v>430</v>
      </c>
      <c r="H1464" s="134">
        <v>0.33333333333333331</v>
      </c>
      <c r="I1464" s="48">
        <v>0.33333333333333331</v>
      </c>
      <c r="J1464" s="48">
        <v>0.33333333333333331</v>
      </c>
      <c r="K1464" s="48">
        <v>0.33333333333333331</v>
      </c>
      <c r="L1464" s="48">
        <v>0.33333333333333331</v>
      </c>
      <c r="M1464" s="48">
        <v>0.33333333333333331</v>
      </c>
      <c r="N1464" s="48">
        <v>0.33333333333333331</v>
      </c>
      <c r="O1464" s="48">
        <v>0.33333333333333331</v>
      </c>
      <c r="P1464" s="48">
        <v>0.33333333333333331</v>
      </c>
      <c r="Q1464" s="48">
        <v>0.33333333333333331</v>
      </c>
    </row>
    <row r="1465" spans="1:41" hidden="1" x14ac:dyDescent="0.25">
      <c r="A1465">
        <v>1464</v>
      </c>
      <c r="B1465">
        <v>2026</v>
      </c>
      <c r="C1465">
        <v>2</v>
      </c>
      <c r="D1465" t="s">
        <v>525</v>
      </c>
      <c r="E1465">
        <v>110</v>
      </c>
      <c r="F1465">
        <v>7</v>
      </c>
      <c r="G1465" t="s">
        <v>431</v>
      </c>
      <c r="H1465" s="48">
        <v>0.75</v>
      </c>
      <c r="I1465" s="48">
        <v>0.75</v>
      </c>
      <c r="J1465" s="48">
        <v>0.75</v>
      </c>
      <c r="K1465" s="48">
        <v>0.75</v>
      </c>
      <c r="L1465" s="48">
        <v>0.75</v>
      </c>
      <c r="M1465" s="48">
        <v>0.75</v>
      </c>
      <c r="N1465" s="48">
        <v>0.75</v>
      </c>
      <c r="O1465" s="48">
        <v>0.75</v>
      </c>
      <c r="P1465" s="48">
        <v>0.75</v>
      </c>
      <c r="Q1465" s="48">
        <v>0.75</v>
      </c>
      <c r="AM1465" cm="1">
        <f t="array" ref="AM1465">SUM(_xlfn.LET(_xlpm.r,((IFERROR(H1465:AL1465-H1464:AL1464,0))*24)/10,IF(_xlpm.r&gt;1,1,_xlpm.r)))</f>
        <v>10</v>
      </c>
      <c r="AO1465" s="20"/>
    </row>
    <row r="1466" spans="1:41" hidden="1" x14ac:dyDescent="0.25">
      <c r="A1466">
        <v>1465</v>
      </c>
      <c r="B1466">
        <v>2026</v>
      </c>
      <c r="C1466">
        <v>2</v>
      </c>
      <c r="D1466" t="s">
        <v>530</v>
      </c>
      <c r="E1466">
        <v>121</v>
      </c>
      <c r="F1466">
        <v>5</v>
      </c>
      <c r="G1466" t="s">
        <v>430</v>
      </c>
      <c r="H1466" s="134">
        <v>0.33333333333333331</v>
      </c>
      <c r="I1466" s="48">
        <v>0.33333333333333331</v>
      </c>
      <c r="J1466" s="48">
        <v>0.33333333333333331</v>
      </c>
      <c r="K1466" s="48">
        <v>0.33333333333333331</v>
      </c>
      <c r="L1466" s="48">
        <v>0.33333333333333331</v>
      </c>
      <c r="M1466" s="48">
        <v>0.33333333333333331</v>
      </c>
      <c r="N1466" s="48">
        <v>0.33333333333333331</v>
      </c>
      <c r="O1466" s="48">
        <v>0.33333333333333331</v>
      </c>
      <c r="P1466" s="48">
        <v>0.33333333333333331</v>
      </c>
      <c r="Q1466" s="48">
        <v>0.33333333333333331</v>
      </c>
      <c r="R1466" s="48">
        <v>0.33333333333333331</v>
      </c>
      <c r="S1466" s="48">
        <v>0.33333333333333331</v>
      </c>
      <c r="T1466" s="48">
        <v>0.33333333333333331</v>
      </c>
      <c r="U1466" s="48">
        <v>0.33333333333333331</v>
      </c>
      <c r="V1466" s="48">
        <v>0.33333333333333331</v>
      </c>
      <c r="W1466" s="48">
        <v>0.33333333333333331</v>
      </c>
      <c r="X1466" s="48">
        <v>0.33333333333333331</v>
      </c>
      <c r="Y1466" s="48">
        <v>0.33333333333333331</v>
      </c>
      <c r="Z1466" s="48">
        <v>0.33333333333333331</v>
      </c>
      <c r="AA1466" s="48">
        <v>0.33333333333333331</v>
      </c>
      <c r="AB1466" s="48">
        <v>0.33333333333333331</v>
      </c>
      <c r="AC1466" s="48">
        <v>0.33333333333333331</v>
      </c>
      <c r="AD1466" s="48">
        <v>0.33333333333333331</v>
      </c>
      <c r="AE1466" s="48">
        <v>0.33333333333333331</v>
      </c>
      <c r="AF1466" s="48">
        <v>0.33333333333333331</v>
      </c>
      <c r="AG1466" s="48">
        <v>0.33333333333333331</v>
      </c>
      <c r="AH1466" s="48">
        <v>0.33333333333333331</v>
      </c>
      <c r="AI1466" s="48">
        <v>0.33333333333333331</v>
      </c>
      <c r="AJ1466" s="117"/>
      <c r="AK1466" s="117"/>
      <c r="AL1466" s="117"/>
    </row>
    <row r="1467" spans="1:41" hidden="1" x14ac:dyDescent="0.25">
      <c r="A1467">
        <v>1466</v>
      </c>
      <c r="B1467">
        <v>2026</v>
      </c>
      <c r="C1467">
        <v>2</v>
      </c>
      <c r="D1467" t="s">
        <v>530</v>
      </c>
      <c r="E1467">
        <v>121</v>
      </c>
      <c r="F1467">
        <v>5</v>
      </c>
      <c r="G1467" t="s">
        <v>431</v>
      </c>
      <c r="H1467" s="48">
        <v>0.75</v>
      </c>
      <c r="I1467" s="48">
        <v>0.75</v>
      </c>
      <c r="J1467" s="48">
        <v>0.75</v>
      </c>
      <c r="K1467" s="48">
        <v>0.75</v>
      </c>
      <c r="L1467" s="48">
        <v>0.75</v>
      </c>
      <c r="M1467" s="48">
        <v>0.75</v>
      </c>
      <c r="N1467" s="48">
        <v>0.75</v>
      </c>
      <c r="O1467" s="48">
        <v>0.75</v>
      </c>
      <c r="P1467" s="48">
        <v>0.75</v>
      </c>
      <c r="Q1467" s="48">
        <v>0.75</v>
      </c>
      <c r="R1467" s="48">
        <v>0.75</v>
      </c>
      <c r="S1467" s="48">
        <v>0.75</v>
      </c>
      <c r="T1467" s="48">
        <v>0.75</v>
      </c>
      <c r="U1467" s="48">
        <v>0.75</v>
      </c>
      <c r="V1467" s="48">
        <v>0.75</v>
      </c>
      <c r="W1467" s="48">
        <v>0.75</v>
      </c>
      <c r="X1467" s="48">
        <v>0.75</v>
      </c>
      <c r="Y1467" s="48">
        <v>0.75</v>
      </c>
      <c r="Z1467" s="48">
        <v>0.75</v>
      </c>
      <c r="AA1467" s="48">
        <v>0.75</v>
      </c>
      <c r="AB1467" s="48">
        <v>0.75</v>
      </c>
      <c r="AC1467" s="48">
        <v>0.75</v>
      </c>
      <c r="AD1467" s="48">
        <v>0.75</v>
      </c>
      <c r="AE1467" s="48">
        <v>0.75</v>
      </c>
      <c r="AF1467" s="48">
        <v>0.75</v>
      </c>
      <c r="AG1467" s="48">
        <v>0.75</v>
      </c>
      <c r="AH1467" s="48">
        <v>0.75</v>
      </c>
      <c r="AI1467" s="48">
        <v>0.75</v>
      </c>
      <c r="AM1467">
        <v>30</v>
      </c>
    </row>
    <row r="1468" spans="1:41" hidden="1" x14ac:dyDescent="0.25">
      <c r="A1468">
        <v>1467</v>
      </c>
      <c r="B1468">
        <v>2026</v>
      </c>
      <c r="C1468">
        <v>2</v>
      </c>
      <c r="D1468" t="s">
        <v>531</v>
      </c>
      <c r="E1468">
        <v>141</v>
      </c>
      <c r="F1468">
        <v>4</v>
      </c>
      <c r="G1468" t="s">
        <v>430</v>
      </c>
      <c r="H1468" s="134"/>
      <c r="R1468" s="48">
        <v>0.33333333333333331</v>
      </c>
      <c r="S1468" s="48">
        <v>0.33333333333333331</v>
      </c>
      <c r="T1468" s="48">
        <v>0.33333333333333331</v>
      </c>
      <c r="U1468" s="48">
        <v>0.33333333333333331</v>
      </c>
      <c r="W1468" s="48">
        <v>0.33333333333333331</v>
      </c>
      <c r="X1468" s="48">
        <v>0.33333333333333331</v>
      </c>
      <c r="Y1468" s="48">
        <v>0.33333333333333331</v>
      </c>
      <c r="Z1468" s="48">
        <v>0.33333333333333331</v>
      </c>
      <c r="AA1468" s="48">
        <v>0.33333333333333331</v>
      </c>
      <c r="AB1468" s="48">
        <v>0.33333333333333331</v>
      </c>
      <c r="AC1468" s="48">
        <v>0.33333333333333331</v>
      </c>
      <c r="AD1468" s="48">
        <v>0.33333333333333331</v>
      </c>
      <c r="AE1468" s="48">
        <v>0.33333333333333331</v>
      </c>
      <c r="AF1468" s="48">
        <v>0.33333333333333331</v>
      </c>
      <c r="AG1468" s="48">
        <v>0.33333333333333331</v>
      </c>
      <c r="AH1468" s="48">
        <v>0.33333333333333331</v>
      </c>
      <c r="AI1468" s="48">
        <v>0.33333333333333331</v>
      </c>
    </row>
    <row r="1469" spans="1:41" hidden="1" x14ac:dyDescent="0.25">
      <c r="A1469">
        <v>1468</v>
      </c>
      <c r="B1469">
        <v>2026</v>
      </c>
      <c r="C1469">
        <v>2</v>
      </c>
      <c r="D1469" t="s">
        <v>531</v>
      </c>
      <c r="E1469">
        <v>141</v>
      </c>
      <c r="F1469">
        <v>4</v>
      </c>
      <c r="G1469" t="s">
        <v>431</v>
      </c>
      <c r="H1469" s="48" t="s">
        <v>320</v>
      </c>
      <c r="I1469" s="48" t="s">
        <v>320</v>
      </c>
      <c r="J1469" s="48" t="s">
        <v>320</v>
      </c>
      <c r="K1469" s="48" t="s">
        <v>320</v>
      </c>
      <c r="L1469" s="48" t="s">
        <v>320</v>
      </c>
      <c r="M1469" s="48" t="s">
        <v>320</v>
      </c>
      <c r="N1469" s="48" t="s">
        <v>320</v>
      </c>
      <c r="O1469" s="48" t="s">
        <v>320</v>
      </c>
      <c r="P1469" s="48" t="s">
        <v>320</v>
      </c>
      <c r="Q1469" s="48" t="s">
        <v>320</v>
      </c>
      <c r="R1469" s="48">
        <v>0.75</v>
      </c>
      <c r="S1469" s="48">
        <v>0.83333333333333337</v>
      </c>
      <c r="T1469" s="48">
        <v>0.91666666666666663</v>
      </c>
      <c r="U1469" s="48">
        <v>0.91666666666666663</v>
      </c>
      <c r="V1469" s="48" t="s">
        <v>320</v>
      </c>
      <c r="W1469" s="48">
        <v>0.75</v>
      </c>
      <c r="X1469" s="48">
        <v>0.75</v>
      </c>
      <c r="Y1469" s="48">
        <v>0.95833333333333337</v>
      </c>
      <c r="Z1469" s="48">
        <v>0.83333333333333337</v>
      </c>
      <c r="AA1469" s="48">
        <v>0.875</v>
      </c>
      <c r="AB1469" s="48">
        <v>1</v>
      </c>
      <c r="AC1469" s="48">
        <v>0.79166666666666663</v>
      </c>
      <c r="AD1469" s="48">
        <v>0.83333333333333337</v>
      </c>
      <c r="AE1469" s="48">
        <v>0.79166666666666663</v>
      </c>
      <c r="AF1469" s="48">
        <v>0.79166666666666663</v>
      </c>
      <c r="AG1469" s="48">
        <v>0.75</v>
      </c>
      <c r="AH1469" s="48">
        <v>0.75</v>
      </c>
      <c r="AI1469" s="48">
        <v>0.75</v>
      </c>
      <c r="AJ1469" s="48" t="s">
        <v>320</v>
      </c>
      <c r="AK1469" s="48" t="s">
        <v>320</v>
      </c>
      <c r="AL1469" s="48" t="s">
        <v>320</v>
      </c>
      <c r="AM1469">
        <v>17</v>
      </c>
      <c r="AO1469" cm="1">
        <f t="array" ref="AO1469">SUM(IFERROR(MOD((H1469:AL1469-H1468:AL1468)*24,10),""))</f>
        <v>31</v>
      </c>
    </row>
    <row r="1470" spans="1:41" hidden="1" x14ac:dyDescent="0.25">
      <c r="A1470">
        <v>1469</v>
      </c>
      <c r="B1470">
        <v>2026</v>
      </c>
      <c r="C1470">
        <v>2</v>
      </c>
      <c r="D1470" t="s">
        <v>704</v>
      </c>
      <c r="E1470">
        <v>172</v>
      </c>
      <c r="F1470">
        <v>2</v>
      </c>
      <c r="G1470" t="s">
        <v>430</v>
      </c>
      <c r="H1470" s="134">
        <v>0.33333333333333331</v>
      </c>
      <c r="I1470" s="48">
        <v>0.33333333333333331</v>
      </c>
      <c r="J1470" s="48">
        <v>0.33333333333333331</v>
      </c>
      <c r="K1470" s="48">
        <v>0.33333333333333331</v>
      </c>
      <c r="L1470" s="48">
        <v>0.33333333333333331</v>
      </c>
      <c r="M1470" s="48">
        <v>0.33333333333333331</v>
      </c>
      <c r="N1470" s="48">
        <v>0.33333333333333331</v>
      </c>
      <c r="P1470" s="48">
        <v>0.33333333333333331</v>
      </c>
      <c r="Q1470" s="48">
        <v>0.33333333333333331</v>
      </c>
      <c r="R1470" s="48">
        <v>0.33333333333333331</v>
      </c>
    </row>
    <row r="1471" spans="1:41" hidden="1" x14ac:dyDescent="0.25">
      <c r="A1471">
        <v>1470</v>
      </c>
      <c r="B1471">
        <v>2026</v>
      </c>
      <c r="C1471">
        <v>2</v>
      </c>
      <c r="D1471" t="s">
        <v>704</v>
      </c>
      <c r="E1471">
        <v>172</v>
      </c>
      <c r="F1471">
        <v>2</v>
      </c>
      <c r="G1471" t="s">
        <v>431</v>
      </c>
      <c r="H1471" s="48">
        <v>0.75</v>
      </c>
      <c r="I1471" s="48">
        <v>0.75</v>
      </c>
      <c r="J1471" s="48">
        <v>0.75</v>
      </c>
      <c r="K1471" s="48">
        <v>0.75</v>
      </c>
      <c r="L1471" s="48">
        <v>0.75</v>
      </c>
      <c r="M1471" s="48">
        <v>0.75</v>
      </c>
      <c r="N1471" s="48">
        <v>0.75</v>
      </c>
      <c r="P1471" s="48">
        <v>0.75</v>
      </c>
      <c r="Q1471" s="48">
        <v>0.75</v>
      </c>
      <c r="R1471" s="48">
        <v>0.75</v>
      </c>
      <c r="AM1471" cm="1">
        <f t="array" ref="AM1471">SUM(_xlfn.LET(_xlpm.r,((IFERROR(H1471:AL1471-H1470:AL1470,0))*24)/10,IF(_xlpm.r&gt;1,1,_xlpm.r)))</f>
        <v>10</v>
      </c>
    </row>
    <row r="1472" spans="1:41" hidden="1" x14ac:dyDescent="0.25">
      <c r="A1472">
        <v>1471</v>
      </c>
      <c r="B1472">
        <v>2026</v>
      </c>
      <c r="C1472">
        <v>2</v>
      </c>
      <c r="D1472" t="s">
        <v>638</v>
      </c>
      <c r="E1472">
        <v>51</v>
      </c>
      <c r="F1472">
        <v>7</v>
      </c>
      <c r="G1472" t="s">
        <v>430</v>
      </c>
      <c r="H1472" s="134">
        <v>0.33333333333333331</v>
      </c>
      <c r="I1472" s="48">
        <v>0.33333333333333331</v>
      </c>
      <c r="J1472" s="48">
        <v>0.33333333333333331</v>
      </c>
      <c r="K1472" s="48">
        <v>0.33333333333333331</v>
      </c>
      <c r="L1472" s="48">
        <v>0.33333333333333331</v>
      </c>
      <c r="M1472" s="48">
        <v>0.33333333333333331</v>
      </c>
      <c r="N1472" s="48">
        <v>0.33333333333333331</v>
      </c>
      <c r="O1472" s="48">
        <v>0.33333333333333331</v>
      </c>
      <c r="P1472" s="48">
        <v>0.33333333333333331</v>
      </c>
      <c r="Q1472" s="48">
        <v>0.33333333333333331</v>
      </c>
      <c r="R1472" s="48">
        <v>0.33333333333333331</v>
      </c>
      <c r="S1472" s="48">
        <v>0.33333333333333331</v>
      </c>
      <c r="T1472" s="48">
        <v>0.33333333333333331</v>
      </c>
      <c r="U1472" s="48">
        <v>0.33333333333333331</v>
      </c>
      <c r="V1472" s="48">
        <v>0.33333333333333331</v>
      </c>
      <c r="W1472" s="48">
        <v>0.33333333333333331</v>
      </c>
      <c r="X1472" s="48">
        <v>0.33333333333333331</v>
      </c>
      <c r="Y1472" s="48">
        <v>0.33333333333333331</v>
      </c>
      <c r="Z1472" s="48">
        <v>0.33333333333333331</v>
      </c>
      <c r="AA1472" s="48">
        <v>0.33333333333333331</v>
      </c>
      <c r="AB1472" s="48">
        <v>0.33333333333333331</v>
      </c>
      <c r="AC1472" s="48">
        <v>0.33333333333333331</v>
      </c>
      <c r="AD1472" s="48">
        <v>0.33333333333333331</v>
      </c>
      <c r="AE1472" s="48">
        <v>0.33333333333333331</v>
      </c>
      <c r="AF1472" s="48">
        <v>0.33333333333333331</v>
      </c>
      <c r="AG1472" s="48">
        <v>0.33333333333333331</v>
      </c>
      <c r="AH1472" s="48">
        <v>0.33333333333333331</v>
      </c>
      <c r="AI1472" s="48">
        <v>0.33333333333333331</v>
      </c>
    </row>
    <row r="1473" spans="1:41" hidden="1" x14ac:dyDescent="0.25">
      <c r="A1473">
        <v>1472</v>
      </c>
      <c r="B1473">
        <v>2026</v>
      </c>
      <c r="C1473">
        <v>2</v>
      </c>
      <c r="D1473" t="s">
        <v>638</v>
      </c>
      <c r="E1473">
        <v>51</v>
      </c>
      <c r="F1473">
        <v>7</v>
      </c>
      <c r="G1473" t="s">
        <v>431</v>
      </c>
      <c r="H1473" s="48">
        <v>0.75</v>
      </c>
      <c r="I1473" s="48">
        <v>0.875</v>
      </c>
      <c r="J1473" s="48">
        <v>0.75</v>
      </c>
      <c r="K1473" s="48">
        <v>0.75</v>
      </c>
      <c r="L1473" s="48">
        <v>0.75</v>
      </c>
      <c r="M1473" s="48">
        <v>0.75</v>
      </c>
      <c r="N1473" s="48">
        <v>0.75</v>
      </c>
      <c r="O1473" s="48">
        <v>0.75</v>
      </c>
      <c r="P1473" s="48">
        <v>0.75</v>
      </c>
      <c r="Q1473" s="48">
        <v>0.75</v>
      </c>
      <c r="R1473" s="48">
        <v>0.75</v>
      </c>
      <c r="S1473" s="48">
        <v>0.75</v>
      </c>
      <c r="T1473" s="48">
        <v>0.75</v>
      </c>
      <c r="U1473" s="48">
        <v>0.75</v>
      </c>
      <c r="V1473" s="48">
        <v>0.75</v>
      </c>
      <c r="W1473" s="48">
        <v>0.75</v>
      </c>
      <c r="X1473" s="48">
        <v>0.75</v>
      </c>
      <c r="Y1473" s="48">
        <v>0.75</v>
      </c>
      <c r="Z1473" s="48">
        <v>0.75</v>
      </c>
      <c r="AA1473" s="48">
        <v>0.75</v>
      </c>
      <c r="AB1473" s="48">
        <v>0.75</v>
      </c>
      <c r="AC1473" s="48">
        <v>0.75</v>
      </c>
      <c r="AD1473" s="48">
        <v>0.75</v>
      </c>
      <c r="AE1473" s="48">
        <v>0.79166666666666663</v>
      </c>
      <c r="AF1473" s="48">
        <v>0.75</v>
      </c>
      <c r="AG1473" s="48">
        <v>0.75</v>
      </c>
      <c r="AH1473" s="48">
        <v>0.75</v>
      </c>
      <c r="AI1473" s="48">
        <v>0.75</v>
      </c>
      <c r="AM1473">
        <v>30</v>
      </c>
      <c r="AO1473" cm="1">
        <f t="array" ref="AO1473">SUM(IFERROR(MOD((H1473:AL1473-H1472:AL1472)*24,10),""))</f>
        <v>4.0000000000000018</v>
      </c>
    </row>
    <row r="1474" spans="1:41" hidden="1" x14ac:dyDescent="0.25">
      <c r="A1474">
        <v>1473</v>
      </c>
      <c r="B1474">
        <v>2026</v>
      </c>
      <c r="C1474">
        <v>2</v>
      </c>
      <c r="D1474" t="s">
        <v>491</v>
      </c>
      <c r="E1474">
        <v>102</v>
      </c>
      <c r="F1474">
        <v>7</v>
      </c>
      <c r="G1474" t="s">
        <v>430</v>
      </c>
      <c r="H1474" s="134"/>
      <c r="I1474" s="48">
        <v>0.33333333333333331</v>
      </c>
      <c r="J1474" s="48">
        <v>0.33333333333333331</v>
      </c>
      <c r="K1474" s="48">
        <v>0.33333333333333331</v>
      </c>
      <c r="L1474" s="48">
        <v>0.33333333333333331</v>
      </c>
      <c r="M1474" s="48">
        <v>0.33333333333333331</v>
      </c>
      <c r="N1474" s="48">
        <v>0.33333333333333331</v>
      </c>
      <c r="P1474" s="48">
        <v>0.33333333333333331</v>
      </c>
      <c r="Q1474" s="48">
        <v>0.33333333333333331</v>
      </c>
      <c r="R1474" s="48">
        <v>0.33333333333333331</v>
      </c>
      <c r="S1474" s="48">
        <v>0.33333333333333331</v>
      </c>
      <c r="T1474" s="48">
        <v>0.33333333333333331</v>
      </c>
      <c r="U1474" s="48">
        <v>0.33333333333333331</v>
      </c>
      <c r="W1474" s="48">
        <v>0.33333333333333331</v>
      </c>
      <c r="X1474" s="48">
        <v>0.33333333333333331</v>
      </c>
      <c r="Y1474" s="48">
        <v>0.33333333333333331</v>
      </c>
      <c r="Z1474" s="48">
        <v>0.33333333333333331</v>
      </c>
      <c r="AA1474" s="48">
        <v>0.33333333333333331</v>
      </c>
      <c r="AB1474" s="48">
        <v>0.33333333333333331</v>
      </c>
      <c r="AD1474" s="48">
        <v>0.33333333333333331</v>
      </c>
      <c r="AE1474" s="48">
        <v>0.33333333333333331</v>
      </c>
      <c r="AF1474" s="48">
        <v>0.33333333333333331</v>
      </c>
      <c r="AG1474" s="48">
        <v>0.33333333333333331</v>
      </c>
      <c r="AH1474" s="48">
        <v>0.33333333333333331</v>
      </c>
      <c r="AI1474" s="48">
        <v>0.33333333333333331</v>
      </c>
    </row>
    <row r="1475" spans="1:41" hidden="1" x14ac:dyDescent="0.25">
      <c r="A1475">
        <v>1474</v>
      </c>
      <c r="B1475">
        <v>2026</v>
      </c>
      <c r="C1475">
        <v>2</v>
      </c>
      <c r="D1475" t="s">
        <v>491</v>
      </c>
      <c r="E1475">
        <v>102</v>
      </c>
      <c r="F1475">
        <v>7</v>
      </c>
      <c r="G1475" t="s">
        <v>431</v>
      </c>
      <c r="I1475" s="48">
        <v>0.75</v>
      </c>
      <c r="J1475" s="48">
        <v>0.75</v>
      </c>
      <c r="K1475" s="48">
        <v>0.75</v>
      </c>
      <c r="L1475" s="48">
        <v>0.75</v>
      </c>
      <c r="M1475" s="48">
        <v>0.75</v>
      </c>
      <c r="N1475" s="48">
        <v>0.75</v>
      </c>
      <c r="P1475" s="48">
        <v>0.75</v>
      </c>
      <c r="Q1475" s="48">
        <v>0.75</v>
      </c>
      <c r="R1475" s="48">
        <v>0.75</v>
      </c>
      <c r="S1475" s="48">
        <v>0.75</v>
      </c>
      <c r="T1475" s="48">
        <v>0.75</v>
      </c>
      <c r="U1475" s="48">
        <v>0.75</v>
      </c>
      <c r="W1475" s="48">
        <v>0.75</v>
      </c>
      <c r="X1475" s="48">
        <v>0.75</v>
      </c>
      <c r="Y1475" s="48">
        <v>0.75</v>
      </c>
      <c r="Z1475" s="48">
        <v>0.75</v>
      </c>
      <c r="AA1475" s="48">
        <v>0.75</v>
      </c>
      <c r="AB1475" s="48">
        <v>0.75</v>
      </c>
      <c r="AD1475" s="48">
        <v>0.75</v>
      </c>
      <c r="AE1475" s="48">
        <v>0.75</v>
      </c>
      <c r="AF1475" s="48">
        <v>0.75</v>
      </c>
      <c r="AG1475" s="48">
        <v>0.75</v>
      </c>
      <c r="AH1475" s="48">
        <v>0.75</v>
      </c>
      <c r="AI1475" s="48">
        <v>0.75</v>
      </c>
      <c r="AM1475" cm="1">
        <f t="array" ref="AM1475">SUM(_xlfn.LET(_xlpm.r,((IFERROR(H1475:AL1475-H1474:AL1474,0))*24)/10,IF(_xlpm.r&gt;1,1,_xlpm.r)))</f>
        <v>24</v>
      </c>
    </row>
    <row r="1476" spans="1:41" hidden="1" x14ac:dyDescent="0.25">
      <c r="A1476">
        <v>1475</v>
      </c>
      <c r="B1476">
        <v>2026</v>
      </c>
      <c r="C1476">
        <v>2</v>
      </c>
      <c r="D1476" t="s">
        <v>492</v>
      </c>
      <c r="E1476">
        <v>102</v>
      </c>
      <c r="F1476">
        <v>7</v>
      </c>
      <c r="G1476" t="s">
        <v>430</v>
      </c>
      <c r="H1476" s="134"/>
      <c r="I1476" s="48">
        <v>0.33333333333333331</v>
      </c>
      <c r="J1476" s="48">
        <v>0.33333333333333331</v>
      </c>
      <c r="K1476" s="48">
        <v>0.33333333333333331</v>
      </c>
      <c r="L1476" s="48">
        <v>0.33333333333333331</v>
      </c>
      <c r="M1476" s="48">
        <v>0.33333333333333331</v>
      </c>
      <c r="N1476" s="48">
        <v>0.33333333333333331</v>
      </c>
      <c r="P1476" s="48">
        <v>0.33333333333333331</v>
      </c>
      <c r="Q1476" s="48">
        <v>0.33333333333333331</v>
      </c>
      <c r="R1476" s="48">
        <v>0.33333333333333331</v>
      </c>
      <c r="S1476" s="48">
        <v>0.33333333333333331</v>
      </c>
      <c r="T1476" s="48">
        <v>0.33333333333333331</v>
      </c>
      <c r="U1476" s="48">
        <v>0.33333333333333331</v>
      </c>
      <c r="W1476" s="48">
        <v>0.33333333333333331</v>
      </c>
      <c r="X1476" s="48">
        <v>0.33333333333333331</v>
      </c>
      <c r="Y1476" s="48">
        <v>0.33333333333333331</v>
      </c>
      <c r="Z1476" s="48">
        <v>0.33333333333333331</v>
      </c>
      <c r="AA1476" s="48">
        <v>0.33333333333333331</v>
      </c>
      <c r="AB1476" s="48">
        <v>0.33333333333333331</v>
      </c>
      <c r="AD1476" s="48">
        <v>0.33333333333333331</v>
      </c>
      <c r="AE1476" s="48">
        <v>0.33333333333333331</v>
      </c>
      <c r="AF1476" s="48">
        <v>0.33333333333333331</v>
      </c>
      <c r="AG1476" s="48">
        <v>0.33333333333333331</v>
      </c>
      <c r="AH1476" s="48">
        <v>0.33333333333333331</v>
      </c>
      <c r="AI1476" s="48">
        <v>0.33333333333333331</v>
      </c>
    </row>
    <row r="1477" spans="1:41" hidden="1" x14ac:dyDescent="0.25">
      <c r="A1477">
        <v>1476</v>
      </c>
      <c r="B1477">
        <v>2026</v>
      </c>
      <c r="C1477">
        <v>2</v>
      </c>
      <c r="D1477" t="s">
        <v>492</v>
      </c>
      <c r="E1477">
        <v>102</v>
      </c>
      <c r="F1477">
        <v>7</v>
      </c>
      <c r="G1477" t="s">
        <v>431</v>
      </c>
      <c r="I1477" s="48">
        <v>0.75</v>
      </c>
      <c r="J1477" s="48">
        <v>0.75</v>
      </c>
      <c r="K1477" s="48">
        <v>0.75</v>
      </c>
      <c r="L1477" s="48">
        <v>0.75</v>
      </c>
      <c r="M1477" s="48">
        <v>0.75</v>
      </c>
      <c r="N1477" s="48">
        <v>0.75</v>
      </c>
      <c r="P1477" s="48">
        <v>0.75</v>
      </c>
      <c r="Q1477" s="48">
        <v>0.75</v>
      </c>
      <c r="R1477" s="48">
        <v>0.75</v>
      </c>
      <c r="S1477" s="48">
        <v>0.75</v>
      </c>
      <c r="T1477" s="48">
        <v>0.75</v>
      </c>
      <c r="U1477" s="48">
        <v>0.75</v>
      </c>
      <c r="W1477" s="48">
        <v>0.75</v>
      </c>
      <c r="X1477" s="48">
        <v>0.75</v>
      </c>
      <c r="Y1477" s="48">
        <v>0.75</v>
      </c>
      <c r="Z1477" s="48">
        <v>0.75</v>
      </c>
      <c r="AA1477" s="48">
        <v>0.75</v>
      </c>
      <c r="AB1477" s="48">
        <v>0.75</v>
      </c>
      <c r="AD1477" s="48">
        <v>0.75</v>
      </c>
      <c r="AE1477" s="48">
        <v>0.75</v>
      </c>
      <c r="AF1477" s="48">
        <v>0.75</v>
      </c>
      <c r="AG1477" s="48">
        <v>0.75</v>
      </c>
      <c r="AH1477" s="48">
        <v>0.75</v>
      </c>
      <c r="AI1477" s="48">
        <v>0.75</v>
      </c>
      <c r="AM1477" cm="1">
        <f t="array" ref="AM1477">SUM(_xlfn.LET(_xlpm.r,((IFERROR(H1477:AL1477-H1476:AL1476,0))*24)/10,IF(_xlpm.r&gt;1,1,_xlpm.r)))</f>
        <v>24</v>
      </c>
    </row>
    <row r="1478" spans="1:41" hidden="1" x14ac:dyDescent="0.25">
      <c r="A1478">
        <v>1477</v>
      </c>
      <c r="B1478">
        <v>2026</v>
      </c>
      <c r="C1478">
        <v>2</v>
      </c>
      <c r="D1478" t="s">
        <v>493</v>
      </c>
      <c r="E1478">
        <v>102</v>
      </c>
      <c r="F1478">
        <v>7</v>
      </c>
      <c r="G1478" t="s">
        <v>430</v>
      </c>
      <c r="H1478" s="48">
        <v>0.33333333333333331</v>
      </c>
      <c r="I1478" s="48">
        <v>0.33333333333333331</v>
      </c>
      <c r="J1478" s="48">
        <v>0.33333333333333331</v>
      </c>
      <c r="K1478" s="48">
        <v>0.33333333333333331</v>
      </c>
      <c r="L1478" s="48">
        <v>0.33333333333333331</v>
      </c>
      <c r="M1478" s="48">
        <v>0.33333333333333331</v>
      </c>
      <c r="N1478" s="48">
        <v>0.33333333333333331</v>
      </c>
      <c r="O1478" s="48">
        <v>0.33333333333333331</v>
      </c>
      <c r="P1478" s="48">
        <v>0.33333333333333331</v>
      </c>
      <c r="Q1478" s="48">
        <v>0.33333333333333331</v>
      </c>
      <c r="R1478" s="48">
        <v>0.33333333333333331</v>
      </c>
      <c r="S1478" s="48">
        <v>0.33333333333333331</v>
      </c>
      <c r="T1478" s="48">
        <v>0.33333333333333331</v>
      </c>
      <c r="U1478" s="48">
        <v>0.33333333333333331</v>
      </c>
      <c r="V1478" s="48">
        <v>0.33333333333333331</v>
      </c>
      <c r="W1478" s="48">
        <v>0.33333333333333331</v>
      </c>
      <c r="X1478" s="48">
        <v>0.33333333333333331</v>
      </c>
      <c r="Y1478" s="48">
        <v>0.33333333333333331</v>
      </c>
      <c r="Z1478" s="48">
        <v>0.33333333333333331</v>
      </c>
      <c r="AA1478" s="48">
        <v>0.33333333333333331</v>
      </c>
      <c r="AB1478" s="48">
        <v>0.33333333333333331</v>
      </c>
      <c r="AC1478" s="48">
        <v>0.33333333333333331</v>
      </c>
      <c r="AD1478" s="48">
        <v>0.33333333333333331</v>
      </c>
      <c r="AE1478" s="48">
        <v>0.33333333333333331</v>
      </c>
      <c r="AF1478" s="48">
        <v>0.33333333333333331</v>
      </c>
      <c r="AG1478" s="48">
        <v>0.33333333333333331</v>
      </c>
      <c r="AH1478" s="48">
        <v>0.33333333333333331</v>
      </c>
      <c r="AI1478" s="48">
        <v>0.33333333333333331</v>
      </c>
    </row>
    <row r="1479" spans="1:41" hidden="1" x14ac:dyDescent="0.25">
      <c r="A1479">
        <v>1478</v>
      </c>
      <c r="B1479">
        <v>2026</v>
      </c>
      <c r="C1479">
        <v>2</v>
      </c>
      <c r="D1479" t="s">
        <v>493</v>
      </c>
      <c r="E1479">
        <v>102</v>
      </c>
      <c r="F1479">
        <v>7</v>
      </c>
      <c r="G1479" t="s">
        <v>431</v>
      </c>
      <c r="H1479" s="48">
        <v>0.75</v>
      </c>
      <c r="I1479" s="48">
        <v>0.75</v>
      </c>
      <c r="J1479" s="48">
        <v>0.75</v>
      </c>
      <c r="K1479" s="48">
        <v>0.875</v>
      </c>
      <c r="L1479" s="48">
        <v>0.75</v>
      </c>
      <c r="M1479" s="48">
        <v>0.83333333333333337</v>
      </c>
      <c r="N1479" s="48">
        <v>0.75</v>
      </c>
      <c r="O1479" s="48">
        <v>0.75</v>
      </c>
      <c r="P1479" s="48">
        <v>0.83333333333333337</v>
      </c>
      <c r="Q1479" s="48">
        <v>0.75</v>
      </c>
      <c r="R1479" s="48">
        <v>0.83333333333333337</v>
      </c>
      <c r="S1479" s="48">
        <v>0.83333333333333337</v>
      </c>
      <c r="T1479" s="48">
        <v>0.75</v>
      </c>
      <c r="U1479" s="48">
        <v>0.83333333333333337</v>
      </c>
      <c r="V1479" s="48">
        <v>0.75</v>
      </c>
      <c r="W1479" s="48">
        <v>0.75</v>
      </c>
      <c r="X1479" s="48">
        <v>0.75</v>
      </c>
      <c r="Y1479" s="48">
        <v>0.75</v>
      </c>
      <c r="Z1479" s="48">
        <v>0.75</v>
      </c>
      <c r="AA1479" s="48">
        <v>0.75</v>
      </c>
      <c r="AB1479" s="48">
        <v>0.83333333333333337</v>
      </c>
      <c r="AC1479" s="48">
        <v>0.75</v>
      </c>
      <c r="AD1479" s="48">
        <v>0.75</v>
      </c>
      <c r="AE1479" s="48">
        <v>0.75</v>
      </c>
      <c r="AF1479" s="48">
        <v>0.75</v>
      </c>
      <c r="AG1479" s="48">
        <v>0.75</v>
      </c>
      <c r="AH1479" s="48">
        <v>0.75</v>
      </c>
      <c r="AI1479" s="48">
        <v>0.75</v>
      </c>
      <c r="AJ1479" s="48" t="s">
        <v>320</v>
      </c>
      <c r="AK1479" s="48" t="s">
        <v>320</v>
      </c>
      <c r="AL1479" s="48" t="s">
        <v>320</v>
      </c>
      <c r="AM1479">
        <v>30</v>
      </c>
      <c r="AO1479">
        <v>15</v>
      </c>
    </row>
    <row r="1480" spans="1:41" hidden="1" x14ac:dyDescent="0.25">
      <c r="A1480">
        <v>1479</v>
      </c>
      <c r="B1480">
        <v>2026</v>
      </c>
      <c r="C1480">
        <v>2</v>
      </c>
      <c r="D1480" t="s">
        <v>703</v>
      </c>
      <c r="E1480">
        <v>163</v>
      </c>
      <c r="F1480">
        <v>2</v>
      </c>
      <c r="G1480" t="s">
        <v>430</v>
      </c>
      <c r="H1480" s="134"/>
      <c r="I1480" s="48">
        <v>0.33333333333333331</v>
      </c>
      <c r="J1480" s="48">
        <v>0.33333333333333331</v>
      </c>
      <c r="K1480" s="48">
        <v>0.33333333333333331</v>
      </c>
      <c r="L1480" s="48">
        <v>0.33333333333333331</v>
      </c>
      <c r="M1480" s="48">
        <v>0.33333333333333331</v>
      </c>
      <c r="N1480" s="48">
        <v>0.33333333333333331</v>
      </c>
      <c r="P1480" s="48">
        <v>0.33333333333333331</v>
      </c>
      <c r="Q1480" s="48">
        <v>0.33333333333333331</v>
      </c>
      <c r="R1480" s="48">
        <v>0.33333333333333331</v>
      </c>
      <c r="S1480" s="48">
        <v>0.33333333333333331</v>
      </c>
      <c r="T1480" s="48">
        <v>0.33333333333333331</v>
      </c>
      <c r="U1480" s="48">
        <v>0.33333333333333331</v>
      </c>
      <c r="V1480" s="48">
        <v>0.33333333333333331</v>
      </c>
      <c r="W1480" s="48">
        <v>0.33333333333333331</v>
      </c>
      <c r="X1480" s="48">
        <v>0.33333333333333331</v>
      </c>
      <c r="Y1480" s="48">
        <v>0.33333333333333331</v>
      </c>
      <c r="Z1480" s="48">
        <v>0.33333333333333331</v>
      </c>
      <c r="AA1480" s="48">
        <v>0.33333333333333331</v>
      </c>
      <c r="AB1480" s="48">
        <v>0.33333333333333331</v>
      </c>
      <c r="AC1480" s="48">
        <v>0.33333333333333331</v>
      </c>
      <c r="AD1480" s="48">
        <v>0.33333333333333331</v>
      </c>
      <c r="AE1480" s="48">
        <v>0.33333333333333331</v>
      </c>
      <c r="AF1480" s="48">
        <v>0.33333333333333331</v>
      </c>
      <c r="AG1480" s="48">
        <v>0.33333333333333331</v>
      </c>
      <c r="AH1480" s="48">
        <v>0.33333333333333331</v>
      </c>
      <c r="AI1480" s="48">
        <v>0.33333333333333331</v>
      </c>
    </row>
    <row r="1481" spans="1:41" hidden="1" x14ac:dyDescent="0.25">
      <c r="A1481">
        <v>1480</v>
      </c>
      <c r="B1481">
        <v>2026</v>
      </c>
      <c r="C1481">
        <v>2</v>
      </c>
      <c r="D1481" t="s">
        <v>703</v>
      </c>
      <c r="E1481">
        <v>163</v>
      </c>
      <c r="F1481">
        <v>2</v>
      </c>
      <c r="G1481" t="s">
        <v>431</v>
      </c>
      <c r="I1481" s="48">
        <v>0.75</v>
      </c>
      <c r="J1481" s="48">
        <v>0.75</v>
      </c>
      <c r="K1481" s="48">
        <v>0.75</v>
      </c>
      <c r="L1481" s="48">
        <v>0.75</v>
      </c>
      <c r="M1481" s="48">
        <v>0.75</v>
      </c>
      <c r="N1481" s="48">
        <v>0.75</v>
      </c>
      <c r="P1481" s="48">
        <v>0.75</v>
      </c>
      <c r="Q1481" s="48">
        <v>0.75</v>
      </c>
      <c r="R1481" s="48">
        <v>0.75</v>
      </c>
      <c r="S1481" s="48">
        <v>0.75</v>
      </c>
      <c r="T1481" s="48">
        <v>0.75</v>
      </c>
      <c r="U1481" s="48">
        <v>0.75</v>
      </c>
      <c r="V1481" s="48">
        <v>0.75</v>
      </c>
      <c r="W1481" s="48">
        <v>0.75</v>
      </c>
      <c r="X1481" s="48">
        <v>0.75</v>
      </c>
      <c r="Y1481" s="48">
        <v>0.75</v>
      </c>
      <c r="Z1481" s="48">
        <v>0.75</v>
      </c>
      <c r="AA1481" s="48">
        <v>0.75</v>
      </c>
      <c r="AB1481" s="48">
        <v>0.75</v>
      </c>
      <c r="AC1481" s="48">
        <v>0.75</v>
      </c>
      <c r="AD1481" s="48">
        <v>0.75</v>
      </c>
      <c r="AE1481" s="48">
        <v>0.75</v>
      </c>
      <c r="AF1481" s="48">
        <v>0.75</v>
      </c>
      <c r="AG1481" s="48">
        <v>0.75</v>
      </c>
      <c r="AH1481" s="48">
        <v>0.75</v>
      </c>
      <c r="AI1481" s="48">
        <v>0.75</v>
      </c>
      <c r="AM1481">
        <v>28</v>
      </c>
    </row>
    <row r="1482" spans="1:41" hidden="1" x14ac:dyDescent="0.25">
      <c r="A1482">
        <v>1481</v>
      </c>
      <c r="B1482">
        <v>2026</v>
      </c>
      <c r="C1482">
        <v>2</v>
      </c>
      <c r="D1482" t="s">
        <v>151</v>
      </c>
      <c r="E1482">
        <v>31</v>
      </c>
      <c r="F1482">
        <v>13</v>
      </c>
      <c r="G1482" t="s">
        <v>430</v>
      </c>
      <c r="H1482" s="48">
        <v>46023.291666666664</v>
      </c>
      <c r="I1482" s="48">
        <v>46024.291666666664</v>
      </c>
      <c r="J1482" s="48">
        <v>46025.291666666664</v>
      </c>
      <c r="K1482" s="48">
        <v>46026.291666666664</v>
      </c>
      <c r="L1482" s="48">
        <v>46027.291666666664</v>
      </c>
      <c r="M1482" s="48">
        <v>46028.291666666664</v>
      </c>
      <c r="N1482" s="48">
        <v>46029.291666666664</v>
      </c>
      <c r="O1482" s="48">
        <v>46030.291666666664</v>
      </c>
      <c r="P1482" s="48">
        <v>46031.291666666664</v>
      </c>
      <c r="Q1482" s="48">
        <v>46032.291666666664</v>
      </c>
      <c r="R1482" s="48">
        <v>46033.291666666664</v>
      </c>
      <c r="S1482" s="48">
        <v>46034.291666666664</v>
      </c>
      <c r="T1482" s="48">
        <v>46035.291666666664</v>
      </c>
      <c r="U1482" s="48">
        <v>46036.291666666664</v>
      </c>
      <c r="V1482" s="48">
        <v>46037.291666666664</v>
      </c>
      <c r="W1482" s="48">
        <v>46038.291666666664</v>
      </c>
      <c r="X1482" s="48">
        <v>46039.291666666664</v>
      </c>
      <c r="Y1482" s="48">
        <v>46040.291666666664</v>
      </c>
      <c r="Z1482" s="48">
        <v>46041.291666666664</v>
      </c>
      <c r="AA1482" s="48">
        <v>46042.291666666664</v>
      </c>
      <c r="AB1482" s="48">
        <v>46043.291666666664</v>
      </c>
      <c r="AC1482" s="48">
        <v>46044.291666666664</v>
      </c>
      <c r="AD1482" s="48">
        <v>46045.291666666664</v>
      </c>
      <c r="AE1482" s="48">
        <v>46046.291666666664</v>
      </c>
      <c r="AF1482" s="48">
        <v>46047.291666666664</v>
      </c>
      <c r="AG1482" s="48">
        <v>46048.291666666664</v>
      </c>
      <c r="AH1482" s="48">
        <v>46049.291666666664</v>
      </c>
      <c r="AI1482" s="48">
        <v>46050.291666666664</v>
      </c>
    </row>
    <row r="1483" spans="1:41" hidden="1" x14ac:dyDescent="0.25">
      <c r="A1483">
        <v>1482</v>
      </c>
      <c r="B1483">
        <v>2026</v>
      </c>
      <c r="C1483">
        <v>2</v>
      </c>
      <c r="D1483" t="s">
        <v>151</v>
      </c>
      <c r="E1483">
        <v>31</v>
      </c>
      <c r="F1483">
        <v>13</v>
      </c>
      <c r="G1483" t="s">
        <v>431</v>
      </c>
      <c r="H1483" s="48">
        <v>46024.25</v>
      </c>
      <c r="I1483" s="48">
        <v>46025.25</v>
      </c>
      <c r="J1483" s="48">
        <v>46026.25</v>
      </c>
      <c r="K1483" s="48">
        <v>46027.25</v>
      </c>
      <c r="L1483" s="48">
        <v>46028.25</v>
      </c>
      <c r="M1483" s="48">
        <v>46029.25</v>
      </c>
      <c r="N1483" s="48">
        <v>46030.25</v>
      </c>
      <c r="O1483" s="48">
        <v>46031.25</v>
      </c>
      <c r="P1483" s="48">
        <v>46032.25</v>
      </c>
      <c r="Q1483" s="48">
        <v>46033.25</v>
      </c>
      <c r="R1483" s="48">
        <v>46034.25</v>
      </c>
      <c r="S1483" s="48">
        <v>46035.25</v>
      </c>
      <c r="T1483" s="48">
        <v>46036.25</v>
      </c>
      <c r="U1483" s="48">
        <v>46037.25</v>
      </c>
      <c r="V1483" s="48">
        <v>46038.25</v>
      </c>
      <c r="W1483" s="48">
        <v>46039.25</v>
      </c>
      <c r="X1483" s="48">
        <v>46040.25</v>
      </c>
      <c r="Y1483" s="48">
        <v>46041.25</v>
      </c>
      <c r="Z1483" s="48">
        <v>46042.25</v>
      </c>
      <c r="AA1483" s="48">
        <v>46043.25</v>
      </c>
      <c r="AB1483" s="48">
        <v>46044.25</v>
      </c>
      <c r="AC1483" s="48">
        <v>46045.25</v>
      </c>
      <c r="AD1483" s="48">
        <v>46046.25</v>
      </c>
      <c r="AE1483" s="48">
        <v>46047.25</v>
      </c>
      <c r="AF1483" s="48">
        <v>46048.25</v>
      </c>
      <c r="AG1483" s="48">
        <v>46049.25</v>
      </c>
      <c r="AH1483" s="48">
        <v>46050.25</v>
      </c>
      <c r="AI1483" s="48">
        <v>46051.25</v>
      </c>
      <c r="AM1483">
        <v>2</v>
      </c>
      <c r="AN1483" cm="1">
        <f t="array" ref="AN1483">SUM((H1483:AL1483-H1482:AL1482)*24)/23</f>
        <v>28.000000000070862</v>
      </c>
    </row>
    <row r="1484" spans="1:41" hidden="1" x14ac:dyDescent="0.25">
      <c r="A1484">
        <v>1483</v>
      </c>
      <c r="B1484">
        <v>2026</v>
      </c>
      <c r="C1484">
        <v>2</v>
      </c>
      <c r="D1484" t="s">
        <v>184</v>
      </c>
      <c r="E1484">
        <v>31</v>
      </c>
      <c r="F1484">
        <v>13</v>
      </c>
      <c r="G1484" t="s">
        <v>430</v>
      </c>
      <c r="H1484" s="48" t="s">
        <v>375</v>
      </c>
      <c r="I1484" s="48" t="s">
        <v>375</v>
      </c>
      <c r="J1484" s="48" t="s">
        <v>375</v>
      </c>
      <c r="K1484" s="48" t="s">
        <v>375</v>
      </c>
      <c r="L1484" s="48" t="s">
        <v>375</v>
      </c>
      <c r="M1484" s="48" t="s">
        <v>375</v>
      </c>
      <c r="N1484" s="48" t="s">
        <v>375</v>
      </c>
      <c r="O1484" s="48" t="s">
        <v>375</v>
      </c>
      <c r="P1484" s="48" t="s">
        <v>375</v>
      </c>
      <c r="Q1484" s="48" t="s">
        <v>375</v>
      </c>
      <c r="R1484" s="48" t="s">
        <v>375</v>
      </c>
      <c r="S1484" s="48" t="s">
        <v>375</v>
      </c>
      <c r="T1484" s="48" t="s">
        <v>375</v>
      </c>
      <c r="U1484" s="48" t="s">
        <v>375</v>
      </c>
      <c r="V1484" s="48" t="s">
        <v>377</v>
      </c>
      <c r="W1484" s="48" t="s">
        <v>375</v>
      </c>
      <c r="X1484" s="48" t="s">
        <v>375</v>
      </c>
      <c r="Y1484" s="48" t="s">
        <v>375</v>
      </c>
      <c r="Z1484" s="48" t="s">
        <v>375</v>
      </c>
      <c r="AA1484" s="48" t="s">
        <v>375</v>
      </c>
      <c r="AB1484" s="48" t="s">
        <v>375</v>
      </c>
      <c r="AC1484" s="48" t="s">
        <v>375</v>
      </c>
      <c r="AD1484" s="48" t="s">
        <v>375</v>
      </c>
      <c r="AE1484" s="48" t="s">
        <v>375</v>
      </c>
      <c r="AF1484" s="48" t="s">
        <v>375</v>
      </c>
      <c r="AG1484" s="48" t="s">
        <v>375</v>
      </c>
      <c r="AH1484" s="48" t="s">
        <v>375</v>
      </c>
      <c r="AI1484" s="48" t="s">
        <v>375</v>
      </c>
    </row>
    <row r="1485" spans="1:41" hidden="1" x14ac:dyDescent="0.25">
      <c r="A1485">
        <v>1484</v>
      </c>
      <c r="B1485">
        <v>2026</v>
      </c>
      <c r="C1485">
        <v>2</v>
      </c>
      <c r="D1485" t="s">
        <v>184</v>
      </c>
      <c r="E1485">
        <v>31</v>
      </c>
      <c r="F1485">
        <v>13</v>
      </c>
      <c r="G1485" t="s">
        <v>431</v>
      </c>
      <c r="H1485" s="48">
        <v>0.75</v>
      </c>
      <c r="I1485" s="48">
        <v>0.75</v>
      </c>
      <c r="J1485" s="48">
        <v>0.75</v>
      </c>
      <c r="K1485" s="48">
        <v>0.75</v>
      </c>
      <c r="L1485" s="48">
        <v>0.75</v>
      </c>
      <c r="M1485" s="48">
        <v>0.75</v>
      </c>
      <c r="N1485" s="48">
        <v>0.875</v>
      </c>
      <c r="O1485" s="48">
        <v>0.875</v>
      </c>
      <c r="P1485" s="48">
        <v>0.75</v>
      </c>
      <c r="Q1485" s="48">
        <v>0.875</v>
      </c>
      <c r="R1485" s="48">
        <v>0.83333333333333326</v>
      </c>
      <c r="S1485" s="48">
        <v>0.75</v>
      </c>
      <c r="T1485" s="48">
        <v>0.75</v>
      </c>
      <c r="U1485" s="48">
        <v>0.83333333333333326</v>
      </c>
      <c r="V1485" s="48">
        <v>0.85416666666666663</v>
      </c>
      <c r="W1485" s="48">
        <v>0.75</v>
      </c>
      <c r="X1485" s="48">
        <v>0.75</v>
      </c>
      <c r="Y1485" s="48">
        <v>0.75</v>
      </c>
      <c r="Z1485" s="48">
        <v>0.75</v>
      </c>
      <c r="AA1485" s="48">
        <v>0.75</v>
      </c>
      <c r="AB1485" s="48">
        <v>0.79166666666666674</v>
      </c>
      <c r="AC1485" s="48">
        <v>0.875</v>
      </c>
      <c r="AD1485" s="48">
        <v>0.75</v>
      </c>
      <c r="AE1485" s="48">
        <v>0.75</v>
      </c>
      <c r="AF1485" s="48">
        <v>0.75</v>
      </c>
      <c r="AG1485" s="48">
        <v>0.75</v>
      </c>
      <c r="AH1485" s="48">
        <v>0.75</v>
      </c>
      <c r="AI1485" s="48">
        <v>0.75</v>
      </c>
      <c r="AM1485">
        <v>30</v>
      </c>
      <c r="AO1485" cm="1">
        <f t="array" ref="AO1485">SUM(IFERROR(MOD((H1485:AL1485-H1484:AL1484)*24,11),""))</f>
        <v>20.999999999999986</v>
      </c>
    </row>
    <row r="1486" spans="1:41" hidden="1" x14ac:dyDescent="0.25">
      <c r="A1486">
        <v>1485</v>
      </c>
      <c r="B1486">
        <v>2026</v>
      </c>
      <c r="C1486">
        <v>2</v>
      </c>
      <c r="D1486" t="s">
        <v>155</v>
      </c>
      <c r="E1486">
        <v>31</v>
      </c>
      <c r="F1486">
        <v>13</v>
      </c>
      <c r="G1486" t="s">
        <v>430</v>
      </c>
      <c r="H1486" s="48" t="s">
        <v>377</v>
      </c>
      <c r="I1486" s="48" t="s">
        <v>377</v>
      </c>
      <c r="J1486" s="48" t="s">
        <v>377</v>
      </c>
      <c r="K1486" s="48" t="s">
        <v>377</v>
      </c>
      <c r="L1486" s="48" t="s">
        <v>377</v>
      </c>
      <c r="M1486" s="48" t="s">
        <v>377</v>
      </c>
      <c r="N1486" s="48" t="s">
        <v>377</v>
      </c>
      <c r="O1486" s="48" t="s">
        <v>377</v>
      </c>
      <c r="P1486" s="48" t="s">
        <v>377</v>
      </c>
      <c r="Q1486" s="48" t="s">
        <v>377</v>
      </c>
      <c r="R1486" s="48" t="s">
        <v>377</v>
      </c>
      <c r="S1486" s="48" t="s">
        <v>377</v>
      </c>
      <c r="T1486" s="48" t="s">
        <v>377</v>
      </c>
      <c r="U1486" s="48" t="s">
        <v>377</v>
      </c>
      <c r="V1486" s="48" t="s">
        <v>377</v>
      </c>
      <c r="W1486" s="48" t="s">
        <v>377</v>
      </c>
      <c r="X1486" s="48" t="s">
        <v>377</v>
      </c>
      <c r="Y1486" s="48" t="s">
        <v>377</v>
      </c>
      <c r="Z1486" s="48" t="s">
        <v>377</v>
      </c>
      <c r="AA1486" s="48" t="s">
        <v>377</v>
      </c>
      <c r="AB1486" s="48" t="s">
        <v>377</v>
      </c>
      <c r="AC1486" s="48" t="s">
        <v>377</v>
      </c>
      <c r="AD1486" s="48" t="s">
        <v>377</v>
      </c>
      <c r="AE1486" s="48" t="s">
        <v>377</v>
      </c>
      <c r="AF1486" s="48" t="s">
        <v>377</v>
      </c>
      <c r="AG1486" s="48" t="s">
        <v>377</v>
      </c>
      <c r="AH1486" s="48" t="s">
        <v>377</v>
      </c>
      <c r="AI1486" s="48" t="s">
        <v>377</v>
      </c>
    </row>
    <row r="1487" spans="1:41" hidden="1" x14ac:dyDescent="0.25">
      <c r="A1487">
        <v>1486</v>
      </c>
      <c r="B1487">
        <v>2026</v>
      </c>
      <c r="C1487">
        <v>2</v>
      </c>
      <c r="D1487" t="s">
        <v>155</v>
      </c>
      <c r="E1487">
        <v>31</v>
      </c>
      <c r="F1487">
        <v>13</v>
      </c>
      <c r="G1487" t="s">
        <v>431</v>
      </c>
      <c r="H1487" s="48">
        <v>0.77083333333333326</v>
      </c>
      <c r="I1487" s="48">
        <v>0.77083333333333326</v>
      </c>
      <c r="J1487" s="48">
        <v>0.85416666666666663</v>
      </c>
      <c r="K1487" s="48">
        <v>0.77083333333333326</v>
      </c>
      <c r="L1487" s="48">
        <v>0.77083333333333326</v>
      </c>
      <c r="M1487" s="48">
        <v>0.85416666666666663</v>
      </c>
      <c r="N1487" s="48">
        <v>0.8125</v>
      </c>
      <c r="O1487" s="48">
        <v>0.77083333333333326</v>
      </c>
      <c r="P1487" s="48">
        <v>0.77083333333333326</v>
      </c>
      <c r="Q1487" s="48">
        <v>0.77083333333333326</v>
      </c>
      <c r="R1487" s="48">
        <v>0.85416666666666663</v>
      </c>
      <c r="S1487" s="48">
        <v>0.85416666666666663</v>
      </c>
      <c r="T1487" s="48">
        <v>0.77083333333333326</v>
      </c>
      <c r="U1487" s="48">
        <v>0.85416666666666663</v>
      </c>
      <c r="V1487" s="48">
        <v>0.77083333333333326</v>
      </c>
      <c r="W1487" s="48">
        <v>0.77083333333333326</v>
      </c>
      <c r="X1487" s="48">
        <v>0.77083333333333326</v>
      </c>
      <c r="Y1487" s="48">
        <v>0.85416666666666663</v>
      </c>
      <c r="Z1487" s="48">
        <v>0.85416666666666663</v>
      </c>
      <c r="AA1487" s="48">
        <v>0.85416666666666663</v>
      </c>
      <c r="AB1487" s="48">
        <v>0.85416666666666663</v>
      </c>
      <c r="AC1487" s="48">
        <v>0.85416666666666663</v>
      </c>
      <c r="AD1487" s="48">
        <v>0.8125</v>
      </c>
      <c r="AE1487" s="48">
        <v>0.85416666666666663</v>
      </c>
      <c r="AF1487" s="48">
        <v>0.77083333333333326</v>
      </c>
      <c r="AG1487" s="48">
        <v>0.85416666666666663</v>
      </c>
      <c r="AH1487" s="48">
        <v>0.85416666666666663</v>
      </c>
      <c r="AI1487" s="48">
        <v>0.77083333333333326</v>
      </c>
      <c r="AM1487">
        <v>30</v>
      </c>
      <c r="AO1487" cm="1">
        <f t="array" ref="AO1487">SUM(IFERROR(MOD((H1487:AL1487-H1486:AL1486)*24,11),""))</f>
        <v>84</v>
      </c>
    </row>
    <row r="1488" spans="1:41" hidden="1" x14ac:dyDescent="0.25">
      <c r="A1488">
        <v>1487</v>
      </c>
      <c r="B1488">
        <v>2026</v>
      </c>
      <c r="C1488">
        <v>2</v>
      </c>
      <c r="D1488" t="s">
        <v>180</v>
      </c>
      <c r="E1488">
        <v>31</v>
      </c>
      <c r="F1488">
        <v>13</v>
      </c>
      <c r="G1488" t="s">
        <v>430</v>
      </c>
      <c r="H1488" s="48" t="s">
        <v>320</v>
      </c>
      <c r="I1488" s="48" t="s">
        <v>375</v>
      </c>
      <c r="J1488" s="48" t="s">
        <v>375</v>
      </c>
      <c r="K1488" s="48" t="s">
        <v>375</v>
      </c>
      <c r="L1488" s="48" t="s">
        <v>377</v>
      </c>
      <c r="M1488" s="48" t="s">
        <v>375</v>
      </c>
      <c r="N1488" s="48" t="s">
        <v>375</v>
      </c>
      <c r="O1488" s="48" t="s">
        <v>320</v>
      </c>
      <c r="P1488" s="48" t="s">
        <v>375</v>
      </c>
      <c r="Q1488" s="48" t="s">
        <v>375</v>
      </c>
      <c r="R1488" s="48" t="s">
        <v>375</v>
      </c>
      <c r="S1488" s="48" t="s">
        <v>375</v>
      </c>
      <c r="T1488" s="48" t="s">
        <v>375</v>
      </c>
      <c r="U1488" s="48" t="s">
        <v>375</v>
      </c>
      <c r="V1488" s="48" t="s">
        <v>320</v>
      </c>
      <c r="W1488" s="48" t="s">
        <v>375</v>
      </c>
      <c r="X1488" s="48" t="s">
        <v>375</v>
      </c>
      <c r="Y1488" s="48" t="s">
        <v>375</v>
      </c>
      <c r="Z1488" s="48" t="s">
        <v>375</v>
      </c>
      <c r="AA1488" s="48" t="s">
        <v>375</v>
      </c>
      <c r="AB1488" s="48" t="s">
        <v>375</v>
      </c>
      <c r="AC1488" s="48" t="s">
        <v>320</v>
      </c>
      <c r="AD1488" s="48" t="s">
        <v>375</v>
      </c>
      <c r="AE1488" s="48" t="s">
        <v>375</v>
      </c>
      <c r="AF1488" s="48" t="s">
        <v>375</v>
      </c>
      <c r="AG1488" s="48" t="s">
        <v>375</v>
      </c>
      <c r="AH1488" s="48" t="s">
        <v>377</v>
      </c>
      <c r="AI1488" s="48" t="s">
        <v>377</v>
      </c>
    </row>
    <row r="1489" spans="1:41" hidden="1" x14ac:dyDescent="0.25">
      <c r="A1489">
        <v>1488</v>
      </c>
      <c r="B1489">
        <v>2026</v>
      </c>
      <c r="C1489">
        <v>2</v>
      </c>
      <c r="D1489" t="s">
        <v>180</v>
      </c>
      <c r="E1489">
        <v>31</v>
      </c>
      <c r="F1489">
        <v>13</v>
      </c>
      <c r="G1489" t="s">
        <v>431</v>
      </c>
      <c r="H1489" s="48" t="s">
        <v>320</v>
      </c>
      <c r="I1489" s="48">
        <v>0.75</v>
      </c>
      <c r="J1489" s="48">
        <v>0.75</v>
      </c>
      <c r="K1489" s="48">
        <v>0.75</v>
      </c>
      <c r="L1489" s="48">
        <v>0.8125</v>
      </c>
      <c r="M1489" s="48">
        <v>0.8125</v>
      </c>
      <c r="N1489" s="48">
        <v>0.8125</v>
      </c>
      <c r="O1489" s="48" t="s">
        <v>320</v>
      </c>
      <c r="P1489" s="48">
        <v>0.75</v>
      </c>
      <c r="Q1489" s="48">
        <v>0.75</v>
      </c>
      <c r="R1489" s="48">
        <v>0.75</v>
      </c>
      <c r="S1489" s="48">
        <v>0.75</v>
      </c>
      <c r="T1489" s="48">
        <v>0.75</v>
      </c>
      <c r="U1489" s="48">
        <v>0.75</v>
      </c>
      <c r="V1489" s="48" t="s">
        <v>320</v>
      </c>
      <c r="W1489" s="48">
        <v>0.75</v>
      </c>
      <c r="X1489" s="48">
        <v>0.75</v>
      </c>
      <c r="Y1489" s="48">
        <v>0.75</v>
      </c>
      <c r="Z1489" s="48">
        <v>0.75</v>
      </c>
      <c r="AA1489" s="48">
        <v>0.75</v>
      </c>
      <c r="AB1489" s="48">
        <v>0.75</v>
      </c>
      <c r="AC1489" s="48" t="s">
        <v>320</v>
      </c>
      <c r="AD1489" s="48">
        <v>0.75</v>
      </c>
      <c r="AE1489" s="48">
        <v>0.75</v>
      </c>
      <c r="AF1489" s="48">
        <v>0.75</v>
      </c>
      <c r="AG1489" s="48">
        <v>0.8125</v>
      </c>
      <c r="AH1489" s="48">
        <v>0.8125</v>
      </c>
      <c r="AI1489" s="48">
        <v>0.8125</v>
      </c>
      <c r="AM1489" cm="1">
        <f t="array" ref="AM1489">SUM(_xlfn.LET(_xlpm.r,((IFERROR(H1489:AL1489-H1488:AL1488,0))*24)/10,IF(_xlpm.r&gt;1,1,_xlpm.r)))</f>
        <v>24</v>
      </c>
      <c r="AO1489" cm="1">
        <f t="array" ref="AO1489">SUM(IFERROR(MOD((H1489:AL1489-H1488:AL1488)*24,11),""))</f>
        <v>13.499999999999995</v>
      </c>
    </row>
    <row r="1490" spans="1:41" hidden="1" x14ac:dyDescent="0.25">
      <c r="A1490">
        <v>1489</v>
      </c>
      <c r="B1490">
        <v>2026</v>
      </c>
      <c r="C1490">
        <v>2</v>
      </c>
      <c r="D1490" t="s">
        <v>176</v>
      </c>
      <c r="E1490">
        <v>31</v>
      </c>
      <c r="F1490">
        <v>13</v>
      </c>
      <c r="G1490" t="s">
        <v>430</v>
      </c>
      <c r="H1490" s="48" t="s">
        <v>382</v>
      </c>
      <c r="I1490" s="48" t="s">
        <v>382</v>
      </c>
      <c r="J1490" s="48" t="s">
        <v>382</v>
      </c>
      <c r="K1490" s="48" t="s">
        <v>382</v>
      </c>
      <c r="L1490" s="48" t="s">
        <v>382</v>
      </c>
      <c r="M1490" s="48" t="s">
        <v>382</v>
      </c>
      <c r="N1490" s="48" t="s">
        <v>382</v>
      </c>
      <c r="O1490" s="48" t="s">
        <v>382</v>
      </c>
      <c r="P1490" s="48" t="s">
        <v>382</v>
      </c>
      <c r="Q1490" s="48" t="s">
        <v>382</v>
      </c>
      <c r="R1490" s="48" t="s">
        <v>382</v>
      </c>
      <c r="S1490" s="48" t="s">
        <v>382</v>
      </c>
      <c r="T1490" s="48" t="s">
        <v>382</v>
      </c>
      <c r="U1490" s="48" t="s">
        <v>382</v>
      </c>
      <c r="V1490" s="48" t="s">
        <v>382</v>
      </c>
      <c r="W1490" s="48" t="s">
        <v>382</v>
      </c>
      <c r="X1490" s="48" t="s">
        <v>382</v>
      </c>
      <c r="Y1490" s="48" t="s">
        <v>382</v>
      </c>
      <c r="Z1490" s="48" t="s">
        <v>382</v>
      </c>
      <c r="AA1490" s="48" t="s">
        <v>382</v>
      </c>
      <c r="AB1490" s="48" t="s">
        <v>382</v>
      </c>
      <c r="AC1490" s="48" t="s">
        <v>382</v>
      </c>
      <c r="AD1490" s="48" t="s">
        <v>382</v>
      </c>
      <c r="AE1490" s="48" t="s">
        <v>382</v>
      </c>
      <c r="AF1490" s="48" t="s">
        <v>382</v>
      </c>
      <c r="AG1490" s="48" t="s">
        <v>382</v>
      </c>
      <c r="AH1490" s="48" t="s">
        <v>382</v>
      </c>
      <c r="AI1490" s="48" t="s">
        <v>382</v>
      </c>
    </row>
    <row r="1491" spans="1:41" hidden="1" x14ac:dyDescent="0.25">
      <c r="A1491">
        <v>1490</v>
      </c>
      <c r="B1491">
        <v>2026</v>
      </c>
      <c r="C1491">
        <v>2</v>
      </c>
      <c r="D1491" t="s">
        <v>176</v>
      </c>
      <c r="E1491">
        <v>31</v>
      </c>
      <c r="F1491">
        <v>13</v>
      </c>
      <c r="G1491" t="s">
        <v>431</v>
      </c>
      <c r="H1491" s="48">
        <v>0.79166666666666674</v>
      </c>
      <c r="I1491" s="48">
        <v>0.79166666666666674</v>
      </c>
      <c r="J1491" s="48">
        <v>0.79166666666666674</v>
      </c>
      <c r="K1491" s="48">
        <v>0.79166666666666674</v>
      </c>
      <c r="L1491" s="48">
        <v>0.79166666666666674</v>
      </c>
      <c r="M1491" s="48">
        <v>0.79166666666666674</v>
      </c>
      <c r="N1491" s="48">
        <v>0.79166666666666674</v>
      </c>
      <c r="O1491" s="48">
        <v>0.79166666666666674</v>
      </c>
      <c r="P1491" s="48">
        <v>0.79166666666666674</v>
      </c>
      <c r="Q1491" s="48">
        <v>0.79166666666666674</v>
      </c>
      <c r="R1491" s="48">
        <v>0.79166666666666674</v>
      </c>
      <c r="S1491" s="48">
        <v>0.79166666666666674</v>
      </c>
      <c r="T1491" s="48">
        <v>0.79166666666666674</v>
      </c>
      <c r="U1491" s="48">
        <v>0.79166666666666674</v>
      </c>
      <c r="V1491" s="48">
        <v>0.79166666666666674</v>
      </c>
      <c r="W1491" s="48">
        <v>0.79166666666666674</v>
      </c>
      <c r="X1491" s="48">
        <v>0.79166666666666674</v>
      </c>
      <c r="Y1491" s="48">
        <v>0.79166666666666674</v>
      </c>
      <c r="Z1491" s="48">
        <v>0.79166666666666674</v>
      </c>
      <c r="AA1491" s="48">
        <v>0.79166666666666674</v>
      </c>
      <c r="AB1491" s="48">
        <v>0.79166666666666674</v>
      </c>
      <c r="AC1491" s="48">
        <v>0.79166666666666674</v>
      </c>
      <c r="AD1491" s="48">
        <v>0.79166666666666674</v>
      </c>
      <c r="AE1491" s="48">
        <v>0.79166666666666674</v>
      </c>
      <c r="AF1491" s="48">
        <v>0.79166666666666674</v>
      </c>
      <c r="AG1491" s="48">
        <v>0.79166666666666674</v>
      </c>
      <c r="AH1491" s="48">
        <v>0.79166666666666674</v>
      </c>
      <c r="AI1491" s="48">
        <v>0.79166666666666674</v>
      </c>
      <c r="AM1491">
        <v>30</v>
      </c>
      <c r="AO1491" cm="1">
        <f t="array" ref="AO1491">SUM(IFERROR(MOD((H1491:AL1491-H1490:AL1490)*24,11),""))</f>
        <v>84</v>
      </c>
    </row>
    <row r="1492" spans="1:41" hidden="1" x14ac:dyDescent="0.25">
      <c r="A1492">
        <v>1491</v>
      </c>
      <c r="B1492">
        <v>2026</v>
      </c>
      <c r="C1492">
        <v>2</v>
      </c>
      <c r="D1492" t="s">
        <v>162</v>
      </c>
      <c r="E1492">
        <v>31</v>
      </c>
      <c r="F1492">
        <v>13</v>
      </c>
      <c r="G1492" t="s">
        <v>430</v>
      </c>
      <c r="H1492" s="48" t="s">
        <v>382</v>
      </c>
      <c r="I1492" s="48" t="s">
        <v>382</v>
      </c>
      <c r="J1492" s="48" t="s">
        <v>382</v>
      </c>
      <c r="K1492" s="48" t="s">
        <v>382</v>
      </c>
      <c r="L1492" s="48" t="s">
        <v>382</v>
      </c>
      <c r="M1492" s="48" t="s">
        <v>382</v>
      </c>
      <c r="N1492" s="48" t="s">
        <v>382</v>
      </c>
      <c r="O1492" s="48" t="s">
        <v>382</v>
      </c>
      <c r="P1492" s="48" t="s">
        <v>382</v>
      </c>
      <c r="Q1492" s="48" t="s">
        <v>382</v>
      </c>
      <c r="R1492" s="48" t="s">
        <v>382</v>
      </c>
      <c r="S1492" s="48" t="s">
        <v>382</v>
      </c>
      <c r="T1492" s="48" t="s">
        <v>382</v>
      </c>
      <c r="U1492" s="48" t="s">
        <v>382</v>
      </c>
      <c r="V1492" s="48" t="s">
        <v>320</v>
      </c>
      <c r="W1492" s="48" t="s">
        <v>382</v>
      </c>
      <c r="X1492" s="48" t="s">
        <v>382</v>
      </c>
      <c r="Y1492" s="48" t="s">
        <v>382</v>
      </c>
      <c r="Z1492" s="48" t="s">
        <v>382</v>
      </c>
      <c r="AA1492" s="48" t="s">
        <v>382</v>
      </c>
      <c r="AB1492" s="48" t="s">
        <v>382</v>
      </c>
      <c r="AC1492" s="48" t="s">
        <v>382</v>
      </c>
      <c r="AD1492" s="48" t="s">
        <v>382</v>
      </c>
      <c r="AE1492" s="48" t="s">
        <v>382</v>
      </c>
      <c r="AF1492" s="48" t="s">
        <v>382</v>
      </c>
      <c r="AG1492" s="48" t="s">
        <v>382</v>
      </c>
      <c r="AH1492" s="48" t="s">
        <v>382</v>
      </c>
      <c r="AI1492" s="48" t="s">
        <v>382</v>
      </c>
    </row>
    <row r="1493" spans="1:41" hidden="1" x14ac:dyDescent="0.25">
      <c r="A1493">
        <v>1492</v>
      </c>
      <c r="B1493">
        <v>2026</v>
      </c>
      <c r="C1493">
        <v>2</v>
      </c>
      <c r="D1493" t="s">
        <v>162</v>
      </c>
      <c r="E1493">
        <v>31</v>
      </c>
      <c r="F1493">
        <v>13</v>
      </c>
      <c r="G1493" t="s">
        <v>431</v>
      </c>
      <c r="H1493" s="48">
        <v>0.79166666666666674</v>
      </c>
      <c r="I1493" s="48">
        <v>0.79166666666666674</v>
      </c>
      <c r="J1493" s="48">
        <v>0.79166666666666674</v>
      </c>
      <c r="K1493" s="48">
        <v>0.79166666666666674</v>
      </c>
      <c r="L1493" s="48">
        <v>0.79166666666666674</v>
      </c>
      <c r="M1493" s="48">
        <v>0.79166666666666674</v>
      </c>
      <c r="N1493" s="48">
        <v>0.79166666666666674</v>
      </c>
      <c r="O1493" s="48">
        <v>0.79166666666666674</v>
      </c>
      <c r="P1493" s="48">
        <v>0.79166666666666674</v>
      </c>
      <c r="Q1493" s="48">
        <v>0.79166666666666674</v>
      </c>
      <c r="R1493" s="48">
        <v>0.79166666666666674</v>
      </c>
      <c r="S1493" s="48">
        <v>0.79166666666666674</v>
      </c>
      <c r="T1493" s="48">
        <v>0.79166666666666674</v>
      </c>
      <c r="U1493" s="48">
        <v>0.79166666666666674</v>
      </c>
      <c r="V1493" s="48" t="s">
        <v>320</v>
      </c>
      <c r="W1493" s="48">
        <v>0.79166666666666674</v>
      </c>
      <c r="X1493" s="48">
        <v>0.79166666666666674</v>
      </c>
      <c r="Y1493" s="48">
        <v>0.79166666666666674</v>
      </c>
      <c r="Z1493" s="48">
        <v>0.79166666666666674</v>
      </c>
      <c r="AA1493" s="48">
        <v>0.79166666666666674</v>
      </c>
      <c r="AB1493" s="48">
        <v>0.79166666666666674</v>
      </c>
      <c r="AC1493" s="48">
        <v>0.79166666666666674</v>
      </c>
      <c r="AD1493" s="48">
        <v>0.79166666666666674</v>
      </c>
      <c r="AE1493" s="48">
        <v>0.79166666666666674</v>
      </c>
      <c r="AF1493" s="48">
        <v>0.79166666666666674</v>
      </c>
      <c r="AG1493" s="48">
        <v>0.79166666666666674</v>
      </c>
      <c r="AH1493" s="48">
        <v>0.79166666666666674</v>
      </c>
      <c r="AI1493" s="48">
        <v>0.79166666666666674</v>
      </c>
      <c r="AM1493">
        <v>29</v>
      </c>
      <c r="AO1493" cm="1">
        <f t="array" ref="AO1493">SUM(IFERROR(MOD((H1493:AL1493-H1492:AL1492)*24,11),""))</f>
        <v>81</v>
      </c>
    </row>
    <row r="1494" spans="1:41" hidden="1" x14ac:dyDescent="0.25">
      <c r="A1494">
        <v>1493</v>
      </c>
      <c r="B1494">
        <v>2026</v>
      </c>
      <c r="C1494">
        <v>2</v>
      </c>
      <c r="D1494" t="s">
        <v>171</v>
      </c>
      <c r="E1494">
        <v>31</v>
      </c>
      <c r="F1494">
        <v>13</v>
      </c>
      <c r="G1494" t="s">
        <v>430</v>
      </c>
      <c r="H1494" s="48" t="s">
        <v>375</v>
      </c>
      <c r="I1494" s="48" t="s">
        <v>375</v>
      </c>
      <c r="J1494" s="48" t="s">
        <v>375</v>
      </c>
      <c r="K1494" s="48" t="s">
        <v>375</v>
      </c>
      <c r="L1494" s="48" t="s">
        <v>375</v>
      </c>
      <c r="M1494" s="48" t="s">
        <v>375</v>
      </c>
      <c r="N1494" s="48" t="s">
        <v>375</v>
      </c>
      <c r="O1494" s="48" t="s">
        <v>375</v>
      </c>
      <c r="P1494" s="48" t="s">
        <v>375</v>
      </c>
      <c r="Q1494" s="48" t="s">
        <v>375</v>
      </c>
      <c r="R1494" s="48" t="s">
        <v>375</v>
      </c>
      <c r="S1494" s="48" t="s">
        <v>375</v>
      </c>
      <c r="T1494" s="48" t="s">
        <v>375</v>
      </c>
      <c r="U1494" s="48" t="s">
        <v>375</v>
      </c>
      <c r="V1494" s="48" t="s">
        <v>320</v>
      </c>
      <c r="W1494" s="48" t="s">
        <v>375</v>
      </c>
      <c r="X1494" s="48" t="s">
        <v>375</v>
      </c>
      <c r="Y1494" s="48" t="s">
        <v>375</v>
      </c>
      <c r="Z1494" s="48" t="s">
        <v>375</v>
      </c>
      <c r="AA1494" s="48" t="s">
        <v>375</v>
      </c>
      <c r="AB1494" s="48" t="s">
        <v>375</v>
      </c>
      <c r="AC1494" s="48" t="s">
        <v>375</v>
      </c>
      <c r="AD1494" s="48" t="s">
        <v>375</v>
      </c>
      <c r="AE1494" s="48" t="s">
        <v>375</v>
      </c>
      <c r="AF1494" s="48" t="s">
        <v>375</v>
      </c>
      <c r="AG1494" s="48" t="s">
        <v>375</v>
      </c>
      <c r="AH1494" s="48" t="s">
        <v>375</v>
      </c>
      <c r="AI1494" s="48" t="s">
        <v>375</v>
      </c>
    </row>
    <row r="1495" spans="1:41" hidden="1" x14ac:dyDescent="0.25">
      <c r="A1495">
        <v>1494</v>
      </c>
      <c r="B1495">
        <v>2026</v>
      </c>
      <c r="C1495">
        <v>2</v>
      </c>
      <c r="D1495" t="s">
        <v>171</v>
      </c>
      <c r="E1495">
        <v>31</v>
      </c>
      <c r="F1495">
        <v>13</v>
      </c>
      <c r="G1495" t="s">
        <v>431</v>
      </c>
      <c r="H1495" s="48">
        <v>0.83333333333333326</v>
      </c>
      <c r="I1495" s="48">
        <v>0.75</v>
      </c>
      <c r="J1495" s="48">
        <v>0.79166666666666674</v>
      </c>
      <c r="K1495" s="48">
        <v>0.75</v>
      </c>
      <c r="L1495" s="48">
        <v>0.79166666666666674</v>
      </c>
      <c r="M1495" s="48">
        <v>0.75</v>
      </c>
      <c r="N1495" s="48">
        <v>0.79166666666666674</v>
      </c>
      <c r="O1495" s="48">
        <v>0.75</v>
      </c>
      <c r="P1495" s="48">
        <v>0.875</v>
      </c>
      <c r="Q1495" s="48">
        <v>0.75</v>
      </c>
      <c r="R1495" s="48">
        <v>0.75</v>
      </c>
      <c r="S1495" s="48">
        <v>0.75</v>
      </c>
      <c r="T1495" s="48">
        <v>0.83333333333333326</v>
      </c>
      <c r="U1495" s="48">
        <v>0.75</v>
      </c>
      <c r="V1495" s="48" t="s">
        <v>320</v>
      </c>
      <c r="W1495" s="48">
        <v>0.75</v>
      </c>
      <c r="X1495" s="48">
        <v>0.79166666666666674</v>
      </c>
      <c r="Y1495" s="48">
        <v>0.79166666666666674</v>
      </c>
      <c r="Z1495" s="48">
        <v>0.79166666666666674</v>
      </c>
      <c r="AA1495" s="48">
        <v>0.75</v>
      </c>
      <c r="AB1495" s="48">
        <v>0.79166666666666674</v>
      </c>
      <c r="AC1495" s="48">
        <v>0.75</v>
      </c>
      <c r="AD1495" s="48">
        <v>0.83333333333333326</v>
      </c>
      <c r="AE1495" s="48">
        <v>0.79166666666666674</v>
      </c>
      <c r="AF1495" s="48">
        <v>0.79166666666666674</v>
      </c>
      <c r="AG1495" s="48">
        <v>0.79166666666666674</v>
      </c>
      <c r="AH1495" s="48">
        <v>0.79166666666666674</v>
      </c>
      <c r="AI1495" s="48">
        <v>0.75</v>
      </c>
      <c r="AM1495">
        <v>29</v>
      </c>
      <c r="AO1495" cm="1">
        <f t="array" ref="AO1495">SUM(IFERROR(MOD((H1495:AL1495-H1494:AL1494)*24,11),""))</f>
        <v>19.999999999999986</v>
      </c>
    </row>
    <row r="1496" spans="1:41" hidden="1" x14ac:dyDescent="0.25">
      <c r="A1496">
        <v>1495</v>
      </c>
      <c r="B1496">
        <v>2026</v>
      </c>
      <c r="C1496">
        <v>2</v>
      </c>
      <c r="D1496" t="s">
        <v>178</v>
      </c>
      <c r="E1496">
        <v>31</v>
      </c>
      <c r="F1496">
        <v>13</v>
      </c>
      <c r="G1496" t="s">
        <v>430</v>
      </c>
      <c r="H1496" s="48" t="s">
        <v>375</v>
      </c>
      <c r="I1496" s="48" t="s">
        <v>375</v>
      </c>
      <c r="J1496" s="48" t="s">
        <v>375</v>
      </c>
      <c r="K1496" s="48" t="s">
        <v>375</v>
      </c>
      <c r="L1496" s="48" t="s">
        <v>375</v>
      </c>
      <c r="M1496" s="48" t="s">
        <v>375</v>
      </c>
      <c r="N1496" s="48" t="s">
        <v>375</v>
      </c>
      <c r="O1496" s="48" t="s">
        <v>375</v>
      </c>
      <c r="P1496" s="48" t="s">
        <v>375</v>
      </c>
      <c r="Q1496" s="48" t="s">
        <v>375</v>
      </c>
      <c r="R1496" s="48" t="s">
        <v>375</v>
      </c>
      <c r="S1496" s="48" t="s">
        <v>375</v>
      </c>
      <c r="T1496" s="48" t="s">
        <v>375</v>
      </c>
      <c r="U1496" s="48" t="s">
        <v>375</v>
      </c>
      <c r="V1496" s="48" t="s">
        <v>375</v>
      </c>
      <c r="W1496" s="48" t="s">
        <v>375</v>
      </c>
      <c r="X1496" s="48" t="s">
        <v>375</v>
      </c>
      <c r="Y1496" s="48" t="s">
        <v>375</v>
      </c>
      <c r="Z1496" s="48" t="s">
        <v>375</v>
      </c>
      <c r="AA1496" s="48" t="s">
        <v>375</v>
      </c>
      <c r="AB1496" s="48" t="s">
        <v>375</v>
      </c>
      <c r="AC1496" s="48" t="s">
        <v>375</v>
      </c>
      <c r="AD1496" s="48" t="s">
        <v>375</v>
      </c>
      <c r="AE1496" s="48" t="s">
        <v>375</v>
      </c>
      <c r="AF1496" s="48" t="s">
        <v>375</v>
      </c>
      <c r="AG1496" s="48" t="s">
        <v>375</v>
      </c>
      <c r="AH1496" s="48" t="s">
        <v>320</v>
      </c>
      <c r="AI1496" s="48" t="s">
        <v>320</v>
      </c>
    </row>
    <row r="1497" spans="1:41" hidden="1" x14ac:dyDescent="0.25">
      <c r="A1497">
        <v>1496</v>
      </c>
      <c r="B1497">
        <v>2026</v>
      </c>
      <c r="C1497">
        <v>2</v>
      </c>
      <c r="D1497" t="s">
        <v>178</v>
      </c>
      <c r="E1497">
        <v>31</v>
      </c>
      <c r="F1497">
        <v>13</v>
      </c>
      <c r="G1497" t="s">
        <v>431</v>
      </c>
      <c r="H1497" s="48">
        <v>0.83333333333333326</v>
      </c>
      <c r="I1497" s="48">
        <v>0.83333333333333326</v>
      </c>
      <c r="J1497" s="48">
        <v>0.83333333333333326</v>
      </c>
      <c r="K1497" s="48">
        <v>0.83333333333333326</v>
      </c>
      <c r="L1497" s="48">
        <v>0.83333333333333326</v>
      </c>
      <c r="M1497" s="48">
        <v>0.83333333333333326</v>
      </c>
      <c r="N1497" s="48">
        <v>0.83333333333333326</v>
      </c>
      <c r="O1497" s="48">
        <v>0.83333333333333326</v>
      </c>
      <c r="P1497" s="48">
        <v>0.91666666666666674</v>
      </c>
      <c r="Q1497" s="48">
        <v>0.83333333333333326</v>
      </c>
      <c r="R1497" s="48">
        <v>0.91666666666666674</v>
      </c>
      <c r="S1497" s="48">
        <v>0.91666666666666674</v>
      </c>
      <c r="T1497" s="48">
        <v>0.875</v>
      </c>
      <c r="U1497" s="48">
        <v>0.83333333333333326</v>
      </c>
      <c r="V1497" s="48">
        <v>0.83333333333333326</v>
      </c>
      <c r="W1497" s="48">
        <v>0.83333333333333326</v>
      </c>
      <c r="X1497" s="48">
        <v>0.91666666666666674</v>
      </c>
      <c r="Y1497" s="48">
        <v>0.83333333333333326</v>
      </c>
      <c r="Z1497" s="48">
        <v>0.83333333333333326</v>
      </c>
      <c r="AA1497" s="48">
        <v>0.83333333333333326</v>
      </c>
      <c r="AB1497" s="48">
        <v>0.83333333333333326</v>
      </c>
      <c r="AC1497" s="48">
        <v>0.83333333333333326</v>
      </c>
      <c r="AD1497" s="48">
        <v>0.83333333333333326</v>
      </c>
      <c r="AE1497" s="48">
        <v>0.83333333333333326</v>
      </c>
      <c r="AF1497" s="48">
        <v>0.83333333333333326</v>
      </c>
      <c r="AG1497" s="48">
        <v>0.83333333333333326</v>
      </c>
      <c r="AH1497" s="48" t="s">
        <v>320</v>
      </c>
      <c r="AI1497" s="48" t="s">
        <v>320</v>
      </c>
      <c r="AM1497">
        <v>28</v>
      </c>
      <c r="AO1497" cm="1">
        <f t="array" ref="AO1497">SUM(IFERROR(MOD((H1497:AL1497-H1496:AL1496)*24,11),""))</f>
        <v>60.999999999999957</v>
      </c>
    </row>
    <row r="1498" spans="1:41" hidden="1" x14ac:dyDescent="0.25">
      <c r="A1498">
        <v>1497</v>
      </c>
      <c r="B1498">
        <v>2026</v>
      </c>
      <c r="C1498">
        <v>2</v>
      </c>
      <c r="D1498" t="s">
        <v>161</v>
      </c>
      <c r="E1498">
        <v>31</v>
      </c>
      <c r="F1498">
        <v>13</v>
      </c>
      <c r="G1498" t="s">
        <v>430</v>
      </c>
      <c r="H1498" s="48" t="s">
        <v>375</v>
      </c>
      <c r="I1498" s="48" t="s">
        <v>375</v>
      </c>
      <c r="J1498" s="48" t="s">
        <v>375</v>
      </c>
      <c r="K1498" s="48" t="s">
        <v>375</v>
      </c>
      <c r="L1498" s="48" t="s">
        <v>375</v>
      </c>
      <c r="M1498" s="48" t="s">
        <v>375</v>
      </c>
      <c r="N1498" s="48" t="s">
        <v>375</v>
      </c>
      <c r="O1498" s="48" t="s">
        <v>375</v>
      </c>
      <c r="P1498" s="48" t="s">
        <v>375</v>
      </c>
      <c r="Q1498" s="48" t="s">
        <v>375</v>
      </c>
      <c r="R1498" s="48" t="s">
        <v>375</v>
      </c>
      <c r="S1498" s="48" t="s">
        <v>375</v>
      </c>
      <c r="T1498" s="48" t="s">
        <v>375</v>
      </c>
      <c r="U1498" s="48" t="s">
        <v>375</v>
      </c>
      <c r="V1498" s="48" t="s">
        <v>375</v>
      </c>
      <c r="W1498" s="48" t="s">
        <v>375</v>
      </c>
      <c r="X1498" s="48" t="s">
        <v>375</v>
      </c>
      <c r="Y1498" s="48" t="s">
        <v>375</v>
      </c>
      <c r="Z1498" s="48" t="s">
        <v>375</v>
      </c>
      <c r="AA1498" s="48" t="s">
        <v>375</v>
      </c>
      <c r="AB1498" s="48" t="s">
        <v>375</v>
      </c>
      <c r="AC1498" s="48" t="s">
        <v>375</v>
      </c>
      <c r="AD1498" s="48" t="s">
        <v>375</v>
      </c>
      <c r="AE1498" s="48" t="s">
        <v>375</v>
      </c>
      <c r="AF1498" s="48" t="s">
        <v>375</v>
      </c>
      <c r="AG1498" s="48" t="s">
        <v>375</v>
      </c>
      <c r="AH1498" s="48" t="s">
        <v>375</v>
      </c>
      <c r="AI1498" s="48" t="s">
        <v>375</v>
      </c>
    </row>
    <row r="1499" spans="1:41" hidden="1" x14ac:dyDescent="0.25">
      <c r="A1499">
        <v>1498</v>
      </c>
      <c r="B1499">
        <v>2026</v>
      </c>
      <c r="C1499">
        <v>2</v>
      </c>
      <c r="D1499" t="s">
        <v>161</v>
      </c>
      <c r="E1499">
        <v>31</v>
      </c>
      <c r="F1499">
        <v>13</v>
      </c>
      <c r="G1499" t="s">
        <v>431</v>
      </c>
      <c r="H1499" s="48">
        <v>0.75</v>
      </c>
      <c r="I1499" s="48">
        <v>0.75</v>
      </c>
      <c r="J1499" s="48">
        <v>0.75</v>
      </c>
      <c r="K1499" s="48">
        <v>0.75</v>
      </c>
      <c r="L1499" s="48">
        <v>0.79166666666666674</v>
      </c>
      <c r="M1499" s="48">
        <v>0.91666666666666674</v>
      </c>
      <c r="N1499" s="48">
        <v>1</v>
      </c>
      <c r="O1499" s="48">
        <v>0.75</v>
      </c>
      <c r="P1499" s="48">
        <v>0.91666666666666674</v>
      </c>
      <c r="Q1499" s="48">
        <v>0.75</v>
      </c>
      <c r="R1499" s="48">
        <v>0.75</v>
      </c>
      <c r="S1499" s="48">
        <v>0.95833333333333326</v>
      </c>
      <c r="T1499" s="48">
        <v>0.83333333333333326</v>
      </c>
      <c r="U1499" s="48">
        <v>0.875</v>
      </c>
      <c r="V1499" s="48">
        <v>0.83333333333333326</v>
      </c>
      <c r="W1499" s="48">
        <v>0.75</v>
      </c>
      <c r="X1499" s="48">
        <v>0.91666666666666674</v>
      </c>
      <c r="Y1499" s="48">
        <v>1</v>
      </c>
      <c r="Z1499" s="48">
        <v>0.75</v>
      </c>
      <c r="AA1499" s="48">
        <v>0.875</v>
      </c>
      <c r="AB1499" s="48">
        <v>0.75</v>
      </c>
      <c r="AC1499" s="48">
        <v>0.83333333333333326</v>
      </c>
      <c r="AD1499" s="48">
        <v>0.75</v>
      </c>
      <c r="AE1499" s="48">
        <v>0.875</v>
      </c>
      <c r="AF1499" s="48">
        <v>0.75</v>
      </c>
      <c r="AG1499" s="48">
        <v>1</v>
      </c>
      <c r="AH1499" s="48">
        <v>0.75</v>
      </c>
      <c r="AI1499" s="48">
        <v>0.75</v>
      </c>
      <c r="AM1499">
        <v>30</v>
      </c>
      <c r="AO1499" cm="1">
        <f t="array" ref="AO1499">SUM(IFERROR(MOD((H1499:AL1499-H1498:AL1498)*24,11),""))</f>
        <v>50.999999999999986</v>
      </c>
    </row>
    <row r="1500" spans="1:41" hidden="1" x14ac:dyDescent="0.25">
      <c r="A1500">
        <v>1499</v>
      </c>
      <c r="B1500">
        <v>2026</v>
      </c>
      <c r="C1500">
        <v>2</v>
      </c>
      <c r="D1500" t="s">
        <v>352</v>
      </c>
      <c r="E1500">
        <v>31</v>
      </c>
      <c r="F1500">
        <v>13</v>
      </c>
      <c r="G1500" t="s">
        <v>430</v>
      </c>
      <c r="H1500" s="48" t="s">
        <v>375</v>
      </c>
      <c r="I1500" s="48" t="s">
        <v>375</v>
      </c>
      <c r="J1500" s="48" t="s">
        <v>375</v>
      </c>
      <c r="K1500" s="48" t="s">
        <v>375</v>
      </c>
      <c r="L1500" s="48" t="s">
        <v>375</v>
      </c>
      <c r="M1500" s="48" t="s">
        <v>375</v>
      </c>
      <c r="N1500" s="48" t="s">
        <v>375</v>
      </c>
      <c r="O1500" s="48" t="s">
        <v>375</v>
      </c>
      <c r="P1500" s="48" t="s">
        <v>375</v>
      </c>
      <c r="Q1500" s="48" t="s">
        <v>375</v>
      </c>
      <c r="R1500" s="48" t="s">
        <v>375</v>
      </c>
      <c r="S1500" s="48" t="s">
        <v>375</v>
      </c>
      <c r="T1500" s="48" t="s">
        <v>375</v>
      </c>
      <c r="U1500" s="48" t="s">
        <v>375</v>
      </c>
      <c r="V1500" s="48" t="s">
        <v>375</v>
      </c>
      <c r="W1500" s="48" t="s">
        <v>375</v>
      </c>
      <c r="X1500" s="48" t="s">
        <v>375</v>
      </c>
      <c r="Y1500" s="48" t="s">
        <v>375</v>
      </c>
      <c r="Z1500" s="48" t="s">
        <v>375</v>
      </c>
      <c r="AA1500" s="48" t="s">
        <v>375</v>
      </c>
      <c r="AB1500" s="48" t="s">
        <v>375</v>
      </c>
      <c r="AC1500" s="48" t="s">
        <v>375</v>
      </c>
      <c r="AD1500" s="48" t="s">
        <v>375</v>
      </c>
      <c r="AE1500" s="48" t="s">
        <v>375</v>
      </c>
      <c r="AF1500" s="48" t="s">
        <v>375</v>
      </c>
      <c r="AG1500" s="48" t="s">
        <v>375</v>
      </c>
      <c r="AH1500" s="48" t="s">
        <v>375</v>
      </c>
      <c r="AI1500" s="48" t="s">
        <v>375</v>
      </c>
    </row>
    <row r="1501" spans="1:41" hidden="1" x14ac:dyDescent="0.25">
      <c r="A1501">
        <v>1500</v>
      </c>
      <c r="B1501">
        <v>2026</v>
      </c>
      <c r="C1501">
        <v>2</v>
      </c>
      <c r="D1501" t="s">
        <v>352</v>
      </c>
      <c r="E1501">
        <v>31</v>
      </c>
      <c r="F1501">
        <v>13</v>
      </c>
      <c r="G1501" t="s">
        <v>431</v>
      </c>
      <c r="H1501" s="48">
        <v>0.75</v>
      </c>
      <c r="I1501" s="48">
        <v>0.875</v>
      </c>
      <c r="J1501" s="48">
        <v>0.75</v>
      </c>
      <c r="K1501" s="48">
        <v>0.75</v>
      </c>
      <c r="L1501" s="48">
        <v>0.75</v>
      </c>
      <c r="M1501" s="48">
        <v>0.75</v>
      </c>
      <c r="N1501" s="48">
        <v>0.91666666666666674</v>
      </c>
      <c r="O1501" s="48">
        <v>0.75</v>
      </c>
      <c r="P1501" s="48">
        <v>0.75</v>
      </c>
      <c r="Q1501" s="48">
        <v>0.75</v>
      </c>
      <c r="R1501" s="48">
        <v>0.75</v>
      </c>
      <c r="S1501" s="48">
        <v>0.75</v>
      </c>
      <c r="T1501" s="48">
        <v>0.75</v>
      </c>
      <c r="U1501" s="48">
        <v>0.75</v>
      </c>
      <c r="V1501" s="48">
        <v>0.75</v>
      </c>
      <c r="W1501" s="48">
        <v>0.91666666666666674</v>
      </c>
      <c r="X1501" s="48">
        <v>0.75</v>
      </c>
      <c r="Y1501" s="48">
        <v>0.95833333333333326</v>
      </c>
      <c r="Z1501" s="48">
        <v>0.95833333333333326</v>
      </c>
      <c r="AA1501" s="48">
        <v>0.95833333333333326</v>
      </c>
      <c r="AB1501" s="48">
        <v>0.95833333333333326</v>
      </c>
      <c r="AC1501" s="48">
        <v>0.75</v>
      </c>
      <c r="AD1501" s="48">
        <v>0.75</v>
      </c>
      <c r="AE1501" s="48">
        <v>0.75</v>
      </c>
      <c r="AF1501" s="48">
        <v>0.75</v>
      </c>
      <c r="AG1501" s="48">
        <v>0.75</v>
      </c>
      <c r="AH1501" s="48">
        <v>0.75</v>
      </c>
      <c r="AI1501" s="48">
        <v>0.75</v>
      </c>
      <c r="AM1501">
        <v>30</v>
      </c>
      <c r="AO1501" cm="1">
        <f t="array" ref="AO1501">SUM(IFERROR(MOD((H1501:AL1501-H1500:AL1500)*24,11),""))</f>
        <v>30.999999999999986</v>
      </c>
    </row>
    <row r="1502" spans="1:41" hidden="1" x14ac:dyDescent="0.25">
      <c r="A1502">
        <v>1501</v>
      </c>
      <c r="B1502">
        <v>2026</v>
      </c>
      <c r="C1502">
        <v>2</v>
      </c>
      <c r="D1502" t="s">
        <v>157</v>
      </c>
      <c r="E1502">
        <v>31</v>
      </c>
      <c r="F1502">
        <v>13</v>
      </c>
      <c r="G1502" t="s">
        <v>430</v>
      </c>
      <c r="H1502" s="48">
        <v>0.29166666666666669</v>
      </c>
      <c r="I1502" s="48">
        <v>0.29166666666666669</v>
      </c>
      <c r="J1502" s="48">
        <v>0.29166666666666669</v>
      </c>
      <c r="K1502" s="48">
        <v>0.29166666666666669</v>
      </c>
      <c r="L1502" s="48">
        <v>0.29166666666666669</v>
      </c>
      <c r="M1502" s="48">
        <v>0.29166666666666669</v>
      </c>
      <c r="N1502" s="48">
        <v>0.29166666666666669</v>
      </c>
      <c r="O1502" s="48">
        <v>0.29166666666666669</v>
      </c>
      <c r="P1502" s="48">
        <v>0.29166666666666669</v>
      </c>
      <c r="Q1502" s="48">
        <v>0.29166666666666669</v>
      </c>
      <c r="R1502" s="48">
        <v>0.29166666666666669</v>
      </c>
      <c r="S1502" s="48">
        <v>0.29166666666666669</v>
      </c>
      <c r="T1502" s="48">
        <v>0.29166666666666669</v>
      </c>
      <c r="U1502" s="48">
        <v>0.29166666666666669</v>
      </c>
      <c r="V1502" s="48">
        <v>0.29166666666666669</v>
      </c>
      <c r="W1502" s="48">
        <v>0.29166666666666669</v>
      </c>
      <c r="X1502" s="48">
        <v>0.29166666666666669</v>
      </c>
      <c r="Y1502" s="48">
        <v>0.29166666666666669</v>
      </c>
      <c r="Z1502" s="48">
        <v>0.29166666666666669</v>
      </c>
      <c r="AA1502" s="48">
        <v>0.29166666666666669</v>
      </c>
      <c r="AB1502" s="48">
        <v>0.29166666666666669</v>
      </c>
      <c r="AC1502" s="48">
        <v>0.29166666666666669</v>
      </c>
      <c r="AD1502" s="48">
        <v>0.29166666666666669</v>
      </c>
      <c r="AE1502" s="48">
        <v>0.29166666666666669</v>
      </c>
      <c r="AF1502" s="48">
        <v>0.29166666666666669</v>
      </c>
      <c r="AG1502" s="48">
        <v>0.29166666666666669</v>
      </c>
      <c r="AH1502" s="48">
        <v>0.29166666666666669</v>
      </c>
      <c r="AI1502" s="48">
        <v>0.29166666666666669</v>
      </c>
    </row>
    <row r="1503" spans="1:41" hidden="1" x14ac:dyDescent="0.25">
      <c r="A1503">
        <v>1502</v>
      </c>
      <c r="B1503">
        <v>2026</v>
      </c>
      <c r="C1503">
        <v>2</v>
      </c>
      <c r="D1503" t="s">
        <v>157</v>
      </c>
      <c r="E1503">
        <v>31</v>
      </c>
      <c r="F1503">
        <v>13</v>
      </c>
      <c r="G1503" t="s">
        <v>431</v>
      </c>
      <c r="H1503" s="48">
        <v>0.75</v>
      </c>
      <c r="I1503" s="48">
        <v>0.75</v>
      </c>
      <c r="J1503" s="48">
        <v>0.75</v>
      </c>
      <c r="K1503" s="48">
        <v>0.75</v>
      </c>
      <c r="L1503" s="48">
        <v>0.75</v>
      </c>
      <c r="M1503" s="48">
        <v>0.75</v>
      </c>
      <c r="N1503" s="48">
        <v>0.75</v>
      </c>
      <c r="O1503" s="48">
        <v>0.75</v>
      </c>
      <c r="P1503" s="48">
        <v>0.75</v>
      </c>
      <c r="Q1503" s="48">
        <v>0.75</v>
      </c>
      <c r="R1503" s="48">
        <v>0.75</v>
      </c>
      <c r="S1503" s="48">
        <v>0.75</v>
      </c>
      <c r="T1503" s="48">
        <v>0.75</v>
      </c>
      <c r="U1503" s="48">
        <v>0.75</v>
      </c>
      <c r="V1503" s="48">
        <v>0.75</v>
      </c>
      <c r="W1503" s="48">
        <v>0.75</v>
      </c>
      <c r="X1503" s="48">
        <v>0.75</v>
      </c>
      <c r="Y1503" s="48">
        <v>0.75</v>
      </c>
      <c r="Z1503" s="48">
        <v>0.75</v>
      </c>
      <c r="AA1503" s="48">
        <v>0.75</v>
      </c>
      <c r="AB1503" s="48">
        <v>0.75</v>
      </c>
      <c r="AC1503" s="48">
        <v>0.75</v>
      </c>
      <c r="AD1503" s="48">
        <v>0.75</v>
      </c>
      <c r="AE1503" s="48">
        <v>0.75</v>
      </c>
      <c r="AF1503" s="48">
        <v>0.75</v>
      </c>
      <c r="AG1503" s="48">
        <v>0.75</v>
      </c>
      <c r="AH1503" s="48">
        <v>0.75</v>
      </c>
      <c r="AI1503" s="48">
        <v>0.75</v>
      </c>
      <c r="AM1503">
        <v>30</v>
      </c>
    </row>
    <row r="1504" spans="1:41" hidden="1" x14ac:dyDescent="0.25">
      <c r="A1504">
        <v>1503</v>
      </c>
      <c r="B1504">
        <v>2026</v>
      </c>
      <c r="C1504">
        <v>2</v>
      </c>
      <c r="D1504" t="s">
        <v>182</v>
      </c>
      <c r="E1504">
        <v>31</v>
      </c>
      <c r="F1504">
        <v>13</v>
      </c>
      <c r="G1504" t="s">
        <v>430</v>
      </c>
      <c r="H1504" s="48">
        <v>0.29166666666666669</v>
      </c>
      <c r="I1504" s="48">
        <v>0.29166666666666669</v>
      </c>
      <c r="J1504" s="48">
        <v>0.29166666666666669</v>
      </c>
      <c r="K1504" s="48">
        <v>0.29166666666666669</v>
      </c>
      <c r="L1504" s="48">
        <v>0.29166666666666669</v>
      </c>
      <c r="M1504" s="48">
        <v>0.29166666666666669</v>
      </c>
      <c r="N1504" s="48">
        <v>0.29166666666666669</v>
      </c>
      <c r="O1504" s="48">
        <v>0.29166666666666669</v>
      </c>
      <c r="P1504" s="48">
        <v>0.29166666666666669</v>
      </c>
      <c r="Q1504" s="48">
        <v>0.29166666666666669</v>
      </c>
      <c r="R1504" s="48">
        <v>0.29166666666666669</v>
      </c>
      <c r="S1504" s="48">
        <v>0.29166666666666669</v>
      </c>
      <c r="T1504" s="48">
        <v>0.29166666666666669</v>
      </c>
      <c r="U1504" s="48">
        <v>0.29166666666666669</v>
      </c>
      <c r="V1504" s="48">
        <v>0.29166666666666669</v>
      </c>
      <c r="W1504" s="48">
        <v>0.29166666666666669</v>
      </c>
      <c r="X1504" s="48">
        <v>0.29166666666666669</v>
      </c>
      <c r="Y1504" s="48">
        <v>0.29166666666666669</v>
      </c>
      <c r="Z1504" s="48">
        <v>0.29166666666666669</v>
      </c>
      <c r="AA1504" s="48">
        <v>0.29166666666666669</v>
      </c>
      <c r="AB1504" s="48">
        <v>0.29166666666666669</v>
      </c>
      <c r="AC1504" s="48">
        <v>0.29166666666666669</v>
      </c>
      <c r="AD1504" s="48">
        <v>0.29166666666666669</v>
      </c>
      <c r="AE1504" s="48">
        <v>0.29166666666666669</v>
      </c>
      <c r="AF1504" s="48">
        <v>0.29166666666666669</v>
      </c>
      <c r="AG1504" s="48">
        <v>0.29166666666666669</v>
      </c>
      <c r="AH1504" s="48">
        <v>0.29166666666666669</v>
      </c>
      <c r="AI1504" s="48">
        <v>0.29166666666666669</v>
      </c>
    </row>
    <row r="1505" spans="1:41" hidden="1" x14ac:dyDescent="0.25">
      <c r="A1505">
        <v>1504</v>
      </c>
      <c r="B1505">
        <v>2026</v>
      </c>
      <c r="C1505">
        <v>2</v>
      </c>
      <c r="D1505" t="s">
        <v>182</v>
      </c>
      <c r="E1505">
        <v>31</v>
      </c>
      <c r="F1505">
        <v>13</v>
      </c>
      <c r="G1505" t="s">
        <v>431</v>
      </c>
      <c r="H1505" s="48">
        <v>0.75</v>
      </c>
      <c r="I1505" s="48">
        <v>0.75</v>
      </c>
      <c r="J1505" s="48">
        <v>0.75</v>
      </c>
      <c r="K1505" s="48">
        <v>0.75</v>
      </c>
      <c r="L1505" s="48">
        <v>0.75</v>
      </c>
      <c r="M1505" s="48">
        <v>0.75</v>
      </c>
      <c r="N1505" s="48">
        <v>0.75</v>
      </c>
      <c r="O1505" s="48">
        <v>0.75</v>
      </c>
      <c r="P1505" s="48">
        <v>0.75</v>
      </c>
      <c r="Q1505" s="48">
        <v>0.75</v>
      </c>
      <c r="R1505" s="48">
        <v>0.75</v>
      </c>
      <c r="S1505" s="48">
        <v>0.75</v>
      </c>
      <c r="T1505" s="48">
        <v>0.75</v>
      </c>
      <c r="U1505" s="48">
        <v>0.75</v>
      </c>
      <c r="V1505" s="48">
        <v>0.75</v>
      </c>
      <c r="W1505" s="48">
        <v>0.75</v>
      </c>
      <c r="X1505" s="48">
        <v>0.75</v>
      </c>
      <c r="Y1505" s="48">
        <v>0.75</v>
      </c>
      <c r="Z1505" s="48">
        <v>0.75</v>
      </c>
      <c r="AA1505" s="48">
        <v>0.75</v>
      </c>
      <c r="AB1505" s="48">
        <v>0.75</v>
      </c>
      <c r="AC1505" s="48">
        <v>0.75</v>
      </c>
      <c r="AD1505" s="48">
        <v>0.75</v>
      </c>
      <c r="AE1505" s="48">
        <v>0.75</v>
      </c>
      <c r="AF1505" s="48">
        <v>0.75</v>
      </c>
      <c r="AG1505" s="48">
        <v>0.75</v>
      </c>
      <c r="AH1505" s="48">
        <v>0.75</v>
      </c>
      <c r="AI1505" s="48">
        <v>0.75</v>
      </c>
      <c r="AM1505">
        <v>30</v>
      </c>
      <c r="AO1505" cm="1">
        <f t="array" ref="AO1505">SUM(IFERROR(MOD((H1505:AL1505-H1504:AL1504)*24,11),""))</f>
        <v>0</v>
      </c>
    </row>
    <row r="1506" spans="1:41" hidden="1" x14ac:dyDescent="0.25">
      <c r="A1506">
        <v>1505</v>
      </c>
      <c r="B1506">
        <v>2026</v>
      </c>
      <c r="C1506">
        <v>2</v>
      </c>
      <c r="D1506" t="s">
        <v>648</v>
      </c>
      <c r="E1506">
        <v>31</v>
      </c>
      <c r="F1506">
        <v>13</v>
      </c>
      <c r="G1506" t="s">
        <v>430</v>
      </c>
      <c r="H1506" s="48" t="s">
        <v>1128</v>
      </c>
      <c r="I1506" s="48" t="s">
        <v>375</v>
      </c>
      <c r="J1506" s="48" t="s">
        <v>375</v>
      </c>
      <c r="K1506" s="48" t="s">
        <v>375</v>
      </c>
      <c r="L1506" s="48" t="s">
        <v>375</v>
      </c>
      <c r="M1506" s="48" t="s">
        <v>375</v>
      </c>
      <c r="N1506" s="48" t="s">
        <v>375</v>
      </c>
      <c r="O1506" s="48" t="s">
        <v>375</v>
      </c>
      <c r="P1506" s="48" t="s">
        <v>375</v>
      </c>
      <c r="Q1506" s="48" t="s">
        <v>375</v>
      </c>
      <c r="R1506" s="48" t="s">
        <v>375</v>
      </c>
      <c r="S1506" s="48" t="s">
        <v>375</v>
      </c>
      <c r="T1506" s="48" t="s">
        <v>375</v>
      </c>
      <c r="U1506" s="48" t="s">
        <v>375</v>
      </c>
      <c r="V1506" s="48" t="s">
        <v>375</v>
      </c>
      <c r="W1506" s="48" t="s">
        <v>375</v>
      </c>
      <c r="X1506" s="48" t="s">
        <v>375</v>
      </c>
      <c r="Y1506" s="48" t="s">
        <v>375</v>
      </c>
      <c r="Z1506" s="48" t="s">
        <v>375</v>
      </c>
      <c r="AA1506" s="48" t="s">
        <v>375</v>
      </c>
      <c r="AB1506" s="48" t="s">
        <v>375</v>
      </c>
      <c r="AC1506" s="48" t="s">
        <v>375</v>
      </c>
      <c r="AD1506" s="48" t="s">
        <v>375</v>
      </c>
      <c r="AE1506" s="48" t="s">
        <v>375</v>
      </c>
      <c r="AF1506" s="48" t="s">
        <v>375</v>
      </c>
      <c r="AG1506" s="48" t="s">
        <v>375</v>
      </c>
      <c r="AH1506" s="48" t="s">
        <v>375</v>
      </c>
      <c r="AI1506" s="48" t="s">
        <v>375</v>
      </c>
    </row>
    <row r="1507" spans="1:41" hidden="1" x14ac:dyDescent="0.25">
      <c r="A1507">
        <v>1506</v>
      </c>
      <c r="B1507">
        <v>2026</v>
      </c>
      <c r="C1507">
        <v>2</v>
      </c>
      <c r="D1507" t="s">
        <v>648</v>
      </c>
      <c r="E1507">
        <v>31</v>
      </c>
      <c r="F1507">
        <v>13</v>
      </c>
      <c r="G1507" t="s">
        <v>431</v>
      </c>
      <c r="H1507" s="48">
        <v>0.85069444444444442</v>
      </c>
      <c r="I1507" s="48">
        <v>0.875</v>
      </c>
      <c r="J1507" s="48">
        <v>0.875</v>
      </c>
      <c r="K1507" s="48">
        <v>0.875</v>
      </c>
      <c r="L1507" s="48">
        <v>0.875</v>
      </c>
      <c r="M1507" s="48">
        <v>0.875</v>
      </c>
      <c r="N1507" s="48">
        <v>0.875</v>
      </c>
      <c r="O1507" s="48">
        <v>0.875</v>
      </c>
      <c r="P1507" s="48">
        <v>0.875</v>
      </c>
      <c r="Q1507" s="48">
        <v>0.875</v>
      </c>
      <c r="R1507" s="48">
        <v>0.875</v>
      </c>
      <c r="S1507" s="48">
        <v>0.875</v>
      </c>
      <c r="T1507" s="48">
        <v>0.875</v>
      </c>
      <c r="U1507" s="48">
        <v>0.875</v>
      </c>
      <c r="V1507" s="48">
        <v>0.875</v>
      </c>
      <c r="W1507" s="48">
        <v>0.875</v>
      </c>
      <c r="X1507" s="48">
        <v>0.875</v>
      </c>
      <c r="Y1507" s="48">
        <v>0.875</v>
      </c>
      <c r="Z1507" s="48">
        <v>0.875</v>
      </c>
      <c r="AA1507" s="48">
        <v>0.875</v>
      </c>
      <c r="AB1507" s="48">
        <v>0.875</v>
      </c>
      <c r="AC1507" s="48">
        <v>0.75</v>
      </c>
      <c r="AD1507" s="48">
        <v>0.875</v>
      </c>
      <c r="AE1507" s="48">
        <v>0.875</v>
      </c>
      <c r="AF1507" s="48">
        <v>0.875</v>
      </c>
      <c r="AG1507" s="48">
        <v>0.875</v>
      </c>
      <c r="AH1507" s="48">
        <v>0.875</v>
      </c>
      <c r="AI1507" s="48">
        <v>0.75</v>
      </c>
      <c r="AM1507">
        <v>30</v>
      </c>
      <c r="AO1507" cm="1">
        <f t="array" ref="AO1507">SUM(IFERROR(MOD((H1507:AL1507-H1506:AL1506)*24,11),""))</f>
        <v>76.999999999999986</v>
      </c>
    </row>
    <row r="1508" spans="1:41" hidden="1" x14ac:dyDescent="0.25">
      <c r="A1508">
        <v>1507</v>
      </c>
      <c r="B1508">
        <v>2026</v>
      </c>
      <c r="C1508">
        <v>2</v>
      </c>
      <c r="D1508" t="s">
        <v>183</v>
      </c>
      <c r="E1508">
        <v>31</v>
      </c>
      <c r="F1508">
        <v>13</v>
      </c>
      <c r="G1508" t="s">
        <v>430</v>
      </c>
      <c r="H1508" s="48">
        <v>0.29166666666666669</v>
      </c>
      <c r="I1508" s="48">
        <v>0.29166666666666669</v>
      </c>
      <c r="J1508" s="48">
        <v>0.29166666666666669</v>
      </c>
      <c r="K1508" s="48">
        <v>0.29166666666666669</v>
      </c>
      <c r="L1508" s="48">
        <v>0.29166666666666669</v>
      </c>
      <c r="M1508" s="48">
        <v>0.29166666666666669</v>
      </c>
      <c r="N1508" s="48">
        <v>0.29166666666666669</v>
      </c>
      <c r="O1508" s="48">
        <v>0.29166666666666669</v>
      </c>
      <c r="P1508" s="48">
        <v>0.29166666666666669</v>
      </c>
      <c r="Q1508" s="48">
        <v>0.29166666666666669</v>
      </c>
      <c r="R1508" s="48">
        <v>0.29166666666666669</v>
      </c>
      <c r="S1508" s="48">
        <v>0.29166666666666669</v>
      </c>
      <c r="T1508" s="48">
        <v>0.29166666666666669</v>
      </c>
      <c r="U1508" s="48">
        <v>0.29166666666666669</v>
      </c>
      <c r="V1508" s="48">
        <v>0.29166666666666669</v>
      </c>
      <c r="W1508" s="48">
        <v>0.29166666666666669</v>
      </c>
      <c r="X1508" s="48">
        <v>0.29166666666666669</v>
      </c>
      <c r="Y1508" s="48">
        <v>0.29166666666666669</v>
      </c>
      <c r="Z1508" s="48">
        <v>0.29166666666666669</v>
      </c>
      <c r="AA1508" s="48">
        <v>0.29166666666666669</v>
      </c>
      <c r="AB1508" s="48">
        <v>0.29166666666666669</v>
      </c>
      <c r="AC1508" s="48">
        <v>0.29166666666666669</v>
      </c>
      <c r="AD1508" s="48">
        <v>0.29166666666666669</v>
      </c>
      <c r="AE1508" s="48">
        <v>0.29166666666666669</v>
      </c>
      <c r="AF1508" s="48">
        <v>0.29166666666666669</v>
      </c>
      <c r="AG1508" s="48">
        <v>0.29166666666666669</v>
      </c>
      <c r="AH1508" s="48">
        <v>0.29166666666666669</v>
      </c>
      <c r="AI1508" s="48">
        <v>0.29166666666666669</v>
      </c>
    </row>
    <row r="1509" spans="1:41" hidden="1" x14ac:dyDescent="0.25">
      <c r="A1509">
        <v>1508</v>
      </c>
      <c r="B1509">
        <v>2026</v>
      </c>
      <c r="C1509">
        <v>2</v>
      </c>
      <c r="D1509" t="s">
        <v>183</v>
      </c>
      <c r="E1509">
        <v>31</v>
      </c>
      <c r="F1509">
        <v>13</v>
      </c>
      <c r="G1509" t="s">
        <v>431</v>
      </c>
      <c r="H1509" s="48">
        <v>0.75</v>
      </c>
      <c r="I1509" s="48">
        <v>0.75</v>
      </c>
      <c r="J1509" s="48">
        <v>0.75</v>
      </c>
      <c r="K1509" s="48">
        <v>0.75</v>
      </c>
      <c r="L1509" s="48">
        <v>0.75</v>
      </c>
      <c r="M1509" s="48">
        <v>0.75</v>
      </c>
      <c r="N1509" s="48">
        <v>0.75</v>
      </c>
      <c r="O1509" s="48">
        <v>0.75</v>
      </c>
      <c r="P1509" s="48">
        <v>0.75</v>
      </c>
      <c r="Q1509" s="48">
        <v>0.75</v>
      </c>
      <c r="R1509" s="48">
        <v>0.75</v>
      </c>
      <c r="S1509" s="48">
        <v>0.75</v>
      </c>
      <c r="T1509" s="48">
        <v>0.75</v>
      </c>
      <c r="U1509" s="48">
        <v>0.75</v>
      </c>
      <c r="V1509" s="48">
        <v>0.75</v>
      </c>
      <c r="W1509" s="48">
        <v>0.75</v>
      </c>
      <c r="X1509" s="48">
        <v>0.75</v>
      </c>
      <c r="Y1509" s="48">
        <v>0.75</v>
      </c>
      <c r="Z1509" s="48">
        <v>0.75</v>
      </c>
      <c r="AA1509" s="48">
        <v>0.75</v>
      </c>
      <c r="AB1509" s="48">
        <v>0.75</v>
      </c>
      <c r="AC1509" s="48">
        <v>0.75</v>
      </c>
      <c r="AD1509" s="48">
        <v>0.75</v>
      </c>
      <c r="AE1509" s="48">
        <v>0.75</v>
      </c>
      <c r="AF1509" s="48">
        <v>0.75</v>
      </c>
      <c r="AG1509" s="48">
        <v>0.75</v>
      </c>
      <c r="AH1509" s="48">
        <v>0.75</v>
      </c>
      <c r="AI1509" s="48">
        <v>0.75</v>
      </c>
      <c r="AM1509">
        <v>30</v>
      </c>
    </row>
    <row r="1510" spans="1:41" hidden="1" x14ac:dyDescent="0.25">
      <c r="A1510">
        <v>1509</v>
      </c>
      <c r="B1510">
        <v>2026</v>
      </c>
      <c r="C1510">
        <v>2</v>
      </c>
      <c r="D1510" t="s">
        <v>172</v>
      </c>
      <c r="E1510">
        <v>31</v>
      </c>
      <c r="F1510">
        <v>13</v>
      </c>
      <c r="G1510" t="s">
        <v>430</v>
      </c>
      <c r="H1510" s="48" t="s">
        <v>320</v>
      </c>
      <c r="I1510" s="48" t="s">
        <v>375</v>
      </c>
      <c r="J1510" s="48" t="s">
        <v>375</v>
      </c>
      <c r="K1510" s="48" t="s">
        <v>375</v>
      </c>
      <c r="L1510" s="48" t="s">
        <v>375</v>
      </c>
      <c r="M1510" s="48" t="s">
        <v>375</v>
      </c>
      <c r="N1510" s="48" t="s">
        <v>375</v>
      </c>
      <c r="O1510" s="48" t="s">
        <v>375</v>
      </c>
      <c r="P1510" s="48" t="s">
        <v>375</v>
      </c>
      <c r="Q1510" s="48" t="s">
        <v>375</v>
      </c>
      <c r="R1510" s="48" t="s">
        <v>375</v>
      </c>
      <c r="S1510" s="48" t="s">
        <v>375</v>
      </c>
      <c r="T1510" s="48" t="s">
        <v>375</v>
      </c>
      <c r="U1510" s="48" t="s">
        <v>375</v>
      </c>
      <c r="V1510" s="48" t="s">
        <v>375</v>
      </c>
      <c r="W1510" s="48" t="s">
        <v>375</v>
      </c>
      <c r="X1510" s="48" t="s">
        <v>375</v>
      </c>
      <c r="Y1510" s="48" t="s">
        <v>320</v>
      </c>
      <c r="Z1510" s="48" t="s">
        <v>375</v>
      </c>
      <c r="AA1510" s="48" t="s">
        <v>375</v>
      </c>
      <c r="AB1510" s="48" t="s">
        <v>375</v>
      </c>
      <c r="AC1510" s="48" t="s">
        <v>375</v>
      </c>
      <c r="AD1510" s="48" t="s">
        <v>375</v>
      </c>
      <c r="AE1510" s="48" t="s">
        <v>375</v>
      </c>
      <c r="AF1510" s="48" t="s">
        <v>375</v>
      </c>
      <c r="AG1510" s="48" t="s">
        <v>375</v>
      </c>
      <c r="AH1510" s="48" t="s">
        <v>375</v>
      </c>
      <c r="AI1510" s="48" t="s">
        <v>375</v>
      </c>
    </row>
    <row r="1511" spans="1:41" hidden="1" x14ac:dyDescent="0.25">
      <c r="A1511">
        <v>1510</v>
      </c>
      <c r="B1511">
        <v>2026</v>
      </c>
      <c r="C1511">
        <v>2</v>
      </c>
      <c r="D1511" t="s">
        <v>172</v>
      </c>
      <c r="E1511">
        <v>31</v>
      </c>
      <c r="F1511">
        <v>13</v>
      </c>
      <c r="G1511" t="s">
        <v>431</v>
      </c>
      <c r="H1511" s="48" t="s">
        <v>320</v>
      </c>
      <c r="I1511" s="48">
        <v>0.75</v>
      </c>
      <c r="J1511" s="48">
        <v>0.75</v>
      </c>
      <c r="K1511" s="48">
        <v>0.75</v>
      </c>
      <c r="L1511" s="48">
        <v>0.75</v>
      </c>
      <c r="M1511" s="48">
        <v>0.75</v>
      </c>
      <c r="N1511" s="48">
        <v>0.75</v>
      </c>
      <c r="O1511" s="48">
        <v>0.75</v>
      </c>
      <c r="P1511" s="48">
        <v>0.75</v>
      </c>
      <c r="Q1511" s="48">
        <v>0.75</v>
      </c>
      <c r="R1511" s="48">
        <v>0.75</v>
      </c>
      <c r="S1511" s="48">
        <v>0.75</v>
      </c>
      <c r="T1511" s="48">
        <v>0.75</v>
      </c>
      <c r="U1511" s="48">
        <v>0.75</v>
      </c>
      <c r="V1511" s="48">
        <v>0.75</v>
      </c>
      <c r="W1511" s="48">
        <v>0.75</v>
      </c>
      <c r="X1511" s="48">
        <v>0.75</v>
      </c>
      <c r="Y1511" s="48" t="s">
        <v>320</v>
      </c>
      <c r="Z1511" s="48">
        <v>0.75</v>
      </c>
      <c r="AA1511" s="48">
        <v>0.75</v>
      </c>
      <c r="AB1511" s="48">
        <v>0.75</v>
      </c>
      <c r="AC1511" s="48">
        <v>0.75</v>
      </c>
      <c r="AD1511" s="48">
        <v>0.75</v>
      </c>
      <c r="AE1511" s="48">
        <v>0.75</v>
      </c>
      <c r="AF1511" s="48">
        <v>0.75</v>
      </c>
      <c r="AG1511" s="48">
        <v>0.75</v>
      </c>
      <c r="AH1511" s="48">
        <v>0.75</v>
      </c>
      <c r="AI1511" s="48">
        <v>0.75</v>
      </c>
      <c r="AM1511">
        <v>28</v>
      </c>
      <c r="AO1511" cm="1">
        <f t="array" ref="AO1511">SUM(IFERROR(MOD((H1511:AL1511-H1510:AL1510)*24,11),""))</f>
        <v>0</v>
      </c>
    </row>
    <row r="1512" spans="1:41" hidden="1" x14ac:dyDescent="0.25">
      <c r="A1512">
        <v>1511</v>
      </c>
      <c r="B1512">
        <v>2026</v>
      </c>
      <c r="C1512">
        <v>2</v>
      </c>
      <c r="D1512" t="s">
        <v>167</v>
      </c>
      <c r="E1512">
        <v>31</v>
      </c>
      <c r="F1512">
        <v>13</v>
      </c>
      <c r="G1512" t="s">
        <v>430</v>
      </c>
      <c r="H1512" s="48" t="s">
        <v>375</v>
      </c>
      <c r="I1512" s="48" t="s">
        <v>375</v>
      </c>
      <c r="J1512" s="48" t="s">
        <v>375</v>
      </c>
      <c r="K1512" s="48" t="s">
        <v>375</v>
      </c>
      <c r="L1512" s="48" t="s">
        <v>375</v>
      </c>
      <c r="M1512" s="48" t="s">
        <v>375</v>
      </c>
      <c r="N1512" s="48" t="s">
        <v>375</v>
      </c>
      <c r="O1512" s="48" t="s">
        <v>320</v>
      </c>
      <c r="P1512" s="48" t="s">
        <v>375</v>
      </c>
      <c r="Q1512" s="48" t="s">
        <v>375</v>
      </c>
      <c r="R1512" s="48" t="s">
        <v>375</v>
      </c>
      <c r="S1512" s="48" t="s">
        <v>375</v>
      </c>
      <c r="T1512" s="48" t="s">
        <v>375</v>
      </c>
      <c r="U1512" s="48" t="s">
        <v>375</v>
      </c>
      <c r="V1512" s="48" t="s">
        <v>320</v>
      </c>
      <c r="W1512" s="48" t="s">
        <v>375</v>
      </c>
      <c r="X1512" s="48" t="s">
        <v>375</v>
      </c>
      <c r="Y1512" s="48" t="s">
        <v>375</v>
      </c>
      <c r="Z1512" s="48" t="s">
        <v>375</v>
      </c>
      <c r="AA1512" s="48" t="s">
        <v>375</v>
      </c>
      <c r="AB1512" s="48" t="s">
        <v>375</v>
      </c>
      <c r="AC1512" s="48" t="s">
        <v>375</v>
      </c>
      <c r="AD1512" s="48" t="s">
        <v>375</v>
      </c>
      <c r="AE1512" s="48" t="s">
        <v>375</v>
      </c>
      <c r="AF1512" s="48" t="s">
        <v>375</v>
      </c>
      <c r="AG1512" s="48" t="s">
        <v>375</v>
      </c>
      <c r="AH1512" s="48" t="s">
        <v>375</v>
      </c>
      <c r="AI1512" s="48" t="s">
        <v>375</v>
      </c>
    </row>
    <row r="1513" spans="1:41" hidden="1" x14ac:dyDescent="0.25">
      <c r="A1513">
        <v>1512</v>
      </c>
      <c r="B1513">
        <v>2026</v>
      </c>
      <c r="C1513">
        <v>2</v>
      </c>
      <c r="D1513" t="s">
        <v>167</v>
      </c>
      <c r="E1513">
        <v>31</v>
      </c>
      <c r="F1513">
        <v>13</v>
      </c>
      <c r="G1513" t="s">
        <v>431</v>
      </c>
      <c r="H1513" s="48">
        <v>0.75</v>
      </c>
      <c r="I1513" s="48">
        <v>0.95833333333333326</v>
      </c>
      <c r="J1513" s="48">
        <v>0.875</v>
      </c>
      <c r="K1513" s="48">
        <v>0.75</v>
      </c>
      <c r="L1513" s="48">
        <v>0.875</v>
      </c>
      <c r="M1513" s="48">
        <v>0.875</v>
      </c>
      <c r="N1513" s="48">
        <v>0.75</v>
      </c>
      <c r="O1513" s="48" t="s">
        <v>320</v>
      </c>
      <c r="P1513" s="48">
        <v>0.75</v>
      </c>
      <c r="Q1513" s="48">
        <v>0.875</v>
      </c>
      <c r="R1513" s="48">
        <v>0.875</v>
      </c>
      <c r="S1513" s="48">
        <v>0.91666666666666674</v>
      </c>
      <c r="T1513" s="48">
        <v>0.75</v>
      </c>
      <c r="U1513" s="48">
        <v>0.75</v>
      </c>
      <c r="V1513" s="48" t="s">
        <v>320</v>
      </c>
      <c r="W1513" s="48">
        <v>0.75</v>
      </c>
      <c r="X1513" s="48">
        <v>0.875</v>
      </c>
      <c r="Y1513" s="48">
        <v>0.91666666666666674</v>
      </c>
      <c r="Z1513" s="48">
        <v>0.75</v>
      </c>
      <c r="AA1513" s="48">
        <v>0.875</v>
      </c>
      <c r="AB1513" s="48">
        <v>0.75</v>
      </c>
      <c r="AC1513" s="48">
        <v>0.875</v>
      </c>
      <c r="AD1513" s="48">
        <v>0.75</v>
      </c>
      <c r="AE1513" s="48">
        <v>0.875</v>
      </c>
      <c r="AF1513" s="48">
        <v>0.75</v>
      </c>
      <c r="AG1513" s="48">
        <v>0.875</v>
      </c>
      <c r="AH1513" s="48">
        <v>0.75</v>
      </c>
      <c r="AI1513" s="48">
        <v>0.75</v>
      </c>
      <c r="AM1513">
        <v>28</v>
      </c>
      <c r="AO1513" cm="1">
        <f t="array" ref="AO1513">SUM(IFERROR(MOD((H1513:AL1513-H1512:AL1512)*24,11),""))</f>
        <v>42.999999999999986</v>
      </c>
    </row>
    <row r="1514" spans="1:41" hidden="1" x14ac:dyDescent="0.25">
      <c r="A1514">
        <v>1513</v>
      </c>
      <c r="B1514">
        <v>2026</v>
      </c>
      <c r="C1514">
        <v>2</v>
      </c>
      <c r="D1514" t="s">
        <v>160</v>
      </c>
      <c r="E1514">
        <v>31</v>
      </c>
      <c r="F1514">
        <v>13</v>
      </c>
      <c r="G1514" t="s">
        <v>430</v>
      </c>
      <c r="H1514" s="48" t="s">
        <v>375</v>
      </c>
      <c r="I1514" s="48" t="s">
        <v>375</v>
      </c>
      <c r="J1514" s="48" t="s">
        <v>375</v>
      </c>
      <c r="K1514" s="48" t="s">
        <v>375</v>
      </c>
      <c r="L1514" s="48" t="s">
        <v>375</v>
      </c>
      <c r="M1514" s="48" t="s">
        <v>375</v>
      </c>
      <c r="N1514" s="48" t="s">
        <v>375</v>
      </c>
      <c r="O1514" s="48" t="s">
        <v>375</v>
      </c>
      <c r="P1514" s="48" t="s">
        <v>375</v>
      </c>
      <c r="Q1514" s="48" t="s">
        <v>375</v>
      </c>
      <c r="R1514" s="48" t="s">
        <v>375</v>
      </c>
      <c r="S1514" s="48" t="s">
        <v>375</v>
      </c>
      <c r="T1514" s="48" t="s">
        <v>375</v>
      </c>
      <c r="U1514" s="48" t="s">
        <v>375</v>
      </c>
      <c r="V1514" s="48" t="s">
        <v>375</v>
      </c>
      <c r="W1514" s="48" t="s">
        <v>375</v>
      </c>
      <c r="X1514" s="48" t="s">
        <v>375</v>
      </c>
      <c r="Y1514" s="48" t="s">
        <v>375</v>
      </c>
      <c r="Z1514" s="48" t="s">
        <v>375</v>
      </c>
      <c r="AA1514" s="48" t="s">
        <v>375</v>
      </c>
      <c r="AB1514" s="48" t="s">
        <v>375</v>
      </c>
      <c r="AC1514" s="48" t="s">
        <v>375</v>
      </c>
      <c r="AD1514" s="48" t="s">
        <v>375</v>
      </c>
      <c r="AE1514" s="48" t="s">
        <v>375</v>
      </c>
      <c r="AF1514" s="48" t="s">
        <v>375</v>
      </c>
      <c r="AG1514" s="48" t="s">
        <v>375</v>
      </c>
      <c r="AH1514" s="48" t="s">
        <v>375</v>
      </c>
      <c r="AI1514" s="48" t="s">
        <v>375</v>
      </c>
    </row>
    <row r="1515" spans="1:41" hidden="1" x14ac:dyDescent="0.25">
      <c r="A1515">
        <v>1514</v>
      </c>
      <c r="B1515">
        <v>2026</v>
      </c>
      <c r="C1515">
        <v>2</v>
      </c>
      <c r="D1515" t="s">
        <v>160</v>
      </c>
      <c r="E1515">
        <v>31</v>
      </c>
      <c r="F1515">
        <v>13</v>
      </c>
      <c r="G1515" t="s">
        <v>431</v>
      </c>
      <c r="H1515" s="48">
        <v>0.75</v>
      </c>
      <c r="I1515" s="48">
        <v>0.75</v>
      </c>
      <c r="J1515" s="48">
        <v>0.75</v>
      </c>
      <c r="K1515" s="48">
        <v>0.75</v>
      </c>
      <c r="L1515" s="48">
        <v>0.75</v>
      </c>
      <c r="M1515" s="48">
        <v>0.75</v>
      </c>
      <c r="N1515" s="48">
        <v>0.75</v>
      </c>
      <c r="O1515" s="48">
        <v>0.75</v>
      </c>
      <c r="P1515" s="48">
        <v>0.75</v>
      </c>
      <c r="Q1515" s="48">
        <v>0.75</v>
      </c>
      <c r="R1515" s="48">
        <v>0.75</v>
      </c>
      <c r="S1515" s="48">
        <v>0.75</v>
      </c>
      <c r="T1515" s="48">
        <v>0.75</v>
      </c>
      <c r="U1515" s="48">
        <v>0.75</v>
      </c>
      <c r="V1515" s="48">
        <v>0.75</v>
      </c>
      <c r="W1515" s="48">
        <v>0.75</v>
      </c>
      <c r="X1515" s="48">
        <v>0.75</v>
      </c>
      <c r="Y1515" s="48">
        <v>0.75</v>
      </c>
      <c r="Z1515" s="48">
        <v>0.75</v>
      </c>
      <c r="AA1515" s="48">
        <v>0.75</v>
      </c>
      <c r="AB1515" s="48">
        <v>0.75</v>
      </c>
      <c r="AC1515" s="48">
        <v>0.75</v>
      </c>
      <c r="AD1515" s="48">
        <v>0.75</v>
      </c>
      <c r="AE1515" s="48">
        <v>0.75</v>
      </c>
      <c r="AF1515" s="48">
        <v>0.75</v>
      </c>
      <c r="AG1515" s="48">
        <v>0.75</v>
      </c>
      <c r="AH1515" s="48">
        <v>0.75</v>
      </c>
      <c r="AI1515" s="48">
        <v>0.75</v>
      </c>
      <c r="AM1515">
        <v>30</v>
      </c>
    </row>
    <row r="1516" spans="1:41" hidden="1" x14ac:dyDescent="0.25">
      <c r="A1516">
        <v>1515</v>
      </c>
      <c r="B1516">
        <v>2026</v>
      </c>
      <c r="C1516">
        <v>2</v>
      </c>
      <c r="D1516" t="s">
        <v>177</v>
      </c>
      <c r="E1516">
        <v>31</v>
      </c>
      <c r="F1516">
        <v>13</v>
      </c>
      <c r="G1516" t="s">
        <v>430</v>
      </c>
      <c r="H1516" s="48">
        <v>0.33333333333333331</v>
      </c>
      <c r="I1516" s="48">
        <v>0.33333333333333331</v>
      </c>
      <c r="J1516" s="48">
        <v>0.33333333333333331</v>
      </c>
      <c r="K1516" s="48">
        <v>0.33333333333333331</v>
      </c>
      <c r="L1516" s="48">
        <v>0.33333333333333331</v>
      </c>
      <c r="M1516" s="48">
        <v>0.33333333333333331</v>
      </c>
      <c r="N1516" s="48">
        <v>0.33333333333333331</v>
      </c>
      <c r="O1516" s="48">
        <v>0.33333333333333331</v>
      </c>
      <c r="P1516" s="48">
        <v>0.33333333333333331</v>
      </c>
      <c r="Q1516" s="48">
        <v>0.33333333333333331</v>
      </c>
      <c r="R1516" s="48">
        <v>0.33333333333333331</v>
      </c>
      <c r="S1516" s="48">
        <v>0.33333333333333331</v>
      </c>
      <c r="T1516" s="48">
        <v>0.33333333333333331</v>
      </c>
      <c r="U1516" s="48">
        <v>0.33333333333333331</v>
      </c>
      <c r="V1516" s="48">
        <v>0.33333333333333331</v>
      </c>
      <c r="W1516" s="48">
        <v>0.33333333333333331</v>
      </c>
      <c r="X1516" s="48">
        <v>0.33333333333333331</v>
      </c>
      <c r="Y1516" s="48">
        <v>0.33333333333333331</v>
      </c>
      <c r="Z1516" s="48">
        <v>0.33333333333333331</v>
      </c>
      <c r="AA1516" s="48">
        <v>0.33333333333333331</v>
      </c>
      <c r="AB1516" s="48">
        <v>0.25</v>
      </c>
      <c r="AC1516" s="48">
        <v>0.33333333333333331</v>
      </c>
      <c r="AD1516" s="48">
        <v>0.33333333333333331</v>
      </c>
      <c r="AE1516" s="48">
        <v>0.33333333333333331</v>
      </c>
      <c r="AF1516" s="48">
        <v>0.33333333333333331</v>
      </c>
      <c r="AG1516" s="48">
        <v>0.33333333333333331</v>
      </c>
      <c r="AH1516" s="48">
        <v>0.33333333333333331</v>
      </c>
      <c r="AI1516" s="48">
        <v>0.33333333333333331</v>
      </c>
    </row>
    <row r="1517" spans="1:41" hidden="1" x14ac:dyDescent="0.25">
      <c r="A1517">
        <v>1516</v>
      </c>
      <c r="B1517">
        <v>2026</v>
      </c>
      <c r="C1517">
        <v>2</v>
      </c>
      <c r="D1517" t="s">
        <v>177</v>
      </c>
      <c r="E1517">
        <v>31</v>
      </c>
      <c r="F1517">
        <v>13</v>
      </c>
      <c r="G1517" t="s">
        <v>431</v>
      </c>
      <c r="H1517" s="48">
        <v>0.75</v>
      </c>
      <c r="I1517" s="48">
        <v>0.875</v>
      </c>
      <c r="J1517" s="48">
        <v>0.75</v>
      </c>
      <c r="K1517" s="48">
        <v>0.75</v>
      </c>
      <c r="L1517" s="48">
        <v>0.75</v>
      </c>
      <c r="M1517" s="48">
        <v>0.83333333333333337</v>
      </c>
      <c r="N1517" s="48">
        <v>0.875</v>
      </c>
      <c r="O1517" s="48">
        <v>0.79166666666666663</v>
      </c>
      <c r="P1517" s="48">
        <v>0.75</v>
      </c>
      <c r="Q1517" s="48">
        <v>0.75</v>
      </c>
      <c r="R1517" s="48">
        <v>0.79166666666666663</v>
      </c>
      <c r="S1517" s="48">
        <v>1.0416666666666667</v>
      </c>
      <c r="T1517" s="48">
        <v>0.875</v>
      </c>
      <c r="U1517" s="48">
        <v>0.75</v>
      </c>
      <c r="V1517" s="48">
        <v>0.75</v>
      </c>
      <c r="W1517" s="48">
        <v>0.75</v>
      </c>
      <c r="X1517" s="48">
        <v>1</v>
      </c>
      <c r="Y1517" s="48">
        <v>0.75</v>
      </c>
      <c r="Z1517" s="48">
        <v>1.0833333333333333</v>
      </c>
      <c r="AA1517" s="48">
        <v>0.75</v>
      </c>
      <c r="AB1517" s="48">
        <v>0.95833333333333348</v>
      </c>
      <c r="AC1517" s="48">
        <v>0.75</v>
      </c>
      <c r="AD1517" s="48">
        <v>0.875</v>
      </c>
      <c r="AE1517" s="48">
        <v>0.75</v>
      </c>
      <c r="AF1517" s="48">
        <v>0.95833333333333337</v>
      </c>
      <c r="AG1517" s="48">
        <v>0.79166666666666663</v>
      </c>
      <c r="AH1517" s="48">
        <v>1.1666666666666667</v>
      </c>
      <c r="AI1517" s="48">
        <v>0.95833333333333337</v>
      </c>
      <c r="AJ1517" s="48" t="s">
        <v>320</v>
      </c>
      <c r="AK1517" s="48" t="s">
        <v>320</v>
      </c>
      <c r="AL1517" s="48" t="s">
        <v>320</v>
      </c>
      <c r="AM1517">
        <v>30</v>
      </c>
      <c r="AO1517">
        <v>65</v>
      </c>
    </row>
    <row r="1518" spans="1:41" hidden="1" x14ac:dyDescent="0.25">
      <c r="A1518">
        <v>1517</v>
      </c>
      <c r="B1518">
        <v>2026</v>
      </c>
      <c r="C1518">
        <v>2</v>
      </c>
      <c r="D1518" t="s">
        <v>169</v>
      </c>
      <c r="E1518">
        <v>31</v>
      </c>
      <c r="F1518">
        <v>13</v>
      </c>
      <c r="G1518" t="s">
        <v>430</v>
      </c>
      <c r="H1518" s="48" t="s">
        <v>375</v>
      </c>
      <c r="I1518" s="48" t="s">
        <v>375</v>
      </c>
      <c r="J1518" s="48" t="s">
        <v>375</v>
      </c>
      <c r="K1518" s="48" t="s">
        <v>375</v>
      </c>
      <c r="L1518" s="48" t="s">
        <v>375</v>
      </c>
      <c r="M1518" s="48" t="s">
        <v>375</v>
      </c>
      <c r="N1518" s="48" t="s">
        <v>375</v>
      </c>
      <c r="O1518" s="48" t="s">
        <v>375</v>
      </c>
      <c r="P1518" s="48" t="s">
        <v>375</v>
      </c>
      <c r="Q1518" s="48" t="s">
        <v>375</v>
      </c>
      <c r="R1518" s="48" t="s">
        <v>375</v>
      </c>
      <c r="S1518" s="48" t="s">
        <v>375</v>
      </c>
      <c r="T1518" s="48" t="s">
        <v>375</v>
      </c>
      <c r="U1518" s="48" t="s">
        <v>375</v>
      </c>
      <c r="V1518" s="48" t="s">
        <v>320</v>
      </c>
      <c r="W1518" s="48" t="s">
        <v>375</v>
      </c>
      <c r="X1518" s="48" t="s">
        <v>375</v>
      </c>
      <c r="Y1518" s="48" t="s">
        <v>375</v>
      </c>
      <c r="Z1518" s="48" t="s">
        <v>375</v>
      </c>
      <c r="AA1518" s="48" t="s">
        <v>375</v>
      </c>
      <c r="AB1518" s="48" t="s">
        <v>375</v>
      </c>
      <c r="AC1518" s="48" t="s">
        <v>375</v>
      </c>
      <c r="AD1518" s="48" t="s">
        <v>375</v>
      </c>
      <c r="AE1518" s="48" t="s">
        <v>375</v>
      </c>
      <c r="AF1518" s="48" t="s">
        <v>375</v>
      </c>
      <c r="AG1518" s="48" t="s">
        <v>375</v>
      </c>
      <c r="AH1518" s="48" t="s">
        <v>375</v>
      </c>
      <c r="AI1518" s="48" t="s">
        <v>375</v>
      </c>
    </row>
    <row r="1519" spans="1:41" hidden="1" x14ac:dyDescent="0.25">
      <c r="A1519">
        <v>1518</v>
      </c>
      <c r="B1519">
        <v>2026</v>
      </c>
      <c r="C1519">
        <v>2</v>
      </c>
      <c r="D1519" t="s">
        <v>169</v>
      </c>
      <c r="E1519">
        <v>31</v>
      </c>
      <c r="F1519">
        <v>13</v>
      </c>
      <c r="G1519" t="s">
        <v>431</v>
      </c>
      <c r="H1519" s="48">
        <v>0.75</v>
      </c>
      <c r="I1519" s="48">
        <v>0.75</v>
      </c>
      <c r="J1519" s="48">
        <v>0.75</v>
      </c>
      <c r="K1519" s="48">
        <v>0.75</v>
      </c>
      <c r="L1519" s="48">
        <v>0.75</v>
      </c>
      <c r="M1519" s="48">
        <v>0.79166666666666674</v>
      </c>
      <c r="N1519" s="48">
        <v>0.75</v>
      </c>
      <c r="O1519" s="48">
        <v>0.75</v>
      </c>
      <c r="P1519" s="48">
        <v>0.79166666666666674</v>
      </c>
      <c r="Q1519" s="48">
        <v>0.83333333333333326</v>
      </c>
      <c r="R1519" s="48">
        <v>0.83333333333333326</v>
      </c>
      <c r="S1519" s="48">
        <v>0.75</v>
      </c>
      <c r="T1519" s="48">
        <v>0.75</v>
      </c>
      <c r="U1519" s="48">
        <v>0.75</v>
      </c>
      <c r="V1519" s="48" t="s">
        <v>320</v>
      </c>
      <c r="W1519" s="48">
        <v>0.75</v>
      </c>
      <c r="X1519" s="48">
        <v>0.75</v>
      </c>
      <c r="Y1519" s="48">
        <v>0.79166666666666674</v>
      </c>
      <c r="Z1519" s="48">
        <v>0.79166666666666674</v>
      </c>
      <c r="AA1519" s="48">
        <v>0.79166666666666674</v>
      </c>
      <c r="AB1519" s="48">
        <v>0.83333333333333326</v>
      </c>
      <c r="AC1519" s="48">
        <v>0.75</v>
      </c>
      <c r="AD1519" s="48">
        <v>0.75</v>
      </c>
      <c r="AE1519" s="48">
        <v>0.75</v>
      </c>
      <c r="AF1519" s="48">
        <v>0.83333333333333326</v>
      </c>
      <c r="AG1519" s="48">
        <v>0.75</v>
      </c>
      <c r="AH1519" s="48">
        <v>0.75</v>
      </c>
      <c r="AI1519" s="48">
        <v>0.75</v>
      </c>
      <c r="AM1519">
        <v>29</v>
      </c>
      <c r="AO1519" cm="1">
        <f t="array" ref="AO1519">SUM(IFERROR(MOD((H1519:AL1519-H1518:AL1518)*24,11),""))</f>
        <v>12.999999999999986</v>
      </c>
    </row>
    <row r="1520" spans="1:41" hidden="1" x14ac:dyDescent="0.25">
      <c r="A1520">
        <v>1519</v>
      </c>
      <c r="B1520">
        <v>2026</v>
      </c>
      <c r="C1520">
        <v>2</v>
      </c>
      <c r="D1520" t="s">
        <v>170</v>
      </c>
      <c r="E1520">
        <v>31</v>
      </c>
      <c r="F1520">
        <v>13</v>
      </c>
      <c r="G1520" t="s">
        <v>430</v>
      </c>
      <c r="H1520" s="48" t="s">
        <v>375</v>
      </c>
      <c r="I1520" s="48" t="s">
        <v>375</v>
      </c>
      <c r="J1520" s="48" t="s">
        <v>375</v>
      </c>
      <c r="K1520" s="48" t="s">
        <v>375</v>
      </c>
      <c r="L1520" s="48" t="s">
        <v>375</v>
      </c>
      <c r="M1520" s="48" t="s">
        <v>375</v>
      </c>
      <c r="N1520" s="48" t="s">
        <v>375</v>
      </c>
      <c r="O1520" s="48" t="s">
        <v>375</v>
      </c>
      <c r="P1520" s="48" t="s">
        <v>375</v>
      </c>
      <c r="Q1520" s="48" t="s">
        <v>375</v>
      </c>
      <c r="R1520" s="48" t="s">
        <v>375</v>
      </c>
      <c r="S1520" s="48" t="s">
        <v>375</v>
      </c>
      <c r="T1520" s="48" t="s">
        <v>375</v>
      </c>
      <c r="U1520" s="48" t="s">
        <v>375</v>
      </c>
      <c r="V1520" s="48" t="s">
        <v>375</v>
      </c>
      <c r="W1520" s="48" t="s">
        <v>375</v>
      </c>
      <c r="X1520" s="48" t="s">
        <v>375</v>
      </c>
      <c r="Y1520" s="48" t="s">
        <v>375</v>
      </c>
      <c r="Z1520" s="48" t="s">
        <v>375</v>
      </c>
      <c r="AA1520" s="48" t="s">
        <v>375</v>
      </c>
      <c r="AB1520" s="48" t="s">
        <v>375</v>
      </c>
      <c r="AC1520" s="48" t="s">
        <v>375</v>
      </c>
      <c r="AD1520" s="48" t="s">
        <v>375</v>
      </c>
      <c r="AE1520" s="48" t="s">
        <v>375</v>
      </c>
      <c r="AF1520" s="48" t="s">
        <v>375</v>
      </c>
      <c r="AG1520" s="48" t="s">
        <v>375</v>
      </c>
      <c r="AH1520" s="48" t="s">
        <v>375</v>
      </c>
      <c r="AI1520" s="48" t="s">
        <v>375</v>
      </c>
    </row>
    <row r="1521" spans="1:41" hidden="1" x14ac:dyDescent="0.25">
      <c r="A1521">
        <v>1520</v>
      </c>
      <c r="B1521">
        <v>2026</v>
      </c>
      <c r="C1521">
        <v>2</v>
      </c>
      <c r="D1521" t="s">
        <v>170</v>
      </c>
      <c r="E1521">
        <v>31</v>
      </c>
      <c r="F1521">
        <v>13</v>
      </c>
      <c r="G1521" t="s">
        <v>431</v>
      </c>
      <c r="H1521" s="48">
        <v>0.83333333333333326</v>
      </c>
      <c r="I1521" s="48">
        <v>0.83333333333333326</v>
      </c>
      <c r="J1521" s="48">
        <v>0.875</v>
      </c>
      <c r="K1521" s="48">
        <v>0.83333333333333326</v>
      </c>
      <c r="L1521" s="48">
        <v>0.91666666666666674</v>
      </c>
      <c r="M1521" s="48">
        <v>0.91666666666666674</v>
      </c>
      <c r="N1521" s="48">
        <v>0.91666666666666674</v>
      </c>
      <c r="O1521" s="48">
        <v>0.83333333333333326</v>
      </c>
      <c r="P1521" s="48">
        <v>0.875</v>
      </c>
      <c r="Q1521" s="48">
        <v>0.83333333333333326</v>
      </c>
      <c r="R1521" s="48">
        <v>0.875</v>
      </c>
      <c r="S1521" s="48">
        <v>0.83333333333333326</v>
      </c>
      <c r="T1521" s="48">
        <v>0.875</v>
      </c>
      <c r="U1521" s="48">
        <v>0.875</v>
      </c>
      <c r="V1521" s="48">
        <v>0.875</v>
      </c>
      <c r="W1521" s="48">
        <v>0.875</v>
      </c>
      <c r="X1521" s="48">
        <v>0.875</v>
      </c>
      <c r="Y1521" s="48">
        <v>0.875</v>
      </c>
      <c r="Z1521" s="48">
        <v>0.83333333333333326</v>
      </c>
      <c r="AA1521" s="48">
        <v>0.875</v>
      </c>
      <c r="AB1521" s="48">
        <v>0.875</v>
      </c>
      <c r="AC1521" s="48">
        <v>0.83333333333333326</v>
      </c>
      <c r="AD1521" s="48">
        <v>0.83333333333333326</v>
      </c>
      <c r="AE1521" s="48">
        <v>0.83333333333333326</v>
      </c>
      <c r="AF1521" s="48">
        <v>0.83333333333333326</v>
      </c>
      <c r="AG1521" s="48">
        <v>0.83333333333333326</v>
      </c>
      <c r="AH1521" s="48">
        <v>0.875</v>
      </c>
      <c r="AI1521" s="48">
        <v>0.875</v>
      </c>
      <c r="AM1521">
        <v>30</v>
      </c>
      <c r="AO1521" cm="1">
        <f t="array" ref="AO1521">SUM(IFERROR(MOD((H1521:AL1521-H1520:AL1520)*24,11),""))</f>
        <v>74.999999999999972</v>
      </c>
    </row>
    <row r="1522" spans="1:41" hidden="1" x14ac:dyDescent="0.25">
      <c r="A1522">
        <v>1521</v>
      </c>
      <c r="B1522">
        <v>2026</v>
      </c>
      <c r="C1522">
        <v>2</v>
      </c>
      <c r="D1522" t="s">
        <v>158</v>
      </c>
      <c r="E1522">
        <v>31</v>
      </c>
      <c r="F1522">
        <v>13</v>
      </c>
      <c r="G1522" t="s">
        <v>430</v>
      </c>
      <c r="H1522" s="48">
        <v>0.29166666666666669</v>
      </c>
      <c r="I1522" s="48">
        <v>0.29166666666666669</v>
      </c>
      <c r="J1522" s="48">
        <v>0.29166666666666669</v>
      </c>
      <c r="K1522" s="48">
        <v>0.29166666666666669</v>
      </c>
      <c r="L1522" s="48">
        <v>0.29166666666666669</v>
      </c>
      <c r="M1522" s="48">
        <v>0.29166666666666669</v>
      </c>
      <c r="N1522" s="48">
        <v>0.29166666666666669</v>
      </c>
      <c r="O1522" s="48">
        <v>0.29166666666666669</v>
      </c>
      <c r="P1522" s="48">
        <v>0.29166666666666669</v>
      </c>
      <c r="Q1522" s="48">
        <v>0.29166666666666669</v>
      </c>
      <c r="R1522" s="48">
        <v>0.29166666666666669</v>
      </c>
      <c r="S1522" s="48">
        <v>0.29166666666666669</v>
      </c>
      <c r="T1522" s="48">
        <v>0.29166666666666669</v>
      </c>
      <c r="U1522" s="48">
        <v>0.29166666666666669</v>
      </c>
      <c r="V1522" s="48">
        <v>0.29166666666666669</v>
      </c>
      <c r="W1522" s="48">
        <v>0.29166666666666669</v>
      </c>
      <c r="X1522" s="48">
        <v>0.29166666666666669</v>
      </c>
      <c r="Y1522" s="48">
        <v>0.29166666666666669</v>
      </c>
      <c r="Z1522" s="48">
        <v>0.29166666666666669</v>
      </c>
      <c r="AA1522" s="48">
        <v>0.29166666666666669</v>
      </c>
      <c r="AB1522" s="48">
        <v>0.29166666666666669</v>
      </c>
      <c r="AC1522" s="48">
        <v>0.29166666666666669</v>
      </c>
      <c r="AD1522" s="48">
        <v>0.29166666666666669</v>
      </c>
      <c r="AE1522" s="48">
        <v>0.29166666666666669</v>
      </c>
      <c r="AF1522" s="48">
        <v>0.29166666666666669</v>
      </c>
      <c r="AG1522" s="48">
        <v>0.29166666666666669</v>
      </c>
      <c r="AH1522" s="48">
        <v>0.29166666666666669</v>
      </c>
      <c r="AI1522" s="48">
        <v>0.29166666666666669</v>
      </c>
    </row>
    <row r="1523" spans="1:41" hidden="1" x14ac:dyDescent="0.25">
      <c r="A1523">
        <v>1522</v>
      </c>
      <c r="B1523">
        <v>2026</v>
      </c>
      <c r="C1523">
        <v>2</v>
      </c>
      <c r="D1523" t="s">
        <v>158</v>
      </c>
      <c r="E1523">
        <v>31</v>
      </c>
      <c r="F1523">
        <v>13</v>
      </c>
      <c r="G1523" t="s">
        <v>431</v>
      </c>
      <c r="H1523" s="48">
        <v>0.75</v>
      </c>
      <c r="I1523" s="48">
        <v>0.75</v>
      </c>
      <c r="J1523" s="48">
        <v>0.75</v>
      </c>
      <c r="K1523" s="48">
        <v>0.75</v>
      </c>
      <c r="L1523" s="48">
        <v>0.75</v>
      </c>
      <c r="M1523" s="48">
        <v>0.75</v>
      </c>
      <c r="N1523" s="48">
        <v>0.75</v>
      </c>
      <c r="O1523" s="48">
        <v>0.75</v>
      </c>
      <c r="P1523" s="48">
        <v>0.75</v>
      </c>
      <c r="Q1523" s="48">
        <v>0.75</v>
      </c>
      <c r="R1523" s="48">
        <v>0.75</v>
      </c>
      <c r="S1523" s="48">
        <v>0.75</v>
      </c>
      <c r="T1523" s="48">
        <v>0.75</v>
      </c>
      <c r="U1523" s="48">
        <v>0.75</v>
      </c>
      <c r="V1523" s="48">
        <v>0.75</v>
      </c>
      <c r="W1523" s="48">
        <v>0.75</v>
      </c>
      <c r="X1523" s="48">
        <v>0.75</v>
      </c>
      <c r="Y1523" s="48">
        <v>0.75</v>
      </c>
      <c r="Z1523" s="48">
        <v>0.75</v>
      </c>
      <c r="AA1523" s="48">
        <v>0.75</v>
      </c>
      <c r="AB1523" s="48">
        <v>0.75</v>
      </c>
      <c r="AC1523" s="48">
        <v>0.75</v>
      </c>
      <c r="AD1523" s="48">
        <v>0.75</v>
      </c>
      <c r="AE1523" s="48">
        <v>0.75</v>
      </c>
      <c r="AF1523" s="48">
        <v>0.75</v>
      </c>
      <c r="AG1523" s="48">
        <v>0.75</v>
      </c>
      <c r="AH1523" s="48">
        <v>0.75</v>
      </c>
      <c r="AI1523" s="48">
        <v>0.75</v>
      </c>
      <c r="AM1523">
        <v>30</v>
      </c>
    </row>
    <row r="1524" spans="1:41" hidden="1" x14ac:dyDescent="0.25">
      <c r="A1524">
        <v>1523</v>
      </c>
      <c r="B1524">
        <v>2026</v>
      </c>
      <c r="C1524">
        <v>2</v>
      </c>
      <c r="D1524" t="s">
        <v>354</v>
      </c>
      <c r="E1524">
        <v>31</v>
      </c>
      <c r="F1524">
        <v>13</v>
      </c>
      <c r="G1524" t="s">
        <v>430</v>
      </c>
      <c r="H1524" s="48" t="s">
        <v>375</v>
      </c>
      <c r="I1524" s="48" t="s">
        <v>375</v>
      </c>
      <c r="J1524" s="48" t="s">
        <v>375</v>
      </c>
      <c r="K1524" s="48" t="s">
        <v>375</v>
      </c>
      <c r="L1524" s="48" t="s">
        <v>375</v>
      </c>
      <c r="M1524" s="48" t="s">
        <v>375</v>
      </c>
      <c r="N1524" s="48" t="s">
        <v>375</v>
      </c>
      <c r="O1524" s="48" t="s">
        <v>375</v>
      </c>
      <c r="P1524" s="48" t="s">
        <v>375</v>
      </c>
      <c r="Q1524" s="48" t="s">
        <v>375</v>
      </c>
      <c r="R1524" s="48" t="s">
        <v>375</v>
      </c>
      <c r="S1524" s="48" t="s">
        <v>375</v>
      </c>
      <c r="T1524" s="48" t="s">
        <v>375</v>
      </c>
      <c r="U1524" s="48" t="s">
        <v>375</v>
      </c>
      <c r="V1524" s="48" t="s">
        <v>320</v>
      </c>
      <c r="W1524" s="48" t="s">
        <v>375</v>
      </c>
      <c r="X1524" s="48" t="s">
        <v>375</v>
      </c>
      <c r="Y1524" s="48" t="s">
        <v>375</v>
      </c>
      <c r="Z1524" s="48" t="s">
        <v>375</v>
      </c>
      <c r="AA1524" s="48" t="s">
        <v>1127</v>
      </c>
      <c r="AB1524" s="48" t="s">
        <v>375</v>
      </c>
      <c r="AC1524" s="48" t="s">
        <v>1127</v>
      </c>
      <c r="AD1524" s="48" t="s">
        <v>375</v>
      </c>
      <c r="AE1524" s="48" t="s">
        <v>375</v>
      </c>
      <c r="AF1524" s="48" t="s">
        <v>375</v>
      </c>
      <c r="AG1524" s="48" t="s">
        <v>375</v>
      </c>
      <c r="AH1524" s="48" t="s">
        <v>1127</v>
      </c>
      <c r="AI1524" s="48" t="s">
        <v>375</v>
      </c>
    </row>
    <row r="1525" spans="1:41" hidden="1" x14ac:dyDescent="0.25">
      <c r="A1525">
        <v>1524</v>
      </c>
      <c r="B1525">
        <v>2026</v>
      </c>
      <c r="C1525">
        <v>2</v>
      </c>
      <c r="D1525" t="s">
        <v>354</v>
      </c>
      <c r="E1525">
        <v>31</v>
      </c>
      <c r="F1525">
        <v>13</v>
      </c>
      <c r="G1525" t="s">
        <v>431</v>
      </c>
      <c r="H1525" s="48">
        <v>0.875</v>
      </c>
      <c r="I1525" s="48">
        <v>0.79166666666666674</v>
      </c>
      <c r="J1525" s="48">
        <v>0.875</v>
      </c>
      <c r="K1525" s="48">
        <v>0.75</v>
      </c>
      <c r="L1525" s="48">
        <v>0.75</v>
      </c>
      <c r="M1525" s="48">
        <v>0.95833333333333326</v>
      </c>
      <c r="N1525" s="48">
        <v>0.91666666666666674</v>
      </c>
      <c r="O1525" s="48">
        <v>0.75</v>
      </c>
      <c r="P1525" s="48">
        <v>0.79166666666666674</v>
      </c>
      <c r="Q1525" s="48">
        <v>0.75</v>
      </c>
      <c r="R1525" s="48">
        <v>0.75</v>
      </c>
      <c r="S1525" s="48">
        <v>0.75</v>
      </c>
      <c r="T1525" s="48">
        <v>0.83333333333333326</v>
      </c>
      <c r="U1525" s="48">
        <v>0.75</v>
      </c>
      <c r="V1525" s="48" t="s">
        <v>320</v>
      </c>
      <c r="W1525" s="48">
        <v>0.75</v>
      </c>
      <c r="X1525" s="48">
        <v>0.95833333333333326</v>
      </c>
      <c r="Y1525" s="48">
        <v>0.95833333333333326</v>
      </c>
      <c r="Z1525" s="48">
        <v>0.75</v>
      </c>
      <c r="AA1525" s="48">
        <v>0.95833333333333326</v>
      </c>
      <c r="AB1525" s="48">
        <v>0.875</v>
      </c>
      <c r="AC1525" s="48">
        <v>0.95833333333333326</v>
      </c>
      <c r="AD1525" s="48">
        <v>0.91666666666666674</v>
      </c>
      <c r="AE1525" s="48">
        <v>1</v>
      </c>
      <c r="AF1525" s="48">
        <v>0.83333333333333326</v>
      </c>
      <c r="AG1525" s="48">
        <v>0.79166666666666674</v>
      </c>
      <c r="AH1525" s="48">
        <v>0.95833333333333326</v>
      </c>
      <c r="AI1525" s="48">
        <v>0.75</v>
      </c>
      <c r="AM1525">
        <v>29</v>
      </c>
      <c r="AO1525">
        <v>45</v>
      </c>
    </row>
    <row r="1526" spans="1:41" hidden="1" x14ac:dyDescent="0.25">
      <c r="A1526">
        <v>1525</v>
      </c>
      <c r="B1526">
        <v>2026</v>
      </c>
      <c r="C1526">
        <v>2</v>
      </c>
      <c r="D1526" t="s">
        <v>144</v>
      </c>
      <c r="E1526">
        <v>31</v>
      </c>
      <c r="F1526">
        <v>13</v>
      </c>
      <c r="G1526" t="s">
        <v>430</v>
      </c>
      <c r="H1526" s="48" t="s">
        <v>375</v>
      </c>
      <c r="I1526" s="48" t="s">
        <v>375</v>
      </c>
      <c r="J1526" s="48" t="s">
        <v>375</v>
      </c>
      <c r="K1526" s="48" t="s">
        <v>375</v>
      </c>
      <c r="L1526" s="48" t="s">
        <v>375</v>
      </c>
      <c r="M1526" s="48" t="s">
        <v>375</v>
      </c>
      <c r="N1526" s="48" t="s">
        <v>375</v>
      </c>
      <c r="O1526" s="48" t="s">
        <v>375</v>
      </c>
      <c r="P1526" s="48" t="s">
        <v>375</v>
      </c>
      <c r="Q1526" s="48" t="s">
        <v>375</v>
      </c>
      <c r="R1526" s="48" t="s">
        <v>375</v>
      </c>
      <c r="S1526" s="48" t="s">
        <v>375</v>
      </c>
      <c r="T1526" s="48" t="s">
        <v>375</v>
      </c>
      <c r="U1526" s="48" t="s">
        <v>375</v>
      </c>
      <c r="V1526" s="48" t="s">
        <v>320</v>
      </c>
      <c r="W1526" s="48" t="s">
        <v>375</v>
      </c>
      <c r="X1526" s="48" t="s">
        <v>375</v>
      </c>
      <c r="Y1526" s="48" t="s">
        <v>375</v>
      </c>
      <c r="Z1526" s="48" t="s">
        <v>375</v>
      </c>
      <c r="AA1526" s="48" t="s">
        <v>375</v>
      </c>
      <c r="AB1526" s="48" t="s">
        <v>375</v>
      </c>
      <c r="AC1526" s="48" t="s">
        <v>375</v>
      </c>
      <c r="AD1526" s="48" t="s">
        <v>375</v>
      </c>
      <c r="AE1526" s="48" t="s">
        <v>375</v>
      </c>
      <c r="AF1526" s="48" t="s">
        <v>375</v>
      </c>
      <c r="AG1526" s="48" t="s">
        <v>375</v>
      </c>
      <c r="AH1526" s="48" t="s">
        <v>375</v>
      </c>
      <c r="AI1526" s="48" t="s">
        <v>375</v>
      </c>
    </row>
    <row r="1527" spans="1:41" hidden="1" x14ac:dyDescent="0.25">
      <c r="A1527">
        <v>1526</v>
      </c>
      <c r="B1527">
        <v>2026</v>
      </c>
      <c r="C1527">
        <v>2</v>
      </c>
      <c r="D1527" t="s">
        <v>144</v>
      </c>
      <c r="E1527">
        <v>31</v>
      </c>
      <c r="F1527">
        <v>13</v>
      </c>
      <c r="G1527" t="s">
        <v>431</v>
      </c>
      <c r="H1527" s="48">
        <v>0.75</v>
      </c>
      <c r="I1527" s="48">
        <v>0.83333333333333326</v>
      </c>
      <c r="J1527" s="48">
        <v>0.75</v>
      </c>
      <c r="K1527" s="48">
        <v>1</v>
      </c>
      <c r="L1527" s="48">
        <v>0.95833333333333326</v>
      </c>
      <c r="M1527" s="48">
        <v>0.79166666666666674</v>
      </c>
      <c r="N1527" s="48">
        <v>1</v>
      </c>
      <c r="O1527" s="48">
        <v>0.75</v>
      </c>
      <c r="P1527" s="48">
        <v>0.91666666666666674</v>
      </c>
      <c r="Q1527" s="48">
        <v>0.75</v>
      </c>
      <c r="R1527" s="48">
        <v>1</v>
      </c>
      <c r="S1527" s="48">
        <v>0.75</v>
      </c>
      <c r="T1527" s="48">
        <v>0.79166666666666674</v>
      </c>
      <c r="U1527" s="48">
        <v>0.83333333333333326</v>
      </c>
      <c r="V1527" s="48" t="s">
        <v>320</v>
      </c>
      <c r="W1527" s="48">
        <v>0.75</v>
      </c>
      <c r="X1527" s="48">
        <v>0.79166666666666674</v>
      </c>
      <c r="Y1527" s="48">
        <v>0.875</v>
      </c>
      <c r="Z1527" s="48">
        <v>0.75</v>
      </c>
      <c r="AA1527" s="48">
        <v>0.91666666666666674</v>
      </c>
      <c r="AB1527" s="48">
        <v>0.75</v>
      </c>
      <c r="AC1527" s="48">
        <v>0.75</v>
      </c>
      <c r="AD1527" s="48">
        <v>0.83333333333333326</v>
      </c>
      <c r="AE1527" s="48">
        <v>0.75</v>
      </c>
      <c r="AF1527" s="48">
        <v>0.875</v>
      </c>
      <c r="AG1527" s="48">
        <v>0.875</v>
      </c>
      <c r="AH1527" s="48">
        <v>0.91666666666666674</v>
      </c>
      <c r="AI1527" s="48">
        <v>0.75</v>
      </c>
      <c r="AM1527">
        <v>29</v>
      </c>
      <c r="AO1527" cm="1">
        <f t="array" ref="AO1527">SUM(IFERROR(MOD((H1527:AL1527-H1526:AL1526)*24,11),""))</f>
        <v>52.999999999999986</v>
      </c>
    </row>
    <row r="1528" spans="1:41" hidden="1" x14ac:dyDescent="0.25">
      <c r="A1528">
        <v>1527</v>
      </c>
      <c r="B1528">
        <v>2026</v>
      </c>
      <c r="C1528">
        <v>2</v>
      </c>
      <c r="D1528" t="s">
        <v>129</v>
      </c>
      <c r="E1528">
        <v>31</v>
      </c>
      <c r="F1528">
        <v>13</v>
      </c>
      <c r="G1528" t="s">
        <v>430</v>
      </c>
      <c r="H1528" s="48" t="s">
        <v>375</v>
      </c>
      <c r="I1528" s="48" t="s">
        <v>375</v>
      </c>
      <c r="J1528" s="48" t="s">
        <v>375</v>
      </c>
      <c r="K1528" s="48" t="s">
        <v>375</v>
      </c>
      <c r="L1528" s="48" t="s">
        <v>375</v>
      </c>
      <c r="M1528" s="48" t="s">
        <v>375</v>
      </c>
      <c r="N1528" s="48" t="s">
        <v>375</v>
      </c>
      <c r="O1528" s="48" t="s">
        <v>375</v>
      </c>
      <c r="P1528" s="48" t="s">
        <v>375</v>
      </c>
      <c r="Q1528" s="48" t="s">
        <v>375</v>
      </c>
      <c r="R1528" s="48" t="s">
        <v>375</v>
      </c>
      <c r="S1528" s="48" t="s">
        <v>375</v>
      </c>
      <c r="T1528" s="48" t="s">
        <v>375</v>
      </c>
      <c r="U1528" s="48" t="s">
        <v>375</v>
      </c>
      <c r="V1528" s="48" t="s">
        <v>320</v>
      </c>
      <c r="W1528" s="48" t="s">
        <v>375</v>
      </c>
      <c r="X1528" s="48" t="s">
        <v>375</v>
      </c>
      <c r="Y1528" s="48" t="s">
        <v>375</v>
      </c>
      <c r="Z1528" s="48" t="s">
        <v>375</v>
      </c>
      <c r="AA1528" s="48" t="s">
        <v>375</v>
      </c>
      <c r="AB1528" s="48" t="s">
        <v>375</v>
      </c>
      <c r="AC1528" s="48" t="s">
        <v>375</v>
      </c>
      <c r="AD1528" s="48" t="s">
        <v>320</v>
      </c>
      <c r="AE1528" s="48" t="s">
        <v>375</v>
      </c>
      <c r="AF1528" s="48" t="s">
        <v>375</v>
      </c>
      <c r="AG1528" s="48" t="s">
        <v>375</v>
      </c>
      <c r="AH1528" s="48" t="s">
        <v>375</v>
      </c>
      <c r="AI1528" s="48" t="s">
        <v>375</v>
      </c>
    </row>
    <row r="1529" spans="1:41" hidden="1" x14ac:dyDescent="0.25">
      <c r="A1529">
        <v>1528</v>
      </c>
      <c r="B1529">
        <v>2026</v>
      </c>
      <c r="C1529">
        <v>2</v>
      </c>
      <c r="D1529" t="s">
        <v>129</v>
      </c>
      <c r="E1529">
        <v>31</v>
      </c>
      <c r="F1529">
        <v>13</v>
      </c>
      <c r="G1529" t="s">
        <v>431</v>
      </c>
      <c r="H1529" s="48">
        <v>0.75</v>
      </c>
      <c r="I1529" s="48">
        <v>0.79166666666666674</v>
      </c>
      <c r="J1529" s="48">
        <v>0.75</v>
      </c>
      <c r="K1529" s="48">
        <v>0.83333333333333326</v>
      </c>
      <c r="L1529" s="48">
        <v>0.83333333333333326</v>
      </c>
      <c r="M1529" s="48">
        <v>0.83333333333333326</v>
      </c>
      <c r="N1529" s="48">
        <v>0.83333333333333326</v>
      </c>
      <c r="O1529" s="48">
        <v>0.83333333333333326</v>
      </c>
      <c r="P1529" s="48">
        <v>0.875</v>
      </c>
      <c r="Q1529" s="48">
        <v>0.79166666666666674</v>
      </c>
      <c r="R1529" s="48">
        <v>0.75</v>
      </c>
      <c r="S1529" s="48">
        <v>0.875</v>
      </c>
      <c r="T1529" s="48">
        <v>0.79166666666666674</v>
      </c>
      <c r="U1529" s="48">
        <v>0.75</v>
      </c>
      <c r="V1529" s="48" t="s">
        <v>320</v>
      </c>
      <c r="W1529" s="48">
        <v>0.75</v>
      </c>
      <c r="X1529" s="48">
        <v>0.79166666666666674</v>
      </c>
      <c r="Y1529" s="48">
        <v>1</v>
      </c>
      <c r="Z1529" s="48">
        <v>0.83333333333333326</v>
      </c>
      <c r="AA1529" s="48">
        <v>0.75</v>
      </c>
      <c r="AB1529" s="48">
        <v>0.75</v>
      </c>
      <c r="AC1529" s="48">
        <v>0.75</v>
      </c>
      <c r="AD1529" s="48" t="s">
        <v>320</v>
      </c>
      <c r="AE1529" s="48">
        <v>0.79166666666666674</v>
      </c>
      <c r="AF1529" s="48">
        <v>0.75</v>
      </c>
      <c r="AG1529" s="48">
        <v>0.83333333333333326</v>
      </c>
      <c r="AH1529" s="48">
        <v>0.79166666666666674</v>
      </c>
      <c r="AI1529" s="48">
        <v>0.75</v>
      </c>
      <c r="AM1529">
        <v>28</v>
      </c>
      <c r="AO1529" cm="1">
        <f t="array" ref="AO1529">SUM(IFERROR(MOD((H1529:AL1529-H1528:AL1528)*24,11),""))</f>
        <v>31.999999999999972</v>
      </c>
    </row>
    <row r="1530" spans="1:41" hidden="1" x14ac:dyDescent="0.25">
      <c r="A1530">
        <v>1529</v>
      </c>
      <c r="B1530">
        <v>2026</v>
      </c>
      <c r="C1530">
        <v>2</v>
      </c>
      <c r="D1530" t="s">
        <v>355</v>
      </c>
      <c r="E1530">
        <v>31</v>
      </c>
      <c r="F1530">
        <v>13</v>
      </c>
      <c r="G1530" t="s">
        <v>430</v>
      </c>
      <c r="H1530" s="48" t="s">
        <v>375</v>
      </c>
      <c r="I1530" s="48" t="s">
        <v>375</v>
      </c>
      <c r="J1530" s="48" t="s">
        <v>375</v>
      </c>
      <c r="K1530" s="48" t="s">
        <v>375</v>
      </c>
      <c r="L1530" s="48" t="s">
        <v>375</v>
      </c>
      <c r="M1530" s="48" t="s">
        <v>375</v>
      </c>
      <c r="N1530" s="48" t="s">
        <v>375</v>
      </c>
      <c r="O1530" s="48" t="s">
        <v>375</v>
      </c>
      <c r="P1530" s="48" t="s">
        <v>375</v>
      </c>
      <c r="Q1530" s="48" t="s">
        <v>375</v>
      </c>
      <c r="R1530" s="48" t="s">
        <v>375</v>
      </c>
      <c r="S1530" s="48" t="s">
        <v>375</v>
      </c>
      <c r="T1530" s="48" t="s">
        <v>375</v>
      </c>
      <c r="U1530" s="48" t="s">
        <v>375</v>
      </c>
      <c r="V1530" s="48" t="s">
        <v>320</v>
      </c>
      <c r="W1530" s="48" t="s">
        <v>375</v>
      </c>
      <c r="X1530" s="48" t="s">
        <v>375</v>
      </c>
      <c r="Y1530" s="48" t="s">
        <v>375</v>
      </c>
      <c r="Z1530" s="48" t="s">
        <v>375</v>
      </c>
      <c r="AA1530" s="48" t="s">
        <v>375</v>
      </c>
      <c r="AB1530" s="48" t="s">
        <v>375</v>
      </c>
      <c r="AC1530" s="48" t="s">
        <v>375</v>
      </c>
      <c r="AD1530" s="48" t="s">
        <v>375</v>
      </c>
      <c r="AE1530" s="48" t="s">
        <v>375</v>
      </c>
      <c r="AF1530" s="48" t="s">
        <v>375</v>
      </c>
      <c r="AG1530" s="48" t="s">
        <v>375</v>
      </c>
      <c r="AH1530" s="48" t="s">
        <v>375</v>
      </c>
      <c r="AI1530" s="48" t="s">
        <v>375</v>
      </c>
    </row>
    <row r="1531" spans="1:41" hidden="1" x14ac:dyDescent="0.25">
      <c r="A1531">
        <v>1530</v>
      </c>
      <c r="B1531">
        <v>2026</v>
      </c>
      <c r="C1531">
        <v>2</v>
      </c>
      <c r="D1531" t="s">
        <v>355</v>
      </c>
      <c r="E1531">
        <v>31</v>
      </c>
      <c r="F1531">
        <v>13</v>
      </c>
      <c r="G1531" t="s">
        <v>431</v>
      </c>
      <c r="H1531" s="48">
        <v>0.95833333333333326</v>
      </c>
      <c r="I1531" s="48">
        <v>0.75</v>
      </c>
      <c r="J1531" s="48">
        <v>0.83333333333333326</v>
      </c>
      <c r="K1531" s="48">
        <v>0.75</v>
      </c>
      <c r="L1531" s="48">
        <v>0.75</v>
      </c>
      <c r="M1531" s="48">
        <v>0.75</v>
      </c>
      <c r="N1531" s="48">
        <v>0.75</v>
      </c>
      <c r="O1531" s="48">
        <v>0.75</v>
      </c>
      <c r="P1531" s="48">
        <v>0.83333333333333326</v>
      </c>
      <c r="Q1531" s="48">
        <v>0.75</v>
      </c>
      <c r="R1531" s="48">
        <v>0.75</v>
      </c>
      <c r="S1531" s="48">
        <v>1</v>
      </c>
      <c r="T1531" s="48">
        <v>0.75</v>
      </c>
      <c r="U1531" s="48">
        <v>0.75</v>
      </c>
      <c r="V1531" s="48" t="s">
        <v>320</v>
      </c>
      <c r="W1531" s="48">
        <v>0.75</v>
      </c>
      <c r="X1531" s="48">
        <v>0.75</v>
      </c>
      <c r="Y1531" s="48">
        <v>0.75</v>
      </c>
      <c r="Z1531" s="48">
        <v>0.75</v>
      </c>
      <c r="AA1531" s="48">
        <v>0.75</v>
      </c>
      <c r="AB1531" s="48">
        <v>0.79166666666666674</v>
      </c>
      <c r="AC1531" s="48">
        <v>0.75</v>
      </c>
      <c r="AD1531" s="48">
        <v>0.75</v>
      </c>
      <c r="AE1531" s="48">
        <v>0.75</v>
      </c>
      <c r="AF1531" s="48">
        <v>0.95833333333333326</v>
      </c>
      <c r="AG1531" s="48">
        <v>0.79166666666666674</v>
      </c>
      <c r="AH1531" s="48">
        <v>0.91666666666666674</v>
      </c>
      <c r="AI1531" s="48">
        <v>0.75</v>
      </c>
      <c r="AM1531">
        <v>29</v>
      </c>
      <c r="AO1531" cm="1">
        <f t="array" ref="AO1531">SUM(IFERROR(MOD((H1531:AL1531-H1530:AL1530)*24,11),""))</f>
        <v>25.999999999999986</v>
      </c>
    </row>
    <row r="1532" spans="1:41" hidden="1" x14ac:dyDescent="0.25">
      <c r="A1532">
        <v>1531</v>
      </c>
      <c r="B1532">
        <v>2026</v>
      </c>
      <c r="C1532">
        <v>2</v>
      </c>
      <c r="D1532" t="s">
        <v>159</v>
      </c>
      <c r="E1532">
        <v>31</v>
      </c>
      <c r="F1532">
        <v>13</v>
      </c>
      <c r="G1532" t="s">
        <v>430</v>
      </c>
      <c r="H1532" s="48" t="s">
        <v>375</v>
      </c>
      <c r="I1532" s="48" t="s">
        <v>375</v>
      </c>
      <c r="J1532" s="48" t="s">
        <v>375</v>
      </c>
      <c r="K1532" s="48" t="s">
        <v>375</v>
      </c>
      <c r="L1532" s="48" t="s">
        <v>375</v>
      </c>
      <c r="M1532" s="48" t="s">
        <v>375</v>
      </c>
      <c r="N1532" s="48" t="s">
        <v>375</v>
      </c>
      <c r="O1532" s="48" t="s">
        <v>375</v>
      </c>
      <c r="P1532" s="48" t="s">
        <v>375</v>
      </c>
      <c r="Q1532" s="48" t="s">
        <v>375</v>
      </c>
      <c r="R1532" s="48" t="s">
        <v>375</v>
      </c>
      <c r="S1532" s="48" t="s">
        <v>375</v>
      </c>
      <c r="T1532" s="48" t="s">
        <v>375</v>
      </c>
      <c r="U1532" s="48" t="s">
        <v>375</v>
      </c>
      <c r="V1532" s="48" t="s">
        <v>320</v>
      </c>
      <c r="W1532" s="48" t="s">
        <v>375</v>
      </c>
      <c r="X1532" s="48" t="s">
        <v>375</v>
      </c>
      <c r="Y1532" s="48" t="s">
        <v>375</v>
      </c>
      <c r="Z1532" s="48" t="s">
        <v>375</v>
      </c>
      <c r="AA1532" s="48" t="s">
        <v>375</v>
      </c>
      <c r="AB1532" s="48" t="s">
        <v>375</v>
      </c>
      <c r="AC1532" s="48" t="s">
        <v>375</v>
      </c>
      <c r="AD1532" s="48" t="s">
        <v>375</v>
      </c>
      <c r="AE1532" s="48" t="s">
        <v>375</v>
      </c>
      <c r="AF1532" s="48" t="s">
        <v>375</v>
      </c>
      <c r="AG1532" s="48" t="s">
        <v>375</v>
      </c>
      <c r="AH1532" s="48" t="s">
        <v>375</v>
      </c>
      <c r="AI1532" s="48" t="s">
        <v>375</v>
      </c>
    </row>
    <row r="1533" spans="1:41" hidden="1" x14ac:dyDescent="0.25">
      <c r="A1533">
        <v>1532</v>
      </c>
      <c r="B1533">
        <v>2026</v>
      </c>
      <c r="C1533">
        <v>2</v>
      </c>
      <c r="D1533" t="s">
        <v>159</v>
      </c>
      <c r="E1533">
        <v>31</v>
      </c>
      <c r="F1533">
        <v>13</v>
      </c>
      <c r="G1533" t="s">
        <v>431</v>
      </c>
      <c r="H1533" s="48">
        <v>0.75</v>
      </c>
      <c r="I1533" s="48">
        <v>0.83333333333333326</v>
      </c>
      <c r="J1533" s="48">
        <v>0.75</v>
      </c>
      <c r="K1533" s="48">
        <v>0.875</v>
      </c>
      <c r="L1533" s="48">
        <v>0.83333333333333326</v>
      </c>
      <c r="M1533" s="48">
        <v>0.75</v>
      </c>
      <c r="N1533" s="48">
        <v>0.75</v>
      </c>
      <c r="O1533" s="48">
        <v>0.75</v>
      </c>
      <c r="P1533" s="48">
        <v>0.83333333333333326</v>
      </c>
      <c r="Q1533" s="48">
        <v>0.75</v>
      </c>
      <c r="R1533" s="48">
        <v>0.875</v>
      </c>
      <c r="S1533" s="48">
        <v>0.75</v>
      </c>
      <c r="T1533" s="48">
        <v>0.83333333333333326</v>
      </c>
      <c r="U1533" s="48">
        <v>0.75</v>
      </c>
      <c r="V1533" s="48" t="s">
        <v>320</v>
      </c>
      <c r="W1533" s="48">
        <v>0.75</v>
      </c>
      <c r="X1533" s="48">
        <v>0.83333333333333326</v>
      </c>
      <c r="Y1533" s="48">
        <v>0.75</v>
      </c>
      <c r="Z1533" s="48">
        <v>0.83333333333333326</v>
      </c>
      <c r="AA1533" s="48">
        <v>0.875</v>
      </c>
      <c r="AB1533" s="48">
        <v>0.75</v>
      </c>
      <c r="AC1533" s="48">
        <v>0.83333333333333326</v>
      </c>
      <c r="AD1533" s="48">
        <v>0.75</v>
      </c>
      <c r="AE1533" s="48">
        <v>0.83333333333333326</v>
      </c>
      <c r="AF1533" s="48">
        <v>0.75</v>
      </c>
      <c r="AG1533" s="48">
        <v>0.83333333333333326</v>
      </c>
      <c r="AH1533" s="48">
        <v>0.75</v>
      </c>
      <c r="AI1533" s="48">
        <v>0.75</v>
      </c>
      <c r="AM1533">
        <v>29</v>
      </c>
      <c r="AO1533" cm="1">
        <f t="array" ref="AO1533">SUM(IFERROR(MOD((H1533:AL1533-H1532:AL1532)*24,11),""))</f>
        <v>26.999999999999961</v>
      </c>
    </row>
    <row r="1534" spans="1:41" hidden="1" x14ac:dyDescent="0.25">
      <c r="A1534">
        <v>1533</v>
      </c>
      <c r="B1534">
        <v>2026</v>
      </c>
      <c r="C1534">
        <v>2</v>
      </c>
      <c r="D1534" t="s">
        <v>175</v>
      </c>
      <c r="E1534">
        <v>31</v>
      </c>
      <c r="F1534">
        <v>13</v>
      </c>
      <c r="G1534" t="s">
        <v>430</v>
      </c>
      <c r="H1534" s="48" t="s">
        <v>375</v>
      </c>
      <c r="I1534" s="48" t="s">
        <v>375</v>
      </c>
      <c r="J1534" s="48" t="s">
        <v>375</v>
      </c>
      <c r="K1534" s="48" t="s">
        <v>375</v>
      </c>
      <c r="L1534" s="48" t="s">
        <v>375</v>
      </c>
      <c r="M1534" s="48" t="s">
        <v>375</v>
      </c>
      <c r="N1534" s="48" t="s">
        <v>375</v>
      </c>
      <c r="O1534" s="48" t="s">
        <v>375</v>
      </c>
      <c r="P1534" s="48" t="s">
        <v>375</v>
      </c>
      <c r="Q1534" s="48" t="s">
        <v>375</v>
      </c>
      <c r="R1534" s="48" t="s">
        <v>375</v>
      </c>
      <c r="S1534" s="48" t="s">
        <v>375</v>
      </c>
      <c r="T1534" s="48" t="s">
        <v>375</v>
      </c>
      <c r="U1534" s="48" t="s">
        <v>375</v>
      </c>
      <c r="V1534" s="48" t="s">
        <v>320</v>
      </c>
      <c r="W1534" s="48" t="s">
        <v>375</v>
      </c>
      <c r="X1534" s="48" t="s">
        <v>375</v>
      </c>
      <c r="Y1534" s="48" t="s">
        <v>375</v>
      </c>
      <c r="Z1534" s="48" t="s">
        <v>375</v>
      </c>
      <c r="AA1534" s="48" t="s">
        <v>375</v>
      </c>
      <c r="AB1534" s="48" t="s">
        <v>375</v>
      </c>
      <c r="AC1534" s="48" t="s">
        <v>375</v>
      </c>
      <c r="AD1534" s="48" t="s">
        <v>375</v>
      </c>
      <c r="AE1534" s="48" t="s">
        <v>375</v>
      </c>
      <c r="AF1534" s="48" t="s">
        <v>375</v>
      </c>
      <c r="AG1534" s="48" t="s">
        <v>375</v>
      </c>
      <c r="AH1534" s="48" t="s">
        <v>375</v>
      </c>
      <c r="AI1534" s="48" t="s">
        <v>375</v>
      </c>
    </row>
    <row r="1535" spans="1:41" hidden="1" x14ac:dyDescent="0.25">
      <c r="A1535">
        <v>1534</v>
      </c>
      <c r="B1535">
        <v>2026</v>
      </c>
      <c r="C1535">
        <v>2</v>
      </c>
      <c r="D1535" t="s">
        <v>175</v>
      </c>
      <c r="E1535">
        <v>31</v>
      </c>
      <c r="F1535">
        <v>13</v>
      </c>
      <c r="G1535" t="s">
        <v>431</v>
      </c>
      <c r="H1535" s="48">
        <v>0.875</v>
      </c>
      <c r="I1535" s="48">
        <v>0.91666666666666674</v>
      </c>
      <c r="J1535" s="48">
        <v>0.875</v>
      </c>
      <c r="K1535" s="48">
        <v>0.91666666666666674</v>
      </c>
      <c r="L1535" s="48">
        <v>0.875</v>
      </c>
      <c r="M1535" s="48">
        <v>0.91666666666666674</v>
      </c>
      <c r="N1535" s="48">
        <v>0.875</v>
      </c>
      <c r="O1535" s="48">
        <v>0.91666666666666674</v>
      </c>
      <c r="P1535" s="48">
        <v>0.91666666666666674</v>
      </c>
      <c r="Q1535" s="48">
        <v>0.875</v>
      </c>
      <c r="R1535" s="48">
        <v>0.875</v>
      </c>
      <c r="S1535" s="48">
        <v>0.91666666666666674</v>
      </c>
      <c r="T1535" s="48">
        <v>0.875</v>
      </c>
      <c r="U1535" s="48">
        <v>0.91666666666666674</v>
      </c>
      <c r="V1535" s="48" t="s">
        <v>320</v>
      </c>
      <c r="W1535" s="48">
        <v>0.91666666666666674</v>
      </c>
      <c r="X1535" s="48">
        <v>0.91666666666666674</v>
      </c>
      <c r="Y1535" s="48">
        <v>0.91666666666666674</v>
      </c>
      <c r="Z1535" s="48">
        <v>0.91666666666666674</v>
      </c>
      <c r="AA1535" s="48">
        <v>0.91666666666666674</v>
      </c>
      <c r="AB1535" s="48">
        <v>0.91666666666666674</v>
      </c>
      <c r="AC1535" s="48">
        <v>0.91666666666666674</v>
      </c>
      <c r="AD1535" s="48">
        <v>0.91666666666666674</v>
      </c>
      <c r="AE1535" s="48">
        <v>0.91666666666666674</v>
      </c>
      <c r="AF1535" s="48">
        <v>0.91666666666666674</v>
      </c>
      <c r="AG1535" s="48">
        <v>0.91666666666666674</v>
      </c>
      <c r="AH1535" s="48">
        <v>0.91666666666666674</v>
      </c>
      <c r="AI1535" s="48">
        <v>0.875</v>
      </c>
      <c r="AM1535">
        <v>29</v>
      </c>
      <c r="AO1535" cm="1">
        <f t="array" ref="AO1535">SUM(IFERROR(MOD((H1535:AL1535-H1534:AL1534)*24,11),""))</f>
        <v>100</v>
      </c>
    </row>
    <row r="1536" spans="1:41" hidden="1" x14ac:dyDescent="0.25">
      <c r="A1536">
        <v>1535</v>
      </c>
      <c r="B1536">
        <v>2026</v>
      </c>
      <c r="C1536">
        <v>2</v>
      </c>
      <c r="D1536" t="s">
        <v>179</v>
      </c>
      <c r="E1536">
        <v>31</v>
      </c>
      <c r="F1536">
        <v>13</v>
      </c>
      <c r="G1536" t="s">
        <v>430</v>
      </c>
      <c r="H1536" s="48" t="s">
        <v>375</v>
      </c>
      <c r="I1536" s="48" t="s">
        <v>375</v>
      </c>
      <c r="J1536" s="48" t="s">
        <v>375</v>
      </c>
      <c r="K1536" s="48" t="s">
        <v>375</v>
      </c>
      <c r="L1536" s="48" t="s">
        <v>375</v>
      </c>
      <c r="M1536" s="48" t="s">
        <v>375</v>
      </c>
      <c r="N1536" s="48" t="s">
        <v>375</v>
      </c>
      <c r="O1536" s="48" t="s">
        <v>375</v>
      </c>
      <c r="P1536" s="48" t="s">
        <v>375</v>
      </c>
      <c r="Q1536" s="48" t="s">
        <v>375</v>
      </c>
      <c r="R1536" s="48" t="s">
        <v>375</v>
      </c>
      <c r="S1536" s="48" t="s">
        <v>375</v>
      </c>
      <c r="T1536" s="48" t="s">
        <v>375</v>
      </c>
      <c r="U1536" s="48" t="s">
        <v>375</v>
      </c>
      <c r="V1536" s="48" t="s">
        <v>375</v>
      </c>
      <c r="W1536" s="48" t="s">
        <v>375</v>
      </c>
      <c r="X1536" s="48" t="s">
        <v>375</v>
      </c>
      <c r="Y1536" s="48" t="s">
        <v>375</v>
      </c>
      <c r="Z1536" s="48" t="s">
        <v>375</v>
      </c>
      <c r="AA1536" s="48" t="s">
        <v>375</v>
      </c>
      <c r="AB1536" s="48" t="s">
        <v>375</v>
      </c>
      <c r="AC1536" s="48" t="s">
        <v>375</v>
      </c>
      <c r="AD1536" s="48" t="s">
        <v>375</v>
      </c>
      <c r="AE1536" s="48" t="s">
        <v>375</v>
      </c>
      <c r="AF1536" s="48" t="s">
        <v>375</v>
      </c>
      <c r="AG1536" s="48" t="s">
        <v>375</v>
      </c>
      <c r="AH1536" s="48" t="s">
        <v>375</v>
      </c>
      <c r="AI1536" s="48" t="s">
        <v>375</v>
      </c>
    </row>
    <row r="1537" spans="1:41" hidden="1" x14ac:dyDescent="0.25">
      <c r="A1537">
        <v>1536</v>
      </c>
      <c r="B1537">
        <v>2026</v>
      </c>
      <c r="C1537">
        <v>2</v>
      </c>
      <c r="D1537" t="s">
        <v>179</v>
      </c>
      <c r="E1537">
        <v>31</v>
      </c>
      <c r="F1537">
        <v>13</v>
      </c>
      <c r="G1537" t="s">
        <v>431</v>
      </c>
      <c r="H1537" s="48">
        <v>0.75</v>
      </c>
      <c r="I1537" s="48">
        <v>0.75</v>
      </c>
      <c r="J1537" s="48">
        <v>0.75</v>
      </c>
      <c r="K1537" s="48">
        <v>0.75</v>
      </c>
      <c r="L1537" s="48">
        <v>0.75</v>
      </c>
      <c r="M1537" s="48">
        <v>0.75</v>
      </c>
      <c r="N1537" s="48">
        <v>0.75</v>
      </c>
      <c r="O1537" s="48">
        <v>0.75</v>
      </c>
      <c r="P1537" s="48">
        <v>0.75</v>
      </c>
      <c r="Q1537" s="48">
        <v>0.75</v>
      </c>
      <c r="R1537" s="48">
        <v>0.75</v>
      </c>
      <c r="S1537" s="48">
        <v>0.75</v>
      </c>
      <c r="T1537" s="48">
        <v>0.75</v>
      </c>
      <c r="U1537" s="48">
        <v>0.75</v>
      </c>
      <c r="V1537" s="48">
        <v>0.75</v>
      </c>
      <c r="W1537" s="48">
        <v>0.75</v>
      </c>
      <c r="X1537" s="48">
        <v>0.75</v>
      </c>
      <c r="Y1537" s="48">
        <v>0.75</v>
      </c>
      <c r="Z1537" s="48">
        <v>0.75</v>
      </c>
      <c r="AA1537" s="48">
        <v>0.75</v>
      </c>
      <c r="AB1537" s="48">
        <v>0.75</v>
      </c>
      <c r="AC1537" s="48">
        <v>0.75</v>
      </c>
      <c r="AD1537" s="48">
        <v>0.75</v>
      </c>
      <c r="AE1537" s="48">
        <v>0.75</v>
      </c>
      <c r="AF1537" s="48">
        <v>0.75</v>
      </c>
      <c r="AG1537" s="48">
        <v>0.75</v>
      </c>
      <c r="AH1537" s="48">
        <v>0.75</v>
      </c>
      <c r="AI1537" s="48">
        <v>0.75</v>
      </c>
      <c r="AM1537">
        <v>30</v>
      </c>
      <c r="AO1537" cm="1">
        <f t="array" ref="AO1537">SUM(IFERROR(MOD((H1537:AL1537-H1536:AL1536)*24,11),""))</f>
        <v>0</v>
      </c>
    </row>
    <row r="1538" spans="1:41" hidden="1" x14ac:dyDescent="0.25">
      <c r="A1538">
        <v>1537</v>
      </c>
      <c r="B1538">
        <v>2026</v>
      </c>
      <c r="C1538">
        <v>2</v>
      </c>
      <c r="D1538" t="s">
        <v>156</v>
      </c>
      <c r="E1538">
        <v>31</v>
      </c>
      <c r="F1538">
        <v>13</v>
      </c>
      <c r="G1538" t="s">
        <v>430</v>
      </c>
      <c r="H1538" s="48" t="s">
        <v>382</v>
      </c>
      <c r="I1538" s="48" t="s">
        <v>382</v>
      </c>
      <c r="J1538" s="48" t="s">
        <v>382</v>
      </c>
      <c r="K1538" s="48" t="s">
        <v>382</v>
      </c>
      <c r="L1538" s="48" t="s">
        <v>382</v>
      </c>
      <c r="M1538" s="48" t="s">
        <v>382</v>
      </c>
      <c r="N1538" s="48" t="s">
        <v>382</v>
      </c>
      <c r="O1538" s="48" t="s">
        <v>382</v>
      </c>
      <c r="P1538" s="48" t="s">
        <v>382</v>
      </c>
      <c r="Q1538" s="48" t="s">
        <v>382</v>
      </c>
      <c r="R1538" s="48" t="s">
        <v>382</v>
      </c>
      <c r="S1538" s="48" t="s">
        <v>382</v>
      </c>
      <c r="T1538" s="48" t="s">
        <v>382</v>
      </c>
      <c r="U1538" s="48" t="s">
        <v>382</v>
      </c>
      <c r="V1538" s="48" t="s">
        <v>382</v>
      </c>
      <c r="W1538" s="48" t="s">
        <v>382</v>
      </c>
      <c r="X1538" s="48" t="s">
        <v>382</v>
      </c>
      <c r="Y1538" s="48" t="s">
        <v>382</v>
      </c>
      <c r="Z1538" s="48" t="s">
        <v>382</v>
      </c>
      <c r="AA1538" s="48" t="s">
        <v>382</v>
      </c>
      <c r="AB1538" s="48" t="s">
        <v>382</v>
      </c>
      <c r="AC1538" s="48" t="s">
        <v>382</v>
      </c>
      <c r="AD1538" s="48" t="s">
        <v>382</v>
      </c>
      <c r="AE1538" s="48" t="s">
        <v>382</v>
      </c>
      <c r="AF1538" s="48" t="s">
        <v>382</v>
      </c>
      <c r="AG1538" s="48" t="s">
        <v>382</v>
      </c>
      <c r="AH1538" s="48" t="s">
        <v>382</v>
      </c>
      <c r="AI1538" s="48" t="s">
        <v>382</v>
      </c>
    </row>
    <row r="1539" spans="1:41" hidden="1" x14ac:dyDescent="0.25">
      <c r="A1539">
        <v>1538</v>
      </c>
      <c r="B1539">
        <v>2026</v>
      </c>
      <c r="C1539">
        <v>2</v>
      </c>
      <c r="D1539" t="s">
        <v>156</v>
      </c>
      <c r="E1539">
        <v>31</v>
      </c>
      <c r="F1539">
        <v>13</v>
      </c>
      <c r="G1539" t="s">
        <v>431</v>
      </c>
      <c r="H1539" s="48">
        <v>0.79166666666666674</v>
      </c>
      <c r="I1539" s="48">
        <v>0.79166666666666674</v>
      </c>
      <c r="J1539" s="48">
        <v>0.79166666666666674</v>
      </c>
      <c r="K1539" s="48">
        <v>0.79166666666666674</v>
      </c>
      <c r="L1539" s="48">
        <v>0.79166666666666674</v>
      </c>
      <c r="M1539" s="48">
        <v>0.79166666666666674</v>
      </c>
      <c r="N1539" s="48">
        <v>0.79166666666666674</v>
      </c>
      <c r="O1539" s="48">
        <v>0.79166666666666674</v>
      </c>
      <c r="P1539" s="48">
        <v>0.79166666666666674</v>
      </c>
      <c r="Q1539" s="48">
        <v>0.79166666666666674</v>
      </c>
      <c r="R1539" s="48">
        <v>0.79166666666666674</v>
      </c>
      <c r="S1539" s="48">
        <v>0.79166666666666674</v>
      </c>
      <c r="T1539" s="48">
        <v>0.79166666666666674</v>
      </c>
      <c r="U1539" s="48">
        <v>0.79166666666666674</v>
      </c>
      <c r="V1539" s="48">
        <v>0.79166666666666674</v>
      </c>
      <c r="W1539" s="48">
        <v>0.79166666666666674</v>
      </c>
      <c r="X1539" s="48">
        <v>0.79166666666666674</v>
      </c>
      <c r="Y1539" s="48">
        <v>0.79166666666666674</v>
      </c>
      <c r="Z1539" s="48">
        <v>0.79166666666666674</v>
      </c>
      <c r="AA1539" s="48">
        <v>0.79166666666666674</v>
      </c>
      <c r="AB1539" s="48">
        <v>0.79166666666666674</v>
      </c>
      <c r="AC1539" s="48">
        <v>0.79166666666666674</v>
      </c>
      <c r="AD1539" s="48">
        <v>0.79166666666666674</v>
      </c>
      <c r="AE1539" s="48">
        <v>0.79166666666666674</v>
      </c>
      <c r="AF1539" s="48">
        <v>0.79166666666666674</v>
      </c>
      <c r="AG1539" s="48">
        <v>0.79166666666666674</v>
      </c>
      <c r="AH1539" s="48">
        <v>0.79166666666666674</v>
      </c>
      <c r="AI1539" s="48">
        <v>0.79166666666666674</v>
      </c>
      <c r="AM1539">
        <v>30</v>
      </c>
      <c r="AO1539" cm="1">
        <f t="array" ref="AO1539">SUM(IFERROR(MOD((H1539:AL1539-H1538:AL1538)*24,11),""))</f>
        <v>84</v>
      </c>
    </row>
    <row r="1540" spans="1:41" hidden="1" x14ac:dyDescent="0.25">
      <c r="A1540">
        <v>1539</v>
      </c>
      <c r="B1540">
        <v>2026</v>
      </c>
      <c r="C1540">
        <v>2</v>
      </c>
      <c r="D1540" t="s">
        <v>168</v>
      </c>
      <c r="E1540">
        <v>31</v>
      </c>
      <c r="F1540">
        <v>13</v>
      </c>
      <c r="G1540" t="s">
        <v>430</v>
      </c>
      <c r="H1540" s="48" t="s">
        <v>375</v>
      </c>
      <c r="I1540" s="48" t="s">
        <v>375</v>
      </c>
      <c r="J1540" s="48" t="s">
        <v>375</v>
      </c>
      <c r="K1540" s="48" t="s">
        <v>375</v>
      </c>
      <c r="L1540" s="48" t="s">
        <v>375</v>
      </c>
      <c r="M1540" s="48" t="s">
        <v>375</v>
      </c>
      <c r="N1540" s="48" t="s">
        <v>375</v>
      </c>
      <c r="O1540" s="48" t="s">
        <v>375</v>
      </c>
      <c r="P1540" s="48" t="s">
        <v>375</v>
      </c>
      <c r="Q1540" s="48" t="s">
        <v>375</v>
      </c>
      <c r="R1540" s="48" t="s">
        <v>375</v>
      </c>
      <c r="S1540" s="48" t="s">
        <v>375</v>
      </c>
      <c r="T1540" s="48" t="s">
        <v>375</v>
      </c>
      <c r="U1540" s="48" t="s">
        <v>375</v>
      </c>
      <c r="V1540" s="48" t="s">
        <v>375</v>
      </c>
      <c r="W1540" s="48" t="s">
        <v>375</v>
      </c>
      <c r="X1540" s="48" t="s">
        <v>375</v>
      </c>
      <c r="Y1540" s="48" t="s">
        <v>375</v>
      </c>
      <c r="Z1540" s="48" t="s">
        <v>375</v>
      </c>
      <c r="AA1540" s="48" t="s">
        <v>375</v>
      </c>
      <c r="AB1540" s="48" t="s">
        <v>375</v>
      </c>
      <c r="AC1540" s="48" t="s">
        <v>375</v>
      </c>
      <c r="AD1540" s="48" t="s">
        <v>375</v>
      </c>
      <c r="AE1540" s="48" t="s">
        <v>375</v>
      </c>
      <c r="AF1540" s="48" t="s">
        <v>375</v>
      </c>
      <c r="AG1540" s="48" t="s">
        <v>375</v>
      </c>
      <c r="AH1540" s="48" t="s">
        <v>375</v>
      </c>
      <c r="AI1540" s="48" t="s">
        <v>375</v>
      </c>
    </row>
    <row r="1541" spans="1:41" hidden="1" x14ac:dyDescent="0.25">
      <c r="A1541">
        <v>1540</v>
      </c>
      <c r="B1541">
        <v>2026</v>
      </c>
      <c r="C1541">
        <v>2</v>
      </c>
      <c r="D1541" t="s">
        <v>168</v>
      </c>
      <c r="E1541">
        <v>31</v>
      </c>
      <c r="F1541">
        <v>13</v>
      </c>
      <c r="G1541" t="s">
        <v>431</v>
      </c>
      <c r="H1541" s="48">
        <v>0.75</v>
      </c>
      <c r="I1541" s="48">
        <v>0.91666666666666674</v>
      </c>
      <c r="J1541" s="48">
        <v>0.75</v>
      </c>
      <c r="K1541" s="48">
        <v>0.75</v>
      </c>
      <c r="L1541" s="48">
        <v>0.875</v>
      </c>
      <c r="M1541" s="48">
        <v>0.79166666666666674</v>
      </c>
      <c r="N1541" s="48">
        <v>0.83333333333333326</v>
      </c>
      <c r="O1541" s="48">
        <v>0.75</v>
      </c>
      <c r="P1541" s="48">
        <v>0.75</v>
      </c>
      <c r="Q1541" s="48">
        <v>0.95833333333333326</v>
      </c>
      <c r="R1541" s="48">
        <v>0.83333333333333326</v>
      </c>
      <c r="S1541" s="48">
        <v>0.91666666666666674</v>
      </c>
      <c r="T1541" s="48">
        <v>0.83333333333333326</v>
      </c>
      <c r="U1541" s="48">
        <v>0.75</v>
      </c>
      <c r="V1541" s="48">
        <v>0.875</v>
      </c>
      <c r="W1541" s="48">
        <v>0.83333333333333326</v>
      </c>
      <c r="X1541" s="48">
        <v>0.83333333333333326</v>
      </c>
      <c r="Y1541" s="48">
        <v>0.95833333333333326</v>
      </c>
      <c r="Z1541" s="48">
        <v>0.83333333333333326</v>
      </c>
      <c r="AA1541" s="48">
        <v>0.75</v>
      </c>
      <c r="AB1541" s="48">
        <v>0.75</v>
      </c>
      <c r="AC1541" s="48">
        <v>0.75</v>
      </c>
      <c r="AD1541" s="48">
        <v>0.75</v>
      </c>
      <c r="AE1541" s="48">
        <v>0.83333333333333326</v>
      </c>
      <c r="AF1541" s="48">
        <v>0.83333333333333326</v>
      </c>
      <c r="AG1541" s="48">
        <v>0.83333333333333326</v>
      </c>
      <c r="AH1541" s="48">
        <v>0.75</v>
      </c>
      <c r="AI1541" s="48">
        <v>0.75</v>
      </c>
      <c r="AM1541">
        <v>30</v>
      </c>
      <c r="AO1541" cm="1">
        <f t="array" ref="AO1541">SUM(IFERROR(MOD((H1541:AL1541-H1540:AL1540)*24,11),""))</f>
        <v>42.999999999999972</v>
      </c>
    </row>
    <row r="1542" spans="1:41" hidden="1" x14ac:dyDescent="0.25">
      <c r="A1542">
        <v>1541</v>
      </c>
      <c r="B1542">
        <v>2026</v>
      </c>
      <c r="C1542">
        <v>2</v>
      </c>
      <c r="D1542" t="s">
        <v>164</v>
      </c>
      <c r="E1542">
        <v>31</v>
      </c>
      <c r="F1542">
        <v>13</v>
      </c>
      <c r="G1542" t="s">
        <v>430</v>
      </c>
      <c r="H1542" s="48" t="s">
        <v>375</v>
      </c>
      <c r="I1542" s="48" t="s">
        <v>375</v>
      </c>
      <c r="J1542" s="48" t="s">
        <v>375</v>
      </c>
      <c r="K1542" s="48" t="s">
        <v>375</v>
      </c>
      <c r="L1542" s="48" t="s">
        <v>375</v>
      </c>
      <c r="M1542" s="48" t="s">
        <v>375</v>
      </c>
      <c r="N1542" s="48" t="s">
        <v>375</v>
      </c>
      <c r="O1542" s="48" t="s">
        <v>375</v>
      </c>
      <c r="P1542" s="48" t="s">
        <v>375</v>
      </c>
      <c r="Q1542" s="48" t="s">
        <v>375</v>
      </c>
      <c r="R1542" s="48" t="s">
        <v>375</v>
      </c>
      <c r="S1542" s="48" t="s">
        <v>375</v>
      </c>
      <c r="T1542" s="48" t="s">
        <v>375</v>
      </c>
      <c r="U1542" s="48" t="s">
        <v>375</v>
      </c>
      <c r="V1542" s="48" t="s">
        <v>375</v>
      </c>
      <c r="W1542" s="48" t="s">
        <v>375</v>
      </c>
      <c r="X1542" s="48" t="s">
        <v>375</v>
      </c>
      <c r="Y1542" s="48" t="s">
        <v>375</v>
      </c>
      <c r="Z1542" s="48" t="s">
        <v>375</v>
      </c>
      <c r="AA1542" s="48" t="s">
        <v>375</v>
      </c>
      <c r="AB1542" s="48" t="s">
        <v>375</v>
      </c>
      <c r="AC1542" s="48" t="s">
        <v>375</v>
      </c>
      <c r="AD1542" s="48" t="s">
        <v>375</v>
      </c>
      <c r="AE1542" s="48" t="s">
        <v>375</v>
      </c>
      <c r="AF1542" s="48" t="s">
        <v>375</v>
      </c>
      <c r="AG1542" s="48" t="s">
        <v>375</v>
      </c>
      <c r="AH1542" s="48" t="s">
        <v>375</v>
      </c>
      <c r="AI1542" s="48" t="s">
        <v>375</v>
      </c>
    </row>
    <row r="1543" spans="1:41" hidden="1" x14ac:dyDescent="0.25">
      <c r="A1543">
        <v>1542</v>
      </c>
      <c r="B1543">
        <v>2026</v>
      </c>
      <c r="C1543">
        <v>2</v>
      </c>
      <c r="D1543" t="s">
        <v>164</v>
      </c>
      <c r="E1543">
        <v>31</v>
      </c>
      <c r="F1543">
        <v>13</v>
      </c>
      <c r="G1543" t="s">
        <v>431</v>
      </c>
      <c r="H1543" s="48">
        <v>0.875</v>
      </c>
      <c r="I1543" s="48">
        <v>0.875</v>
      </c>
      <c r="J1543" s="48">
        <v>0.875</v>
      </c>
      <c r="K1543" s="48">
        <v>0.875</v>
      </c>
      <c r="L1543" s="48">
        <v>0.875</v>
      </c>
      <c r="M1543" s="48">
        <v>0.875</v>
      </c>
      <c r="N1543" s="48">
        <v>0.875</v>
      </c>
      <c r="O1543" s="48">
        <v>0.875</v>
      </c>
      <c r="P1543" s="48">
        <v>0.875</v>
      </c>
      <c r="Q1543" s="48">
        <v>0.875</v>
      </c>
      <c r="R1543" s="48">
        <v>0.875</v>
      </c>
      <c r="S1543" s="48">
        <v>0.875</v>
      </c>
      <c r="T1543" s="48">
        <v>0.875</v>
      </c>
      <c r="U1543" s="48">
        <v>0.875</v>
      </c>
      <c r="V1543" s="48">
        <v>0.875</v>
      </c>
      <c r="W1543" s="48">
        <v>0.875</v>
      </c>
      <c r="X1543" s="48">
        <v>0.875</v>
      </c>
      <c r="Y1543" s="48">
        <v>0.875</v>
      </c>
      <c r="Z1543" s="48">
        <v>0.875</v>
      </c>
      <c r="AA1543" s="48">
        <v>0.875</v>
      </c>
      <c r="AB1543" s="48">
        <v>0.875</v>
      </c>
      <c r="AC1543" s="48">
        <v>0.875</v>
      </c>
      <c r="AD1543" s="48">
        <v>0.875</v>
      </c>
      <c r="AE1543" s="48">
        <v>0.875</v>
      </c>
      <c r="AF1543" s="48">
        <v>0.875</v>
      </c>
      <c r="AG1543" s="48">
        <v>0.875</v>
      </c>
      <c r="AH1543" s="48">
        <v>0.875</v>
      </c>
      <c r="AI1543" s="48">
        <v>0.875</v>
      </c>
      <c r="AM1543">
        <v>30</v>
      </c>
      <c r="AO1543" cm="1">
        <f t="array" ref="AO1543">SUM(IFERROR(MOD((H1543:AL1543-H1542:AL1542)*24,11),""))</f>
        <v>83.999999999999986</v>
      </c>
    </row>
    <row r="1544" spans="1:41" hidden="1" x14ac:dyDescent="0.25">
      <c r="A1544">
        <v>1543</v>
      </c>
      <c r="B1544">
        <v>2026</v>
      </c>
      <c r="C1544">
        <v>2</v>
      </c>
      <c r="D1544" t="s">
        <v>163</v>
      </c>
      <c r="E1544">
        <v>31</v>
      </c>
      <c r="F1544">
        <v>13</v>
      </c>
      <c r="G1544" t="s">
        <v>430</v>
      </c>
      <c r="H1544" s="48" t="s">
        <v>407</v>
      </c>
      <c r="I1544" s="48" t="s">
        <v>407</v>
      </c>
      <c r="J1544" s="48" t="s">
        <v>407</v>
      </c>
      <c r="K1544" s="48" t="s">
        <v>407</v>
      </c>
      <c r="L1544" s="48" t="s">
        <v>407</v>
      </c>
      <c r="M1544" s="48" t="s">
        <v>407</v>
      </c>
      <c r="N1544" s="48" t="s">
        <v>407</v>
      </c>
      <c r="O1544" s="48" t="s">
        <v>407</v>
      </c>
      <c r="P1544" s="48" t="s">
        <v>407</v>
      </c>
      <c r="Q1544" s="48" t="s">
        <v>407</v>
      </c>
      <c r="R1544" s="48" t="s">
        <v>407</v>
      </c>
      <c r="S1544" s="48" t="s">
        <v>407</v>
      </c>
      <c r="T1544" s="48" t="s">
        <v>407</v>
      </c>
      <c r="U1544" s="48" t="s">
        <v>407</v>
      </c>
      <c r="V1544" s="48" t="s">
        <v>407</v>
      </c>
      <c r="W1544" s="48" t="s">
        <v>407</v>
      </c>
      <c r="X1544" s="48" t="s">
        <v>407</v>
      </c>
      <c r="Y1544" s="48" t="s">
        <v>407</v>
      </c>
      <c r="Z1544" s="48" t="s">
        <v>407</v>
      </c>
      <c r="AA1544" s="48" t="s">
        <v>407</v>
      </c>
      <c r="AB1544" s="48" t="s">
        <v>407</v>
      </c>
      <c r="AC1544" s="48" t="s">
        <v>407</v>
      </c>
      <c r="AD1544" s="48" t="s">
        <v>407</v>
      </c>
      <c r="AE1544" s="48" t="s">
        <v>407</v>
      </c>
      <c r="AF1544" s="48" t="s">
        <v>407</v>
      </c>
      <c r="AG1544" s="48" t="s">
        <v>407</v>
      </c>
      <c r="AH1544" s="48" t="s">
        <v>407</v>
      </c>
      <c r="AI1544" s="48" t="s">
        <v>407</v>
      </c>
    </row>
    <row r="1545" spans="1:41" hidden="1" x14ac:dyDescent="0.25">
      <c r="A1545">
        <v>1544</v>
      </c>
      <c r="B1545">
        <v>2026</v>
      </c>
      <c r="C1545">
        <v>2</v>
      </c>
      <c r="D1545" t="s">
        <v>163</v>
      </c>
      <c r="E1545">
        <v>31</v>
      </c>
      <c r="F1545">
        <v>13</v>
      </c>
      <c r="G1545" t="s">
        <v>431</v>
      </c>
      <c r="H1545" s="48">
        <v>0.85416666666666674</v>
      </c>
      <c r="I1545" s="48">
        <v>0.85416666666666674</v>
      </c>
      <c r="J1545" s="48">
        <v>0.85416666666666674</v>
      </c>
      <c r="K1545" s="48">
        <v>0.85416666666666674</v>
      </c>
      <c r="L1545" s="48">
        <v>0.85416666666666674</v>
      </c>
      <c r="M1545" s="48">
        <v>0.85416666666666674</v>
      </c>
      <c r="N1545" s="48">
        <v>0.85416666666666674</v>
      </c>
      <c r="O1545" s="48">
        <v>0.85416666666666674</v>
      </c>
      <c r="P1545" s="48">
        <v>0.85416666666666674</v>
      </c>
      <c r="Q1545" s="48">
        <v>0.85416666666666674</v>
      </c>
      <c r="R1545" s="48">
        <v>0.85416666666666674</v>
      </c>
      <c r="S1545" s="48">
        <v>0.85416666666666674</v>
      </c>
      <c r="T1545" s="48">
        <v>0.85416666666666674</v>
      </c>
      <c r="U1545" s="48">
        <v>0.85416666666666674</v>
      </c>
      <c r="V1545" s="48">
        <v>0.85416666666666674</v>
      </c>
      <c r="W1545" s="48">
        <v>0.85416666666666674</v>
      </c>
      <c r="X1545" s="48">
        <v>0.85416666666666674</v>
      </c>
      <c r="Y1545" s="48">
        <v>0.85416666666666674</v>
      </c>
      <c r="Z1545" s="48">
        <v>0.85416666666666674</v>
      </c>
      <c r="AA1545" s="48">
        <v>0.85416666666666674</v>
      </c>
      <c r="AB1545" s="48">
        <v>0.85416666666666674</v>
      </c>
      <c r="AC1545" s="48">
        <v>0.85416666666666674</v>
      </c>
      <c r="AD1545" s="48">
        <v>0.85416666666666674</v>
      </c>
      <c r="AE1545" s="48">
        <v>0.85416666666666674</v>
      </c>
      <c r="AF1545" s="48">
        <v>0.85416666666666674</v>
      </c>
      <c r="AG1545" s="48">
        <v>0.85416666666666674</v>
      </c>
      <c r="AH1545" s="48">
        <v>0.85416666666666674</v>
      </c>
      <c r="AI1545" s="48">
        <v>0.85416666666666674</v>
      </c>
      <c r="AM1545">
        <v>30</v>
      </c>
      <c r="AO1545" cm="1">
        <f t="array" ref="AO1545">SUM(IFERROR(MOD((H1545:AL1545-H1544:AL1544)*24,11),""))</f>
        <v>84.000000000000043</v>
      </c>
    </row>
    <row r="1546" spans="1:41" hidden="1" x14ac:dyDescent="0.25">
      <c r="A1546">
        <v>1545</v>
      </c>
      <c r="B1546">
        <v>2026</v>
      </c>
      <c r="C1546">
        <v>2</v>
      </c>
      <c r="D1546" t="s">
        <v>131</v>
      </c>
      <c r="E1546">
        <v>31</v>
      </c>
      <c r="F1546">
        <v>13</v>
      </c>
      <c r="G1546" t="s">
        <v>430</v>
      </c>
      <c r="H1546" s="48" t="s">
        <v>375</v>
      </c>
      <c r="I1546" s="48" t="s">
        <v>375</v>
      </c>
      <c r="J1546" s="48" t="s">
        <v>375</v>
      </c>
      <c r="K1546" s="48" t="s">
        <v>375</v>
      </c>
      <c r="L1546" s="48" t="s">
        <v>375</v>
      </c>
      <c r="M1546" s="48" t="s">
        <v>375</v>
      </c>
      <c r="N1546" s="48" t="s">
        <v>375</v>
      </c>
      <c r="O1546" s="48" t="s">
        <v>375</v>
      </c>
      <c r="P1546" s="48" t="s">
        <v>375</v>
      </c>
      <c r="Q1546" s="48" t="s">
        <v>375</v>
      </c>
      <c r="R1546" s="48" t="s">
        <v>375</v>
      </c>
      <c r="S1546" s="48" t="s">
        <v>375</v>
      </c>
      <c r="T1546" s="48" t="s">
        <v>375</v>
      </c>
      <c r="U1546" s="48" t="s">
        <v>375</v>
      </c>
      <c r="V1546" s="48" t="s">
        <v>320</v>
      </c>
      <c r="W1546" s="48" t="s">
        <v>375</v>
      </c>
      <c r="X1546" s="48" t="s">
        <v>375</v>
      </c>
      <c r="Y1546" s="48" t="s">
        <v>375</v>
      </c>
      <c r="Z1546" s="48" t="s">
        <v>375</v>
      </c>
      <c r="AA1546" s="48" t="s">
        <v>375</v>
      </c>
      <c r="AB1546" s="48" t="s">
        <v>375</v>
      </c>
      <c r="AC1546" s="48" t="s">
        <v>375</v>
      </c>
      <c r="AD1546" s="48" t="s">
        <v>375</v>
      </c>
      <c r="AE1546" s="48" t="s">
        <v>375</v>
      </c>
      <c r="AF1546" s="48" t="s">
        <v>375</v>
      </c>
      <c r="AG1546" s="48" t="s">
        <v>375</v>
      </c>
      <c r="AH1546" s="48" t="s">
        <v>375</v>
      </c>
      <c r="AI1546" s="48" t="s">
        <v>375</v>
      </c>
    </row>
    <row r="1547" spans="1:41" hidden="1" x14ac:dyDescent="0.25">
      <c r="A1547">
        <v>1546</v>
      </c>
      <c r="B1547">
        <v>2026</v>
      </c>
      <c r="C1547">
        <v>2</v>
      </c>
      <c r="D1547" t="s">
        <v>131</v>
      </c>
      <c r="E1547">
        <v>31</v>
      </c>
      <c r="F1547">
        <v>13</v>
      </c>
      <c r="G1547" t="s">
        <v>431</v>
      </c>
      <c r="H1547" s="48">
        <v>0.79166666666666674</v>
      </c>
      <c r="I1547" s="48">
        <v>0.79166666666666674</v>
      </c>
      <c r="J1547" s="48">
        <v>0.83333333333333326</v>
      </c>
      <c r="K1547" s="48">
        <v>0.875</v>
      </c>
      <c r="L1547" s="48">
        <v>0.79166666666666674</v>
      </c>
      <c r="M1547" s="48">
        <v>0.75</v>
      </c>
      <c r="N1547" s="48">
        <v>0.91666666666666674</v>
      </c>
      <c r="O1547" s="48">
        <v>0.79166666666666674</v>
      </c>
      <c r="P1547" s="48">
        <v>0.95833333333333326</v>
      </c>
      <c r="Q1547" s="48">
        <v>0.83333333333333326</v>
      </c>
      <c r="R1547" s="48">
        <v>0.75</v>
      </c>
      <c r="S1547" s="48">
        <v>0.79166666666666674</v>
      </c>
      <c r="T1547" s="48">
        <v>0.875</v>
      </c>
      <c r="U1547" s="48">
        <v>0.91666666666666674</v>
      </c>
      <c r="V1547" s="48" t="s">
        <v>320</v>
      </c>
      <c r="W1547" s="48">
        <v>0.75</v>
      </c>
      <c r="X1547" s="48">
        <v>0.79166666666666674</v>
      </c>
      <c r="Y1547" s="48">
        <v>0.95833333333333326</v>
      </c>
      <c r="Z1547" s="48">
        <v>0.79166666666666674</v>
      </c>
      <c r="AA1547" s="48">
        <v>0.83333333333333326</v>
      </c>
      <c r="AB1547" s="48">
        <v>0.91666666666666674</v>
      </c>
      <c r="AC1547" s="48">
        <v>0.95833333333333326</v>
      </c>
      <c r="AD1547" s="48">
        <v>0.79166666666666674</v>
      </c>
      <c r="AE1547" s="48">
        <v>0.79166666666666674</v>
      </c>
      <c r="AF1547" s="48">
        <v>0.83333333333333326</v>
      </c>
      <c r="AG1547" s="48">
        <v>0.75</v>
      </c>
      <c r="AH1547" s="48">
        <v>0.75</v>
      </c>
      <c r="AI1547" s="48">
        <v>0.75</v>
      </c>
      <c r="AM1547">
        <v>29</v>
      </c>
      <c r="AO1547" cm="1">
        <f t="array" ref="AO1547">SUM(IFERROR(MOD((H1547:AL1547-H1546:AL1546)*24,11),""))</f>
        <v>49.999999999999986</v>
      </c>
    </row>
    <row r="1548" spans="1:41" hidden="1" x14ac:dyDescent="0.25">
      <c r="A1548">
        <v>1547</v>
      </c>
      <c r="B1548">
        <v>2026</v>
      </c>
      <c r="C1548">
        <v>2</v>
      </c>
      <c r="D1548" t="s">
        <v>174</v>
      </c>
      <c r="E1548">
        <v>31</v>
      </c>
      <c r="F1548">
        <v>13</v>
      </c>
      <c r="G1548" t="s">
        <v>430</v>
      </c>
      <c r="H1548" s="48" t="s">
        <v>423</v>
      </c>
      <c r="I1548" s="48" t="s">
        <v>375</v>
      </c>
      <c r="J1548" s="48" t="s">
        <v>402</v>
      </c>
      <c r="K1548" s="48" t="s">
        <v>375</v>
      </c>
      <c r="L1548" s="48" t="s">
        <v>375</v>
      </c>
      <c r="M1548" s="48" t="s">
        <v>375</v>
      </c>
      <c r="N1548" s="48" t="s">
        <v>375</v>
      </c>
      <c r="O1548" s="48" t="s">
        <v>375</v>
      </c>
      <c r="P1548" s="48" t="s">
        <v>375</v>
      </c>
      <c r="Q1548" s="48" t="s">
        <v>428</v>
      </c>
      <c r="R1548" s="48" t="s">
        <v>424</v>
      </c>
      <c r="S1548" s="48" t="s">
        <v>424</v>
      </c>
      <c r="T1548" s="48" t="s">
        <v>375</v>
      </c>
      <c r="U1548" s="48" t="s">
        <v>375</v>
      </c>
      <c r="V1548" s="48" t="s">
        <v>375</v>
      </c>
      <c r="W1548" s="48" t="s">
        <v>425</v>
      </c>
      <c r="X1548" s="48" t="s">
        <v>375</v>
      </c>
      <c r="Y1548" s="48" t="s">
        <v>375</v>
      </c>
      <c r="Z1548" s="48" t="s">
        <v>402</v>
      </c>
      <c r="AA1548" s="48" t="s">
        <v>375</v>
      </c>
      <c r="AB1548" s="48" t="s">
        <v>375</v>
      </c>
      <c r="AC1548" s="48" t="s">
        <v>375</v>
      </c>
      <c r="AD1548" s="48" t="s">
        <v>375</v>
      </c>
      <c r="AE1548" s="48" t="s">
        <v>420</v>
      </c>
      <c r="AF1548" s="48" t="s">
        <v>376</v>
      </c>
      <c r="AG1548" s="48" t="s">
        <v>375</v>
      </c>
      <c r="AH1548" s="48" t="s">
        <v>406</v>
      </c>
      <c r="AI1548" s="48" t="s">
        <v>423</v>
      </c>
    </row>
    <row r="1549" spans="1:41" hidden="1" x14ac:dyDescent="0.25">
      <c r="A1549">
        <v>1548</v>
      </c>
      <c r="B1549">
        <v>2026</v>
      </c>
      <c r="C1549">
        <v>2</v>
      </c>
      <c r="D1549" t="s">
        <v>174</v>
      </c>
      <c r="E1549">
        <v>31</v>
      </c>
      <c r="F1549">
        <v>13</v>
      </c>
      <c r="G1549" t="s">
        <v>431</v>
      </c>
      <c r="H1549" s="48">
        <v>0.95833333333333326</v>
      </c>
      <c r="I1549" s="48">
        <v>0.75</v>
      </c>
      <c r="J1549" s="48">
        <v>0.72916666666666674</v>
      </c>
      <c r="K1549" s="48">
        <v>0.75</v>
      </c>
      <c r="L1549" s="48">
        <v>0.75</v>
      </c>
      <c r="M1549" s="48">
        <v>0.83333333333333326</v>
      </c>
      <c r="N1549" s="48">
        <v>0.75</v>
      </c>
      <c r="O1549" s="48">
        <v>0.75</v>
      </c>
      <c r="P1549" s="48">
        <v>0.83333333333333326</v>
      </c>
      <c r="Q1549" s="48">
        <v>0.75</v>
      </c>
      <c r="R1549" s="48">
        <v>0.75</v>
      </c>
      <c r="S1549" s="48">
        <v>1</v>
      </c>
      <c r="T1549" s="48">
        <v>0.875</v>
      </c>
      <c r="U1549" s="48">
        <v>1.0416666666666667</v>
      </c>
      <c r="V1549" s="48">
        <v>0.95833333333333326</v>
      </c>
      <c r="W1549" s="48">
        <v>0.875</v>
      </c>
      <c r="X1549" s="48">
        <v>0.75</v>
      </c>
      <c r="Y1549" s="48">
        <v>0.83333333333333326</v>
      </c>
      <c r="Z1549" s="48">
        <v>0.72916666666666674</v>
      </c>
      <c r="AA1549" s="48">
        <v>1</v>
      </c>
      <c r="AB1549" s="48">
        <v>0.75</v>
      </c>
      <c r="AC1549" s="48">
        <v>0.75</v>
      </c>
      <c r="AD1549" s="48">
        <v>0.75</v>
      </c>
      <c r="AE1549" s="48">
        <v>1.7083333333333335</v>
      </c>
      <c r="AF1549" s="48">
        <v>1.4583333333333335</v>
      </c>
      <c r="AG1549" s="48">
        <v>0.75</v>
      </c>
      <c r="AH1549" s="48">
        <v>1.125</v>
      </c>
      <c r="AI1549" s="48">
        <v>1.0416666666666667</v>
      </c>
      <c r="AM1549">
        <v>30</v>
      </c>
      <c r="AO1549">
        <v>108</v>
      </c>
    </row>
    <row r="1550" spans="1:41" hidden="1" x14ac:dyDescent="0.25">
      <c r="A1550">
        <v>1549</v>
      </c>
      <c r="B1550">
        <v>2026</v>
      </c>
      <c r="C1550">
        <v>2</v>
      </c>
      <c r="D1550" t="s">
        <v>751</v>
      </c>
      <c r="E1550">
        <v>31</v>
      </c>
      <c r="F1550">
        <v>13</v>
      </c>
      <c r="G1550" t="s">
        <v>430</v>
      </c>
      <c r="H1550" s="48" t="s">
        <v>375</v>
      </c>
      <c r="I1550" s="48" t="s">
        <v>375</v>
      </c>
      <c r="J1550" s="48" t="s">
        <v>375</v>
      </c>
      <c r="K1550" s="48" t="s">
        <v>375</v>
      </c>
      <c r="L1550" s="48" t="s">
        <v>375</v>
      </c>
      <c r="M1550" s="48" t="s">
        <v>375</v>
      </c>
      <c r="N1550" s="48" t="s">
        <v>375</v>
      </c>
      <c r="O1550" s="48" t="s">
        <v>375</v>
      </c>
      <c r="P1550" s="48" t="s">
        <v>375</v>
      </c>
      <c r="Q1550" s="48" t="s">
        <v>375</v>
      </c>
      <c r="R1550" s="48" t="s">
        <v>375</v>
      </c>
      <c r="S1550" s="48" t="s">
        <v>375</v>
      </c>
      <c r="T1550" s="48" t="s">
        <v>375</v>
      </c>
      <c r="U1550" s="48" t="s">
        <v>375</v>
      </c>
      <c r="V1550" s="48" t="s">
        <v>320</v>
      </c>
      <c r="W1550" s="48" t="s">
        <v>375</v>
      </c>
      <c r="X1550" s="48" t="s">
        <v>375</v>
      </c>
      <c r="Y1550" s="48" t="s">
        <v>375</v>
      </c>
      <c r="Z1550" s="48" t="s">
        <v>375</v>
      </c>
      <c r="AA1550" s="48" t="s">
        <v>375</v>
      </c>
      <c r="AB1550" s="48" t="s">
        <v>375</v>
      </c>
      <c r="AC1550" s="48" t="s">
        <v>375</v>
      </c>
      <c r="AD1550" s="48" t="s">
        <v>375</v>
      </c>
      <c r="AE1550" s="48" t="s">
        <v>375</v>
      </c>
      <c r="AF1550" s="48" t="s">
        <v>375</v>
      </c>
      <c r="AG1550" s="48" t="s">
        <v>375</v>
      </c>
      <c r="AH1550" s="48" t="s">
        <v>375</v>
      </c>
      <c r="AI1550" s="48" t="s">
        <v>375</v>
      </c>
    </row>
    <row r="1551" spans="1:41" hidden="1" x14ac:dyDescent="0.25">
      <c r="A1551">
        <v>1550</v>
      </c>
      <c r="B1551">
        <v>2026</v>
      </c>
      <c r="C1551">
        <v>2</v>
      </c>
      <c r="D1551" t="s">
        <v>751</v>
      </c>
      <c r="E1551">
        <v>31</v>
      </c>
      <c r="F1551">
        <v>13</v>
      </c>
      <c r="G1551" t="s">
        <v>431</v>
      </c>
      <c r="H1551" s="48">
        <v>0.875</v>
      </c>
      <c r="I1551" s="48">
        <v>0.75</v>
      </c>
      <c r="J1551" s="48">
        <v>0.75</v>
      </c>
      <c r="K1551" s="48">
        <v>0.75</v>
      </c>
      <c r="L1551" s="48">
        <v>0.75</v>
      </c>
      <c r="M1551" s="48">
        <v>0.75</v>
      </c>
      <c r="N1551" s="48">
        <v>0.83333333333333326</v>
      </c>
      <c r="O1551" s="48">
        <v>0.75</v>
      </c>
      <c r="P1551" s="48">
        <v>0.79166666666666674</v>
      </c>
      <c r="Q1551" s="48">
        <v>0.79166666666666674</v>
      </c>
      <c r="R1551" s="48">
        <v>0.75</v>
      </c>
      <c r="S1551" s="48">
        <v>0.75</v>
      </c>
      <c r="T1551" s="48">
        <v>0.79166666666666674</v>
      </c>
      <c r="U1551" s="48">
        <v>0.79166666666666674</v>
      </c>
      <c r="V1551" s="48" t="s">
        <v>320</v>
      </c>
      <c r="W1551" s="48">
        <v>0.75</v>
      </c>
      <c r="X1551" s="48">
        <v>0.75</v>
      </c>
      <c r="Y1551" s="48">
        <v>0.75</v>
      </c>
      <c r="Z1551" s="48">
        <v>0.75</v>
      </c>
      <c r="AA1551" s="48">
        <v>0.79166666666666674</v>
      </c>
      <c r="AB1551" s="48">
        <v>0.91666666666666674</v>
      </c>
      <c r="AC1551" s="48">
        <v>0.75</v>
      </c>
      <c r="AD1551" s="48">
        <v>0.83333333333333326</v>
      </c>
      <c r="AE1551" s="48">
        <v>0.79166666666666674</v>
      </c>
      <c r="AF1551" s="48">
        <v>0.75</v>
      </c>
      <c r="AG1551" s="48">
        <v>0.75</v>
      </c>
      <c r="AH1551" s="48">
        <v>0.75</v>
      </c>
      <c r="AI1551" s="48">
        <v>0.75</v>
      </c>
      <c r="AM1551">
        <v>29</v>
      </c>
      <c r="AO1551" cm="1">
        <f t="array" ref="AO1551">SUM(IFERROR(MOD((H1551:AL1551-H1550:AL1550)*24,11),""))</f>
        <v>16.999999999999993</v>
      </c>
    </row>
    <row r="1552" spans="1:41" hidden="1" x14ac:dyDescent="0.25">
      <c r="A1552">
        <v>1551</v>
      </c>
      <c r="B1552">
        <v>2026</v>
      </c>
      <c r="C1552">
        <v>2</v>
      </c>
      <c r="D1552" t="s">
        <v>753</v>
      </c>
      <c r="E1552">
        <v>31</v>
      </c>
      <c r="F1552">
        <v>13</v>
      </c>
      <c r="G1552" t="s">
        <v>430</v>
      </c>
      <c r="H1552" s="48" t="s">
        <v>375</v>
      </c>
      <c r="I1552" s="48" t="s">
        <v>375</v>
      </c>
      <c r="J1552" s="48" t="s">
        <v>375</v>
      </c>
      <c r="K1552" s="48" t="s">
        <v>375</v>
      </c>
      <c r="L1552" s="48" t="s">
        <v>375</v>
      </c>
      <c r="M1552" s="48" t="s">
        <v>375</v>
      </c>
      <c r="N1552" s="48" t="s">
        <v>375</v>
      </c>
      <c r="O1552" s="48" t="s">
        <v>375</v>
      </c>
      <c r="P1552" s="48" t="s">
        <v>375</v>
      </c>
      <c r="Q1552" s="48" t="s">
        <v>375</v>
      </c>
      <c r="R1552" s="48" t="s">
        <v>375</v>
      </c>
      <c r="S1552" s="48" t="s">
        <v>375</v>
      </c>
      <c r="T1552" s="48" t="s">
        <v>375</v>
      </c>
      <c r="U1552" s="48" t="s">
        <v>375</v>
      </c>
      <c r="V1552" s="48" t="s">
        <v>375</v>
      </c>
      <c r="W1552" s="48" t="s">
        <v>375</v>
      </c>
      <c r="X1552" s="48" t="s">
        <v>375</v>
      </c>
      <c r="Y1552" s="48" t="s">
        <v>375</v>
      </c>
      <c r="Z1552" s="48" t="s">
        <v>375</v>
      </c>
      <c r="AA1552" s="48" t="s">
        <v>375</v>
      </c>
      <c r="AB1552" s="48" t="s">
        <v>375</v>
      </c>
      <c r="AC1552" s="48" t="s">
        <v>375</v>
      </c>
      <c r="AD1552" s="48" t="s">
        <v>375</v>
      </c>
      <c r="AE1552" s="48" t="s">
        <v>375</v>
      </c>
      <c r="AF1552" s="48" t="s">
        <v>375</v>
      </c>
      <c r="AG1552" s="48" t="s">
        <v>375</v>
      </c>
      <c r="AH1552" s="48" t="s">
        <v>375</v>
      </c>
      <c r="AI1552" s="48" t="s">
        <v>375</v>
      </c>
    </row>
    <row r="1553" spans="1:45" hidden="1" x14ac:dyDescent="0.25">
      <c r="A1553">
        <v>1552</v>
      </c>
      <c r="B1553">
        <v>2026</v>
      </c>
      <c r="C1553">
        <v>2</v>
      </c>
      <c r="D1553" t="s">
        <v>753</v>
      </c>
      <c r="E1553">
        <v>31</v>
      </c>
      <c r="F1553">
        <v>13</v>
      </c>
      <c r="G1553" t="s">
        <v>431</v>
      </c>
      <c r="H1553" s="48">
        <v>0.75</v>
      </c>
      <c r="I1553" s="48">
        <v>0.75</v>
      </c>
      <c r="J1553" s="48">
        <v>0.83333333333333326</v>
      </c>
      <c r="K1553" s="48">
        <v>0.75</v>
      </c>
      <c r="L1553" s="48">
        <v>0.83333333333333326</v>
      </c>
      <c r="M1553" s="48">
        <v>0.75</v>
      </c>
      <c r="N1553" s="48">
        <v>0.83333333333333326</v>
      </c>
      <c r="O1553" s="48">
        <v>0.75</v>
      </c>
      <c r="P1553" s="48">
        <v>0.75</v>
      </c>
      <c r="Q1553" s="48">
        <v>0.75</v>
      </c>
      <c r="R1553" s="48">
        <v>0.83333333333333326</v>
      </c>
      <c r="S1553" s="48">
        <v>0.83333333333333326</v>
      </c>
      <c r="T1553" s="48">
        <v>0.75</v>
      </c>
      <c r="U1553" s="48">
        <v>0.75</v>
      </c>
      <c r="V1553" s="48">
        <v>0.75</v>
      </c>
      <c r="W1553" s="48">
        <v>0.75</v>
      </c>
      <c r="X1553" s="48">
        <v>0.83333333333333326</v>
      </c>
      <c r="Y1553" s="48">
        <v>0.75</v>
      </c>
      <c r="Z1553" s="48">
        <v>0.83333333333333326</v>
      </c>
      <c r="AA1553" s="48">
        <v>0.75</v>
      </c>
      <c r="AB1553" s="48">
        <v>0.75</v>
      </c>
      <c r="AC1553" s="48">
        <v>0.75</v>
      </c>
      <c r="AD1553" s="48">
        <v>0.75</v>
      </c>
      <c r="AE1553" s="48">
        <v>0.75</v>
      </c>
      <c r="AF1553" s="48">
        <v>0.83333333333333326</v>
      </c>
      <c r="AG1553" s="48">
        <v>0.75</v>
      </c>
      <c r="AH1553" s="48">
        <v>0.75</v>
      </c>
      <c r="AI1553" s="48">
        <v>0.75</v>
      </c>
      <c r="AM1553">
        <v>30</v>
      </c>
      <c r="AO1553" cm="1">
        <f t="array" ref="AO1553">SUM(IFERROR(MOD((H1553:AL1553-H1552:AL1552)*24,11),""))</f>
        <v>15.999999999999972</v>
      </c>
    </row>
    <row r="1554" spans="1:45" hidden="1" x14ac:dyDescent="0.25">
      <c r="A1554">
        <v>1553</v>
      </c>
      <c r="B1554">
        <v>2026</v>
      </c>
      <c r="C1554">
        <v>2</v>
      </c>
      <c r="D1554" t="s">
        <v>754</v>
      </c>
      <c r="E1554">
        <v>31</v>
      </c>
      <c r="F1554">
        <v>13</v>
      </c>
      <c r="G1554" t="s">
        <v>430</v>
      </c>
      <c r="H1554" s="48" t="s">
        <v>320</v>
      </c>
      <c r="I1554" s="48" t="s">
        <v>375</v>
      </c>
      <c r="J1554" s="48" t="s">
        <v>375</v>
      </c>
      <c r="K1554" s="48" t="s">
        <v>375</v>
      </c>
      <c r="L1554" s="48" t="s">
        <v>375</v>
      </c>
      <c r="M1554" s="48" t="s">
        <v>375</v>
      </c>
      <c r="N1554" s="48" t="s">
        <v>375</v>
      </c>
      <c r="O1554" s="48" t="s">
        <v>375</v>
      </c>
      <c r="P1554" s="48" t="s">
        <v>375</v>
      </c>
      <c r="Q1554" s="48" t="s">
        <v>375</v>
      </c>
      <c r="R1554" s="48" t="s">
        <v>375</v>
      </c>
      <c r="S1554" s="48" t="s">
        <v>375</v>
      </c>
      <c r="T1554" s="48" t="s">
        <v>375</v>
      </c>
      <c r="U1554" s="48" t="s">
        <v>375</v>
      </c>
      <c r="V1554" s="48" t="s">
        <v>320</v>
      </c>
      <c r="W1554" s="48" t="s">
        <v>375</v>
      </c>
      <c r="X1554" s="48" t="s">
        <v>375</v>
      </c>
      <c r="Y1554" s="48" t="s">
        <v>375</v>
      </c>
      <c r="Z1554" s="48" t="s">
        <v>375</v>
      </c>
      <c r="AA1554" s="48" t="s">
        <v>375</v>
      </c>
      <c r="AB1554" s="48" t="s">
        <v>375</v>
      </c>
      <c r="AC1554" s="48" t="s">
        <v>375</v>
      </c>
      <c r="AD1554" s="48" t="s">
        <v>375</v>
      </c>
      <c r="AE1554" s="48" t="s">
        <v>375</v>
      </c>
      <c r="AF1554" s="48" t="s">
        <v>375</v>
      </c>
      <c r="AG1554" s="48" t="s">
        <v>375</v>
      </c>
      <c r="AH1554" s="48" t="s">
        <v>375</v>
      </c>
      <c r="AI1554" s="48" t="s">
        <v>375</v>
      </c>
    </row>
    <row r="1555" spans="1:45" hidden="1" x14ac:dyDescent="0.25">
      <c r="A1555">
        <v>1554</v>
      </c>
      <c r="B1555">
        <v>2026</v>
      </c>
      <c r="C1555">
        <v>2</v>
      </c>
      <c r="D1555" t="s">
        <v>754</v>
      </c>
      <c r="E1555">
        <v>31</v>
      </c>
      <c r="F1555">
        <v>13</v>
      </c>
      <c r="G1555" t="s">
        <v>431</v>
      </c>
      <c r="H1555" s="48" t="s">
        <v>320</v>
      </c>
      <c r="I1555" s="48">
        <v>0.75</v>
      </c>
      <c r="J1555" s="48">
        <v>0.79166666666666674</v>
      </c>
      <c r="K1555" s="48">
        <v>0.75</v>
      </c>
      <c r="L1555" s="48">
        <v>0.75</v>
      </c>
      <c r="M1555" s="48">
        <v>0.75</v>
      </c>
      <c r="N1555" s="48">
        <v>0.75</v>
      </c>
      <c r="O1555" s="48">
        <v>0.75</v>
      </c>
      <c r="P1555" s="48">
        <v>0.75</v>
      </c>
      <c r="Q1555" s="48">
        <v>0.75</v>
      </c>
      <c r="R1555" s="48">
        <v>0.83333333333333326</v>
      </c>
      <c r="S1555" s="48">
        <v>0.91666666666666674</v>
      </c>
      <c r="T1555" s="48">
        <v>0.83333333333333326</v>
      </c>
      <c r="U1555" s="48">
        <v>0.75</v>
      </c>
      <c r="V1555" s="48" t="s">
        <v>320</v>
      </c>
      <c r="W1555" s="48">
        <v>0.75</v>
      </c>
      <c r="X1555" s="48">
        <v>0.75</v>
      </c>
      <c r="Y1555" s="48">
        <v>0.75</v>
      </c>
      <c r="Z1555" s="48">
        <v>0.75</v>
      </c>
      <c r="AA1555" s="48">
        <v>0.75</v>
      </c>
      <c r="AB1555" s="48">
        <v>0.75</v>
      </c>
      <c r="AC1555" s="48">
        <v>0.75</v>
      </c>
      <c r="AD1555" s="48">
        <v>0.83333333333333326</v>
      </c>
      <c r="AE1555" s="48">
        <v>0.875</v>
      </c>
      <c r="AF1555" s="48">
        <v>0.83333333333333326</v>
      </c>
      <c r="AG1555" s="48">
        <v>0.83333333333333326</v>
      </c>
      <c r="AH1555" s="48">
        <v>0.83333333333333326</v>
      </c>
      <c r="AI1555" s="48">
        <v>0.75</v>
      </c>
      <c r="AM1555">
        <v>28</v>
      </c>
      <c r="AO1555" cm="1">
        <f t="array" ref="AO1555">SUM(IFERROR(MOD((H1555:AL1555-H1554:AL1554)*24,11),""))</f>
        <v>19.999999999999975</v>
      </c>
    </row>
    <row r="1556" spans="1:45" hidden="1" x14ac:dyDescent="0.25">
      <c r="A1556">
        <v>1555</v>
      </c>
      <c r="B1556">
        <v>2026</v>
      </c>
      <c r="C1556">
        <v>2</v>
      </c>
      <c r="D1556" t="s">
        <v>755</v>
      </c>
      <c r="E1556">
        <v>31</v>
      </c>
      <c r="F1556">
        <v>13</v>
      </c>
      <c r="G1556" t="s">
        <v>430</v>
      </c>
      <c r="H1556" s="48" t="s">
        <v>375</v>
      </c>
      <c r="I1556" s="48" t="s">
        <v>375</v>
      </c>
      <c r="J1556" s="48" t="s">
        <v>375</v>
      </c>
      <c r="K1556" s="48" t="s">
        <v>375</v>
      </c>
      <c r="L1556" s="48" t="s">
        <v>375</v>
      </c>
      <c r="M1556" s="48" t="s">
        <v>375</v>
      </c>
      <c r="N1556" s="48" t="s">
        <v>375</v>
      </c>
      <c r="O1556" s="48" t="s">
        <v>375</v>
      </c>
      <c r="P1556" s="48" t="s">
        <v>375</v>
      </c>
      <c r="Q1556" s="48" t="s">
        <v>375</v>
      </c>
      <c r="R1556" s="48" t="s">
        <v>375</v>
      </c>
      <c r="S1556" s="48" t="s">
        <v>375</v>
      </c>
      <c r="T1556" s="48" t="s">
        <v>375</v>
      </c>
      <c r="U1556" s="48" t="s">
        <v>375</v>
      </c>
      <c r="V1556" s="48" t="s">
        <v>320</v>
      </c>
      <c r="W1556" s="48" t="s">
        <v>375</v>
      </c>
      <c r="X1556" s="48" t="s">
        <v>375</v>
      </c>
      <c r="Y1556" s="48" t="s">
        <v>375</v>
      </c>
      <c r="Z1556" s="48" t="s">
        <v>375</v>
      </c>
      <c r="AA1556" s="48" t="s">
        <v>375</v>
      </c>
      <c r="AB1556" s="48" t="s">
        <v>375</v>
      </c>
      <c r="AC1556" s="48" t="s">
        <v>375</v>
      </c>
      <c r="AD1556" s="48" t="s">
        <v>375</v>
      </c>
      <c r="AE1556" s="48" t="s">
        <v>375</v>
      </c>
      <c r="AF1556" s="48" t="s">
        <v>375</v>
      </c>
      <c r="AG1556" s="48" t="s">
        <v>375</v>
      </c>
      <c r="AH1556" s="48" t="s">
        <v>375</v>
      </c>
      <c r="AI1556" s="48" t="s">
        <v>375</v>
      </c>
    </row>
    <row r="1557" spans="1:45" hidden="1" x14ac:dyDescent="0.25">
      <c r="A1557">
        <v>1556</v>
      </c>
      <c r="B1557">
        <v>2026</v>
      </c>
      <c r="C1557">
        <v>2</v>
      </c>
      <c r="D1557" t="s">
        <v>755</v>
      </c>
      <c r="E1557">
        <v>31</v>
      </c>
      <c r="F1557">
        <v>13</v>
      </c>
      <c r="G1557" t="s">
        <v>431</v>
      </c>
      <c r="H1557" s="48">
        <v>0.75</v>
      </c>
      <c r="I1557" s="48">
        <v>0.875</v>
      </c>
      <c r="J1557" s="48">
        <v>0.79166666666666674</v>
      </c>
      <c r="K1557" s="48">
        <v>0.91666666666666674</v>
      </c>
      <c r="L1557" s="48">
        <v>0.75</v>
      </c>
      <c r="M1557" s="48">
        <v>0.83333333333333326</v>
      </c>
      <c r="N1557" s="48">
        <v>0.95833333333333326</v>
      </c>
      <c r="O1557" s="48">
        <v>0.75</v>
      </c>
      <c r="P1557" s="48">
        <v>0.91666666666666674</v>
      </c>
      <c r="Q1557" s="48">
        <v>0.75</v>
      </c>
      <c r="R1557" s="48">
        <v>0.79166666666666674</v>
      </c>
      <c r="S1557" s="48">
        <v>0.95833333333333326</v>
      </c>
      <c r="T1557" s="48">
        <v>0.79166666666666674</v>
      </c>
      <c r="U1557" s="48">
        <v>0.75</v>
      </c>
      <c r="V1557" s="48" t="s">
        <v>320</v>
      </c>
      <c r="W1557" s="48">
        <v>0.75</v>
      </c>
      <c r="X1557" s="48">
        <v>0.875</v>
      </c>
      <c r="Y1557" s="48">
        <v>0.875</v>
      </c>
      <c r="Z1557" s="48">
        <v>0.75</v>
      </c>
      <c r="AA1557" s="48">
        <v>0.83333333333333326</v>
      </c>
      <c r="AB1557" s="48">
        <v>0.875</v>
      </c>
      <c r="AC1557" s="48">
        <v>0.75</v>
      </c>
      <c r="AD1557" s="48">
        <v>0.875</v>
      </c>
      <c r="AE1557" s="48">
        <v>0.75</v>
      </c>
      <c r="AF1557" s="48">
        <v>0.95833333333333326</v>
      </c>
      <c r="AG1557" s="48">
        <v>0.75</v>
      </c>
      <c r="AH1557" s="48">
        <v>0.95833333333333326</v>
      </c>
      <c r="AI1557" s="48">
        <v>0.75</v>
      </c>
      <c r="AM1557">
        <v>29</v>
      </c>
      <c r="AO1557" cm="1">
        <f t="array" ref="AO1557">SUM(IFERROR(MOD((H1557:AL1557-H1556:AL1556)*24,11),""))</f>
        <v>49.999999999999986</v>
      </c>
    </row>
    <row r="1558" spans="1:45" hidden="1" x14ac:dyDescent="0.25">
      <c r="A1558">
        <v>1557</v>
      </c>
      <c r="B1558">
        <v>2026</v>
      </c>
      <c r="C1558">
        <v>2</v>
      </c>
      <c r="D1558" t="s">
        <v>756</v>
      </c>
      <c r="E1558">
        <v>31</v>
      </c>
      <c r="F1558">
        <v>13</v>
      </c>
      <c r="G1558" t="s">
        <v>430</v>
      </c>
      <c r="H1558" s="48">
        <v>0.33333333333333331</v>
      </c>
      <c r="I1558" s="48">
        <v>0.33333333333333331</v>
      </c>
      <c r="J1558" s="48">
        <v>0.33333333333333331</v>
      </c>
      <c r="K1558" s="48">
        <v>0.33333333333333331</v>
      </c>
      <c r="L1558" s="48">
        <v>0.33333333333333331</v>
      </c>
      <c r="M1558" s="48">
        <v>0.33333333333333331</v>
      </c>
      <c r="N1558" s="48">
        <v>0.33333333333333331</v>
      </c>
      <c r="O1558" s="48">
        <v>0.33333333333333331</v>
      </c>
      <c r="P1558" s="48">
        <v>0.33333333333333331</v>
      </c>
      <c r="Q1558" s="48">
        <v>0.33333333333333331</v>
      </c>
      <c r="R1558" s="48">
        <v>0.33333333333333331</v>
      </c>
      <c r="S1558" s="48">
        <v>0.33333333333333331</v>
      </c>
      <c r="T1558" s="48">
        <v>0.33333333333333331</v>
      </c>
      <c r="U1558" s="48">
        <v>0.33333333333333331</v>
      </c>
      <c r="V1558" s="48">
        <v>0.33333333333333331</v>
      </c>
      <c r="W1558" s="48">
        <v>0.33333333333333331</v>
      </c>
      <c r="X1558" s="48">
        <v>0.33333333333333331</v>
      </c>
      <c r="Y1558" s="48">
        <v>0.33333333333333331</v>
      </c>
      <c r="Z1558" s="48">
        <v>0.33333333333333331</v>
      </c>
      <c r="AA1558" s="48">
        <v>0.33333333333333331</v>
      </c>
      <c r="AB1558" s="48">
        <v>0.33333333333333331</v>
      </c>
      <c r="AC1558" s="48">
        <v>0.33333333333333331</v>
      </c>
      <c r="AD1558" s="48">
        <v>0.33333333333333331</v>
      </c>
      <c r="AE1558" s="48">
        <v>0.33333333333333331</v>
      </c>
      <c r="AF1558" s="48">
        <v>0.33333333333333331</v>
      </c>
      <c r="AG1558" s="48">
        <v>0.33333333333333331</v>
      </c>
      <c r="AH1558" s="48">
        <v>0.33333333333333331</v>
      </c>
      <c r="AI1558" s="48">
        <v>0.33333333333333331</v>
      </c>
    </row>
    <row r="1559" spans="1:45" hidden="1" x14ac:dyDescent="0.25">
      <c r="A1559">
        <v>1558</v>
      </c>
      <c r="B1559">
        <v>2026</v>
      </c>
      <c r="C1559">
        <v>2</v>
      </c>
      <c r="D1559" t="s">
        <v>756</v>
      </c>
      <c r="E1559">
        <v>31</v>
      </c>
      <c r="F1559">
        <v>13</v>
      </c>
      <c r="G1559" t="s">
        <v>431</v>
      </c>
      <c r="H1559" s="48">
        <v>0.79166666666666663</v>
      </c>
      <c r="I1559" s="48">
        <v>0.79166666666666663</v>
      </c>
      <c r="J1559" s="48">
        <v>0.79166666666666663</v>
      </c>
      <c r="K1559" s="48">
        <v>0.79166666666666663</v>
      </c>
      <c r="L1559" s="48">
        <v>0.79166666666666663</v>
      </c>
      <c r="M1559" s="48">
        <v>0.79166666666666663</v>
      </c>
      <c r="N1559" s="48">
        <v>0.79166666666666663</v>
      </c>
      <c r="O1559" s="48">
        <v>0.79166666666666663</v>
      </c>
      <c r="P1559" s="48">
        <v>0.79166666666666663</v>
      </c>
      <c r="Q1559" s="48">
        <v>0.79166666666666663</v>
      </c>
      <c r="R1559" s="48">
        <v>0.79166666666666663</v>
      </c>
      <c r="S1559" s="48">
        <v>0.79166666666666663</v>
      </c>
      <c r="T1559" s="48">
        <v>0.79166666666666663</v>
      </c>
      <c r="U1559" s="48">
        <v>0.79166666666666663</v>
      </c>
      <c r="V1559" s="48">
        <v>0.79166666666666663</v>
      </c>
      <c r="W1559" s="48">
        <v>0.79166666666666663</v>
      </c>
      <c r="X1559" s="48">
        <v>0.79166666666666663</v>
      </c>
      <c r="Y1559" s="48">
        <v>0.79166666666666663</v>
      </c>
      <c r="Z1559" s="48">
        <v>0.79166666666666663</v>
      </c>
      <c r="AA1559" s="48">
        <v>0.79166666666666663</v>
      </c>
      <c r="AB1559" s="48">
        <v>0.79166666666666663</v>
      </c>
      <c r="AC1559" s="48">
        <v>0.79166666666666663</v>
      </c>
      <c r="AD1559" s="48">
        <v>0.79166666666666663</v>
      </c>
      <c r="AE1559" s="48">
        <v>0.79166666666666663</v>
      </c>
      <c r="AF1559" s="48">
        <v>0.79166666666666663</v>
      </c>
      <c r="AG1559" s="48">
        <v>0.79166666666666663</v>
      </c>
      <c r="AH1559" s="48">
        <v>0.79166666666666663</v>
      </c>
      <c r="AI1559" s="48">
        <v>0.79166666666666663</v>
      </c>
      <c r="AM1559">
        <v>30</v>
      </c>
      <c r="AO1559" cm="1">
        <f t="array" ref="AO1559">SUM(IFERROR(MOD((H1559:AL1559-H1558:AL1558)*24,11),""))</f>
        <v>0</v>
      </c>
    </row>
    <row r="1560" spans="1:45" hidden="1" x14ac:dyDescent="0.25">
      <c r="A1560">
        <v>1559</v>
      </c>
      <c r="B1560">
        <v>2026</v>
      </c>
      <c r="C1560">
        <v>2</v>
      </c>
      <c r="D1560" t="s">
        <v>757</v>
      </c>
      <c r="E1560">
        <v>31</v>
      </c>
      <c r="F1560">
        <v>13</v>
      </c>
      <c r="G1560" t="s">
        <v>430</v>
      </c>
      <c r="H1560" s="48" t="s">
        <v>375</v>
      </c>
      <c r="I1560" s="48" t="s">
        <v>375</v>
      </c>
      <c r="J1560" s="48" t="s">
        <v>375</v>
      </c>
      <c r="K1560" s="48" t="s">
        <v>375</v>
      </c>
      <c r="L1560" s="48" t="s">
        <v>375</v>
      </c>
      <c r="M1560" s="48" t="s">
        <v>375</v>
      </c>
      <c r="N1560" s="48" t="s">
        <v>375</v>
      </c>
      <c r="O1560" s="48" t="s">
        <v>375</v>
      </c>
      <c r="P1560" s="48" t="s">
        <v>375</v>
      </c>
      <c r="Q1560" s="48" t="s">
        <v>375</v>
      </c>
      <c r="R1560" s="48" t="s">
        <v>375</v>
      </c>
      <c r="S1560" s="48" t="s">
        <v>375</v>
      </c>
      <c r="T1560" s="48" t="s">
        <v>375</v>
      </c>
      <c r="U1560" s="48" t="s">
        <v>375</v>
      </c>
      <c r="V1560" s="48" t="s">
        <v>375</v>
      </c>
      <c r="W1560" s="48" t="s">
        <v>375</v>
      </c>
      <c r="X1560" s="48" t="s">
        <v>375</v>
      </c>
      <c r="Y1560" s="48" t="s">
        <v>375</v>
      </c>
      <c r="Z1560" s="48" t="s">
        <v>375</v>
      </c>
      <c r="AA1560" s="48" t="s">
        <v>375</v>
      </c>
      <c r="AB1560" s="48" t="s">
        <v>375</v>
      </c>
      <c r="AC1560" s="48" t="s">
        <v>375</v>
      </c>
      <c r="AD1560" s="48" t="s">
        <v>375</v>
      </c>
      <c r="AE1560" s="48" t="s">
        <v>375</v>
      </c>
      <c r="AF1560" s="48" t="s">
        <v>375</v>
      </c>
      <c r="AG1560" s="48" t="s">
        <v>375</v>
      </c>
      <c r="AH1560" s="48" t="s">
        <v>375</v>
      </c>
      <c r="AI1560" s="48" t="s">
        <v>375</v>
      </c>
    </row>
    <row r="1561" spans="1:45" hidden="1" x14ac:dyDescent="0.25">
      <c r="A1561">
        <v>1560</v>
      </c>
      <c r="B1561">
        <v>2026</v>
      </c>
      <c r="C1561">
        <v>2</v>
      </c>
      <c r="D1561" t="s">
        <v>757</v>
      </c>
      <c r="E1561">
        <v>31</v>
      </c>
      <c r="F1561">
        <v>13</v>
      </c>
      <c r="G1561" t="s">
        <v>431</v>
      </c>
      <c r="H1561" s="48">
        <v>0.75</v>
      </c>
      <c r="I1561" s="48">
        <v>0.75</v>
      </c>
      <c r="J1561" s="48">
        <v>0.75</v>
      </c>
      <c r="K1561" s="48">
        <v>0.75</v>
      </c>
      <c r="L1561" s="48">
        <v>0.79166666666666674</v>
      </c>
      <c r="M1561" s="48">
        <v>0.75</v>
      </c>
      <c r="N1561" s="48">
        <v>0.83333333333333326</v>
      </c>
      <c r="O1561" s="48">
        <v>0.75</v>
      </c>
      <c r="P1561" s="48">
        <v>0.75</v>
      </c>
      <c r="Q1561" s="48">
        <v>0.75</v>
      </c>
      <c r="R1561" s="48">
        <v>0.75</v>
      </c>
      <c r="S1561" s="48">
        <v>0.83333333333333326</v>
      </c>
      <c r="T1561" s="48">
        <v>0.75</v>
      </c>
      <c r="U1561" s="48">
        <v>0.83333333333333326</v>
      </c>
      <c r="V1561" s="48">
        <v>0.75</v>
      </c>
      <c r="W1561" s="48">
        <v>0.75</v>
      </c>
      <c r="X1561" s="48">
        <v>0.83333333333333326</v>
      </c>
      <c r="Y1561" s="48">
        <v>0.79166666666666674</v>
      </c>
      <c r="Z1561" s="48">
        <v>0.83333333333333326</v>
      </c>
      <c r="AA1561" s="48">
        <v>0.75</v>
      </c>
      <c r="AB1561" s="48">
        <v>0.95833333333333326</v>
      </c>
      <c r="AC1561" s="48">
        <v>0.75</v>
      </c>
      <c r="AD1561" s="48">
        <v>0.79166666666666674</v>
      </c>
      <c r="AE1561" s="48">
        <v>0.75</v>
      </c>
      <c r="AF1561" s="48">
        <v>0.79166666666666674</v>
      </c>
      <c r="AG1561" s="48">
        <v>0.79166666666666674</v>
      </c>
      <c r="AH1561" s="48">
        <v>0.75</v>
      </c>
      <c r="AI1561" s="48">
        <v>0.75</v>
      </c>
      <c r="AM1561">
        <v>30</v>
      </c>
      <c r="AO1561" cm="1">
        <f t="array" ref="AO1561">SUM(IFERROR(MOD((H1561:AL1561-H1560:AL1560)*24,11),""))</f>
        <v>19.999999999999979</v>
      </c>
      <c r="AS1561" t="str" cm="1">
        <f t="array" ref="AS1561">IF(AQ1561="","",SUM(IFERROR(H1561:AL1561-H1560:AL1560,0)))</f>
        <v/>
      </c>
    </row>
    <row r="1562" spans="1:45" hidden="1" x14ac:dyDescent="0.25">
      <c r="A1562">
        <v>1561</v>
      </c>
      <c r="B1562">
        <v>2026</v>
      </c>
      <c r="C1562">
        <v>2</v>
      </c>
      <c r="D1562" t="s">
        <v>758</v>
      </c>
      <c r="E1562">
        <v>31</v>
      </c>
      <c r="F1562">
        <v>13</v>
      </c>
      <c r="G1562" t="s">
        <v>430</v>
      </c>
      <c r="H1562" s="48">
        <v>0.29166666666666669</v>
      </c>
      <c r="I1562" s="48">
        <v>0.29166666666666669</v>
      </c>
      <c r="J1562" s="48">
        <v>0.29166666666666669</v>
      </c>
      <c r="K1562" s="48">
        <v>0.29166666666666669</v>
      </c>
      <c r="L1562" s="48">
        <v>0.29166666666666669</v>
      </c>
      <c r="M1562" s="48">
        <v>0.29166666666666669</v>
      </c>
      <c r="N1562" s="48">
        <v>0.29166666666666669</v>
      </c>
      <c r="O1562" s="48">
        <v>0.29166666666666669</v>
      </c>
      <c r="P1562" s="48">
        <v>0.29166666666666669</v>
      </c>
      <c r="Q1562" s="48">
        <v>0.29166666666666669</v>
      </c>
      <c r="R1562" s="48">
        <v>0.29166666666666669</v>
      </c>
      <c r="S1562" s="48">
        <v>0.29166666666666669</v>
      </c>
      <c r="T1562" s="48">
        <v>0.29166666666666669</v>
      </c>
      <c r="U1562" s="48">
        <v>0.29166666666666669</v>
      </c>
      <c r="V1562" s="48">
        <v>0.29166666666666669</v>
      </c>
      <c r="W1562" s="48">
        <v>0.29166666666666669</v>
      </c>
      <c r="X1562" s="48">
        <v>0.29166666666666669</v>
      </c>
      <c r="Y1562" s="48">
        <v>0.29166666666666669</v>
      </c>
      <c r="Z1562" s="48">
        <v>0.29166666666666669</v>
      </c>
      <c r="AA1562" s="48">
        <v>0.29166666666666669</v>
      </c>
      <c r="AB1562" s="48">
        <v>0.29166666666666669</v>
      </c>
      <c r="AC1562" s="48">
        <v>0.29166666666666669</v>
      </c>
      <c r="AD1562" s="48">
        <v>0.29166666666666669</v>
      </c>
      <c r="AE1562" s="48">
        <v>0.29166666666666669</v>
      </c>
      <c r="AF1562" s="48">
        <v>0.29166666666666669</v>
      </c>
      <c r="AG1562" s="48">
        <v>0.29166666666666669</v>
      </c>
      <c r="AH1562" s="48">
        <v>0.29166666666666669</v>
      </c>
      <c r="AI1562" s="48">
        <v>0.29166666666666669</v>
      </c>
    </row>
    <row r="1563" spans="1:45" hidden="1" x14ac:dyDescent="0.25">
      <c r="A1563">
        <v>1562</v>
      </c>
      <c r="B1563">
        <v>2026</v>
      </c>
      <c r="C1563">
        <v>2</v>
      </c>
      <c r="D1563" t="s">
        <v>758</v>
      </c>
      <c r="E1563">
        <v>31</v>
      </c>
      <c r="F1563">
        <v>13</v>
      </c>
      <c r="G1563" t="s">
        <v>431</v>
      </c>
      <c r="H1563" s="48">
        <v>0.75</v>
      </c>
      <c r="I1563" s="48">
        <v>0.75</v>
      </c>
      <c r="J1563" s="48">
        <v>0.75</v>
      </c>
      <c r="K1563" s="48">
        <v>0.75</v>
      </c>
      <c r="L1563" s="48">
        <v>0.75</v>
      </c>
      <c r="M1563" s="48">
        <v>0.75</v>
      </c>
      <c r="N1563" s="48">
        <v>0.75</v>
      </c>
      <c r="O1563" s="48">
        <v>0.75</v>
      </c>
      <c r="P1563" s="48">
        <v>0.75</v>
      </c>
      <c r="Q1563" s="48">
        <v>0.75</v>
      </c>
      <c r="R1563" s="48">
        <v>0.75</v>
      </c>
      <c r="S1563" s="48">
        <v>0.75</v>
      </c>
      <c r="T1563" s="48">
        <v>0.75</v>
      </c>
      <c r="U1563" s="48">
        <v>0.75</v>
      </c>
      <c r="V1563" s="48">
        <v>0.75</v>
      </c>
      <c r="W1563" s="48">
        <v>0.75</v>
      </c>
      <c r="X1563" s="48">
        <v>0.75</v>
      </c>
      <c r="Y1563" s="48">
        <v>0.75</v>
      </c>
      <c r="Z1563" s="48">
        <v>0.75</v>
      </c>
      <c r="AA1563" s="48">
        <v>0.75</v>
      </c>
      <c r="AB1563" s="48">
        <v>0.75</v>
      </c>
      <c r="AC1563" s="48">
        <v>0.75</v>
      </c>
      <c r="AD1563" s="48">
        <v>0.75</v>
      </c>
      <c r="AE1563" s="48">
        <v>0.75</v>
      </c>
      <c r="AF1563" s="48">
        <v>0.75</v>
      </c>
      <c r="AG1563" s="48">
        <v>0.75</v>
      </c>
      <c r="AH1563" s="48">
        <v>0.75</v>
      </c>
      <c r="AI1563" s="48">
        <v>0.75</v>
      </c>
      <c r="AM1563">
        <v>30</v>
      </c>
    </row>
    <row r="1564" spans="1:45" x14ac:dyDescent="0.25">
      <c r="A1564">
        <v>1563</v>
      </c>
      <c r="B1564">
        <v>2026</v>
      </c>
      <c r="C1564">
        <v>2</v>
      </c>
      <c r="D1564" t="s">
        <v>786</v>
      </c>
      <c r="E1564">
        <v>31</v>
      </c>
      <c r="F1564">
        <v>13</v>
      </c>
      <c r="G1564" t="s">
        <v>430</v>
      </c>
      <c r="H1564" s="48">
        <v>0.33333333333333331</v>
      </c>
      <c r="I1564" s="48">
        <v>0.33333333333333331</v>
      </c>
      <c r="J1564" s="48">
        <v>0.33333333333333331</v>
      </c>
      <c r="K1564" s="48">
        <v>0.33333333333333331</v>
      </c>
      <c r="L1564" s="48">
        <v>0.33333333333333331</v>
      </c>
      <c r="M1564" s="48">
        <v>0.33333333333333331</v>
      </c>
      <c r="N1564" s="48">
        <v>0.33333333333333331</v>
      </c>
      <c r="O1564" s="48">
        <v>0.33333333333333331</v>
      </c>
      <c r="P1564" s="48">
        <v>0.33333333333333331</v>
      </c>
      <c r="Q1564" s="48">
        <v>0.33333333333333331</v>
      </c>
      <c r="R1564" s="48">
        <v>0.33333333333333331</v>
      </c>
      <c r="S1564" s="48">
        <v>0.33333333333333331</v>
      </c>
      <c r="T1564" s="48">
        <v>0.33333333333333331</v>
      </c>
      <c r="U1564" s="48">
        <v>0.33333333333333331</v>
      </c>
      <c r="W1564" s="48">
        <v>0.33333333333333331</v>
      </c>
      <c r="X1564" s="48">
        <v>0.33333333333333331</v>
      </c>
      <c r="Y1564" s="48">
        <v>0.33333333333333331</v>
      </c>
      <c r="Z1564" s="48">
        <v>0.33333333333333331</v>
      </c>
      <c r="AA1564" s="48">
        <v>0.33333333333333331</v>
      </c>
      <c r="AB1564" s="48">
        <v>0.33333333333333331</v>
      </c>
      <c r="AC1564" s="48">
        <v>0.33333333333333331</v>
      </c>
      <c r="AD1564" s="48">
        <v>0.33333333333333331</v>
      </c>
      <c r="AE1564" s="48">
        <v>0.33333333333333331</v>
      </c>
      <c r="AF1564" s="48">
        <v>0.33333333333333331</v>
      </c>
      <c r="AG1564" s="48">
        <v>0.33333333333333331</v>
      </c>
      <c r="AH1564" s="48">
        <v>0.33333333333333331</v>
      </c>
      <c r="AI1564" s="48">
        <v>0.33333333333333331</v>
      </c>
      <c r="AJ1564" s="117"/>
      <c r="AK1564" s="117"/>
      <c r="AL1564" s="117"/>
    </row>
    <row r="1565" spans="1:45" x14ac:dyDescent="0.25">
      <c r="A1565">
        <v>1564</v>
      </c>
      <c r="B1565">
        <v>2026</v>
      </c>
      <c r="C1565">
        <v>2</v>
      </c>
      <c r="D1565" t="s">
        <v>786</v>
      </c>
      <c r="E1565">
        <v>31</v>
      </c>
      <c r="F1565">
        <v>13</v>
      </c>
      <c r="G1565" t="s">
        <v>431</v>
      </c>
      <c r="H1565" s="48">
        <v>0.75</v>
      </c>
      <c r="I1565" s="48">
        <v>0.875</v>
      </c>
      <c r="J1565" s="48">
        <v>0.75</v>
      </c>
      <c r="K1565" s="48">
        <v>0.75</v>
      </c>
      <c r="L1565" s="48">
        <v>0.75</v>
      </c>
      <c r="M1565" s="48">
        <v>0.75</v>
      </c>
      <c r="N1565" s="48">
        <v>0.75</v>
      </c>
      <c r="O1565" s="48">
        <v>0.75</v>
      </c>
      <c r="P1565" s="48">
        <v>0.75</v>
      </c>
      <c r="Q1565" s="48">
        <v>0.75</v>
      </c>
      <c r="R1565" s="48">
        <v>0.75</v>
      </c>
      <c r="S1565" s="48">
        <v>0.75</v>
      </c>
      <c r="T1565" s="48">
        <v>0.75</v>
      </c>
      <c r="U1565" s="48">
        <v>0.75</v>
      </c>
      <c r="W1565" s="48">
        <v>0.75</v>
      </c>
      <c r="X1565" s="48">
        <v>0.75</v>
      </c>
      <c r="Y1565" s="48">
        <v>0.75</v>
      </c>
      <c r="Z1565" s="48">
        <v>0.75</v>
      </c>
      <c r="AA1565" s="48">
        <v>0.75</v>
      </c>
      <c r="AB1565" s="48">
        <v>0.75</v>
      </c>
      <c r="AC1565" s="48">
        <v>0.75</v>
      </c>
      <c r="AD1565" s="48">
        <v>0.75</v>
      </c>
      <c r="AE1565" s="48">
        <v>0.75</v>
      </c>
      <c r="AF1565" s="48">
        <v>0.75</v>
      </c>
      <c r="AG1565" s="48">
        <v>0.75</v>
      </c>
      <c r="AH1565" s="48">
        <v>0.75</v>
      </c>
      <c r="AI1565" s="48">
        <v>0.75</v>
      </c>
      <c r="AM1565">
        <v>29</v>
      </c>
      <c r="AO1565" cm="1">
        <f t="array" ref="AO1565">SUM(IFERROR(MOD((H1565:AL1565-H1564:AL1564)*24,10),""))</f>
        <v>3.0000000000000018</v>
      </c>
    </row>
    <row r="1566" spans="1:45" hidden="1" x14ac:dyDescent="0.25">
      <c r="A1566">
        <v>1565</v>
      </c>
      <c r="B1566">
        <v>2026</v>
      </c>
      <c r="C1566">
        <v>2</v>
      </c>
      <c r="D1566" t="s">
        <v>795</v>
      </c>
      <c r="E1566">
        <v>173</v>
      </c>
      <c r="F1566">
        <v>1</v>
      </c>
      <c r="G1566" t="s">
        <v>430</v>
      </c>
      <c r="H1566" s="134">
        <v>0.33333333333333331</v>
      </c>
      <c r="I1566" s="134">
        <v>0.33333333333333331</v>
      </c>
      <c r="J1566" s="134">
        <v>0.33333333333333331</v>
      </c>
      <c r="K1566" s="134">
        <v>0.33333333333333331</v>
      </c>
      <c r="L1566" s="134">
        <v>0.33333333333333331</v>
      </c>
      <c r="M1566" s="134">
        <v>0.33333333333333331</v>
      </c>
      <c r="N1566" s="134">
        <v>0.33333333333333331</v>
      </c>
      <c r="O1566" s="134">
        <v>0.33333333333333331</v>
      </c>
      <c r="P1566" s="134">
        <v>0.33333333333333331</v>
      </c>
      <c r="Q1566" s="134">
        <v>0.33333333333333331</v>
      </c>
      <c r="R1566" s="134">
        <v>0.33333333333333331</v>
      </c>
      <c r="S1566" s="134">
        <v>0.33333333333333331</v>
      </c>
      <c r="T1566" s="134">
        <v>0.33333333333333331</v>
      </c>
      <c r="U1566" s="134">
        <v>0.33333333333333331</v>
      </c>
      <c r="V1566" s="134"/>
      <c r="W1566" s="134">
        <v>0.33333333333333331</v>
      </c>
      <c r="X1566" s="134">
        <v>0.33333333333333331</v>
      </c>
      <c r="Y1566" s="134">
        <v>0.33333333333333331</v>
      </c>
      <c r="Z1566" s="134">
        <v>0.33333333333333331</v>
      </c>
      <c r="AA1566" s="134">
        <v>0.33333333333333331</v>
      </c>
      <c r="AB1566" s="134">
        <v>0.33333333333333331</v>
      </c>
      <c r="AC1566" s="134">
        <v>0.33333333333333331</v>
      </c>
      <c r="AD1566" s="134">
        <v>0.33333333333333331</v>
      </c>
      <c r="AE1566" s="134">
        <v>0.33333333333333331</v>
      </c>
      <c r="AF1566" s="134">
        <v>0.33333333333333331</v>
      </c>
      <c r="AG1566" s="134">
        <v>0.33333333333333331</v>
      </c>
      <c r="AH1566" s="134">
        <v>0.33333333333333331</v>
      </c>
      <c r="AI1566" s="134">
        <v>0.33333333333333331</v>
      </c>
      <c r="AJ1566" s="134"/>
      <c r="AK1566" s="134"/>
      <c r="AL1566" s="134"/>
    </row>
    <row r="1567" spans="1:45" hidden="1" x14ac:dyDescent="0.25">
      <c r="A1567">
        <v>1566</v>
      </c>
      <c r="B1567">
        <v>2026</v>
      </c>
      <c r="C1567">
        <v>2</v>
      </c>
      <c r="D1567" t="s">
        <v>795</v>
      </c>
      <c r="E1567">
        <v>173</v>
      </c>
      <c r="F1567">
        <v>1</v>
      </c>
      <c r="G1567" t="s">
        <v>431</v>
      </c>
      <c r="H1567" s="48">
        <v>0.75</v>
      </c>
      <c r="I1567" s="48">
        <v>0.75</v>
      </c>
      <c r="J1567" s="48">
        <v>0.75</v>
      </c>
      <c r="K1567" s="48">
        <v>0.75</v>
      </c>
      <c r="L1567" s="48">
        <v>0.75</v>
      </c>
      <c r="M1567" s="48">
        <v>0.75</v>
      </c>
      <c r="N1567" s="48">
        <v>0.75</v>
      </c>
      <c r="O1567" s="48">
        <v>0.75</v>
      </c>
      <c r="P1567" s="48">
        <v>0.75</v>
      </c>
      <c r="Q1567" s="48">
        <v>0.75</v>
      </c>
      <c r="R1567" s="48">
        <v>0.75</v>
      </c>
      <c r="S1567" s="48">
        <v>0.75</v>
      </c>
      <c r="T1567" s="48">
        <v>0.75</v>
      </c>
      <c r="U1567" s="48">
        <v>0.75</v>
      </c>
      <c r="W1567" s="48">
        <v>0.75</v>
      </c>
      <c r="X1567" s="48">
        <v>0.75</v>
      </c>
      <c r="Y1567" s="48">
        <v>0.75</v>
      </c>
      <c r="Z1567" s="48">
        <v>0.75</v>
      </c>
      <c r="AA1567" s="48">
        <v>0.75</v>
      </c>
      <c r="AB1567" s="48">
        <v>0.75</v>
      </c>
      <c r="AC1567" s="48">
        <v>0.75</v>
      </c>
      <c r="AD1567" s="48">
        <v>0.75</v>
      </c>
      <c r="AE1567" s="48">
        <v>0.75</v>
      </c>
      <c r="AF1567" s="48">
        <v>0.75</v>
      </c>
      <c r="AG1567" s="48">
        <v>0.75</v>
      </c>
      <c r="AH1567" s="48">
        <v>0.75</v>
      </c>
      <c r="AI1567" s="48">
        <v>0.75</v>
      </c>
      <c r="AM1567">
        <v>29</v>
      </c>
    </row>
    <row r="1568" spans="1:45" hidden="1" x14ac:dyDescent="0.25">
      <c r="A1568">
        <v>1567</v>
      </c>
      <c r="B1568">
        <v>2026</v>
      </c>
      <c r="C1568">
        <v>2</v>
      </c>
      <c r="D1568" t="s">
        <v>798</v>
      </c>
      <c r="E1568">
        <v>182</v>
      </c>
      <c r="F1568">
        <v>1</v>
      </c>
      <c r="G1568" t="s">
        <v>430</v>
      </c>
      <c r="H1568" s="134"/>
      <c r="I1568" s="134"/>
      <c r="J1568" s="134"/>
      <c r="K1568" s="134"/>
      <c r="L1568" s="134"/>
      <c r="M1568" s="134"/>
      <c r="N1568" s="134"/>
      <c r="O1568" s="134"/>
      <c r="P1568" s="134"/>
      <c r="Q1568" s="134"/>
      <c r="R1568" s="134"/>
      <c r="S1568" s="134"/>
      <c r="T1568" s="134"/>
      <c r="U1568" s="134"/>
      <c r="V1568" s="134"/>
      <c r="W1568" s="134"/>
      <c r="X1568" s="134"/>
      <c r="Y1568" s="134"/>
      <c r="Z1568" s="134"/>
      <c r="AA1568" s="134"/>
      <c r="AB1568" s="134"/>
      <c r="AC1568" s="134">
        <v>0.33333333333333331</v>
      </c>
      <c r="AD1568" s="134">
        <v>0.33333333333333331</v>
      </c>
      <c r="AE1568" s="134">
        <v>0.33333333333333331</v>
      </c>
      <c r="AF1568" s="134">
        <v>0.33333333333333331</v>
      </c>
      <c r="AG1568" s="134">
        <v>0.33333333333333331</v>
      </c>
      <c r="AH1568" s="134">
        <v>0.33333333333333331</v>
      </c>
      <c r="AI1568" s="134">
        <v>0.33333333333333331</v>
      </c>
      <c r="AJ1568" s="133"/>
      <c r="AK1568" s="133"/>
      <c r="AL1568" s="133"/>
    </row>
    <row r="1569" spans="1:45" hidden="1" x14ac:dyDescent="0.25">
      <c r="A1569">
        <v>1568</v>
      </c>
      <c r="B1569">
        <v>2026</v>
      </c>
      <c r="C1569">
        <v>2</v>
      </c>
      <c r="D1569" t="s">
        <v>798</v>
      </c>
      <c r="E1569">
        <v>182</v>
      </c>
      <c r="F1569">
        <v>1</v>
      </c>
      <c r="G1569" t="s">
        <v>431</v>
      </c>
      <c r="AC1569" s="48">
        <v>0.75</v>
      </c>
      <c r="AD1569" s="48">
        <v>0.75</v>
      </c>
      <c r="AE1569" s="48">
        <v>0.75</v>
      </c>
      <c r="AF1569" s="48">
        <v>0.75</v>
      </c>
      <c r="AG1569" s="48">
        <v>0.75</v>
      </c>
      <c r="AH1569" s="48">
        <v>0.75</v>
      </c>
      <c r="AI1569" s="48">
        <v>0.75</v>
      </c>
      <c r="AJ1569" s="133"/>
      <c r="AK1569" s="133"/>
      <c r="AL1569" s="133"/>
      <c r="AM1569" cm="1">
        <f t="array" ref="AM1569">SUM(_xlfn.LET(_xlpm.r,((IFERROR(H1569:AL1569-H1568:AL1568,0))*24)/10,IF(_xlpm.r&gt;1,1,_xlpm.r)))</f>
        <v>7</v>
      </c>
      <c r="AO1569" cm="1">
        <f t="array" ref="AO1569">SUM(IFERROR(MOD((H1569:AL1569-H1568:AL1568)*24,10),""))</f>
        <v>0</v>
      </c>
    </row>
    <row r="1570" spans="1:45" hidden="1" x14ac:dyDescent="0.25">
      <c r="A1570">
        <v>1569</v>
      </c>
      <c r="B1570">
        <v>2026</v>
      </c>
      <c r="C1570">
        <v>2</v>
      </c>
      <c r="D1570" t="s">
        <v>799</v>
      </c>
      <c r="E1570">
        <v>182</v>
      </c>
      <c r="F1570">
        <v>1</v>
      </c>
      <c r="G1570" t="s">
        <v>430</v>
      </c>
      <c r="H1570" s="134"/>
      <c r="I1570" s="134"/>
      <c r="J1570" s="134"/>
      <c r="K1570" s="134"/>
      <c r="L1570" s="134"/>
      <c r="M1570" s="134"/>
      <c r="N1570" s="134"/>
      <c r="O1570" s="134"/>
      <c r="P1570" s="134"/>
      <c r="Q1570" s="134"/>
      <c r="R1570" s="134"/>
      <c r="S1570" s="134"/>
      <c r="T1570" s="134"/>
      <c r="U1570" s="134"/>
      <c r="V1570" s="134"/>
      <c r="W1570" s="134"/>
      <c r="X1570" s="134"/>
      <c r="Y1570" s="134"/>
      <c r="Z1570" s="134"/>
      <c r="AA1570" s="134"/>
      <c r="AB1570" s="134"/>
      <c r="AC1570" s="134"/>
      <c r="AD1570" s="134"/>
      <c r="AE1570" s="134"/>
      <c r="AF1570" s="134">
        <v>0.33333333333333331</v>
      </c>
      <c r="AG1570" s="134">
        <v>0.33333333333333331</v>
      </c>
      <c r="AH1570" s="134">
        <v>0.33333333333333331</v>
      </c>
      <c r="AI1570" s="134">
        <v>0.33333333333333331</v>
      </c>
      <c r="AJ1570" s="133"/>
      <c r="AK1570" s="133"/>
      <c r="AL1570" s="133"/>
    </row>
    <row r="1571" spans="1:45" hidden="1" x14ac:dyDescent="0.25">
      <c r="A1571">
        <v>1570</v>
      </c>
      <c r="B1571">
        <v>2026</v>
      </c>
      <c r="C1571">
        <v>2</v>
      </c>
      <c r="D1571" t="s">
        <v>799</v>
      </c>
      <c r="E1571">
        <v>182</v>
      </c>
      <c r="F1571">
        <v>1</v>
      </c>
      <c r="G1571" t="s">
        <v>431</v>
      </c>
      <c r="AF1571" s="48">
        <v>0.75</v>
      </c>
      <c r="AG1571" s="48">
        <v>0.75</v>
      </c>
      <c r="AH1571" s="48">
        <v>0.75</v>
      </c>
      <c r="AI1571" s="48">
        <v>0.75</v>
      </c>
      <c r="AJ1571" s="133"/>
      <c r="AK1571" s="133"/>
      <c r="AL1571" s="133"/>
      <c r="AM1571" cm="1">
        <f t="array" ref="AM1571">SUM(_xlfn.LET(_xlpm.r,((IFERROR(H1571:AL1571-H1570:AL1570,0))*24)/10,IF(_xlpm.r&gt;1,1,_xlpm.r)))</f>
        <v>4</v>
      </c>
      <c r="AO1571" cm="1">
        <f t="array" ref="AO1571">SUM(IFERROR(MOD((H1571:AL1571-H1570:AL1570)*24,10),""))</f>
        <v>0</v>
      </c>
    </row>
    <row r="1572" spans="1:45" hidden="1" x14ac:dyDescent="0.25">
      <c r="A1572">
        <v>1571</v>
      </c>
      <c r="B1572">
        <v>2026</v>
      </c>
      <c r="C1572">
        <v>2</v>
      </c>
      <c r="D1572" t="s">
        <v>151</v>
      </c>
      <c r="E1572">
        <v>31</v>
      </c>
      <c r="F1572">
        <v>13</v>
      </c>
      <c r="G1572" t="s">
        <v>432</v>
      </c>
      <c r="H1572" s="48">
        <v>289711</v>
      </c>
      <c r="I1572" s="48">
        <v>289802</v>
      </c>
      <c r="J1572" s="48">
        <v>289890</v>
      </c>
      <c r="K1572" s="48">
        <v>289998</v>
      </c>
      <c r="L1572" s="48">
        <v>290117</v>
      </c>
      <c r="M1572" s="48">
        <v>290221</v>
      </c>
      <c r="N1572" s="48">
        <v>290284</v>
      </c>
      <c r="O1572" s="48">
        <v>290321</v>
      </c>
      <c r="P1572" s="48">
        <v>290411</v>
      </c>
      <c r="Q1572" s="48">
        <v>290480</v>
      </c>
      <c r="R1572" s="48">
        <v>290581</v>
      </c>
      <c r="S1572" s="48">
        <v>290685</v>
      </c>
      <c r="T1572" s="48">
        <v>290781</v>
      </c>
      <c r="U1572" s="48">
        <v>290853</v>
      </c>
      <c r="V1572" s="48">
        <v>290915</v>
      </c>
      <c r="W1572" s="48">
        <v>290982</v>
      </c>
      <c r="X1572" s="48">
        <v>291095</v>
      </c>
      <c r="Y1572" s="48">
        <v>291193</v>
      </c>
      <c r="Z1572" s="48">
        <v>291297</v>
      </c>
      <c r="AA1572" s="48">
        <v>291387</v>
      </c>
      <c r="AB1572" s="48">
        <v>291485</v>
      </c>
      <c r="AC1572" s="48">
        <v>291587</v>
      </c>
      <c r="AD1572" s="48">
        <v>291685</v>
      </c>
      <c r="AE1572" s="48">
        <v>291911</v>
      </c>
      <c r="AF1572" s="48">
        <v>292114</v>
      </c>
      <c r="AG1572" s="48">
        <v>257989</v>
      </c>
      <c r="AH1572" s="48">
        <v>258141</v>
      </c>
      <c r="AI1572" s="48">
        <v>258221</v>
      </c>
    </row>
    <row r="1573" spans="1:45" hidden="1" x14ac:dyDescent="0.25">
      <c r="A1573">
        <v>1572</v>
      </c>
      <c r="B1573">
        <v>2026</v>
      </c>
      <c r="C1573">
        <v>2</v>
      </c>
      <c r="D1573" t="s">
        <v>151</v>
      </c>
      <c r="E1573">
        <v>31</v>
      </c>
      <c r="F1573">
        <v>13</v>
      </c>
      <c r="G1573" t="s">
        <v>433</v>
      </c>
      <c r="H1573" s="48">
        <v>289762</v>
      </c>
      <c r="I1573" s="48">
        <v>289845</v>
      </c>
      <c r="J1573" s="48">
        <v>289951</v>
      </c>
      <c r="K1573" s="48">
        <v>290065</v>
      </c>
      <c r="L1573" s="48">
        <v>290187</v>
      </c>
      <c r="M1573" s="48">
        <v>290253</v>
      </c>
      <c r="N1573" s="48">
        <v>290294</v>
      </c>
      <c r="O1573" s="48">
        <v>290367</v>
      </c>
      <c r="P1573" s="48">
        <v>290445</v>
      </c>
      <c r="Q1573" s="48">
        <v>290532</v>
      </c>
      <c r="R1573" s="48">
        <v>290632</v>
      </c>
      <c r="S1573" s="48">
        <v>290742</v>
      </c>
      <c r="T1573" s="48">
        <v>290821</v>
      </c>
      <c r="U1573" s="48">
        <v>290898</v>
      </c>
      <c r="V1573" s="48">
        <v>290947</v>
      </c>
      <c r="W1573" s="48">
        <v>291042</v>
      </c>
      <c r="X1573" s="48">
        <v>291162</v>
      </c>
      <c r="Y1573" s="48">
        <v>291262</v>
      </c>
      <c r="Z1573" s="48">
        <v>291342</v>
      </c>
      <c r="AA1573" s="48">
        <v>291441</v>
      </c>
      <c r="AB1573" s="48">
        <v>291537</v>
      </c>
      <c r="AC1573" s="48">
        <v>291632</v>
      </c>
      <c r="AD1573" s="48">
        <v>291842</v>
      </c>
      <c r="AE1573" s="48">
        <v>292021</v>
      </c>
      <c r="AF1573" s="48">
        <v>292204</v>
      </c>
      <c r="AG1573" s="48">
        <v>258042</v>
      </c>
      <c r="AH1573" s="48">
        <v>258192</v>
      </c>
      <c r="AI1573" s="48">
        <v>258264</v>
      </c>
      <c r="AP1573" cm="1">
        <f t="array" ref="AP1573">IF(AQ1573="","",SUM(IFERROR(H1573:AL1573-H1572:AL1572,0))*AQ1573/100)</f>
        <v>238.05</v>
      </c>
      <c r="AQ1573">
        <f>_xlfn.XLOOKUP(D1573,log_prices!M:M,log_prices!L:L,,0)</f>
        <v>15</v>
      </c>
      <c r="AS1573" cm="1">
        <f t="array" ref="AS1573">IF(AQ1573="","",SUM(IFERROR(H1573:AL1573-H1572:AL1572,0)))</f>
        <v>1587</v>
      </c>
    </row>
    <row r="1574" spans="1:45" hidden="1" x14ac:dyDescent="0.25">
      <c r="A1574">
        <v>1573</v>
      </c>
      <c r="B1574">
        <v>2026</v>
      </c>
      <c r="C1574">
        <v>2</v>
      </c>
      <c r="D1574" t="s">
        <v>151</v>
      </c>
      <c r="E1574">
        <v>31</v>
      </c>
      <c r="F1574">
        <v>13</v>
      </c>
      <c r="G1574" t="s">
        <v>439</v>
      </c>
      <c r="H1574" s="48">
        <v>289762</v>
      </c>
      <c r="I1574" s="48">
        <v>289845</v>
      </c>
      <c r="J1574" s="48">
        <v>289951</v>
      </c>
      <c r="K1574" s="48">
        <v>290065</v>
      </c>
      <c r="L1574" s="48">
        <v>290187</v>
      </c>
      <c r="M1574" s="48">
        <v>290253</v>
      </c>
      <c r="N1574" s="48">
        <v>290294</v>
      </c>
      <c r="O1574" s="48">
        <v>290367</v>
      </c>
      <c r="P1574" s="48">
        <v>290445</v>
      </c>
      <c r="Q1574" s="48">
        <v>290532</v>
      </c>
      <c r="R1574" s="48">
        <v>290632</v>
      </c>
      <c r="S1574" s="48">
        <v>290742</v>
      </c>
      <c r="T1574" s="48">
        <v>290821</v>
      </c>
      <c r="U1574" s="48">
        <v>290898</v>
      </c>
      <c r="V1574" s="48">
        <v>290947</v>
      </c>
      <c r="W1574" s="48">
        <v>291047</v>
      </c>
      <c r="X1574" s="48">
        <v>291162</v>
      </c>
      <c r="Y1574" s="48">
        <v>291262</v>
      </c>
      <c r="Z1574" s="48">
        <v>291342</v>
      </c>
      <c r="AA1574" s="48">
        <v>291441</v>
      </c>
      <c r="AB1574" s="48">
        <v>291532</v>
      </c>
      <c r="AC1574" s="48">
        <v>291632</v>
      </c>
      <c r="AD1574" s="48">
        <v>291842</v>
      </c>
      <c r="AE1574" s="48">
        <v>292022</v>
      </c>
      <c r="AF1574" s="48">
        <v>292204</v>
      </c>
      <c r="AG1574" s="48">
        <v>258042</v>
      </c>
      <c r="AH1574" s="48">
        <v>258192</v>
      </c>
      <c r="AI1574" s="48">
        <v>258264</v>
      </c>
    </row>
    <row r="1575" spans="1:45" hidden="1" x14ac:dyDescent="0.25">
      <c r="A1575">
        <v>1574</v>
      </c>
      <c r="B1575">
        <v>2026</v>
      </c>
      <c r="C1575">
        <v>2</v>
      </c>
      <c r="D1575" t="s">
        <v>151</v>
      </c>
      <c r="E1575">
        <v>31</v>
      </c>
      <c r="F1575">
        <v>13</v>
      </c>
      <c r="G1575" t="s">
        <v>440</v>
      </c>
      <c r="H1575" s="48">
        <v>289802</v>
      </c>
      <c r="I1575" s="48">
        <v>289890</v>
      </c>
      <c r="J1575" s="48">
        <v>289998</v>
      </c>
      <c r="K1575" s="48">
        <v>290117</v>
      </c>
      <c r="L1575" s="48">
        <v>290221</v>
      </c>
      <c r="M1575" s="48">
        <v>290284</v>
      </c>
      <c r="N1575" s="48">
        <v>290321</v>
      </c>
      <c r="O1575" s="48">
        <v>290411</v>
      </c>
      <c r="P1575" s="48">
        <v>290480</v>
      </c>
      <c r="Q1575" s="48">
        <v>290581</v>
      </c>
      <c r="R1575" s="48">
        <v>290685</v>
      </c>
      <c r="S1575" s="48">
        <v>290781</v>
      </c>
      <c r="T1575" s="48">
        <v>290853</v>
      </c>
      <c r="U1575" s="48">
        <v>290915</v>
      </c>
      <c r="V1575" s="48">
        <v>290982</v>
      </c>
      <c r="W1575" s="48">
        <v>291095</v>
      </c>
      <c r="X1575" s="48">
        <v>291193</v>
      </c>
      <c r="Y1575" s="48">
        <v>291297</v>
      </c>
      <c r="Z1575" s="48">
        <v>291387</v>
      </c>
      <c r="AA1575" s="48">
        <v>291485</v>
      </c>
      <c r="AB1575" s="48">
        <v>291587</v>
      </c>
      <c r="AC1575" s="48">
        <v>291685</v>
      </c>
      <c r="AD1575" s="48">
        <v>291911</v>
      </c>
      <c r="AE1575" s="48">
        <v>292114</v>
      </c>
      <c r="AF1575" s="48">
        <v>292254</v>
      </c>
      <c r="AG1575" s="48">
        <v>258141</v>
      </c>
      <c r="AH1575" s="48">
        <v>258221</v>
      </c>
      <c r="AI1575" s="48">
        <v>258299</v>
      </c>
      <c r="AP1575" cm="1">
        <f t="array" ref="AP1575">IF(AQ1575="","",SUM(IFERROR(H1575:AL1575-H1574:AL1574,0))*AQ1575/100)</f>
        <v>189.75</v>
      </c>
      <c r="AQ1575">
        <f>_xlfn.XLOOKUP(D1575,log_prices!M:M,log_prices!L:L,,0)</f>
        <v>15</v>
      </c>
      <c r="AS1575" cm="1">
        <f t="array" ref="AS1575">IF(AQ1575="","",SUM(IFERROR(H1575:AL1575-H1574:AL1574,0)))</f>
        <v>1265</v>
      </c>
    </row>
    <row r="1576" spans="1:45" hidden="1" x14ac:dyDescent="0.25">
      <c r="A1576">
        <v>1575</v>
      </c>
      <c r="B1576">
        <v>2026</v>
      </c>
      <c r="C1576">
        <v>2</v>
      </c>
      <c r="D1576" t="s">
        <v>184</v>
      </c>
      <c r="E1576">
        <v>31</v>
      </c>
      <c r="F1576">
        <v>13</v>
      </c>
      <c r="G1576" t="s">
        <v>432</v>
      </c>
      <c r="H1576" s="48">
        <v>340761</v>
      </c>
      <c r="I1576" s="48">
        <v>340776</v>
      </c>
      <c r="J1576" s="48">
        <v>340807</v>
      </c>
      <c r="K1576" s="48">
        <v>340835</v>
      </c>
      <c r="L1576" s="48">
        <v>340861</v>
      </c>
      <c r="M1576" s="48">
        <v>340876</v>
      </c>
      <c r="N1576" s="48">
        <v>340894</v>
      </c>
      <c r="O1576" s="48">
        <v>340969</v>
      </c>
      <c r="P1576" s="48">
        <v>341136</v>
      </c>
      <c r="Q1576" s="48">
        <v>341211</v>
      </c>
      <c r="R1576" s="48">
        <v>341302</v>
      </c>
      <c r="S1576" s="48">
        <v>341392</v>
      </c>
      <c r="T1576" s="48">
        <v>341425</v>
      </c>
      <c r="U1576" s="48">
        <v>341442</v>
      </c>
      <c r="V1576" s="48">
        <v>341515</v>
      </c>
      <c r="W1576" s="48">
        <v>341769</v>
      </c>
      <c r="X1576" s="48">
        <v>341836</v>
      </c>
      <c r="Y1576" s="48">
        <v>341856</v>
      </c>
      <c r="Z1576" s="48">
        <v>341895</v>
      </c>
      <c r="AA1576" s="48">
        <v>341932</v>
      </c>
      <c r="AB1576" s="48">
        <v>341968</v>
      </c>
      <c r="AC1576" s="48">
        <v>342070</v>
      </c>
      <c r="AD1576" s="48">
        <v>342200</v>
      </c>
      <c r="AE1576" s="48">
        <v>342233</v>
      </c>
      <c r="AF1576" s="48">
        <v>342277</v>
      </c>
      <c r="AG1576" s="48">
        <v>342304</v>
      </c>
      <c r="AH1576" s="48">
        <v>342355</v>
      </c>
      <c r="AI1576" s="48">
        <v>342373</v>
      </c>
    </row>
    <row r="1577" spans="1:45" hidden="1" x14ac:dyDescent="0.25">
      <c r="A1577">
        <v>1576</v>
      </c>
      <c r="B1577">
        <v>2026</v>
      </c>
      <c r="C1577">
        <v>2</v>
      </c>
      <c r="D1577" t="s">
        <v>184</v>
      </c>
      <c r="E1577">
        <v>31</v>
      </c>
      <c r="F1577">
        <v>13</v>
      </c>
      <c r="G1577" t="s">
        <v>433</v>
      </c>
      <c r="H1577" s="48">
        <v>340776</v>
      </c>
      <c r="I1577" s="48">
        <v>340807</v>
      </c>
      <c r="J1577" s="48">
        <v>340835</v>
      </c>
      <c r="K1577" s="48">
        <v>340861</v>
      </c>
      <c r="L1577" s="48">
        <v>340876</v>
      </c>
      <c r="M1577" s="48">
        <v>340894</v>
      </c>
      <c r="N1577" s="48">
        <v>340969</v>
      </c>
      <c r="O1577" s="48">
        <v>341136</v>
      </c>
      <c r="P1577" s="48">
        <v>341211</v>
      </c>
      <c r="Q1577" s="48">
        <v>341302</v>
      </c>
      <c r="R1577" s="48">
        <v>341392</v>
      </c>
      <c r="S1577" s="48">
        <v>341425</v>
      </c>
      <c r="T1577" s="48">
        <v>341442</v>
      </c>
      <c r="U1577" s="48">
        <v>341515</v>
      </c>
      <c r="V1577" s="48">
        <v>341769</v>
      </c>
      <c r="W1577" s="48">
        <v>341836</v>
      </c>
      <c r="X1577" s="48">
        <v>341856</v>
      </c>
      <c r="Y1577" s="48">
        <v>341895</v>
      </c>
      <c r="Z1577" s="48">
        <v>341932</v>
      </c>
      <c r="AA1577" s="48">
        <v>341968</v>
      </c>
      <c r="AB1577" s="48">
        <v>342070</v>
      </c>
      <c r="AC1577" s="48">
        <v>342200</v>
      </c>
      <c r="AD1577" s="48">
        <v>342233</v>
      </c>
      <c r="AE1577" s="48">
        <v>342277</v>
      </c>
      <c r="AF1577" s="48">
        <v>342304</v>
      </c>
      <c r="AG1577" s="48">
        <v>342355</v>
      </c>
      <c r="AH1577" s="48">
        <v>342373</v>
      </c>
      <c r="AI1577" s="48">
        <v>342401</v>
      </c>
      <c r="AP1577" cm="1">
        <f t="array" ref="AP1577">IF(AQ1577="","",SUM(IFERROR(H1577:AL1577-H1576:AL1576,0))*AQ1577/100)</f>
        <v>246</v>
      </c>
      <c r="AQ1577">
        <f>_xlfn.XLOOKUP(D1577,log_prices!M:M,log_prices!L:L,,0)</f>
        <v>15</v>
      </c>
      <c r="AS1577" cm="1">
        <f t="array" ref="AS1577">IF(AQ1577="","",SUM(IFERROR(H1577:AL1577-H1576:AL1576,0)))</f>
        <v>1640</v>
      </c>
    </row>
    <row r="1578" spans="1:45" hidden="1" x14ac:dyDescent="0.25">
      <c r="A1578">
        <v>1577</v>
      </c>
      <c r="B1578">
        <v>2026</v>
      </c>
      <c r="C1578">
        <v>2</v>
      </c>
      <c r="D1578" t="s">
        <v>155</v>
      </c>
      <c r="E1578">
        <v>31</v>
      </c>
      <c r="F1578">
        <v>13</v>
      </c>
      <c r="G1578" t="s">
        <v>432</v>
      </c>
      <c r="H1578" s="48">
        <v>401485</v>
      </c>
      <c r="I1578" s="48">
        <v>401602</v>
      </c>
      <c r="J1578" s="48">
        <v>401736</v>
      </c>
      <c r="K1578" s="48">
        <v>401884</v>
      </c>
      <c r="L1578" s="48">
        <v>402017</v>
      </c>
      <c r="M1578" s="48">
        <v>402144</v>
      </c>
      <c r="N1578" s="48">
        <v>402301</v>
      </c>
      <c r="O1578" s="48">
        <v>402443</v>
      </c>
      <c r="P1578" s="48">
        <v>402570</v>
      </c>
      <c r="Q1578" s="48">
        <v>402736</v>
      </c>
      <c r="R1578" s="48">
        <v>402873</v>
      </c>
      <c r="S1578" s="48">
        <v>403016</v>
      </c>
      <c r="T1578" s="48">
        <v>403150</v>
      </c>
      <c r="U1578" s="48">
        <v>403290</v>
      </c>
      <c r="V1578" s="48">
        <v>403443</v>
      </c>
      <c r="W1578" s="48">
        <v>403569</v>
      </c>
      <c r="X1578" s="48">
        <v>403701</v>
      </c>
      <c r="Y1578" s="48">
        <v>403829</v>
      </c>
      <c r="Z1578" s="48">
        <v>403966</v>
      </c>
      <c r="AA1578" s="48">
        <v>404096</v>
      </c>
      <c r="AB1578" s="48">
        <v>404222</v>
      </c>
      <c r="AC1578" s="48">
        <v>404355</v>
      </c>
      <c r="AD1578" s="48">
        <v>404479</v>
      </c>
      <c r="AE1578" s="48">
        <v>404627</v>
      </c>
      <c r="AF1578" s="48">
        <v>404768</v>
      </c>
      <c r="AG1578" s="48">
        <v>404912</v>
      </c>
      <c r="AH1578" s="48">
        <v>405049</v>
      </c>
      <c r="AI1578" s="48">
        <v>405207</v>
      </c>
    </row>
    <row r="1579" spans="1:45" hidden="1" x14ac:dyDescent="0.25">
      <c r="A1579">
        <v>1578</v>
      </c>
      <c r="B1579">
        <v>2026</v>
      </c>
      <c r="C1579">
        <v>2</v>
      </c>
      <c r="D1579" t="s">
        <v>155</v>
      </c>
      <c r="E1579">
        <v>31</v>
      </c>
      <c r="F1579">
        <v>13</v>
      </c>
      <c r="G1579" t="s">
        <v>433</v>
      </c>
      <c r="H1579" s="48">
        <v>401602</v>
      </c>
      <c r="I1579" s="48">
        <v>401736</v>
      </c>
      <c r="J1579" s="48">
        <v>401884</v>
      </c>
      <c r="K1579" s="48">
        <v>402017</v>
      </c>
      <c r="L1579" s="48">
        <v>402144</v>
      </c>
      <c r="M1579" s="48">
        <v>402301</v>
      </c>
      <c r="N1579" s="48">
        <v>402443</v>
      </c>
      <c r="O1579" s="48">
        <v>402570</v>
      </c>
      <c r="P1579" s="48">
        <v>402736</v>
      </c>
      <c r="Q1579" s="48">
        <v>402873</v>
      </c>
      <c r="R1579" s="48">
        <v>403016</v>
      </c>
      <c r="S1579" s="48">
        <v>403150</v>
      </c>
      <c r="T1579" s="48">
        <v>403290</v>
      </c>
      <c r="U1579" s="48">
        <v>403443</v>
      </c>
      <c r="V1579" s="48">
        <v>403569</v>
      </c>
      <c r="W1579" s="48">
        <v>403701</v>
      </c>
      <c r="X1579" s="48">
        <v>403829</v>
      </c>
      <c r="Y1579" s="48">
        <v>403966</v>
      </c>
      <c r="Z1579" s="48">
        <v>404096</v>
      </c>
      <c r="AA1579" s="48">
        <v>404222</v>
      </c>
      <c r="AB1579" s="48">
        <v>404355</v>
      </c>
      <c r="AC1579" s="48">
        <v>404479</v>
      </c>
      <c r="AD1579" s="48">
        <v>404627</v>
      </c>
      <c r="AE1579" s="48">
        <v>404768</v>
      </c>
      <c r="AF1579" s="48">
        <v>404912</v>
      </c>
      <c r="AG1579" s="48">
        <v>405049</v>
      </c>
      <c r="AH1579" s="48">
        <v>405207</v>
      </c>
      <c r="AI1579" s="48">
        <v>405334</v>
      </c>
      <c r="AP1579" cm="1">
        <f t="array" ref="AP1579">IF(AQ1579="","",SUM(IFERROR(H1579:AL1579-H1578:AL1578,0))*AQ1579/100)</f>
        <v>577.35</v>
      </c>
      <c r="AQ1579">
        <f>_xlfn.XLOOKUP(D1579,log_prices!M:M,log_prices!L:L,,0)</f>
        <v>15</v>
      </c>
      <c r="AS1579" cm="1">
        <f t="array" ref="AS1579">IF(AQ1579="","",SUM(IFERROR(H1579:AL1579-H1578:AL1578,0)))</f>
        <v>3849</v>
      </c>
    </row>
    <row r="1580" spans="1:45" hidden="1" x14ac:dyDescent="0.25">
      <c r="A1580">
        <v>1579</v>
      </c>
      <c r="B1580">
        <v>2026</v>
      </c>
      <c r="C1580">
        <v>2</v>
      </c>
      <c r="D1580" t="s">
        <v>180</v>
      </c>
      <c r="E1580">
        <v>31</v>
      </c>
      <c r="F1580">
        <v>13</v>
      </c>
      <c r="G1580" t="s">
        <v>432</v>
      </c>
      <c r="H1580" s="48" t="s">
        <v>320</v>
      </c>
      <c r="I1580" s="48">
        <v>514942</v>
      </c>
      <c r="J1580" s="48">
        <v>515022</v>
      </c>
      <c r="K1580" s="48">
        <v>515093</v>
      </c>
      <c r="L1580" s="48">
        <v>515121</v>
      </c>
      <c r="M1580" s="48">
        <v>515296</v>
      </c>
      <c r="N1580" s="48">
        <v>515441</v>
      </c>
      <c r="O1580" s="48" t="s">
        <v>320</v>
      </c>
      <c r="P1580" s="48">
        <v>515648</v>
      </c>
      <c r="Q1580" s="48">
        <v>515683</v>
      </c>
      <c r="R1580" s="48">
        <v>515704</v>
      </c>
      <c r="S1580" s="48">
        <v>515783</v>
      </c>
      <c r="T1580" s="48">
        <v>515857</v>
      </c>
      <c r="U1580" s="48">
        <v>515988</v>
      </c>
      <c r="V1580" s="48" t="s">
        <v>320</v>
      </c>
      <c r="W1580" s="48">
        <v>516201</v>
      </c>
      <c r="X1580" s="48">
        <v>516222</v>
      </c>
      <c r="Y1580" s="48">
        <v>516250</v>
      </c>
      <c r="Z1580" s="48">
        <v>516315</v>
      </c>
      <c r="AA1580" s="48">
        <v>516342</v>
      </c>
      <c r="AB1580" s="48">
        <v>516365</v>
      </c>
      <c r="AC1580" s="48" t="s">
        <v>320</v>
      </c>
      <c r="AD1580" s="48">
        <v>516617</v>
      </c>
      <c r="AE1580" s="48">
        <v>516646</v>
      </c>
      <c r="AF1580" s="48">
        <v>516690</v>
      </c>
      <c r="AG1580" s="48">
        <v>516711</v>
      </c>
      <c r="AH1580" s="48">
        <v>516852</v>
      </c>
      <c r="AI1580" s="48">
        <v>516996</v>
      </c>
    </row>
    <row r="1581" spans="1:45" hidden="1" x14ac:dyDescent="0.25">
      <c r="A1581">
        <v>1580</v>
      </c>
      <c r="B1581">
        <v>2026</v>
      </c>
      <c r="C1581">
        <v>2</v>
      </c>
      <c r="D1581" t="s">
        <v>180</v>
      </c>
      <c r="E1581">
        <v>31</v>
      </c>
      <c r="F1581">
        <v>13</v>
      </c>
      <c r="G1581" t="s">
        <v>433</v>
      </c>
      <c r="H1581" s="48" t="s">
        <v>320</v>
      </c>
      <c r="I1581" s="48">
        <v>515022</v>
      </c>
      <c r="J1581" s="48">
        <v>515093</v>
      </c>
      <c r="K1581" s="48">
        <v>515121</v>
      </c>
      <c r="L1581" s="48">
        <v>515296</v>
      </c>
      <c r="M1581" s="48">
        <v>515441</v>
      </c>
      <c r="N1581" s="48">
        <v>515521</v>
      </c>
      <c r="O1581" s="48" t="s">
        <v>320</v>
      </c>
      <c r="P1581" s="48">
        <v>515683</v>
      </c>
      <c r="Q1581" s="48">
        <v>515704</v>
      </c>
      <c r="R1581" s="48">
        <v>515783</v>
      </c>
      <c r="S1581" s="48">
        <v>515857</v>
      </c>
      <c r="T1581" s="48">
        <v>515988</v>
      </c>
      <c r="U1581" s="48">
        <v>516099</v>
      </c>
      <c r="V1581" s="48" t="s">
        <v>320</v>
      </c>
      <c r="W1581" s="48">
        <v>516222</v>
      </c>
      <c r="X1581" s="48">
        <v>516250</v>
      </c>
      <c r="Y1581" s="48">
        <v>516315</v>
      </c>
      <c r="Z1581" s="48">
        <v>516342</v>
      </c>
      <c r="AA1581" s="48">
        <v>516365</v>
      </c>
      <c r="AB1581" s="48">
        <v>516492</v>
      </c>
      <c r="AC1581" s="48" t="s">
        <v>320</v>
      </c>
      <c r="AD1581" s="48">
        <v>516646</v>
      </c>
      <c r="AE1581" s="48">
        <v>516690</v>
      </c>
      <c r="AF1581" s="48">
        <v>516711</v>
      </c>
      <c r="AG1581" s="48">
        <v>516802</v>
      </c>
      <c r="AH1581" s="48">
        <v>516942</v>
      </c>
      <c r="AI1581" s="48">
        <v>517131</v>
      </c>
      <c r="AP1581" cm="1">
        <f t="array" ref="AP1581">IF(AQ1581="","",SUM(IFERROR(H1581:AL1581-H1580:AL1580,0))*AQ1581/100)</f>
        <v>259.64999999999998</v>
      </c>
      <c r="AQ1581">
        <f>_xlfn.XLOOKUP(D1581,log_prices!M:M,log_prices!L:L,,0)</f>
        <v>15</v>
      </c>
      <c r="AS1581" cm="1">
        <f t="array" ref="AS1581">IF(AQ1581="","",SUM(IFERROR(H1581:AL1581-H1580:AL1580,0)))</f>
        <v>1731</v>
      </c>
    </row>
    <row r="1582" spans="1:45" hidden="1" x14ac:dyDescent="0.25">
      <c r="A1582">
        <v>1581</v>
      </c>
      <c r="B1582">
        <v>2026</v>
      </c>
      <c r="C1582">
        <v>2</v>
      </c>
      <c r="D1582" t="s">
        <v>176</v>
      </c>
      <c r="E1582">
        <v>31</v>
      </c>
      <c r="F1582">
        <v>13</v>
      </c>
      <c r="G1582" t="s">
        <v>432</v>
      </c>
      <c r="H1582" s="48">
        <v>248365</v>
      </c>
      <c r="I1582" s="48">
        <v>248687</v>
      </c>
      <c r="J1582" s="48">
        <v>248856</v>
      </c>
      <c r="K1582" s="48">
        <v>249108</v>
      </c>
      <c r="L1582" s="48">
        <v>249288</v>
      </c>
      <c r="M1582" s="48">
        <v>249510</v>
      </c>
      <c r="N1582" s="48">
        <v>249752</v>
      </c>
      <c r="O1582" s="48">
        <v>249963</v>
      </c>
      <c r="P1582" s="48">
        <v>250127</v>
      </c>
      <c r="Q1582" s="48">
        <v>250392</v>
      </c>
      <c r="R1582" s="48">
        <v>250597</v>
      </c>
      <c r="S1582" s="48">
        <v>250857</v>
      </c>
      <c r="T1582" s="48">
        <v>251052</v>
      </c>
      <c r="U1582" s="48">
        <v>251261</v>
      </c>
      <c r="V1582" s="48">
        <v>251474</v>
      </c>
      <c r="W1582" s="48">
        <v>251650</v>
      </c>
      <c r="X1582" s="48">
        <v>251854</v>
      </c>
      <c r="Y1582" s="48">
        <v>252068</v>
      </c>
      <c r="Z1582" s="48">
        <v>252368</v>
      </c>
      <c r="AA1582" s="48">
        <v>252586</v>
      </c>
      <c r="AB1582" s="48">
        <v>252800</v>
      </c>
      <c r="AC1582" s="48">
        <v>253080</v>
      </c>
      <c r="AD1582" s="48">
        <v>253313</v>
      </c>
      <c r="AE1582" s="48">
        <v>253533</v>
      </c>
      <c r="AF1582" s="48">
        <v>253829</v>
      </c>
      <c r="AG1582" s="48">
        <v>254048</v>
      </c>
      <c r="AH1582" s="48">
        <v>254265</v>
      </c>
      <c r="AI1582" s="48">
        <v>254479</v>
      </c>
    </row>
    <row r="1583" spans="1:45" hidden="1" x14ac:dyDescent="0.25">
      <c r="A1583">
        <v>1582</v>
      </c>
      <c r="B1583">
        <v>2026</v>
      </c>
      <c r="C1583">
        <v>2</v>
      </c>
      <c r="D1583" t="s">
        <v>176</v>
      </c>
      <c r="E1583">
        <v>31</v>
      </c>
      <c r="F1583">
        <v>13</v>
      </c>
      <c r="G1583" t="s">
        <v>433</v>
      </c>
      <c r="H1583" s="48">
        <v>248687</v>
      </c>
      <c r="I1583" s="48">
        <v>248856</v>
      </c>
      <c r="J1583" s="48">
        <v>249108</v>
      </c>
      <c r="K1583" s="48">
        <v>249288</v>
      </c>
      <c r="L1583" s="48">
        <v>249510</v>
      </c>
      <c r="M1583" s="48">
        <v>249752</v>
      </c>
      <c r="N1583" s="48">
        <v>249963</v>
      </c>
      <c r="O1583" s="48">
        <v>250127</v>
      </c>
      <c r="P1583" s="48">
        <v>250392</v>
      </c>
      <c r="Q1583" s="48">
        <v>250597</v>
      </c>
      <c r="R1583" s="48">
        <v>250857</v>
      </c>
      <c r="S1583" s="48">
        <v>251052</v>
      </c>
      <c r="T1583" s="48">
        <v>251261</v>
      </c>
      <c r="U1583" s="48">
        <v>251474</v>
      </c>
      <c r="V1583" s="48">
        <v>251650</v>
      </c>
      <c r="W1583" s="48">
        <v>251854</v>
      </c>
      <c r="X1583" s="48">
        <v>252068</v>
      </c>
      <c r="Y1583" s="48">
        <v>252368</v>
      </c>
      <c r="Z1583" s="48">
        <v>252586</v>
      </c>
      <c r="AA1583" s="48">
        <v>252800</v>
      </c>
      <c r="AB1583" s="48">
        <v>253080</v>
      </c>
      <c r="AC1583" s="48">
        <v>253313</v>
      </c>
      <c r="AD1583" s="48">
        <v>253533</v>
      </c>
      <c r="AE1583" s="48">
        <v>253829</v>
      </c>
      <c r="AF1583" s="48">
        <v>254048</v>
      </c>
      <c r="AG1583" s="48">
        <v>254265</v>
      </c>
      <c r="AH1583" s="48">
        <v>254479</v>
      </c>
      <c r="AI1583" s="48">
        <v>254658</v>
      </c>
      <c r="AP1583" cm="1">
        <f t="array" ref="AP1583">IF(AQ1583="","",SUM(IFERROR(H1583:AL1583-H1582:AL1582,0))*AQ1583/100)</f>
        <v>943.95</v>
      </c>
      <c r="AQ1583">
        <f>_xlfn.XLOOKUP(D1583,log_prices!M:M,log_prices!L:L,,0)</f>
        <v>15</v>
      </c>
      <c r="AS1583" cm="1">
        <f t="array" ref="AS1583">IF(AQ1583="","",SUM(IFERROR(H1583:AL1583-H1582:AL1582,0)))</f>
        <v>6293</v>
      </c>
    </row>
    <row r="1584" spans="1:45" hidden="1" x14ac:dyDescent="0.25">
      <c r="A1584">
        <v>1583</v>
      </c>
      <c r="B1584">
        <v>2026</v>
      </c>
      <c r="C1584">
        <v>2</v>
      </c>
      <c r="D1584" t="s">
        <v>162</v>
      </c>
      <c r="E1584">
        <v>31</v>
      </c>
      <c r="F1584">
        <v>13</v>
      </c>
      <c r="G1584" t="s">
        <v>432</v>
      </c>
      <c r="H1584" s="48">
        <v>35312</v>
      </c>
      <c r="I1584" s="48">
        <v>35520</v>
      </c>
      <c r="J1584" s="48">
        <v>35716</v>
      </c>
      <c r="K1584" s="48">
        <v>35954</v>
      </c>
      <c r="L1584" s="48">
        <v>36168</v>
      </c>
      <c r="M1584" s="48">
        <v>36362</v>
      </c>
      <c r="N1584" s="48">
        <v>36604</v>
      </c>
      <c r="O1584" s="48">
        <v>36841</v>
      </c>
      <c r="P1584" s="48">
        <v>37089</v>
      </c>
      <c r="Q1584" s="48">
        <v>37286</v>
      </c>
      <c r="R1584" s="48">
        <v>37513</v>
      </c>
      <c r="S1584" s="48">
        <v>37731</v>
      </c>
      <c r="T1584" s="48">
        <v>37903</v>
      </c>
      <c r="U1584" s="48">
        <v>38190</v>
      </c>
      <c r="V1584" s="48" t="s">
        <v>320</v>
      </c>
      <c r="W1584" s="48">
        <v>38421</v>
      </c>
      <c r="X1584" s="48">
        <v>38604</v>
      </c>
      <c r="Y1584" s="48">
        <v>38811</v>
      </c>
      <c r="Z1584" s="48">
        <v>38989</v>
      </c>
      <c r="AA1584" s="48">
        <v>39171</v>
      </c>
      <c r="AB1584" s="48">
        <v>39378</v>
      </c>
      <c r="AC1584" s="48">
        <v>39553</v>
      </c>
      <c r="AD1584" s="48">
        <v>39790</v>
      </c>
      <c r="AE1584" s="48">
        <v>39963</v>
      </c>
      <c r="AF1584" s="48">
        <v>40189</v>
      </c>
      <c r="AG1584" s="48">
        <v>40427</v>
      </c>
      <c r="AH1584" s="48">
        <v>40658</v>
      </c>
      <c r="AI1584" s="48">
        <v>40885</v>
      </c>
    </row>
    <row r="1585" spans="1:45" hidden="1" x14ac:dyDescent="0.25">
      <c r="A1585">
        <v>1584</v>
      </c>
      <c r="B1585">
        <v>2026</v>
      </c>
      <c r="C1585">
        <v>2</v>
      </c>
      <c r="D1585" t="s">
        <v>162</v>
      </c>
      <c r="E1585">
        <v>31</v>
      </c>
      <c r="F1585">
        <v>13</v>
      </c>
      <c r="G1585" t="s">
        <v>433</v>
      </c>
      <c r="H1585" s="48">
        <v>35520</v>
      </c>
      <c r="I1585" s="48">
        <v>35716</v>
      </c>
      <c r="J1585" s="48">
        <v>35954</v>
      </c>
      <c r="K1585" s="48">
        <v>36168</v>
      </c>
      <c r="L1585" s="48">
        <v>36362</v>
      </c>
      <c r="M1585" s="48">
        <v>36604</v>
      </c>
      <c r="N1585" s="48">
        <v>36841</v>
      </c>
      <c r="O1585" s="48">
        <v>37089</v>
      </c>
      <c r="P1585" s="48">
        <v>37286</v>
      </c>
      <c r="Q1585" s="48">
        <v>37513</v>
      </c>
      <c r="R1585" s="48">
        <v>37731</v>
      </c>
      <c r="S1585" s="48">
        <v>37903</v>
      </c>
      <c r="T1585" s="48">
        <v>38190</v>
      </c>
      <c r="U1585" s="48">
        <v>38421</v>
      </c>
      <c r="V1585" s="48" t="s">
        <v>320</v>
      </c>
      <c r="W1585" s="48">
        <v>38604</v>
      </c>
      <c r="X1585" s="48">
        <v>38811</v>
      </c>
      <c r="Y1585" s="48">
        <v>38989</v>
      </c>
      <c r="Z1585" s="48">
        <v>39171</v>
      </c>
      <c r="AA1585" s="48">
        <v>39378</v>
      </c>
      <c r="AB1585" s="48">
        <v>39553</v>
      </c>
      <c r="AC1585" s="48">
        <v>39790</v>
      </c>
      <c r="AD1585" s="48">
        <v>39963</v>
      </c>
      <c r="AE1585" s="48">
        <v>40189</v>
      </c>
      <c r="AF1585" s="48">
        <v>40427</v>
      </c>
      <c r="AG1585" s="48">
        <v>40658</v>
      </c>
      <c r="AH1585" s="48">
        <v>40885</v>
      </c>
      <c r="AI1585" s="48">
        <v>41094</v>
      </c>
      <c r="AP1585" cm="1">
        <f t="array" ref="AP1585">IF(AQ1585="","",SUM(IFERROR(H1585:AL1585-H1584:AL1584,0))*AQ1585/100)</f>
        <v>867.29999999999984</v>
      </c>
      <c r="AQ1585">
        <f>_xlfn.XLOOKUP(D1585,log_prices!M:M,log_prices!L:L,,0)</f>
        <v>14.999999999999998</v>
      </c>
      <c r="AS1585" cm="1">
        <f t="array" ref="AS1585">IF(AQ1585="","",SUM(IFERROR(H1585:AL1585-H1584:AL1584,0)))</f>
        <v>5782</v>
      </c>
    </row>
    <row r="1586" spans="1:45" hidden="1" x14ac:dyDescent="0.25">
      <c r="A1586">
        <v>1585</v>
      </c>
      <c r="B1586">
        <v>2026</v>
      </c>
      <c r="C1586">
        <v>2</v>
      </c>
      <c r="D1586" t="s">
        <v>171</v>
      </c>
      <c r="E1586">
        <v>31</v>
      </c>
      <c r="F1586">
        <v>13</v>
      </c>
      <c r="G1586" t="s">
        <v>432</v>
      </c>
      <c r="H1586" s="48">
        <v>206645</v>
      </c>
      <c r="I1586" s="48">
        <v>206686</v>
      </c>
      <c r="J1586" s="48">
        <v>206719</v>
      </c>
      <c r="K1586" s="48">
        <v>206757</v>
      </c>
      <c r="L1586" s="48">
        <v>206797</v>
      </c>
      <c r="M1586" s="48">
        <v>206840</v>
      </c>
      <c r="N1586" s="48">
        <v>206886</v>
      </c>
      <c r="O1586" s="48">
        <v>206993</v>
      </c>
      <c r="P1586" s="48">
        <v>207045</v>
      </c>
      <c r="Q1586" s="48">
        <v>207119</v>
      </c>
      <c r="R1586" s="48">
        <v>207222</v>
      </c>
      <c r="S1586" s="48">
        <v>207260</v>
      </c>
      <c r="T1586" s="48">
        <v>207313</v>
      </c>
      <c r="U1586" s="48">
        <v>207355</v>
      </c>
      <c r="V1586" s="48" t="s">
        <v>320</v>
      </c>
      <c r="W1586" s="48">
        <v>207489</v>
      </c>
      <c r="X1586" s="48">
        <v>207526</v>
      </c>
      <c r="Y1586" s="48">
        <v>207579</v>
      </c>
      <c r="Z1586" s="48">
        <v>207634</v>
      </c>
      <c r="AA1586" s="48">
        <v>207689</v>
      </c>
      <c r="AB1586" s="48">
        <v>207750</v>
      </c>
      <c r="AC1586" s="48">
        <v>207872</v>
      </c>
      <c r="AD1586" s="48">
        <v>207950</v>
      </c>
      <c r="AE1586" s="48">
        <v>208009</v>
      </c>
      <c r="AF1586" s="48">
        <v>208087</v>
      </c>
      <c r="AG1586" s="48">
        <v>208157</v>
      </c>
      <c r="AH1586" s="48">
        <v>208206</v>
      </c>
      <c r="AI1586" s="48">
        <v>208255</v>
      </c>
    </row>
    <row r="1587" spans="1:45" hidden="1" x14ac:dyDescent="0.25">
      <c r="A1587">
        <v>1586</v>
      </c>
      <c r="B1587">
        <v>2026</v>
      </c>
      <c r="C1587">
        <v>2</v>
      </c>
      <c r="D1587" t="s">
        <v>171</v>
      </c>
      <c r="E1587">
        <v>31</v>
      </c>
      <c r="F1587">
        <v>13</v>
      </c>
      <c r="G1587" t="s">
        <v>433</v>
      </c>
      <c r="H1587" s="48">
        <v>206686</v>
      </c>
      <c r="I1587" s="48">
        <v>206719</v>
      </c>
      <c r="J1587" s="48">
        <v>206757</v>
      </c>
      <c r="K1587" s="48">
        <v>206797</v>
      </c>
      <c r="L1587" s="48">
        <v>206840</v>
      </c>
      <c r="M1587" s="48">
        <v>206886</v>
      </c>
      <c r="N1587" s="48">
        <v>206978</v>
      </c>
      <c r="O1587" s="48">
        <v>207045</v>
      </c>
      <c r="P1587" s="48">
        <v>207119</v>
      </c>
      <c r="Q1587" s="48">
        <v>207164</v>
      </c>
      <c r="R1587" s="48">
        <v>207260</v>
      </c>
      <c r="S1587" s="48">
        <v>207313</v>
      </c>
      <c r="T1587" s="48">
        <v>207355</v>
      </c>
      <c r="U1587" s="48">
        <v>207437</v>
      </c>
      <c r="V1587" s="48" t="s">
        <v>320</v>
      </c>
      <c r="W1587" s="48">
        <v>207526</v>
      </c>
      <c r="X1587" s="48">
        <v>207579</v>
      </c>
      <c r="Y1587" s="48">
        <v>207634</v>
      </c>
      <c r="Z1587" s="48">
        <v>207689</v>
      </c>
      <c r="AA1587" s="48">
        <v>207750</v>
      </c>
      <c r="AB1587" s="48">
        <v>207835</v>
      </c>
      <c r="AC1587" s="48">
        <v>207950</v>
      </c>
      <c r="AD1587" s="48">
        <v>208009</v>
      </c>
      <c r="AE1587" s="48">
        <v>208087</v>
      </c>
      <c r="AF1587" s="48">
        <v>208152</v>
      </c>
      <c r="AG1587" s="48">
        <v>208206</v>
      </c>
      <c r="AH1587" s="48">
        <v>208255</v>
      </c>
      <c r="AI1587" s="48">
        <v>208261</v>
      </c>
      <c r="AP1587" cm="1">
        <f t="array" ref="AP1587">IF(AQ1587="","",SUM(IFERROR(H1587:AL1587-H1586:AL1586,0))*AQ1587/100)</f>
        <v>217.35</v>
      </c>
      <c r="AQ1587">
        <f>_xlfn.XLOOKUP(D1587,log_prices!M:M,log_prices!L:L,,0)</f>
        <v>15</v>
      </c>
      <c r="AS1587" cm="1">
        <f t="array" ref="AS1587">IF(AQ1587="","",SUM(IFERROR(H1587:AL1587-H1586:AL1586,0)))</f>
        <v>1449</v>
      </c>
    </row>
    <row r="1588" spans="1:45" hidden="1" x14ac:dyDescent="0.25">
      <c r="A1588">
        <v>1587</v>
      </c>
      <c r="B1588">
        <v>2026</v>
      </c>
      <c r="C1588">
        <v>2</v>
      </c>
      <c r="D1588" t="s">
        <v>178</v>
      </c>
      <c r="E1588">
        <v>31</v>
      </c>
      <c r="F1588">
        <v>13</v>
      </c>
      <c r="G1588" t="s">
        <v>432</v>
      </c>
      <c r="H1588" s="48">
        <v>926877</v>
      </c>
      <c r="I1588" s="48">
        <v>926907</v>
      </c>
      <c r="J1588" s="48">
        <v>926957</v>
      </c>
      <c r="K1588" s="48">
        <v>927025</v>
      </c>
      <c r="L1588" s="48">
        <v>927075</v>
      </c>
      <c r="M1588" s="48">
        <v>927114</v>
      </c>
      <c r="N1588" s="48">
        <v>927178</v>
      </c>
      <c r="O1588" s="48">
        <v>927244</v>
      </c>
      <c r="P1588" s="48">
        <v>927279</v>
      </c>
      <c r="Q1588" s="48">
        <v>927320</v>
      </c>
      <c r="R1588" s="48">
        <v>927349</v>
      </c>
      <c r="S1588" s="48">
        <v>927396</v>
      </c>
      <c r="T1588" s="48">
        <v>927436</v>
      </c>
      <c r="U1588" s="48">
        <v>927460</v>
      </c>
      <c r="V1588" s="48">
        <v>927493</v>
      </c>
      <c r="W1588" s="48">
        <v>927507</v>
      </c>
      <c r="X1588" s="48">
        <v>927520</v>
      </c>
      <c r="Y1588" s="48">
        <v>927575</v>
      </c>
      <c r="Z1588" s="48">
        <v>927667</v>
      </c>
      <c r="AA1588" s="48">
        <v>927732</v>
      </c>
      <c r="AB1588" s="48">
        <v>927789</v>
      </c>
      <c r="AC1588" s="48">
        <v>927832</v>
      </c>
      <c r="AD1588" s="48">
        <v>927844</v>
      </c>
      <c r="AE1588" s="48">
        <v>927857</v>
      </c>
      <c r="AF1588" s="48">
        <v>927868</v>
      </c>
      <c r="AG1588" s="48">
        <v>927876</v>
      </c>
      <c r="AH1588" s="48" t="s">
        <v>320</v>
      </c>
      <c r="AI1588" s="48" t="s">
        <v>320</v>
      </c>
    </row>
    <row r="1589" spans="1:45" hidden="1" x14ac:dyDescent="0.25">
      <c r="A1589">
        <v>1588</v>
      </c>
      <c r="B1589">
        <v>2026</v>
      </c>
      <c r="C1589">
        <v>2</v>
      </c>
      <c r="D1589" t="s">
        <v>178</v>
      </c>
      <c r="E1589">
        <v>31</v>
      </c>
      <c r="F1589">
        <v>13</v>
      </c>
      <c r="G1589" t="s">
        <v>433</v>
      </c>
      <c r="H1589" s="48">
        <v>926907</v>
      </c>
      <c r="I1589" s="48">
        <v>926957</v>
      </c>
      <c r="J1589" s="48">
        <v>927025</v>
      </c>
      <c r="K1589" s="48">
        <v>927075</v>
      </c>
      <c r="L1589" s="48">
        <v>927114</v>
      </c>
      <c r="M1589" s="48">
        <v>927178</v>
      </c>
      <c r="N1589" s="48">
        <v>927244</v>
      </c>
      <c r="O1589" s="48">
        <v>927279</v>
      </c>
      <c r="P1589" s="48">
        <v>927320</v>
      </c>
      <c r="Q1589" s="48">
        <v>927349</v>
      </c>
      <c r="R1589" s="48">
        <v>927396</v>
      </c>
      <c r="S1589" s="48">
        <v>927436</v>
      </c>
      <c r="T1589" s="48">
        <v>927460</v>
      </c>
      <c r="U1589" s="48">
        <v>927474</v>
      </c>
      <c r="V1589" s="48">
        <v>927507</v>
      </c>
      <c r="W1589" s="48">
        <v>927520</v>
      </c>
      <c r="X1589" s="48">
        <v>927575</v>
      </c>
      <c r="Y1589" s="48">
        <v>927667</v>
      </c>
      <c r="Z1589" s="48">
        <v>927732</v>
      </c>
      <c r="AA1589" s="48">
        <v>927789</v>
      </c>
      <c r="AB1589" s="48">
        <v>927832</v>
      </c>
      <c r="AC1589" s="48">
        <v>927844</v>
      </c>
      <c r="AD1589" s="48">
        <v>927857</v>
      </c>
      <c r="AE1589" s="48">
        <v>927868</v>
      </c>
      <c r="AF1589" s="48">
        <v>927876</v>
      </c>
      <c r="AG1589" s="48">
        <v>927881</v>
      </c>
      <c r="AH1589" s="48" t="s">
        <v>320</v>
      </c>
      <c r="AI1589" s="48" t="s">
        <v>320</v>
      </c>
      <c r="AP1589" cm="1">
        <f t="array" ref="AP1589">IF(AQ1589="","",SUM(IFERROR(H1589:AL1589-H1588:AL1588,0))*AQ1589/100)</f>
        <v>147.75</v>
      </c>
      <c r="AQ1589">
        <f>_xlfn.XLOOKUP(D1589,log_prices!M:M,log_prices!L:L,,0)</f>
        <v>15</v>
      </c>
      <c r="AS1589" cm="1">
        <f t="array" ref="AS1589">IF(AQ1589="","",SUM(IFERROR(H1589:AL1589-H1588:AL1588,0)))</f>
        <v>985</v>
      </c>
    </row>
    <row r="1590" spans="1:45" hidden="1" x14ac:dyDescent="0.25">
      <c r="A1590">
        <v>1589</v>
      </c>
      <c r="B1590">
        <v>2026</v>
      </c>
      <c r="C1590">
        <v>2</v>
      </c>
      <c r="D1590" t="s">
        <v>161</v>
      </c>
      <c r="E1590">
        <v>31</v>
      </c>
      <c r="F1590">
        <v>13</v>
      </c>
      <c r="G1590" t="s">
        <v>432</v>
      </c>
      <c r="H1590" s="48">
        <v>832173</v>
      </c>
      <c r="I1590" s="48">
        <v>832268</v>
      </c>
      <c r="J1590" s="48">
        <v>832381</v>
      </c>
      <c r="K1590" s="48">
        <v>832479</v>
      </c>
      <c r="L1590" s="48">
        <v>832572</v>
      </c>
      <c r="M1590" s="48">
        <v>832658</v>
      </c>
      <c r="N1590" s="48">
        <v>832777</v>
      </c>
      <c r="O1590" s="48">
        <v>832896</v>
      </c>
      <c r="P1590" s="48">
        <v>832993</v>
      </c>
      <c r="Q1590" s="48">
        <v>833107</v>
      </c>
      <c r="R1590" s="48">
        <v>833170</v>
      </c>
      <c r="S1590" s="48">
        <v>833282</v>
      </c>
      <c r="T1590" s="48">
        <v>833406</v>
      </c>
      <c r="U1590" s="48">
        <v>833522</v>
      </c>
      <c r="V1590" s="48">
        <v>833641</v>
      </c>
      <c r="W1590" s="48">
        <v>833739</v>
      </c>
      <c r="X1590" s="48">
        <v>833795</v>
      </c>
      <c r="Y1590" s="48">
        <v>833904</v>
      </c>
      <c r="Z1590" s="48">
        <v>834035</v>
      </c>
      <c r="AA1590" s="48">
        <v>834113</v>
      </c>
      <c r="AB1590" s="48">
        <v>834220</v>
      </c>
      <c r="AC1590" s="48">
        <v>834308</v>
      </c>
      <c r="AD1590" s="48">
        <v>834420</v>
      </c>
      <c r="AE1590" s="48">
        <v>834516</v>
      </c>
      <c r="AF1590" s="48">
        <v>834628</v>
      </c>
      <c r="AG1590" s="48">
        <v>834731</v>
      </c>
      <c r="AH1590" s="48">
        <v>834823</v>
      </c>
      <c r="AI1590" s="48">
        <v>834914</v>
      </c>
    </row>
    <row r="1591" spans="1:45" hidden="1" x14ac:dyDescent="0.25">
      <c r="A1591">
        <v>1590</v>
      </c>
      <c r="B1591">
        <v>2026</v>
      </c>
      <c r="C1591">
        <v>2</v>
      </c>
      <c r="D1591" t="s">
        <v>161</v>
      </c>
      <c r="E1591">
        <v>31</v>
      </c>
      <c r="F1591">
        <v>13</v>
      </c>
      <c r="G1591" t="s">
        <v>433</v>
      </c>
      <c r="H1591" s="48">
        <v>832268</v>
      </c>
      <c r="I1591" s="48">
        <v>832381</v>
      </c>
      <c r="J1591" s="48">
        <v>832479</v>
      </c>
      <c r="K1591" s="48">
        <v>832572</v>
      </c>
      <c r="L1591" s="48">
        <v>832658</v>
      </c>
      <c r="M1591" s="48">
        <v>832777</v>
      </c>
      <c r="N1591" s="48">
        <v>832896</v>
      </c>
      <c r="O1591" s="48">
        <v>832993</v>
      </c>
      <c r="P1591" s="48">
        <v>833107</v>
      </c>
      <c r="Q1591" s="48">
        <v>833170</v>
      </c>
      <c r="R1591" s="48">
        <v>833282</v>
      </c>
      <c r="S1591" s="48">
        <v>833406</v>
      </c>
      <c r="T1591" s="48">
        <v>833522</v>
      </c>
      <c r="U1591" s="48">
        <v>833641</v>
      </c>
      <c r="V1591" s="48">
        <v>833739</v>
      </c>
      <c r="W1591" s="48">
        <v>833795</v>
      </c>
      <c r="X1591" s="48">
        <v>833904</v>
      </c>
      <c r="Y1591" s="48">
        <v>834035</v>
      </c>
      <c r="Z1591" s="48">
        <v>834113</v>
      </c>
      <c r="AA1591" s="48">
        <v>834220</v>
      </c>
      <c r="AB1591" s="48">
        <v>834308</v>
      </c>
      <c r="AC1591" s="48">
        <v>834420</v>
      </c>
      <c r="AD1591" s="48">
        <v>834516</v>
      </c>
      <c r="AE1591" s="48">
        <v>834628</v>
      </c>
      <c r="AF1591" s="48">
        <v>834731</v>
      </c>
      <c r="AG1591" s="48">
        <v>834823</v>
      </c>
      <c r="AH1591" s="48">
        <v>834914</v>
      </c>
      <c r="AI1591" s="48">
        <v>835001</v>
      </c>
      <c r="AP1591" cm="1">
        <f t="array" ref="AP1591">IF(AQ1591="","",SUM(IFERROR(H1591:AL1591-H1590:AL1590,0))*AQ1591/100)</f>
        <v>424.2</v>
      </c>
      <c r="AQ1591">
        <f>_xlfn.XLOOKUP(D1591,log_prices!M:M,log_prices!L:L,,0)</f>
        <v>15</v>
      </c>
      <c r="AS1591" cm="1">
        <f t="array" ref="AS1591">IF(AQ1591="","",SUM(IFERROR(H1591:AL1591-H1590:AL1590,0)))</f>
        <v>2828</v>
      </c>
    </row>
    <row r="1592" spans="1:45" hidden="1" x14ac:dyDescent="0.25">
      <c r="A1592">
        <v>1591</v>
      </c>
      <c r="B1592">
        <v>2026</v>
      </c>
      <c r="C1592">
        <v>2</v>
      </c>
      <c r="D1592" t="s">
        <v>352</v>
      </c>
      <c r="E1592">
        <v>31</v>
      </c>
      <c r="F1592">
        <v>13</v>
      </c>
      <c r="G1592" t="s">
        <v>432</v>
      </c>
      <c r="H1592" s="48">
        <v>769981</v>
      </c>
      <c r="I1592" s="48">
        <v>770066</v>
      </c>
      <c r="J1592" s="48">
        <v>770143</v>
      </c>
      <c r="K1592" s="48">
        <v>770234</v>
      </c>
      <c r="L1592" s="48">
        <v>770280</v>
      </c>
      <c r="M1592" s="48">
        <v>770376</v>
      </c>
      <c r="N1592" s="48">
        <v>770441</v>
      </c>
      <c r="O1592" s="48">
        <v>770495</v>
      </c>
      <c r="P1592" s="48">
        <v>770586</v>
      </c>
      <c r="Q1592" s="48">
        <v>770694</v>
      </c>
      <c r="R1592" s="48">
        <v>770760</v>
      </c>
      <c r="S1592" s="48">
        <v>770815</v>
      </c>
      <c r="T1592" s="48">
        <v>770881</v>
      </c>
      <c r="U1592" s="48">
        <v>770941</v>
      </c>
      <c r="V1592" s="48">
        <v>771001</v>
      </c>
      <c r="W1592" s="48">
        <v>771044</v>
      </c>
      <c r="X1592" s="48">
        <v>771055</v>
      </c>
      <c r="Y1592" s="48">
        <v>771133</v>
      </c>
      <c r="Z1592" s="48">
        <v>771239</v>
      </c>
      <c r="AA1592" s="48">
        <v>771331</v>
      </c>
      <c r="AB1592" s="48">
        <v>771433</v>
      </c>
      <c r="AC1592" s="48">
        <v>771520</v>
      </c>
      <c r="AD1592" s="48">
        <v>771600</v>
      </c>
      <c r="AE1592" s="48">
        <v>771658</v>
      </c>
      <c r="AF1592" s="48">
        <v>771716</v>
      </c>
      <c r="AG1592" s="48">
        <v>771765</v>
      </c>
      <c r="AH1592" s="48">
        <v>771859</v>
      </c>
      <c r="AI1592" s="48">
        <v>771913</v>
      </c>
    </row>
    <row r="1593" spans="1:45" hidden="1" x14ac:dyDescent="0.25">
      <c r="A1593">
        <v>1592</v>
      </c>
      <c r="B1593">
        <v>2026</v>
      </c>
      <c r="C1593">
        <v>2</v>
      </c>
      <c r="D1593" t="s">
        <v>352</v>
      </c>
      <c r="E1593">
        <v>31</v>
      </c>
      <c r="F1593">
        <v>13</v>
      </c>
      <c r="G1593" t="s">
        <v>433</v>
      </c>
      <c r="H1593" s="48">
        <v>770066</v>
      </c>
      <c r="I1593" s="48">
        <v>770143</v>
      </c>
      <c r="J1593" s="48">
        <v>770234</v>
      </c>
      <c r="K1593" s="48">
        <v>770280</v>
      </c>
      <c r="L1593" s="48">
        <v>770376</v>
      </c>
      <c r="M1593" s="48">
        <v>770441</v>
      </c>
      <c r="N1593" s="48">
        <v>770495</v>
      </c>
      <c r="O1593" s="48">
        <v>770586</v>
      </c>
      <c r="P1593" s="48">
        <v>770694</v>
      </c>
      <c r="Q1593" s="48">
        <v>770760</v>
      </c>
      <c r="R1593" s="48">
        <v>770815</v>
      </c>
      <c r="S1593" s="48">
        <v>770881</v>
      </c>
      <c r="T1593" s="48">
        <v>770941</v>
      </c>
      <c r="U1593" s="48">
        <v>771001</v>
      </c>
      <c r="V1593" s="48">
        <v>771044</v>
      </c>
      <c r="W1593" s="48">
        <v>771055</v>
      </c>
      <c r="X1593" s="48">
        <v>771133</v>
      </c>
      <c r="Y1593" s="48">
        <v>771239</v>
      </c>
      <c r="Z1593" s="48">
        <v>771331</v>
      </c>
      <c r="AA1593" s="48">
        <v>771433</v>
      </c>
      <c r="AB1593" s="48">
        <v>771520</v>
      </c>
      <c r="AC1593" s="48">
        <v>771600</v>
      </c>
      <c r="AD1593" s="48">
        <v>771658</v>
      </c>
      <c r="AE1593" s="48">
        <v>771716</v>
      </c>
      <c r="AF1593" s="48">
        <v>771765</v>
      </c>
      <c r="AG1593" s="48">
        <v>771859</v>
      </c>
      <c r="AH1593" s="48">
        <v>771913</v>
      </c>
      <c r="AI1593" s="48">
        <v>771921</v>
      </c>
      <c r="AP1593" cm="1">
        <f t="array" ref="AP1593">IF(AQ1593="","",SUM(IFERROR(H1593:AL1593-H1592:AL1592,0))*AQ1593/100)</f>
        <v>291</v>
      </c>
      <c r="AQ1593">
        <f>_xlfn.XLOOKUP(D1593,log_prices!M:M,log_prices!L:L,,0)</f>
        <v>15</v>
      </c>
      <c r="AS1593" cm="1">
        <f t="array" ref="AS1593">IF(AQ1593="","",SUM(IFERROR(H1593:AL1593-H1592:AL1592,0)))</f>
        <v>1940</v>
      </c>
    </row>
    <row r="1594" spans="1:45" hidden="1" x14ac:dyDescent="0.25">
      <c r="A1594">
        <v>1593</v>
      </c>
      <c r="B1594">
        <v>2026</v>
      </c>
      <c r="C1594">
        <v>2</v>
      </c>
      <c r="D1594" t="s">
        <v>648</v>
      </c>
      <c r="E1594">
        <v>31</v>
      </c>
      <c r="F1594">
        <v>13</v>
      </c>
      <c r="G1594" t="s">
        <v>432</v>
      </c>
      <c r="H1594" s="48">
        <v>368490</v>
      </c>
      <c r="I1594" s="48">
        <v>368654</v>
      </c>
      <c r="J1594" s="48">
        <v>368842</v>
      </c>
      <c r="K1594" s="48">
        <v>369033</v>
      </c>
      <c r="L1594" s="48">
        <v>369223</v>
      </c>
      <c r="M1594" s="48">
        <v>369414</v>
      </c>
      <c r="N1594" s="48">
        <v>369604</v>
      </c>
      <c r="O1594" s="48">
        <v>369736</v>
      </c>
      <c r="P1594" s="48">
        <v>369836</v>
      </c>
      <c r="Q1594" s="48">
        <v>370026</v>
      </c>
      <c r="R1594" s="48">
        <v>370217</v>
      </c>
      <c r="S1594" s="48">
        <v>370408</v>
      </c>
      <c r="T1594" s="48">
        <v>370598</v>
      </c>
      <c r="U1594" s="48">
        <v>370703</v>
      </c>
      <c r="V1594" s="48">
        <v>370803</v>
      </c>
      <c r="W1594" s="48">
        <v>370943</v>
      </c>
      <c r="X1594" s="48">
        <v>371094</v>
      </c>
      <c r="Y1594" s="48">
        <v>371285</v>
      </c>
      <c r="Z1594" s="48">
        <v>371476</v>
      </c>
      <c r="AA1594" s="48">
        <v>371702</v>
      </c>
      <c r="AB1594" s="48">
        <v>371980</v>
      </c>
      <c r="AC1594" s="48">
        <v>372140</v>
      </c>
      <c r="AD1594" s="48">
        <v>372306</v>
      </c>
      <c r="AE1594" s="48">
        <v>372495</v>
      </c>
      <c r="AF1594" s="48">
        <v>372841</v>
      </c>
      <c r="AG1594" s="48">
        <v>373031</v>
      </c>
      <c r="AH1594" s="48">
        <v>373379</v>
      </c>
      <c r="AI1594" s="48">
        <v>373566</v>
      </c>
    </row>
    <row r="1595" spans="1:45" hidden="1" x14ac:dyDescent="0.25">
      <c r="A1595">
        <v>1594</v>
      </c>
      <c r="B1595">
        <v>2026</v>
      </c>
      <c r="C1595">
        <v>2</v>
      </c>
      <c r="D1595" t="s">
        <v>648</v>
      </c>
      <c r="E1595">
        <v>31</v>
      </c>
      <c r="F1595">
        <v>13</v>
      </c>
      <c r="G1595" t="s">
        <v>433</v>
      </c>
      <c r="H1595" s="48">
        <v>368654</v>
      </c>
      <c r="I1595" s="48">
        <v>368842</v>
      </c>
      <c r="J1595" s="48">
        <v>369033</v>
      </c>
      <c r="K1595" s="48">
        <v>369223</v>
      </c>
      <c r="L1595" s="48">
        <v>369414</v>
      </c>
      <c r="M1595" s="48">
        <v>369604</v>
      </c>
      <c r="N1595" s="48">
        <v>369736</v>
      </c>
      <c r="O1595" s="48">
        <v>369836</v>
      </c>
      <c r="P1595" s="48">
        <v>370026</v>
      </c>
      <c r="Q1595" s="48">
        <v>370217</v>
      </c>
      <c r="R1595" s="48">
        <v>370408</v>
      </c>
      <c r="S1595" s="48">
        <v>370598</v>
      </c>
      <c r="T1595" s="48">
        <v>370703</v>
      </c>
      <c r="U1595" s="48">
        <v>370803</v>
      </c>
      <c r="V1595" s="48">
        <v>370943</v>
      </c>
      <c r="W1595" s="48">
        <v>371094</v>
      </c>
      <c r="X1595" s="48">
        <v>371285</v>
      </c>
      <c r="Y1595" s="48">
        <v>371476</v>
      </c>
      <c r="Z1595" s="48">
        <v>371702</v>
      </c>
      <c r="AA1595" s="48">
        <v>371980</v>
      </c>
      <c r="AB1595" s="48">
        <v>372140</v>
      </c>
      <c r="AC1595" s="48">
        <v>372306</v>
      </c>
      <c r="AD1595" s="48">
        <v>372495</v>
      </c>
      <c r="AE1595" s="48">
        <v>372841</v>
      </c>
      <c r="AF1595" s="48">
        <v>373031</v>
      </c>
      <c r="AG1595" s="48">
        <v>373379</v>
      </c>
      <c r="AH1595" s="48">
        <v>373566</v>
      </c>
      <c r="AI1595" s="48">
        <v>373769</v>
      </c>
      <c r="AP1595" cm="1">
        <f t="array" ref="AP1595">IF(AQ1595="","",SUM(IFERROR(H1595:AL1595-H1594:AL1594,0))*AQ1595/100)</f>
        <v>950.22</v>
      </c>
      <c r="AQ1595">
        <f>_xlfn.XLOOKUP(D1595,log_prices!M:M,log_prices!L:L,,0)</f>
        <v>18</v>
      </c>
      <c r="AS1595" cm="1">
        <f t="array" ref="AS1595">IF(AQ1595="","",SUM(IFERROR(H1595:AL1595-H1594:AL1594,0)))</f>
        <v>5279</v>
      </c>
    </row>
    <row r="1596" spans="1:45" hidden="1" x14ac:dyDescent="0.25">
      <c r="A1596">
        <v>1595</v>
      </c>
      <c r="B1596">
        <v>2026</v>
      </c>
      <c r="C1596">
        <v>2</v>
      </c>
      <c r="D1596" t="s">
        <v>172</v>
      </c>
      <c r="E1596">
        <v>31</v>
      </c>
      <c r="F1596">
        <v>13</v>
      </c>
      <c r="G1596" t="s">
        <v>432</v>
      </c>
      <c r="H1596" s="48" t="s">
        <v>320</v>
      </c>
      <c r="I1596" s="48">
        <v>563137</v>
      </c>
      <c r="J1596" s="48">
        <v>563223</v>
      </c>
      <c r="K1596" s="48">
        <v>563282</v>
      </c>
      <c r="L1596" s="48">
        <v>563321</v>
      </c>
      <c r="M1596" s="48">
        <v>563375</v>
      </c>
      <c r="N1596" s="48">
        <v>563415</v>
      </c>
      <c r="O1596" s="48">
        <v>563474</v>
      </c>
      <c r="P1596" s="48">
        <v>563497</v>
      </c>
      <c r="Q1596" s="48">
        <v>563550</v>
      </c>
      <c r="R1596" s="48">
        <v>563627</v>
      </c>
      <c r="S1596" s="48">
        <v>563701</v>
      </c>
      <c r="T1596" s="48">
        <v>563767</v>
      </c>
      <c r="U1596" s="48">
        <v>563886</v>
      </c>
      <c r="V1596" s="48">
        <v>563950</v>
      </c>
      <c r="W1596" s="48">
        <v>563992</v>
      </c>
      <c r="X1596" s="48">
        <v>564003</v>
      </c>
      <c r="Y1596" s="48" t="s">
        <v>320</v>
      </c>
      <c r="Z1596" s="48">
        <v>564339</v>
      </c>
      <c r="AA1596" s="48">
        <v>564432</v>
      </c>
      <c r="AB1596" s="48">
        <v>564486</v>
      </c>
      <c r="AC1596" s="48">
        <v>564550</v>
      </c>
      <c r="AD1596" s="48">
        <v>564599</v>
      </c>
      <c r="AE1596" s="48">
        <v>564663</v>
      </c>
      <c r="AF1596" s="48">
        <v>564732</v>
      </c>
      <c r="AG1596" s="48">
        <v>564775</v>
      </c>
      <c r="AH1596" s="48">
        <v>564843</v>
      </c>
      <c r="AI1596" s="48">
        <v>564894</v>
      </c>
    </row>
    <row r="1597" spans="1:45" hidden="1" x14ac:dyDescent="0.25">
      <c r="A1597">
        <v>1596</v>
      </c>
      <c r="B1597">
        <v>2026</v>
      </c>
      <c r="C1597">
        <v>2</v>
      </c>
      <c r="D1597" t="s">
        <v>172</v>
      </c>
      <c r="E1597">
        <v>31</v>
      </c>
      <c r="F1597">
        <v>13</v>
      </c>
      <c r="G1597" t="s">
        <v>433</v>
      </c>
      <c r="H1597" s="48" t="s">
        <v>320</v>
      </c>
      <c r="I1597" s="48">
        <v>563223</v>
      </c>
      <c r="J1597" s="48">
        <v>563282</v>
      </c>
      <c r="K1597" s="48">
        <v>563321</v>
      </c>
      <c r="L1597" s="48">
        <v>563375</v>
      </c>
      <c r="M1597" s="48">
        <v>563415</v>
      </c>
      <c r="N1597" s="48">
        <v>563474</v>
      </c>
      <c r="O1597" s="48">
        <v>563497</v>
      </c>
      <c r="P1597" s="48">
        <v>563550</v>
      </c>
      <c r="Q1597" s="48">
        <v>563627</v>
      </c>
      <c r="R1597" s="48">
        <v>563701</v>
      </c>
      <c r="S1597" s="48">
        <v>563767</v>
      </c>
      <c r="T1597" s="48">
        <v>563886</v>
      </c>
      <c r="U1597" s="48">
        <v>563950</v>
      </c>
      <c r="V1597" s="48">
        <v>563992</v>
      </c>
      <c r="W1597" s="48">
        <v>564003</v>
      </c>
      <c r="X1597" s="48">
        <v>564087</v>
      </c>
      <c r="Y1597" s="48" t="s">
        <v>320</v>
      </c>
      <c r="Z1597" s="48">
        <v>564432</v>
      </c>
      <c r="AA1597" s="48">
        <v>564486</v>
      </c>
      <c r="AB1597" s="48">
        <v>564550</v>
      </c>
      <c r="AC1597" s="48">
        <v>564599</v>
      </c>
      <c r="AD1597" s="48">
        <v>564663</v>
      </c>
      <c r="AE1597" s="48">
        <v>564732</v>
      </c>
      <c r="AF1597" s="48">
        <v>564775</v>
      </c>
      <c r="AG1597" s="48">
        <v>564843</v>
      </c>
      <c r="AH1597" s="48">
        <v>564894</v>
      </c>
      <c r="AI1597" s="48">
        <v>564948</v>
      </c>
      <c r="AP1597" cm="1">
        <f t="array" ref="AP1597">IF(AQ1597="","",SUM(IFERROR(H1597:AL1597-H1596:AL1596,0))*AQ1597/100)</f>
        <v>233.85</v>
      </c>
      <c r="AQ1597">
        <f>_xlfn.XLOOKUP(D1597,log_prices!M:M,log_prices!L:L,,0)</f>
        <v>15</v>
      </c>
      <c r="AS1597" cm="1">
        <f t="array" ref="AS1597">IF(AQ1597="","",SUM(IFERROR(H1597:AL1597-H1596:AL1596,0)))</f>
        <v>1559</v>
      </c>
    </row>
    <row r="1598" spans="1:45" hidden="1" x14ac:dyDescent="0.25">
      <c r="A1598">
        <v>1597</v>
      </c>
      <c r="B1598">
        <v>2026</v>
      </c>
      <c r="C1598">
        <v>2</v>
      </c>
      <c r="D1598" t="s">
        <v>167</v>
      </c>
      <c r="E1598">
        <v>31</v>
      </c>
      <c r="F1598">
        <v>13</v>
      </c>
      <c r="G1598" t="s">
        <v>432</v>
      </c>
      <c r="H1598" s="48">
        <v>221820</v>
      </c>
      <c r="I1598" s="48">
        <v>221947</v>
      </c>
      <c r="J1598" s="48">
        <v>222017</v>
      </c>
      <c r="K1598" s="48">
        <v>222138</v>
      </c>
      <c r="L1598" s="48">
        <v>222217</v>
      </c>
      <c r="M1598" s="48">
        <v>222251</v>
      </c>
      <c r="N1598" s="48">
        <v>222366</v>
      </c>
      <c r="O1598" s="48" t="s">
        <v>320</v>
      </c>
      <c r="P1598" s="48">
        <v>222662</v>
      </c>
      <c r="Q1598" s="48">
        <v>222757</v>
      </c>
      <c r="R1598" s="48">
        <v>222887</v>
      </c>
      <c r="S1598" s="48">
        <v>223087</v>
      </c>
      <c r="T1598" s="48">
        <v>223225</v>
      </c>
      <c r="U1598" s="48">
        <v>223292</v>
      </c>
      <c r="V1598" s="48" t="s">
        <v>320</v>
      </c>
      <c r="W1598" s="48">
        <v>223423</v>
      </c>
      <c r="X1598" s="48">
        <v>223479</v>
      </c>
      <c r="Y1598" s="48">
        <v>223574</v>
      </c>
      <c r="Z1598" s="48">
        <v>223712</v>
      </c>
      <c r="AA1598" s="48">
        <v>223805</v>
      </c>
      <c r="AB1598" s="48">
        <v>224044</v>
      </c>
      <c r="AC1598" s="48">
        <v>224122</v>
      </c>
      <c r="AD1598" s="48">
        <v>224265</v>
      </c>
      <c r="AE1598" s="48">
        <v>224431</v>
      </c>
      <c r="AF1598" s="48">
        <v>224624</v>
      </c>
      <c r="AG1598" s="48">
        <v>224786</v>
      </c>
      <c r="AH1598" s="48">
        <v>224956</v>
      </c>
      <c r="AI1598" s="48">
        <v>225114</v>
      </c>
    </row>
    <row r="1599" spans="1:45" hidden="1" x14ac:dyDescent="0.25">
      <c r="A1599">
        <v>1598</v>
      </c>
      <c r="B1599">
        <v>2026</v>
      </c>
      <c r="C1599">
        <v>2</v>
      </c>
      <c r="D1599" t="s">
        <v>167</v>
      </c>
      <c r="E1599">
        <v>31</v>
      </c>
      <c r="F1599">
        <v>13</v>
      </c>
      <c r="G1599" t="s">
        <v>433</v>
      </c>
      <c r="H1599" s="48">
        <v>221947</v>
      </c>
      <c r="I1599" s="48">
        <v>222017</v>
      </c>
      <c r="J1599" s="48">
        <v>222138</v>
      </c>
      <c r="K1599" s="48">
        <v>222217</v>
      </c>
      <c r="L1599" s="48">
        <v>222251</v>
      </c>
      <c r="M1599" s="48">
        <v>222341</v>
      </c>
      <c r="N1599" s="48">
        <v>222448</v>
      </c>
      <c r="O1599" s="48" t="s">
        <v>320</v>
      </c>
      <c r="P1599" s="48">
        <v>222757</v>
      </c>
      <c r="Q1599" s="48">
        <v>222887</v>
      </c>
      <c r="R1599" s="48">
        <v>222971</v>
      </c>
      <c r="S1599" s="48">
        <v>223225</v>
      </c>
      <c r="T1599" s="48">
        <v>223292</v>
      </c>
      <c r="U1599" s="48">
        <v>223348</v>
      </c>
      <c r="V1599" s="48" t="s">
        <v>320</v>
      </c>
      <c r="W1599" s="48">
        <v>223477</v>
      </c>
      <c r="X1599" s="48">
        <v>223574</v>
      </c>
      <c r="Y1599" s="48">
        <v>223712</v>
      </c>
      <c r="Z1599" s="48">
        <v>223805</v>
      </c>
      <c r="AA1599" s="48">
        <v>223937</v>
      </c>
      <c r="AB1599" s="48">
        <v>224122</v>
      </c>
      <c r="AC1599" s="48">
        <v>224230</v>
      </c>
      <c r="AD1599" s="48">
        <v>224399</v>
      </c>
      <c r="AE1599" s="48">
        <v>224592</v>
      </c>
      <c r="AF1599" s="48">
        <v>224773</v>
      </c>
      <c r="AG1599" s="48">
        <v>224928</v>
      </c>
      <c r="AH1599" s="48">
        <v>225081</v>
      </c>
      <c r="AI1599" s="48">
        <v>225145</v>
      </c>
      <c r="AP1599" cm="1">
        <f t="array" ref="AP1599">IF(AQ1599="","",SUM(IFERROR(H1599:AL1599-H1598:AL1598,0))*AQ1599/100)</f>
        <v>391.95</v>
      </c>
      <c r="AQ1599">
        <f>_xlfn.XLOOKUP(D1599,log_prices!M:M,log_prices!L:L,,0)</f>
        <v>15</v>
      </c>
      <c r="AS1599" cm="1">
        <f t="array" ref="AS1599">IF(AQ1599="","",SUM(IFERROR(H1599:AL1599-H1598:AL1598,0)))</f>
        <v>2613</v>
      </c>
    </row>
    <row r="1600" spans="1:45" hidden="1" x14ac:dyDescent="0.25">
      <c r="A1600">
        <v>1599</v>
      </c>
      <c r="B1600">
        <v>2026</v>
      </c>
      <c r="C1600">
        <v>2</v>
      </c>
      <c r="D1600" t="s">
        <v>177</v>
      </c>
      <c r="E1600">
        <v>31</v>
      </c>
      <c r="F1600">
        <v>13</v>
      </c>
      <c r="G1600" t="s">
        <v>432</v>
      </c>
      <c r="H1600" s="48">
        <v>939762</v>
      </c>
      <c r="I1600" s="48">
        <v>939860</v>
      </c>
      <c r="J1600" s="48">
        <v>939957</v>
      </c>
      <c r="K1600" s="48">
        <v>940058</v>
      </c>
      <c r="L1600" s="48">
        <v>940138</v>
      </c>
      <c r="M1600" s="48">
        <v>940231</v>
      </c>
      <c r="N1600" s="48">
        <v>940330</v>
      </c>
      <c r="O1600" s="48">
        <v>940437</v>
      </c>
      <c r="P1600" s="48">
        <v>940535</v>
      </c>
      <c r="Q1600" s="48">
        <v>940595</v>
      </c>
      <c r="R1600" s="48">
        <v>940655</v>
      </c>
      <c r="S1600" s="48">
        <v>940720</v>
      </c>
      <c r="T1600" s="48">
        <v>940812</v>
      </c>
      <c r="U1600" s="48">
        <v>940904</v>
      </c>
      <c r="V1600" s="48">
        <v>940986</v>
      </c>
      <c r="W1600" s="48">
        <v>941076</v>
      </c>
      <c r="X1600" s="48">
        <v>941148</v>
      </c>
      <c r="Y1600" s="48">
        <v>941237</v>
      </c>
      <c r="Z1600" s="48">
        <v>941324</v>
      </c>
      <c r="AA1600" s="48">
        <v>941421</v>
      </c>
      <c r="AB1600" s="48">
        <v>941508</v>
      </c>
      <c r="AC1600" s="48">
        <v>941599</v>
      </c>
      <c r="AD1600" s="48">
        <v>941687</v>
      </c>
      <c r="AE1600" s="48">
        <v>941785</v>
      </c>
      <c r="AF1600" s="48">
        <v>941904</v>
      </c>
      <c r="AG1600" s="48">
        <v>942000</v>
      </c>
      <c r="AH1600" s="48">
        <v>942084</v>
      </c>
      <c r="AI1600" s="48">
        <v>942173</v>
      </c>
    </row>
    <row r="1601" spans="1:45" hidden="1" x14ac:dyDescent="0.25">
      <c r="A1601">
        <v>1600</v>
      </c>
      <c r="B1601">
        <v>2026</v>
      </c>
      <c r="C1601">
        <v>2</v>
      </c>
      <c r="D1601" t="s">
        <v>177</v>
      </c>
      <c r="E1601">
        <v>31</v>
      </c>
      <c r="F1601">
        <v>13</v>
      </c>
      <c r="G1601" t="s">
        <v>433</v>
      </c>
      <c r="H1601" s="48">
        <v>939860</v>
      </c>
      <c r="I1601" s="48">
        <v>939957</v>
      </c>
      <c r="J1601" s="48">
        <v>940058</v>
      </c>
      <c r="K1601" s="48">
        <v>940138</v>
      </c>
      <c r="L1601" s="48">
        <v>940231</v>
      </c>
      <c r="M1601" s="48">
        <v>940330</v>
      </c>
      <c r="N1601" s="48">
        <v>940437</v>
      </c>
      <c r="O1601" s="48">
        <v>940535</v>
      </c>
      <c r="P1601" s="48">
        <v>940595</v>
      </c>
      <c r="Q1601" s="48">
        <v>940655</v>
      </c>
      <c r="R1601" s="48">
        <v>940720</v>
      </c>
      <c r="S1601" s="48">
        <v>940812</v>
      </c>
      <c r="T1601" s="48">
        <v>940904</v>
      </c>
      <c r="U1601" s="48">
        <v>940986</v>
      </c>
      <c r="V1601" s="48">
        <v>941076</v>
      </c>
      <c r="W1601" s="48">
        <v>941148</v>
      </c>
      <c r="X1601" s="48">
        <v>941237</v>
      </c>
      <c r="Y1601" s="48">
        <v>941324</v>
      </c>
      <c r="Z1601" s="48">
        <v>941421</v>
      </c>
      <c r="AA1601" s="48">
        <v>941508</v>
      </c>
      <c r="AB1601" s="48">
        <v>941599</v>
      </c>
      <c r="AC1601" s="48">
        <v>941687</v>
      </c>
      <c r="AD1601" s="48">
        <v>941785</v>
      </c>
      <c r="AE1601" s="48">
        <v>941904</v>
      </c>
      <c r="AF1601" s="48">
        <v>942000</v>
      </c>
      <c r="AG1601" s="48">
        <v>942084</v>
      </c>
      <c r="AH1601" s="48">
        <v>942173</v>
      </c>
      <c r="AI1601" s="48">
        <v>942262</v>
      </c>
      <c r="AP1601" cm="1">
        <f t="array" ref="AP1601">IF(AQ1601="","",SUM(IFERROR(H1601:AL1601-H1600:AL1600,0))*AQ1601/100)</f>
        <v>375</v>
      </c>
      <c r="AQ1601">
        <f>_xlfn.XLOOKUP(D1601,log_prices!M:M,log_prices!L:L,,0)</f>
        <v>15</v>
      </c>
      <c r="AS1601" cm="1">
        <f t="array" ref="AS1601">IF(AQ1601="","",SUM(IFERROR(H1601:AL1601-H1600:AL1600,0)))</f>
        <v>2500</v>
      </c>
    </row>
    <row r="1602" spans="1:45" hidden="1" x14ac:dyDescent="0.25">
      <c r="A1602">
        <v>1601</v>
      </c>
      <c r="B1602">
        <v>2026</v>
      </c>
      <c r="C1602">
        <v>2</v>
      </c>
      <c r="D1602" t="s">
        <v>169</v>
      </c>
      <c r="E1602">
        <v>31</v>
      </c>
      <c r="F1602">
        <v>13</v>
      </c>
      <c r="G1602" t="s">
        <v>432</v>
      </c>
      <c r="H1602" s="48">
        <v>256424</v>
      </c>
      <c r="I1602" s="48">
        <v>256472</v>
      </c>
      <c r="J1602" s="48">
        <v>256515</v>
      </c>
      <c r="K1602" s="48">
        <v>256554</v>
      </c>
      <c r="L1602" s="48">
        <v>256727</v>
      </c>
      <c r="M1602" s="48">
        <v>256813</v>
      </c>
      <c r="N1602" s="48">
        <v>256856</v>
      </c>
      <c r="O1602" s="48">
        <v>257051</v>
      </c>
      <c r="P1602" s="48">
        <v>257156</v>
      </c>
      <c r="Q1602" s="48">
        <v>257225</v>
      </c>
      <c r="R1602" s="48">
        <v>257352</v>
      </c>
      <c r="S1602" s="48">
        <v>257543</v>
      </c>
      <c r="T1602" s="48">
        <v>257762</v>
      </c>
      <c r="U1602" s="48">
        <v>257854</v>
      </c>
      <c r="V1602" s="48" t="s">
        <v>320</v>
      </c>
      <c r="W1602" s="48">
        <v>258042</v>
      </c>
      <c r="X1602" s="48">
        <v>258119</v>
      </c>
      <c r="Y1602" s="48">
        <v>258150</v>
      </c>
      <c r="Z1602" s="48">
        <v>258191</v>
      </c>
      <c r="AA1602" s="48">
        <v>258214</v>
      </c>
      <c r="AB1602" s="48">
        <v>258251</v>
      </c>
      <c r="AC1602" s="48">
        <v>258417</v>
      </c>
      <c r="AD1602" s="48">
        <v>258505</v>
      </c>
      <c r="AE1602" s="48">
        <v>258570</v>
      </c>
      <c r="AF1602" s="48">
        <v>258732</v>
      </c>
      <c r="AG1602" s="48">
        <v>258915</v>
      </c>
      <c r="AH1602" s="48">
        <v>258950</v>
      </c>
      <c r="AI1602" s="48">
        <v>259028</v>
      </c>
    </row>
    <row r="1603" spans="1:45" hidden="1" x14ac:dyDescent="0.25">
      <c r="A1603">
        <v>1602</v>
      </c>
      <c r="B1603">
        <v>2026</v>
      </c>
      <c r="C1603">
        <v>2</v>
      </c>
      <c r="D1603" t="s">
        <v>169</v>
      </c>
      <c r="E1603">
        <v>31</v>
      </c>
      <c r="F1603">
        <v>13</v>
      </c>
      <c r="G1603" t="s">
        <v>433</v>
      </c>
      <c r="H1603" s="48">
        <v>256472</v>
      </c>
      <c r="I1603" s="48">
        <v>256515</v>
      </c>
      <c r="J1603" s="48">
        <v>256554</v>
      </c>
      <c r="K1603" s="48">
        <v>256616</v>
      </c>
      <c r="L1603" s="48">
        <v>256813</v>
      </c>
      <c r="M1603" s="48">
        <v>256856</v>
      </c>
      <c r="N1603" s="48">
        <v>256968</v>
      </c>
      <c r="O1603" s="48">
        <v>257156</v>
      </c>
      <c r="P1603" s="48">
        <v>257225</v>
      </c>
      <c r="Q1603" s="48">
        <v>257323</v>
      </c>
      <c r="R1603" s="48">
        <v>257465</v>
      </c>
      <c r="S1603" s="48">
        <v>257684</v>
      </c>
      <c r="T1603" s="48">
        <v>257854</v>
      </c>
      <c r="U1603" s="48">
        <v>257992</v>
      </c>
      <c r="V1603" s="48" t="s">
        <v>320</v>
      </c>
      <c r="W1603" s="48">
        <v>258119</v>
      </c>
      <c r="X1603" s="48">
        <v>258150</v>
      </c>
      <c r="Y1603" s="48">
        <v>258191</v>
      </c>
      <c r="Z1603" s="48">
        <v>258214</v>
      </c>
      <c r="AA1603" s="48">
        <v>258251</v>
      </c>
      <c r="AB1603" s="48">
        <v>258362</v>
      </c>
      <c r="AC1603" s="48">
        <v>258505</v>
      </c>
      <c r="AD1603" s="48">
        <v>258570</v>
      </c>
      <c r="AE1603" s="48">
        <v>258687</v>
      </c>
      <c r="AF1603" s="48">
        <v>258915</v>
      </c>
      <c r="AG1603" s="48">
        <v>258950</v>
      </c>
      <c r="AH1603" s="48">
        <v>258989</v>
      </c>
      <c r="AI1603" s="48">
        <v>259082</v>
      </c>
      <c r="AP1603" cm="1">
        <f t="array" ref="AP1603">IF(AQ1603="","",SUM(IFERROR(H1603:AL1603-H1602:AL1602,0))*AQ1603/100)</f>
        <v>313.49999999999994</v>
      </c>
      <c r="AQ1603">
        <f>_xlfn.XLOOKUP(D1603,log_prices!M:M,log_prices!L:L,,0)</f>
        <v>14.999999999999998</v>
      </c>
      <c r="AS1603" cm="1">
        <f t="array" ref="AS1603">IF(AQ1603="","",SUM(IFERROR(H1603:AL1603-H1602:AL1602,0)))</f>
        <v>2090</v>
      </c>
    </row>
    <row r="1604" spans="1:45" hidden="1" x14ac:dyDescent="0.25">
      <c r="A1604">
        <v>1603</v>
      </c>
      <c r="B1604">
        <v>2026</v>
      </c>
      <c r="C1604">
        <v>2</v>
      </c>
      <c r="D1604" t="s">
        <v>170</v>
      </c>
      <c r="E1604">
        <v>31</v>
      </c>
      <c r="F1604">
        <v>13</v>
      </c>
      <c r="G1604" t="s">
        <v>432</v>
      </c>
      <c r="H1604" s="48">
        <v>390544</v>
      </c>
      <c r="I1604" s="48">
        <v>390624</v>
      </c>
      <c r="J1604" s="48">
        <v>390796</v>
      </c>
      <c r="K1604" s="48">
        <v>390933</v>
      </c>
      <c r="L1604" s="48">
        <v>391003</v>
      </c>
      <c r="M1604" s="48">
        <v>391166</v>
      </c>
      <c r="N1604" s="48">
        <v>391373</v>
      </c>
      <c r="O1604" s="48">
        <v>391589</v>
      </c>
      <c r="P1604" s="48">
        <v>391791</v>
      </c>
      <c r="Q1604" s="48">
        <v>391967</v>
      </c>
      <c r="R1604" s="48">
        <v>392104</v>
      </c>
      <c r="S1604" s="48">
        <v>392242</v>
      </c>
      <c r="T1604" s="48">
        <v>392380</v>
      </c>
      <c r="U1604" s="48">
        <v>392636</v>
      </c>
      <c r="V1604" s="48">
        <v>392796</v>
      </c>
      <c r="W1604" s="48">
        <v>392959</v>
      </c>
      <c r="X1604" s="48">
        <v>393137</v>
      </c>
      <c r="Y1604" s="48">
        <v>393275</v>
      </c>
      <c r="Z1604" s="48">
        <v>393413</v>
      </c>
      <c r="AA1604" s="48">
        <v>393552</v>
      </c>
      <c r="AB1604" s="48">
        <v>393723</v>
      </c>
      <c r="AC1604" s="48">
        <v>393930</v>
      </c>
      <c r="AD1604" s="48">
        <v>394141</v>
      </c>
      <c r="AE1604" s="48">
        <v>394315</v>
      </c>
      <c r="AF1604" s="48">
        <v>394454</v>
      </c>
      <c r="AG1604" s="48">
        <v>394592</v>
      </c>
      <c r="AH1604" s="48">
        <v>394730</v>
      </c>
      <c r="AI1604" s="48">
        <v>394901</v>
      </c>
    </row>
    <row r="1605" spans="1:45" hidden="1" x14ac:dyDescent="0.25">
      <c r="A1605">
        <v>1604</v>
      </c>
      <c r="B1605">
        <v>2026</v>
      </c>
      <c r="C1605">
        <v>2</v>
      </c>
      <c r="D1605" t="s">
        <v>170</v>
      </c>
      <c r="E1605">
        <v>31</v>
      </c>
      <c r="F1605">
        <v>13</v>
      </c>
      <c r="G1605" t="s">
        <v>433</v>
      </c>
      <c r="H1605" s="48">
        <v>390624</v>
      </c>
      <c r="I1605" s="48">
        <v>390796</v>
      </c>
      <c r="J1605" s="48">
        <v>390933</v>
      </c>
      <c r="K1605" s="48">
        <v>391003</v>
      </c>
      <c r="L1605" s="48">
        <v>391166</v>
      </c>
      <c r="M1605" s="48">
        <v>391373</v>
      </c>
      <c r="N1605" s="48">
        <v>391589</v>
      </c>
      <c r="O1605" s="48">
        <v>391791</v>
      </c>
      <c r="P1605" s="48">
        <v>391967</v>
      </c>
      <c r="Q1605" s="48">
        <v>392104</v>
      </c>
      <c r="R1605" s="48">
        <v>392242</v>
      </c>
      <c r="S1605" s="48">
        <v>392380</v>
      </c>
      <c r="T1605" s="48">
        <v>392636</v>
      </c>
      <c r="U1605" s="48">
        <v>392796</v>
      </c>
      <c r="V1605" s="48">
        <v>392959</v>
      </c>
      <c r="W1605" s="48">
        <v>393137</v>
      </c>
      <c r="X1605" s="48">
        <v>393275</v>
      </c>
      <c r="Y1605" s="48">
        <v>393413</v>
      </c>
      <c r="Z1605" s="48">
        <v>393552</v>
      </c>
      <c r="AA1605" s="48">
        <v>393723</v>
      </c>
      <c r="AB1605" s="48">
        <v>393930</v>
      </c>
      <c r="AC1605" s="48">
        <v>394141</v>
      </c>
      <c r="AD1605" s="48">
        <v>394315</v>
      </c>
      <c r="AE1605" s="48">
        <v>394454</v>
      </c>
      <c r="AF1605" s="48">
        <v>394592</v>
      </c>
      <c r="AG1605" s="48">
        <v>394730</v>
      </c>
      <c r="AH1605" s="48">
        <v>394901</v>
      </c>
      <c r="AI1605" s="48">
        <v>395104</v>
      </c>
      <c r="AP1605" cm="1">
        <f t="array" ref="AP1605">IF(AQ1605="","",SUM(IFERROR(H1605:AL1605-H1604:AL1604,0))*AQ1605/100)</f>
        <v>820.79999999999984</v>
      </c>
      <c r="AQ1605">
        <f>_xlfn.XLOOKUP(D1605,log_prices!M:M,log_prices!L:L,,0)</f>
        <v>17.999999999999996</v>
      </c>
      <c r="AS1605" cm="1">
        <f t="array" ref="AS1605">IF(AQ1605="","",SUM(IFERROR(H1605:AL1605-H1604:AL1604,0)))</f>
        <v>4560</v>
      </c>
    </row>
    <row r="1606" spans="1:45" hidden="1" x14ac:dyDescent="0.25">
      <c r="A1606">
        <v>1605</v>
      </c>
      <c r="B1606">
        <v>2026</v>
      </c>
      <c r="C1606">
        <v>2</v>
      </c>
      <c r="D1606" t="s">
        <v>354</v>
      </c>
      <c r="E1606">
        <v>31</v>
      </c>
      <c r="F1606">
        <v>13</v>
      </c>
      <c r="G1606" t="s">
        <v>432</v>
      </c>
      <c r="H1606" s="48">
        <v>261287</v>
      </c>
      <c r="I1606" s="48">
        <v>261406</v>
      </c>
      <c r="J1606" s="48">
        <v>261511</v>
      </c>
      <c r="K1606" s="48">
        <v>261613</v>
      </c>
      <c r="L1606" s="48">
        <v>261675</v>
      </c>
      <c r="M1606" s="48">
        <v>261758</v>
      </c>
      <c r="N1606" s="48">
        <v>261872</v>
      </c>
      <c r="O1606" s="48">
        <v>261996</v>
      </c>
      <c r="P1606" s="48">
        <v>262101</v>
      </c>
      <c r="Q1606" s="48">
        <v>262224</v>
      </c>
      <c r="R1606" s="48">
        <v>262311</v>
      </c>
      <c r="S1606" s="48">
        <v>262388</v>
      </c>
      <c r="T1606" s="48">
        <v>262477</v>
      </c>
      <c r="U1606" s="48">
        <v>262610</v>
      </c>
      <c r="V1606" s="48" t="s">
        <v>320</v>
      </c>
      <c r="W1606" s="48">
        <v>262746</v>
      </c>
      <c r="X1606" s="48">
        <v>262839</v>
      </c>
      <c r="Y1606" s="48">
        <v>262955</v>
      </c>
      <c r="Z1606" s="48">
        <v>263065</v>
      </c>
      <c r="AA1606" s="48">
        <v>263177</v>
      </c>
      <c r="AB1606" s="48">
        <v>263303</v>
      </c>
      <c r="AC1606" s="48">
        <v>263417</v>
      </c>
      <c r="AD1606" s="48">
        <v>263532</v>
      </c>
      <c r="AE1606" s="48">
        <v>263657</v>
      </c>
      <c r="AF1606" s="48">
        <v>263771</v>
      </c>
      <c r="AG1606" s="48">
        <v>263895</v>
      </c>
      <c r="AH1606" s="48">
        <v>264014</v>
      </c>
      <c r="AI1606" s="48">
        <v>264131</v>
      </c>
    </row>
    <row r="1607" spans="1:45" hidden="1" x14ac:dyDescent="0.25">
      <c r="A1607">
        <v>1606</v>
      </c>
      <c r="B1607">
        <v>2026</v>
      </c>
      <c r="C1607">
        <v>2</v>
      </c>
      <c r="D1607" t="s">
        <v>354</v>
      </c>
      <c r="E1607">
        <v>31</v>
      </c>
      <c r="F1607">
        <v>13</v>
      </c>
      <c r="G1607" t="s">
        <v>433</v>
      </c>
      <c r="H1607" s="48">
        <v>261406</v>
      </c>
      <c r="I1607" s="48">
        <v>261511</v>
      </c>
      <c r="J1607" s="48">
        <v>261613</v>
      </c>
      <c r="K1607" s="48">
        <v>261675</v>
      </c>
      <c r="L1607" s="48">
        <v>261758</v>
      </c>
      <c r="M1607" s="48">
        <v>261872</v>
      </c>
      <c r="N1607" s="48">
        <v>261996</v>
      </c>
      <c r="O1607" s="48">
        <v>262101</v>
      </c>
      <c r="P1607" s="48">
        <v>262224</v>
      </c>
      <c r="Q1607" s="48">
        <v>262311</v>
      </c>
      <c r="R1607" s="48">
        <v>262388</v>
      </c>
      <c r="S1607" s="48">
        <v>262477</v>
      </c>
      <c r="T1607" s="48">
        <v>262610</v>
      </c>
      <c r="U1607" s="48">
        <v>262746</v>
      </c>
      <c r="V1607" s="48" t="s">
        <v>320</v>
      </c>
      <c r="W1607" s="48">
        <v>262839</v>
      </c>
      <c r="X1607" s="48">
        <v>262955</v>
      </c>
      <c r="Y1607" s="48">
        <v>263065</v>
      </c>
      <c r="Z1607" s="48">
        <v>263177</v>
      </c>
      <c r="AA1607" s="48">
        <v>263303</v>
      </c>
      <c r="AB1607" s="48">
        <v>263417</v>
      </c>
      <c r="AC1607" s="48">
        <v>263532</v>
      </c>
      <c r="AD1607" s="48">
        <v>263657</v>
      </c>
      <c r="AE1607" s="48">
        <v>263771</v>
      </c>
      <c r="AF1607" s="48">
        <v>263895</v>
      </c>
      <c r="AG1607" s="48">
        <v>264014</v>
      </c>
      <c r="AH1607" s="48">
        <v>264131</v>
      </c>
      <c r="AI1607" s="48">
        <v>264213</v>
      </c>
      <c r="AP1607" cm="1">
        <f t="array" ref="AP1607">IF(AQ1607="","",SUM(IFERROR(H1607:AL1607-H1606:AL1606,0))*AQ1607/100)</f>
        <v>438.9</v>
      </c>
      <c r="AQ1607">
        <f>_xlfn.XLOOKUP(D1607,log_prices!M:M,log_prices!L:L,,0)</f>
        <v>15</v>
      </c>
      <c r="AS1607" cm="1">
        <f t="array" ref="AS1607">IF(AQ1607="","",SUM(IFERROR(H1607:AL1607-H1606:AL1606,0)))</f>
        <v>2926</v>
      </c>
    </row>
    <row r="1608" spans="1:45" hidden="1" x14ac:dyDescent="0.25">
      <c r="A1608">
        <v>1607</v>
      </c>
      <c r="B1608">
        <v>2026</v>
      </c>
      <c r="C1608">
        <v>2</v>
      </c>
      <c r="D1608" t="s">
        <v>144</v>
      </c>
      <c r="E1608">
        <v>31</v>
      </c>
      <c r="F1608">
        <v>13</v>
      </c>
      <c r="G1608" t="s">
        <v>432</v>
      </c>
      <c r="H1608" s="48">
        <v>392799</v>
      </c>
      <c r="I1608" s="48">
        <v>392957</v>
      </c>
      <c r="J1608" s="48">
        <v>393132</v>
      </c>
      <c r="K1608" s="48">
        <v>393188</v>
      </c>
      <c r="L1608" s="48">
        <v>393490</v>
      </c>
      <c r="M1608" s="48">
        <v>393632</v>
      </c>
      <c r="N1608" s="48">
        <v>393679</v>
      </c>
      <c r="O1608" s="48">
        <v>393891</v>
      </c>
      <c r="P1608" s="48">
        <v>394010</v>
      </c>
      <c r="Q1608" s="48">
        <v>394156</v>
      </c>
      <c r="R1608" s="48">
        <v>394304</v>
      </c>
      <c r="S1608" s="48">
        <v>394521</v>
      </c>
      <c r="T1608" s="48">
        <v>394678</v>
      </c>
      <c r="U1608" s="48">
        <v>394873</v>
      </c>
      <c r="V1608" s="48" t="s">
        <v>320</v>
      </c>
      <c r="W1608" s="48">
        <v>395223</v>
      </c>
      <c r="X1608" s="48">
        <v>395659</v>
      </c>
      <c r="Y1608" s="48">
        <v>395807</v>
      </c>
      <c r="Z1608" s="48">
        <v>395935</v>
      </c>
      <c r="AA1608" s="48">
        <v>396103</v>
      </c>
      <c r="AB1608" s="48">
        <v>396192</v>
      </c>
      <c r="AC1608" s="48">
        <v>396491</v>
      </c>
      <c r="AD1608" s="48">
        <v>396517</v>
      </c>
      <c r="AE1608" s="48">
        <v>396549</v>
      </c>
      <c r="AF1608" s="48">
        <v>396602</v>
      </c>
      <c r="AG1608" s="48">
        <v>396716</v>
      </c>
      <c r="AH1608" s="48">
        <v>396913</v>
      </c>
      <c r="AI1608" s="48">
        <v>397079</v>
      </c>
    </row>
    <row r="1609" spans="1:45" hidden="1" x14ac:dyDescent="0.25">
      <c r="A1609">
        <v>1608</v>
      </c>
      <c r="B1609">
        <v>2026</v>
      </c>
      <c r="C1609">
        <v>2</v>
      </c>
      <c r="D1609" t="s">
        <v>144</v>
      </c>
      <c r="E1609">
        <v>31</v>
      </c>
      <c r="F1609">
        <v>13</v>
      </c>
      <c r="G1609" t="s">
        <v>433</v>
      </c>
      <c r="H1609" s="48">
        <v>392924</v>
      </c>
      <c r="I1609" s="48">
        <v>393125</v>
      </c>
      <c r="J1609" s="48">
        <v>393184</v>
      </c>
      <c r="K1609" s="48">
        <v>393488</v>
      </c>
      <c r="L1609" s="48">
        <v>393631</v>
      </c>
      <c r="M1609" s="48">
        <v>393679</v>
      </c>
      <c r="N1609" s="48">
        <v>393891</v>
      </c>
      <c r="O1609" s="48">
        <v>394010</v>
      </c>
      <c r="P1609" s="48">
        <v>394156</v>
      </c>
      <c r="Q1609" s="48">
        <v>394292</v>
      </c>
      <c r="R1609" s="48">
        <v>394521</v>
      </c>
      <c r="S1609" s="48">
        <v>394646</v>
      </c>
      <c r="T1609" s="48">
        <v>394781</v>
      </c>
      <c r="U1609" s="48">
        <v>394997</v>
      </c>
      <c r="V1609" s="48" t="s">
        <v>320</v>
      </c>
      <c r="W1609" s="48">
        <v>395309</v>
      </c>
      <c r="X1609" s="48">
        <v>395696</v>
      </c>
      <c r="Y1609" s="48">
        <v>395935</v>
      </c>
      <c r="Z1609" s="48">
        <v>396024</v>
      </c>
      <c r="AA1609" s="48">
        <v>396192</v>
      </c>
      <c r="AB1609" s="48">
        <v>396406</v>
      </c>
      <c r="AC1609" s="48">
        <v>396517</v>
      </c>
      <c r="AD1609" s="48">
        <v>396549</v>
      </c>
      <c r="AE1609" s="48">
        <v>396602</v>
      </c>
      <c r="AF1609" s="48">
        <v>396716</v>
      </c>
      <c r="AG1609" s="48">
        <v>396825</v>
      </c>
      <c r="AH1609" s="48">
        <v>397079</v>
      </c>
      <c r="AI1609" s="48">
        <v>397109</v>
      </c>
      <c r="AP1609" cm="1">
        <f t="array" ref="AP1609">IF(AQ1609="","",SUM(IFERROR(H1609:AL1609-H1608:AL1608,0))*AQ1609/100)</f>
        <v>478.2</v>
      </c>
      <c r="AQ1609">
        <f>_xlfn.XLOOKUP(D1609,log_prices!M:M,log_prices!L:L,,0)</f>
        <v>15</v>
      </c>
      <c r="AS1609" cm="1">
        <f t="array" ref="AS1609">IF(AQ1609="","",SUM(IFERROR(H1609:AL1609-H1608:AL1608,0)))</f>
        <v>3188</v>
      </c>
    </row>
    <row r="1610" spans="1:45" hidden="1" x14ac:dyDescent="0.25">
      <c r="A1610">
        <v>1609</v>
      </c>
      <c r="B1610">
        <v>2026</v>
      </c>
      <c r="C1610">
        <v>2</v>
      </c>
      <c r="D1610" t="s">
        <v>129</v>
      </c>
      <c r="E1610">
        <v>31</v>
      </c>
      <c r="F1610">
        <v>13</v>
      </c>
      <c r="G1610" t="s">
        <v>432</v>
      </c>
      <c r="H1610" s="48">
        <v>500565</v>
      </c>
      <c r="I1610" s="48">
        <v>500599</v>
      </c>
      <c r="J1610" s="48">
        <v>500640</v>
      </c>
      <c r="K1610" s="48">
        <v>500776</v>
      </c>
      <c r="L1610" s="48">
        <v>500965</v>
      </c>
      <c r="M1610" s="48">
        <v>501028</v>
      </c>
      <c r="N1610" s="48">
        <v>501073</v>
      </c>
      <c r="O1610" s="48">
        <v>501122</v>
      </c>
      <c r="P1610" s="48">
        <v>501167</v>
      </c>
      <c r="Q1610" s="48">
        <v>501221</v>
      </c>
      <c r="R1610" s="48">
        <v>501408</v>
      </c>
      <c r="S1610" s="48">
        <v>501583</v>
      </c>
      <c r="T1610" s="48">
        <v>501681</v>
      </c>
      <c r="U1610" s="48">
        <v>501799</v>
      </c>
      <c r="V1610" s="48" t="s">
        <v>320</v>
      </c>
      <c r="W1610" s="48">
        <v>502151</v>
      </c>
      <c r="X1610" s="48">
        <v>502233</v>
      </c>
      <c r="Y1610" s="48">
        <v>502274</v>
      </c>
      <c r="Z1610" s="48">
        <v>502392</v>
      </c>
      <c r="AA1610" s="48">
        <v>502417</v>
      </c>
      <c r="AB1610" s="48">
        <v>502442</v>
      </c>
      <c r="AC1610" s="48">
        <v>502472</v>
      </c>
      <c r="AD1610" s="48" t="s">
        <v>320</v>
      </c>
      <c r="AE1610" s="48">
        <v>502653</v>
      </c>
      <c r="AF1610" s="48">
        <v>502724</v>
      </c>
      <c r="AG1610" s="48">
        <v>502784</v>
      </c>
      <c r="AH1610" s="48">
        <v>502862</v>
      </c>
      <c r="AI1610" s="48">
        <v>503146</v>
      </c>
    </row>
    <row r="1611" spans="1:45" hidden="1" x14ac:dyDescent="0.25">
      <c r="A1611">
        <v>1610</v>
      </c>
      <c r="B1611">
        <v>2026</v>
      </c>
      <c r="C1611">
        <v>2</v>
      </c>
      <c r="D1611" t="s">
        <v>129</v>
      </c>
      <c r="E1611">
        <v>31</v>
      </c>
      <c r="F1611">
        <v>13</v>
      </c>
      <c r="G1611" t="s">
        <v>433</v>
      </c>
      <c r="H1611" s="48">
        <v>500599</v>
      </c>
      <c r="I1611" s="48">
        <v>500640</v>
      </c>
      <c r="J1611" s="48">
        <v>500703</v>
      </c>
      <c r="K1611" s="48">
        <v>500965</v>
      </c>
      <c r="L1611" s="48">
        <v>501028</v>
      </c>
      <c r="M1611" s="48">
        <v>501073</v>
      </c>
      <c r="N1611" s="48">
        <v>501122</v>
      </c>
      <c r="O1611" s="48">
        <v>501166</v>
      </c>
      <c r="P1611" s="48">
        <v>501221</v>
      </c>
      <c r="Q1611" s="48">
        <v>501391</v>
      </c>
      <c r="R1611" s="48">
        <v>501500</v>
      </c>
      <c r="S1611" s="48">
        <v>501681</v>
      </c>
      <c r="T1611" s="48">
        <v>501732</v>
      </c>
      <c r="U1611" s="48">
        <v>501913</v>
      </c>
      <c r="V1611" s="48" t="s">
        <v>320</v>
      </c>
      <c r="W1611" s="48">
        <v>502233</v>
      </c>
      <c r="X1611" s="48">
        <v>502274</v>
      </c>
      <c r="Y1611" s="48">
        <v>502392</v>
      </c>
      <c r="Z1611" s="48">
        <v>502417</v>
      </c>
      <c r="AA1611" s="48">
        <v>502442</v>
      </c>
      <c r="AB1611" s="48">
        <v>502472</v>
      </c>
      <c r="AC1611" s="48">
        <v>502560</v>
      </c>
      <c r="AD1611" s="48" t="s">
        <v>320</v>
      </c>
      <c r="AE1611" s="48">
        <v>502724</v>
      </c>
      <c r="AF1611" s="48">
        <v>502784</v>
      </c>
      <c r="AG1611" s="48">
        <v>502840</v>
      </c>
      <c r="AH1611" s="48">
        <v>502935</v>
      </c>
      <c r="AI1611" s="48">
        <v>503238</v>
      </c>
      <c r="AP1611" cm="1">
        <f t="array" ref="AP1611">IF(AQ1611="","",SUM(IFERROR(H1611:AL1611-H1610:AL1610,0))*AQ1611/100)</f>
        <v>280.2</v>
      </c>
      <c r="AQ1611">
        <f>_xlfn.XLOOKUP(D1611,log_prices!M:M,log_prices!L:L,,0)</f>
        <v>15</v>
      </c>
      <c r="AS1611" cm="1">
        <f t="array" ref="AS1611">IF(AQ1611="","",SUM(IFERROR(H1611:AL1611-H1610:AL1610,0)))</f>
        <v>1868</v>
      </c>
    </row>
    <row r="1612" spans="1:45" hidden="1" x14ac:dyDescent="0.25">
      <c r="A1612">
        <v>1611</v>
      </c>
      <c r="B1612">
        <v>2026</v>
      </c>
      <c r="C1612">
        <v>2</v>
      </c>
      <c r="D1612" t="s">
        <v>355</v>
      </c>
      <c r="E1612">
        <v>31</v>
      </c>
      <c r="F1612">
        <v>13</v>
      </c>
      <c r="G1612" t="s">
        <v>432</v>
      </c>
      <c r="H1612" s="48">
        <v>264618</v>
      </c>
      <c r="I1612" s="48">
        <v>264670</v>
      </c>
      <c r="J1612" s="48">
        <v>264699</v>
      </c>
      <c r="K1612" s="48">
        <v>264736</v>
      </c>
      <c r="L1612" s="48">
        <v>264751</v>
      </c>
      <c r="M1612" s="48">
        <v>264791</v>
      </c>
      <c r="N1612" s="48">
        <v>264833</v>
      </c>
      <c r="O1612" s="48">
        <v>264864</v>
      </c>
      <c r="P1612" s="48">
        <v>265077</v>
      </c>
      <c r="Q1612" s="48">
        <v>265132</v>
      </c>
      <c r="R1612" s="48">
        <v>265176</v>
      </c>
      <c r="S1612" s="48">
        <v>265218</v>
      </c>
      <c r="T1612" s="48">
        <v>265433</v>
      </c>
      <c r="U1612" s="48">
        <v>265489</v>
      </c>
      <c r="V1612" s="48" t="s">
        <v>320</v>
      </c>
      <c r="W1612" s="48">
        <v>265563</v>
      </c>
      <c r="X1612" s="48">
        <v>265598</v>
      </c>
      <c r="Y1612" s="48">
        <v>265642</v>
      </c>
      <c r="Z1612" s="48">
        <v>265673</v>
      </c>
      <c r="AA1612" s="48">
        <v>265710</v>
      </c>
      <c r="AB1612" s="48">
        <v>265754</v>
      </c>
      <c r="AC1612" s="48">
        <v>265788</v>
      </c>
      <c r="AD1612" s="48">
        <v>265833</v>
      </c>
      <c r="AE1612" s="48">
        <v>265861</v>
      </c>
      <c r="AF1612" s="48">
        <v>265908</v>
      </c>
      <c r="AG1612" s="48">
        <v>265965</v>
      </c>
      <c r="AH1612" s="48">
        <v>265996</v>
      </c>
      <c r="AI1612" s="48">
        <v>266035</v>
      </c>
    </row>
    <row r="1613" spans="1:45" hidden="1" x14ac:dyDescent="0.25">
      <c r="A1613">
        <v>1612</v>
      </c>
      <c r="B1613">
        <v>2026</v>
      </c>
      <c r="C1613">
        <v>2</v>
      </c>
      <c r="D1613" t="s">
        <v>355</v>
      </c>
      <c r="E1613">
        <v>31</v>
      </c>
      <c r="F1613">
        <v>13</v>
      </c>
      <c r="G1613" t="s">
        <v>433</v>
      </c>
      <c r="H1613" s="48">
        <v>264670</v>
      </c>
      <c r="I1613" s="48">
        <v>264699</v>
      </c>
      <c r="J1613" s="48">
        <v>264736</v>
      </c>
      <c r="K1613" s="48">
        <v>264751</v>
      </c>
      <c r="L1613" s="48">
        <v>264791</v>
      </c>
      <c r="M1613" s="48">
        <v>264833</v>
      </c>
      <c r="N1613" s="48">
        <v>264864</v>
      </c>
      <c r="O1613" s="48">
        <v>264960</v>
      </c>
      <c r="P1613" s="48">
        <v>265132</v>
      </c>
      <c r="Q1613" s="48">
        <v>265176</v>
      </c>
      <c r="R1613" s="48">
        <v>265218</v>
      </c>
      <c r="S1613" s="48">
        <v>265433</v>
      </c>
      <c r="T1613" s="48">
        <v>265489</v>
      </c>
      <c r="U1613" s="48">
        <v>265563</v>
      </c>
      <c r="V1613" s="48" t="s">
        <v>320</v>
      </c>
      <c r="W1613" s="48">
        <v>265598</v>
      </c>
      <c r="X1613" s="48">
        <v>265642</v>
      </c>
      <c r="Y1613" s="48">
        <v>265673</v>
      </c>
      <c r="Z1613" s="48">
        <v>265710</v>
      </c>
      <c r="AA1613" s="48">
        <v>265754</v>
      </c>
      <c r="AB1613" s="48">
        <v>265788</v>
      </c>
      <c r="AC1613" s="48">
        <v>265833</v>
      </c>
      <c r="AD1613" s="48">
        <v>265861</v>
      </c>
      <c r="AE1613" s="48">
        <v>265908</v>
      </c>
      <c r="AF1613" s="48">
        <v>265965</v>
      </c>
      <c r="AG1613" s="48">
        <v>265996</v>
      </c>
      <c r="AH1613" s="48">
        <v>266035</v>
      </c>
      <c r="AI1613" s="48">
        <v>266036</v>
      </c>
      <c r="AP1613" cm="1">
        <f t="array" ref="AP1613">IF(AQ1613="","",SUM(IFERROR(H1613:AL1613-H1612:AL1612,0))*AQ1613/100)</f>
        <v>195.15</v>
      </c>
      <c r="AQ1613">
        <f>_xlfn.XLOOKUP(D1613,log_prices!M:M,log_prices!L:L,,0)</f>
        <v>15</v>
      </c>
      <c r="AS1613" cm="1">
        <f t="array" ref="AS1613">IF(AQ1613="","",SUM(IFERROR(H1613:AL1613-H1612:AL1612,0)))</f>
        <v>1301</v>
      </c>
    </row>
    <row r="1614" spans="1:45" hidden="1" x14ac:dyDescent="0.25">
      <c r="A1614">
        <v>1613</v>
      </c>
      <c r="B1614">
        <v>2026</v>
      </c>
      <c r="C1614">
        <v>2</v>
      </c>
      <c r="D1614" t="s">
        <v>159</v>
      </c>
      <c r="E1614">
        <v>31</v>
      </c>
      <c r="F1614">
        <v>13</v>
      </c>
      <c r="G1614" t="s">
        <v>432</v>
      </c>
      <c r="H1614" s="48">
        <v>339191</v>
      </c>
      <c r="I1614" s="48">
        <v>339243</v>
      </c>
      <c r="J1614" s="48">
        <v>339299</v>
      </c>
      <c r="K1614" s="48">
        <v>339355</v>
      </c>
      <c r="L1614" s="48">
        <v>339362</v>
      </c>
      <c r="M1614" s="48">
        <v>339438</v>
      </c>
      <c r="N1614" s="48">
        <v>339489</v>
      </c>
      <c r="O1614" s="48">
        <v>339520</v>
      </c>
      <c r="P1614" s="48">
        <v>339560</v>
      </c>
      <c r="Q1614" s="48">
        <v>339619</v>
      </c>
      <c r="R1614" s="48">
        <v>339701</v>
      </c>
      <c r="S1614" s="48">
        <v>339737</v>
      </c>
      <c r="T1614" s="48">
        <v>339820</v>
      </c>
      <c r="U1614" s="48">
        <v>339855</v>
      </c>
      <c r="V1614" s="48" t="s">
        <v>320</v>
      </c>
      <c r="W1614" s="48">
        <v>339913</v>
      </c>
      <c r="X1614" s="48">
        <v>339939</v>
      </c>
      <c r="Y1614" s="48">
        <v>339993</v>
      </c>
      <c r="Z1614" s="48">
        <v>340029</v>
      </c>
      <c r="AA1614" s="48">
        <v>340072</v>
      </c>
      <c r="AB1614" s="48">
        <v>340121</v>
      </c>
      <c r="AC1614" s="48">
        <v>340173</v>
      </c>
      <c r="AD1614" s="48">
        <v>340222</v>
      </c>
      <c r="AE1614" s="48">
        <v>340285</v>
      </c>
      <c r="AF1614" s="48">
        <v>340330</v>
      </c>
      <c r="AG1614" s="48">
        <v>340375</v>
      </c>
      <c r="AH1614" s="48">
        <v>340409</v>
      </c>
      <c r="AI1614" s="48">
        <v>340451</v>
      </c>
    </row>
    <row r="1615" spans="1:45" hidden="1" x14ac:dyDescent="0.25">
      <c r="A1615">
        <v>1614</v>
      </c>
      <c r="B1615">
        <v>2026</v>
      </c>
      <c r="C1615">
        <v>2</v>
      </c>
      <c r="D1615" t="s">
        <v>159</v>
      </c>
      <c r="E1615">
        <v>31</v>
      </c>
      <c r="F1615">
        <v>13</v>
      </c>
      <c r="G1615" t="s">
        <v>433</v>
      </c>
      <c r="H1615" s="48">
        <v>339243</v>
      </c>
      <c r="I1615" s="48">
        <v>339299</v>
      </c>
      <c r="J1615" s="48">
        <v>339355</v>
      </c>
      <c r="K1615" s="48">
        <v>339362</v>
      </c>
      <c r="L1615" s="48">
        <v>339438</v>
      </c>
      <c r="M1615" s="48">
        <v>339489</v>
      </c>
      <c r="N1615" s="48">
        <v>339520</v>
      </c>
      <c r="O1615" s="48">
        <v>339560</v>
      </c>
      <c r="P1615" s="48">
        <v>339619</v>
      </c>
      <c r="Q1615" s="48">
        <v>339701</v>
      </c>
      <c r="R1615" s="48">
        <v>339725</v>
      </c>
      <c r="S1615" s="48">
        <v>339820</v>
      </c>
      <c r="T1615" s="48">
        <v>339855</v>
      </c>
      <c r="U1615" s="48">
        <v>339910</v>
      </c>
      <c r="V1615" s="48" t="s">
        <v>320</v>
      </c>
      <c r="W1615" s="48">
        <v>339932</v>
      </c>
      <c r="X1615" s="48">
        <v>339993</v>
      </c>
      <c r="Y1615" s="48">
        <v>340029</v>
      </c>
      <c r="Z1615" s="48">
        <v>340072</v>
      </c>
      <c r="AA1615" s="48">
        <v>340121</v>
      </c>
      <c r="AB1615" s="48">
        <v>340163</v>
      </c>
      <c r="AC1615" s="48">
        <v>340214</v>
      </c>
      <c r="AD1615" s="48">
        <v>340278</v>
      </c>
      <c r="AE1615" s="48">
        <v>340330</v>
      </c>
      <c r="AF1615" s="48">
        <v>340375</v>
      </c>
      <c r="AG1615" s="48">
        <v>340409</v>
      </c>
      <c r="AH1615" s="48">
        <v>340451</v>
      </c>
      <c r="AI1615" s="48">
        <v>340453</v>
      </c>
      <c r="AP1615" cm="1">
        <f t="array" ref="AP1615">IF(AQ1615="","",SUM(IFERROR(H1615:AL1615-H1614:AL1614,0))*AQ1615/100)</f>
        <v>182.25</v>
      </c>
      <c r="AQ1615">
        <f>_xlfn.XLOOKUP(D1615,log_prices!M:M,log_prices!L:L,,0)</f>
        <v>15</v>
      </c>
      <c r="AS1615" cm="1">
        <f t="array" ref="AS1615">IF(AQ1615="","",SUM(IFERROR(H1615:AL1615-H1614:AL1614,0)))</f>
        <v>1215</v>
      </c>
    </row>
    <row r="1616" spans="1:45" hidden="1" x14ac:dyDescent="0.25">
      <c r="A1616">
        <v>1615</v>
      </c>
      <c r="B1616">
        <v>2026</v>
      </c>
      <c r="C1616">
        <v>2</v>
      </c>
      <c r="D1616" t="s">
        <v>175</v>
      </c>
      <c r="E1616">
        <v>31</v>
      </c>
      <c r="F1616">
        <v>13</v>
      </c>
      <c r="G1616" t="s">
        <v>432</v>
      </c>
      <c r="H1616" s="48">
        <v>881604</v>
      </c>
      <c r="I1616" s="48">
        <v>881743</v>
      </c>
      <c r="J1616" s="48">
        <v>881833</v>
      </c>
      <c r="K1616" s="48">
        <v>882017</v>
      </c>
      <c r="L1616" s="48">
        <v>882118</v>
      </c>
      <c r="M1616" s="48">
        <v>882266</v>
      </c>
      <c r="N1616" s="48">
        <v>882411</v>
      </c>
      <c r="O1616" s="48">
        <v>882511</v>
      </c>
      <c r="P1616" s="48">
        <v>882679</v>
      </c>
      <c r="Q1616" s="48">
        <v>882791</v>
      </c>
      <c r="R1616" s="48">
        <v>882880</v>
      </c>
      <c r="S1616" s="48">
        <v>882914</v>
      </c>
      <c r="T1616" s="48">
        <v>883001</v>
      </c>
      <c r="U1616" s="48">
        <v>883099</v>
      </c>
      <c r="V1616" s="48" t="s">
        <v>320</v>
      </c>
      <c r="W1616" s="48">
        <v>883172</v>
      </c>
      <c r="X1616" s="48">
        <v>883239</v>
      </c>
      <c r="Y1616" s="48">
        <v>883645</v>
      </c>
      <c r="Z1616" s="48">
        <v>883690</v>
      </c>
      <c r="AA1616" s="48">
        <v>883743</v>
      </c>
      <c r="AB1616" s="48">
        <v>883804</v>
      </c>
      <c r="AC1616" s="48">
        <v>883875</v>
      </c>
      <c r="AD1616" s="48">
        <v>883937</v>
      </c>
      <c r="AE1616" s="48">
        <v>883986</v>
      </c>
      <c r="AF1616" s="48">
        <v>884050</v>
      </c>
      <c r="AG1616" s="48">
        <v>884124</v>
      </c>
      <c r="AH1616" s="48">
        <v>884172</v>
      </c>
      <c r="AI1616" s="48">
        <v>884246</v>
      </c>
    </row>
    <row r="1617" spans="1:45" hidden="1" x14ac:dyDescent="0.25">
      <c r="A1617">
        <v>1616</v>
      </c>
      <c r="B1617">
        <v>2026</v>
      </c>
      <c r="C1617">
        <v>2</v>
      </c>
      <c r="D1617" t="s">
        <v>175</v>
      </c>
      <c r="E1617">
        <v>31</v>
      </c>
      <c r="F1617">
        <v>13</v>
      </c>
      <c r="G1617" t="s">
        <v>433</v>
      </c>
      <c r="H1617" s="48">
        <v>881700</v>
      </c>
      <c r="I1617" s="48">
        <v>881833</v>
      </c>
      <c r="J1617" s="48">
        <v>881917</v>
      </c>
      <c r="K1617" s="48">
        <v>882118</v>
      </c>
      <c r="L1617" s="48">
        <v>882220</v>
      </c>
      <c r="M1617" s="48">
        <v>882361</v>
      </c>
      <c r="N1617" s="48">
        <v>882511</v>
      </c>
      <c r="O1617" s="48">
        <v>882609</v>
      </c>
      <c r="P1617" s="48">
        <v>882791</v>
      </c>
      <c r="Q1617" s="48">
        <v>882880</v>
      </c>
      <c r="R1617" s="48">
        <v>882914</v>
      </c>
      <c r="S1617" s="48">
        <v>883001</v>
      </c>
      <c r="T1617" s="48">
        <v>883099</v>
      </c>
      <c r="U1617" s="48">
        <v>883172</v>
      </c>
      <c r="V1617" s="48" t="s">
        <v>320</v>
      </c>
      <c r="W1617" s="48">
        <v>883239</v>
      </c>
      <c r="X1617" s="48">
        <v>883300</v>
      </c>
      <c r="Y1617" s="48">
        <v>883690</v>
      </c>
      <c r="Z1617" s="48">
        <v>883743</v>
      </c>
      <c r="AA1617" s="48">
        <v>883804</v>
      </c>
      <c r="AB1617" s="48">
        <v>883875</v>
      </c>
      <c r="AC1617" s="48">
        <v>883937</v>
      </c>
      <c r="AD1617" s="48">
        <v>883986</v>
      </c>
      <c r="AE1617" s="48">
        <v>884050</v>
      </c>
      <c r="AF1617" s="48">
        <v>884124</v>
      </c>
      <c r="AG1617" s="48">
        <v>884172</v>
      </c>
      <c r="AH1617" s="48">
        <v>884246</v>
      </c>
      <c r="AI1617" s="48">
        <v>884279</v>
      </c>
      <c r="AP1617" cm="1">
        <f t="array" ref="AP1617">IF(AQ1617="","",SUM(IFERROR(H1617:AL1617-H1616:AL1616,0))*AQ1617/100)</f>
        <v>303.14999999999998</v>
      </c>
      <c r="AQ1617">
        <f>_xlfn.XLOOKUP(D1617,log_prices!M:M,log_prices!L:L,,0)</f>
        <v>15</v>
      </c>
      <c r="AS1617" cm="1">
        <f t="array" ref="AS1617">IF(AQ1617="","",SUM(IFERROR(H1617:AL1617-H1616:AL1616,0)))</f>
        <v>2021</v>
      </c>
    </row>
    <row r="1618" spans="1:45" hidden="1" x14ac:dyDescent="0.25">
      <c r="A1618">
        <v>1617</v>
      </c>
      <c r="B1618">
        <v>2026</v>
      </c>
      <c r="C1618">
        <v>2</v>
      </c>
      <c r="D1618" t="s">
        <v>179</v>
      </c>
      <c r="E1618">
        <v>31</v>
      </c>
      <c r="F1618">
        <v>13</v>
      </c>
      <c r="G1618" t="s">
        <v>432</v>
      </c>
      <c r="H1618" s="48">
        <v>237535</v>
      </c>
      <c r="I1618" s="48">
        <v>237645</v>
      </c>
      <c r="J1618" s="48">
        <v>237687</v>
      </c>
      <c r="K1618" s="48">
        <v>237728</v>
      </c>
      <c r="L1618" s="48">
        <v>237745</v>
      </c>
      <c r="M1618" s="48">
        <v>237788</v>
      </c>
      <c r="N1618" s="48">
        <v>237827</v>
      </c>
      <c r="O1618" s="48">
        <v>237886</v>
      </c>
      <c r="P1618" s="48">
        <v>237921</v>
      </c>
      <c r="Q1618" s="48">
        <v>237970</v>
      </c>
      <c r="R1618" s="48">
        <v>237998</v>
      </c>
      <c r="S1618" s="48">
        <v>238108</v>
      </c>
      <c r="T1618" s="48">
        <v>238218</v>
      </c>
      <c r="U1618" s="48">
        <v>238256</v>
      </c>
      <c r="V1618" s="48">
        <v>238307</v>
      </c>
      <c r="W1618" s="48">
        <v>238391</v>
      </c>
      <c r="X1618" s="48">
        <v>238486</v>
      </c>
      <c r="Y1618" s="48">
        <v>238523</v>
      </c>
      <c r="Z1618" s="48">
        <v>238561</v>
      </c>
      <c r="AA1618" s="48">
        <v>238604</v>
      </c>
      <c r="AB1618" s="48">
        <v>238641</v>
      </c>
      <c r="AC1618" s="48">
        <v>238685</v>
      </c>
      <c r="AD1618" s="48">
        <v>238717</v>
      </c>
      <c r="AE1618" s="48">
        <v>238754</v>
      </c>
      <c r="AF1618" s="48">
        <v>238808</v>
      </c>
      <c r="AG1618" s="48">
        <v>238929</v>
      </c>
      <c r="AH1618" s="48">
        <v>239042</v>
      </c>
      <c r="AI1618" s="48">
        <v>239148</v>
      </c>
    </row>
    <row r="1619" spans="1:45" hidden="1" x14ac:dyDescent="0.25">
      <c r="A1619">
        <v>1618</v>
      </c>
      <c r="B1619">
        <v>2026</v>
      </c>
      <c r="C1619">
        <v>2</v>
      </c>
      <c r="D1619" t="s">
        <v>179</v>
      </c>
      <c r="E1619">
        <v>31</v>
      </c>
      <c r="F1619">
        <v>13</v>
      </c>
      <c r="G1619" t="s">
        <v>433</v>
      </c>
      <c r="H1619" s="48">
        <v>237645</v>
      </c>
      <c r="I1619" s="48">
        <v>237687</v>
      </c>
      <c r="J1619" s="48">
        <v>237728</v>
      </c>
      <c r="K1619" s="48">
        <v>237745</v>
      </c>
      <c r="L1619" s="48">
        <v>237788</v>
      </c>
      <c r="M1619" s="48">
        <v>237827</v>
      </c>
      <c r="N1619" s="48">
        <v>237886</v>
      </c>
      <c r="O1619" s="48">
        <v>237921</v>
      </c>
      <c r="P1619" s="48">
        <v>237970</v>
      </c>
      <c r="Q1619" s="48">
        <v>237998</v>
      </c>
      <c r="R1619" s="48">
        <v>238108</v>
      </c>
      <c r="S1619" s="48">
        <v>238218</v>
      </c>
      <c r="T1619" s="48">
        <v>238256</v>
      </c>
      <c r="U1619" s="48">
        <v>238307</v>
      </c>
      <c r="V1619" s="48">
        <v>238391</v>
      </c>
      <c r="W1619" s="48">
        <v>238486</v>
      </c>
      <c r="X1619" s="48">
        <v>238523</v>
      </c>
      <c r="Y1619" s="48">
        <v>238561</v>
      </c>
      <c r="Z1619" s="48">
        <v>238604</v>
      </c>
      <c r="AA1619" s="48">
        <v>238641</v>
      </c>
      <c r="AB1619" s="48">
        <v>238685</v>
      </c>
      <c r="AC1619" s="48">
        <v>238717</v>
      </c>
      <c r="AD1619" s="48">
        <v>238754</v>
      </c>
      <c r="AE1619" s="48">
        <v>238808</v>
      </c>
      <c r="AF1619" s="48">
        <v>238929</v>
      </c>
      <c r="AG1619" s="48">
        <v>239042</v>
      </c>
      <c r="AH1619" s="48">
        <v>239148</v>
      </c>
      <c r="AI1619" s="48">
        <v>239199</v>
      </c>
      <c r="AP1619" cm="1">
        <f t="array" ref="AP1619">IF(AQ1619="","",SUM(IFERROR(H1619:AL1619-H1618:AL1618,0))*AQ1619/100)</f>
        <v>249.6</v>
      </c>
      <c r="AQ1619">
        <f>_xlfn.XLOOKUP(D1619,log_prices!M:M,log_prices!L:L,,0)</f>
        <v>15</v>
      </c>
      <c r="AS1619" cm="1">
        <f t="array" ref="AS1619">IF(AQ1619="","",SUM(IFERROR(H1619:AL1619-H1618:AL1618,0)))</f>
        <v>1664</v>
      </c>
    </row>
    <row r="1620" spans="1:45" hidden="1" x14ac:dyDescent="0.25">
      <c r="A1620">
        <v>1619</v>
      </c>
      <c r="B1620">
        <v>2026</v>
      </c>
      <c r="C1620">
        <v>2</v>
      </c>
      <c r="D1620" t="s">
        <v>156</v>
      </c>
      <c r="E1620">
        <v>31</v>
      </c>
      <c r="F1620">
        <v>13</v>
      </c>
      <c r="G1620" t="s">
        <v>432</v>
      </c>
      <c r="H1620" s="48">
        <v>827804</v>
      </c>
      <c r="I1620" s="48">
        <v>827924</v>
      </c>
      <c r="J1620" s="48">
        <v>828143</v>
      </c>
      <c r="K1620" s="48">
        <v>828291</v>
      </c>
      <c r="L1620" s="48">
        <v>828371</v>
      </c>
      <c r="M1620" s="48">
        <v>828452</v>
      </c>
      <c r="N1620" s="48">
        <v>828603</v>
      </c>
      <c r="O1620" s="48">
        <v>828681</v>
      </c>
      <c r="P1620" s="48">
        <v>828751</v>
      </c>
      <c r="Q1620" s="48">
        <v>828913</v>
      </c>
      <c r="R1620" s="48">
        <v>829082</v>
      </c>
      <c r="S1620" s="48">
        <v>829244</v>
      </c>
      <c r="T1620" s="48">
        <v>829398</v>
      </c>
      <c r="U1620" s="48">
        <v>829549</v>
      </c>
      <c r="V1620" s="48">
        <v>829720</v>
      </c>
      <c r="W1620" s="48">
        <v>829895</v>
      </c>
      <c r="X1620" s="48">
        <v>830261</v>
      </c>
      <c r="Y1620" s="48">
        <v>830409</v>
      </c>
      <c r="Z1620" s="48">
        <v>830560</v>
      </c>
      <c r="AA1620" s="48">
        <v>830709</v>
      </c>
      <c r="AB1620" s="48">
        <v>830887</v>
      </c>
      <c r="AC1620" s="48">
        <v>830970</v>
      </c>
      <c r="AD1620" s="48">
        <v>831150</v>
      </c>
      <c r="AE1620" s="48">
        <v>831238</v>
      </c>
      <c r="AF1620" s="48">
        <v>831418</v>
      </c>
      <c r="AG1620" s="48">
        <v>831588</v>
      </c>
      <c r="AH1620" s="48">
        <v>831850</v>
      </c>
      <c r="AI1620" s="48">
        <v>832025</v>
      </c>
    </row>
    <row r="1621" spans="1:45" hidden="1" x14ac:dyDescent="0.25">
      <c r="A1621">
        <v>1620</v>
      </c>
      <c r="B1621">
        <v>2026</v>
      </c>
      <c r="C1621">
        <v>2</v>
      </c>
      <c r="D1621" t="s">
        <v>156</v>
      </c>
      <c r="E1621">
        <v>31</v>
      </c>
      <c r="F1621">
        <v>13</v>
      </c>
      <c r="G1621" t="s">
        <v>433</v>
      </c>
      <c r="H1621" s="48">
        <v>827924</v>
      </c>
      <c r="I1621" s="48">
        <v>828143</v>
      </c>
      <c r="J1621" s="48">
        <v>828291</v>
      </c>
      <c r="K1621" s="48">
        <v>828371</v>
      </c>
      <c r="L1621" s="48">
        <v>828452</v>
      </c>
      <c r="M1621" s="48">
        <v>828603</v>
      </c>
      <c r="N1621" s="48">
        <v>828681</v>
      </c>
      <c r="O1621" s="48">
        <v>828751</v>
      </c>
      <c r="P1621" s="48">
        <v>828913</v>
      </c>
      <c r="Q1621" s="48">
        <v>829082</v>
      </c>
      <c r="R1621" s="48">
        <v>829244</v>
      </c>
      <c r="S1621" s="48">
        <v>829398</v>
      </c>
      <c r="T1621" s="48">
        <v>829549</v>
      </c>
      <c r="U1621" s="48">
        <v>829720</v>
      </c>
      <c r="V1621" s="48">
        <v>829895</v>
      </c>
      <c r="W1621" s="48">
        <v>830261</v>
      </c>
      <c r="X1621" s="48">
        <v>830409</v>
      </c>
      <c r="Y1621" s="48">
        <v>830560</v>
      </c>
      <c r="Z1621" s="48">
        <v>830709</v>
      </c>
      <c r="AA1621" s="48">
        <v>830887</v>
      </c>
      <c r="AB1621" s="48">
        <v>830970</v>
      </c>
      <c r="AC1621" s="48">
        <v>831150</v>
      </c>
      <c r="AD1621" s="48">
        <v>831238</v>
      </c>
      <c r="AE1621" s="48">
        <v>831418</v>
      </c>
      <c r="AF1621" s="48">
        <v>831588</v>
      </c>
      <c r="AG1621" s="48">
        <v>831850</v>
      </c>
      <c r="AH1621" s="48">
        <v>832025</v>
      </c>
      <c r="AI1621" s="48">
        <v>832154</v>
      </c>
      <c r="AP1621" cm="1">
        <f t="array" ref="AP1621">IF(AQ1621="","",SUM(IFERROR(H1621:AL1621-H1620:AL1620,0))*AQ1621/100)</f>
        <v>783</v>
      </c>
      <c r="AQ1621">
        <f>_xlfn.XLOOKUP(D1621,log_prices!M:M,log_prices!L:L,,0)</f>
        <v>18</v>
      </c>
      <c r="AS1621" cm="1">
        <f t="array" ref="AS1621">IF(AQ1621="","",SUM(IFERROR(H1621:AL1621-H1620:AL1620,0)))</f>
        <v>4350</v>
      </c>
    </row>
    <row r="1622" spans="1:45" hidden="1" x14ac:dyDescent="0.25">
      <c r="A1622">
        <v>1621</v>
      </c>
      <c r="B1622">
        <v>2026</v>
      </c>
      <c r="C1622">
        <v>2</v>
      </c>
      <c r="D1622" t="s">
        <v>168</v>
      </c>
      <c r="E1622">
        <v>31</v>
      </c>
      <c r="F1622">
        <v>13</v>
      </c>
      <c r="G1622" t="s">
        <v>432</v>
      </c>
      <c r="H1622" s="48">
        <v>290665</v>
      </c>
      <c r="I1622" s="48">
        <v>290696</v>
      </c>
      <c r="J1622" s="48">
        <v>290767</v>
      </c>
      <c r="K1622" s="48">
        <v>290813</v>
      </c>
      <c r="L1622" s="48">
        <v>290826</v>
      </c>
      <c r="M1622" s="48">
        <v>290889</v>
      </c>
      <c r="N1622" s="48">
        <v>290905</v>
      </c>
      <c r="O1622" s="48">
        <v>290925</v>
      </c>
      <c r="P1622" s="48">
        <v>291032</v>
      </c>
      <c r="Q1622" s="48">
        <v>291076</v>
      </c>
      <c r="R1622" s="48">
        <v>291178</v>
      </c>
      <c r="S1622" s="48">
        <v>291188</v>
      </c>
      <c r="T1622" s="48">
        <v>291258</v>
      </c>
      <c r="U1622" s="48">
        <v>291304</v>
      </c>
      <c r="V1622" s="48">
        <v>291402</v>
      </c>
      <c r="W1622" s="48">
        <v>291454</v>
      </c>
      <c r="X1622" s="48">
        <v>291534</v>
      </c>
      <c r="Y1622" s="48">
        <v>291598</v>
      </c>
      <c r="Z1622" s="48">
        <v>291618</v>
      </c>
      <c r="AA1622" s="48">
        <v>291633</v>
      </c>
      <c r="AB1622" s="48">
        <v>291669</v>
      </c>
      <c r="AC1622" s="48">
        <v>291701</v>
      </c>
      <c r="AD1622" s="48">
        <v>291744</v>
      </c>
      <c r="AE1622" s="48">
        <v>291776</v>
      </c>
      <c r="AF1622" s="48">
        <v>291871</v>
      </c>
      <c r="AG1622" s="48">
        <v>291968</v>
      </c>
      <c r="AH1622" s="48">
        <v>291985</v>
      </c>
      <c r="AI1622" s="48">
        <v>291998</v>
      </c>
    </row>
    <row r="1623" spans="1:45" hidden="1" x14ac:dyDescent="0.25">
      <c r="A1623">
        <v>1622</v>
      </c>
      <c r="B1623">
        <v>2026</v>
      </c>
      <c r="C1623">
        <v>2</v>
      </c>
      <c r="D1623" t="s">
        <v>168</v>
      </c>
      <c r="E1623">
        <v>31</v>
      </c>
      <c r="F1623">
        <v>13</v>
      </c>
      <c r="G1623" t="s">
        <v>433</v>
      </c>
      <c r="H1623" s="48">
        <v>290696</v>
      </c>
      <c r="I1623" s="48">
        <v>290767</v>
      </c>
      <c r="J1623" s="48">
        <v>290813</v>
      </c>
      <c r="K1623" s="48">
        <v>290826</v>
      </c>
      <c r="L1623" s="48">
        <v>290889</v>
      </c>
      <c r="M1623" s="48">
        <v>290905</v>
      </c>
      <c r="N1623" s="48">
        <v>290925</v>
      </c>
      <c r="O1623" s="48">
        <v>291032</v>
      </c>
      <c r="P1623" s="48">
        <v>291076</v>
      </c>
      <c r="Q1623" s="48">
        <v>291178</v>
      </c>
      <c r="R1623" s="48">
        <v>291188</v>
      </c>
      <c r="S1623" s="48">
        <v>291258</v>
      </c>
      <c r="T1623" s="48">
        <v>291304</v>
      </c>
      <c r="U1623" s="48">
        <v>291402</v>
      </c>
      <c r="V1623" s="48">
        <v>291454</v>
      </c>
      <c r="W1623" s="48">
        <v>291534</v>
      </c>
      <c r="X1623" s="48">
        <v>291598</v>
      </c>
      <c r="Y1623" s="48">
        <v>291618</v>
      </c>
      <c r="Z1623" s="48">
        <v>291633</v>
      </c>
      <c r="AA1623" s="48">
        <v>291669</v>
      </c>
      <c r="AB1623" s="48">
        <v>291701</v>
      </c>
      <c r="AC1623" s="48">
        <v>291744</v>
      </c>
      <c r="AD1623" s="48">
        <v>291776</v>
      </c>
      <c r="AE1623" s="48">
        <v>291871</v>
      </c>
      <c r="AF1623" s="48">
        <v>291968</v>
      </c>
      <c r="AG1623" s="48">
        <v>291985</v>
      </c>
      <c r="AH1623" s="48">
        <v>291998</v>
      </c>
      <c r="AI1623" s="48">
        <v>292078</v>
      </c>
      <c r="AP1623" cm="1">
        <f t="array" ref="AP1623">IF(AQ1623="","",SUM(IFERROR(H1623:AL1623-H1622:AL1622,0))*AQ1623/100)</f>
        <v>211.95</v>
      </c>
      <c r="AQ1623">
        <f>_xlfn.XLOOKUP(D1623,log_prices!M:M,log_prices!L:L,,0)</f>
        <v>15</v>
      </c>
      <c r="AS1623" cm="1">
        <f t="array" ref="AS1623">IF(AQ1623="","",SUM(IFERROR(H1623:AL1623-H1622:AL1622,0)))</f>
        <v>1413</v>
      </c>
    </row>
    <row r="1624" spans="1:45" hidden="1" x14ac:dyDescent="0.25">
      <c r="A1624">
        <v>1623</v>
      </c>
      <c r="B1624">
        <v>2026</v>
      </c>
      <c r="C1624">
        <v>2</v>
      </c>
      <c r="D1624" t="s">
        <v>164</v>
      </c>
      <c r="E1624">
        <v>31</v>
      </c>
      <c r="F1624">
        <v>13</v>
      </c>
      <c r="G1624" t="s">
        <v>432</v>
      </c>
      <c r="H1624" s="48">
        <v>36756</v>
      </c>
      <c r="I1624" s="48">
        <v>36951</v>
      </c>
      <c r="J1624" s="48">
        <v>37030</v>
      </c>
      <c r="K1624" s="48">
        <v>37200</v>
      </c>
      <c r="L1624" s="48">
        <v>37227</v>
      </c>
      <c r="M1624" s="48">
        <v>37244</v>
      </c>
      <c r="N1624" s="48">
        <v>37470</v>
      </c>
      <c r="O1624" s="48">
        <v>37497</v>
      </c>
      <c r="P1624" s="48">
        <v>37521</v>
      </c>
      <c r="Q1624" s="48">
        <v>37614</v>
      </c>
      <c r="R1624" s="48">
        <v>37760</v>
      </c>
      <c r="S1624" s="48">
        <v>37781</v>
      </c>
      <c r="T1624" s="48">
        <v>37802</v>
      </c>
      <c r="U1624" s="48">
        <v>37835</v>
      </c>
      <c r="V1624" s="48">
        <v>37876</v>
      </c>
      <c r="W1624" s="48">
        <v>37983</v>
      </c>
      <c r="X1624" s="48">
        <v>38068</v>
      </c>
      <c r="Y1624" s="48">
        <v>38134</v>
      </c>
      <c r="Z1624" s="48">
        <v>38205</v>
      </c>
      <c r="AA1624" s="48">
        <v>38321</v>
      </c>
      <c r="AB1624" s="48">
        <v>38389</v>
      </c>
      <c r="AC1624" s="48">
        <v>38497</v>
      </c>
      <c r="AD1624" s="48">
        <v>38534</v>
      </c>
      <c r="AE1624" s="48">
        <v>38568</v>
      </c>
      <c r="AF1624" s="48">
        <v>38601</v>
      </c>
      <c r="AG1624" s="48">
        <v>38629</v>
      </c>
      <c r="AH1624" s="48">
        <v>38665</v>
      </c>
      <c r="AI1624" s="48">
        <v>38681</v>
      </c>
    </row>
    <row r="1625" spans="1:45" hidden="1" x14ac:dyDescent="0.25">
      <c r="A1625">
        <v>1624</v>
      </c>
      <c r="B1625">
        <v>2026</v>
      </c>
      <c r="C1625">
        <v>2</v>
      </c>
      <c r="D1625" t="s">
        <v>164</v>
      </c>
      <c r="E1625">
        <v>31</v>
      </c>
      <c r="F1625">
        <v>13</v>
      </c>
      <c r="G1625" t="s">
        <v>433</v>
      </c>
      <c r="H1625" s="48">
        <v>36951</v>
      </c>
      <c r="I1625" s="48">
        <v>37030</v>
      </c>
      <c r="J1625" s="48">
        <v>37200</v>
      </c>
      <c r="K1625" s="48">
        <v>37227</v>
      </c>
      <c r="L1625" s="48">
        <v>37244</v>
      </c>
      <c r="M1625" s="48">
        <v>37470</v>
      </c>
      <c r="N1625" s="48">
        <v>37497</v>
      </c>
      <c r="O1625" s="48">
        <v>37521</v>
      </c>
      <c r="P1625" s="48">
        <v>37614</v>
      </c>
      <c r="Q1625" s="48">
        <v>37760</v>
      </c>
      <c r="R1625" s="48">
        <v>37781</v>
      </c>
      <c r="S1625" s="48">
        <v>37802</v>
      </c>
      <c r="T1625" s="48">
        <v>37835</v>
      </c>
      <c r="U1625" s="48">
        <v>37876</v>
      </c>
      <c r="V1625" s="48">
        <v>37983</v>
      </c>
      <c r="W1625" s="48">
        <v>38068</v>
      </c>
      <c r="X1625" s="48">
        <v>38134</v>
      </c>
      <c r="Y1625" s="48">
        <v>38205</v>
      </c>
      <c r="Z1625" s="48">
        <v>38321</v>
      </c>
      <c r="AA1625" s="48">
        <v>38389</v>
      </c>
      <c r="AB1625" s="48">
        <v>38497</v>
      </c>
      <c r="AC1625" s="48">
        <v>38534</v>
      </c>
      <c r="AD1625" s="48">
        <v>38568</v>
      </c>
      <c r="AE1625" s="48">
        <v>38601</v>
      </c>
      <c r="AF1625" s="48">
        <v>38629</v>
      </c>
      <c r="AG1625" s="48">
        <v>38665</v>
      </c>
      <c r="AH1625" s="48">
        <v>38681</v>
      </c>
      <c r="AI1625" s="48">
        <v>38700</v>
      </c>
      <c r="AP1625" cm="1">
        <f t="array" ref="AP1625">IF(AQ1625="","",SUM(IFERROR(H1625:AL1625-H1624:AL1624,0))*AQ1625/100)</f>
        <v>291.60000000000002</v>
      </c>
      <c r="AQ1625">
        <f>_xlfn.XLOOKUP(D1625,log_prices!M:M,log_prices!L:L,,0)</f>
        <v>15</v>
      </c>
      <c r="AS1625" cm="1">
        <f t="array" ref="AS1625">IF(AQ1625="","",SUM(IFERROR(H1625:AL1625-H1624:AL1624,0)))</f>
        <v>1944</v>
      </c>
    </row>
    <row r="1626" spans="1:45" hidden="1" x14ac:dyDescent="0.25">
      <c r="A1626">
        <v>1625</v>
      </c>
      <c r="B1626">
        <v>2026</v>
      </c>
      <c r="C1626">
        <v>2</v>
      </c>
      <c r="D1626" t="s">
        <v>163</v>
      </c>
      <c r="E1626">
        <v>31</v>
      </c>
      <c r="F1626">
        <v>13</v>
      </c>
      <c r="G1626" t="s">
        <v>432</v>
      </c>
      <c r="H1626" s="48">
        <v>366928</v>
      </c>
      <c r="I1626" s="48">
        <v>367180</v>
      </c>
      <c r="J1626" s="48">
        <v>367426</v>
      </c>
      <c r="K1626" s="48">
        <v>367623</v>
      </c>
      <c r="L1626" s="48">
        <v>367794</v>
      </c>
      <c r="M1626" s="48">
        <v>367972</v>
      </c>
      <c r="N1626" s="48">
        <v>368195</v>
      </c>
      <c r="O1626" s="48">
        <v>368473</v>
      </c>
      <c r="P1626" s="48">
        <v>368708</v>
      </c>
      <c r="Q1626" s="48">
        <v>369030</v>
      </c>
      <c r="R1626" s="48">
        <v>369204</v>
      </c>
      <c r="S1626" s="48">
        <v>369414</v>
      </c>
      <c r="T1626" s="48">
        <v>369652</v>
      </c>
      <c r="U1626" s="48">
        <v>369875</v>
      </c>
      <c r="V1626" s="48">
        <v>370065</v>
      </c>
      <c r="W1626" s="48">
        <v>370392</v>
      </c>
      <c r="X1626" s="48">
        <v>370626</v>
      </c>
      <c r="Y1626" s="48">
        <v>370912</v>
      </c>
      <c r="Z1626" s="48">
        <v>371209</v>
      </c>
      <c r="AA1626" s="48">
        <v>371543</v>
      </c>
      <c r="AB1626" s="48">
        <v>371712</v>
      </c>
      <c r="AC1626" s="48">
        <v>371955</v>
      </c>
      <c r="AD1626" s="48">
        <v>372193</v>
      </c>
      <c r="AE1626" s="48">
        <v>372433</v>
      </c>
      <c r="AF1626" s="48">
        <v>372623</v>
      </c>
      <c r="AG1626" s="48">
        <v>372843</v>
      </c>
      <c r="AH1626" s="48">
        <v>372996</v>
      </c>
      <c r="AI1626" s="48">
        <v>373157</v>
      </c>
    </row>
    <row r="1627" spans="1:45" hidden="1" x14ac:dyDescent="0.25">
      <c r="A1627">
        <v>1626</v>
      </c>
      <c r="B1627">
        <v>2026</v>
      </c>
      <c r="C1627">
        <v>2</v>
      </c>
      <c r="D1627" t="s">
        <v>163</v>
      </c>
      <c r="E1627">
        <v>31</v>
      </c>
      <c r="F1627">
        <v>13</v>
      </c>
      <c r="G1627" t="s">
        <v>433</v>
      </c>
      <c r="H1627" s="48">
        <v>367180</v>
      </c>
      <c r="I1627" s="48">
        <v>367426</v>
      </c>
      <c r="J1627" s="48">
        <v>367623</v>
      </c>
      <c r="K1627" s="48">
        <v>367794</v>
      </c>
      <c r="L1627" s="48">
        <v>367972</v>
      </c>
      <c r="M1627" s="48">
        <v>368195</v>
      </c>
      <c r="N1627" s="48">
        <v>368473</v>
      </c>
      <c r="O1627" s="48">
        <v>368708</v>
      </c>
      <c r="P1627" s="48">
        <v>369030</v>
      </c>
      <c r="Q1627" s="48">
        <v>369204</v>
      </c>
      <c r="R1627" s="48">
        <v>369414</v>
      </c>
      <c r="S1627" s="48">
        <v>369652</v>
      </c>
      <c r="T1627" s="48">
        <v>369875</v>
      </c>
      <c r="U1627" s="48">
        <v>370065</v>
      </c>
      <c r="V1627" s="48">
        <v>370392</v>
      </c>
      <c r="W1627" s="48">
        <v>370626</v>
      </c>
      <c r="X1627" s="48">
        <v>370912</v>
      </c>
      <c r="Y1627" s="48">
        <v>371209</v>
      </c>
      <c r="Z1627" s="48">
        <v>371543</v>
      </c>
      <c r="AA1627" s="48">
        <v>371712</v>
      </c>
      <c r="AB1627" s="48">
        <v>371955</v>
      </c>
      <c r="AC1627" s="48">
        <v>372193</v>
      </c>
      <c r="AD1627" s="48">
        <v>372433</v>
      </c>
      <c r="AE1627" s="48">
        <v>372623</v>
      </c>
      <c r="AF1627" s="48">
        <v>372843</v>
      </c>
      <c r="AG1627" s="48">
        <v>372996</v>
      </c>
      <c r="AH1627" s="48">
        <v>373157</v>
      </c>
      <c r="AI1627" s="48">
        <v>373411</v>
      </c>
      <c r="AP1627" cm="1">
        <f t="array" ref="AP1627">IF(AQ1627="","",SUM(IFERROR(H1627:AL1627-H1626:AL1626,0))*AQ1627/100)</f>
        <v>972.45</v>
      </c>
      <c r="AQ1627">
        <f>_xlfn.XLOOKUP(D1627,log_prices!M:M,log_prices!L:L,,0)</f>
        <v>15</v>
      </c>
      <c r="AS1627" cm="1">
        <f t="array" ref="AS1627">IF(AQ1627="","",SUM(IFERROR(H1627:AL1627-H1626:AL1626,0)))</f>
        <v>6483</v>
      </c>
    </row>
    <row r="1628" spans="1:45" hidden="1" x14ac:dyDescent="0.25">
      <c r="A1628">
        <v>1627</v>
      </c>
      <c r="B1628">
        <v>2026</v>
      </c>
      <c r="C1628">
        <v>2</v>
      </c>
      <c r="D1628" t="s">
        <v>131</v>
      </c>
      <c r="E1628">
        <v>31</v>
      </c>
      <c r="F1628">
        <v>13</v>
      </c>
      <c r="G1628" t="s">
        <v>432</v>
      </c>
      <c r="H1628" s="48">
        <v>698255</v>
      </c>
      <c r="I1628" s="48">
        <v>698463</v>
      </c>
      <c r="J1628" s="48">
        <v>698716</v>
      </c>
      <c r="K1628" s="48">
        <v>698786</v>
      </c>
      <c r="L1628" s="48">
        <v>698917</v>
      </c>
      <c r="M1628" s="48">
        <v>698956</v>
      </c>
      <c r="N1628" s="48">
        <v>699018</v>
      </c>
      <c r="O1628" s="48">
        <v>699093</v>
      </c>
      <c r="P1628" s="48">
        <v>699158</v>
      </c>
      <c r="Q1628" s="48">
        <v>699236</v>
      </c>
      <c r="R1628" s="48">
        <v>699262</v>
      </c>
      <c r="S1628" s="48">
        <v>699377</v>
      </c>
      <c r="T1628" s="48">
        <v>699505</v>
      </c>
      <c r="U1628" s="48">
        <v>699566</v>
      </c>
      <c r="V1628" s="48" t="s">
        <v>320</v>
      </c>
      <c r="W1628" s="48">
        <v>699763</v>
      </c>
      <c r="X1628" s="48">
        <v>699789</v>
      </c>
      <c r="Y1628" s="48">
        <v>699824</v>
      </c>
      <c r="Z1628" s="48">
        <v>699898</v>
      </c>
      <c r="AA1628" s="48">
        <v>700077</v>
      </c>
      <c r="AB1628" s="48">
        <v>700149</v>
      </c>
      <c r="AC1628" s="48">
        <v>700341</v>
      </c>
      <c r="AD1628" s="48">
        <v>700477</v>
      </c>
      <c r="AE1628" s="48">
        <v>700518</v>
      </c>
      <c r="AF1628" s="48">
        <v>700717</v>
      </c>
      <c r="AG1628" s="48">
        <v>700801</v>
      </c>
      <c r="AH1628" s="48">
        <v>700875</v>
      </c>
      <c r="AI1628" s="48">
        <v>701084</v>
      </c>
    </row>
    <row r="1629" spans="1:45" hidden="1" x14ac:dyDescent="0.25">
      <c r="A1629">
        <v>1628</v>
      </c>
      <c r="B1629">
        <v>2026</v>
      </c>
      <c r="C1629">
        <v>2</v>
      </c>
      <c r="D1629" t="s">
        <v>131</v>
      </c>
      <c r="E1629">
        <v>31</v>
      </c>
      <c r="F1629">
        <v>13</v>
      </c>
      <c r="G1629" t="s">
        <v>433</v>
      </c>
      <c r="H1629" s="48">
        <v>698331</v>
      </c>
      <c r="I1629" s="48">
        <v>698642</v>
      </c>
      <c r="J1629" s="48">
        <v>698786</v>
      </c>
      <c r="K1629" s="48">
        <v>698917</v>
      </c>
      <c r="L1629" s="48">
        <v>698956</v>
      </c>
      <c r="M1629" s="48">
        <v>699018</v>
      </c>
      <c r="N1629" s="48">
        <v>699093</v>
      </c>
      <c r="O1629" s="48">
        <v>699158</v>
      </c>
      <c r="P1629" s="48">
        <v>699236</v>
      </c>
      <c r="Q1629" s="48">
        <v>699262</v>
      </c>
      <c r="R1629" s="48">
        <v>699342</v>
      </c>
      <c r="S1629" s="48">
        <v>699451</v>
      </c>
      <c r="T1629" s="48">
        <v>699566</v>
      </c>
      <c r="U1629" s="48">
        <v>699661</v>
      </c>
      <c r="V1629" s="48" t="s">
        <v>320</v>
      </c>
      <c r="W1629" s="48">
        <v>699789</v>
      </c>
      <c r="X1629" s="48">
        <v>699824</v>
      </c>
      <c r="Y1629" s="48">
        <v>699898</v>
      </c>
      <c r="Z1629" s="48">
        <v>699960</v>
      </c>
      <c r="AA1629" s="48">
        <v>700149</v>
      </c>
      <c r="AB1629" s="48">
        <v>700229</v>
      </c>
      <c r="AC1629" s="48">
        <v>700477</v>
      </c>
      <c r="AD1629" s="48">
        <v>700518</v>
      </c>
      <c r="AE1629" s="48">
        <v>700603</v>
      </c>
      <c r="AF1629" s="48">
        <v>700801</v>
      </c>
      <c r="AG1629" s="48">
        <v>700875</v>
      </c>
      <c r="AH1629" s="48">
        <v>700889</v>
      </c>
      <c r="AI1629" s="48">
        <v>701094</v>
      </c>
      <c r="AP1629" cm="1">
        <f t="array" ref="AP1629">IF(AQ1629="","",SUM(IFERROR(H1629:AL1629-H1628:AL1628,0))*AQ1629/100)</f>
        <v>285.60000000000002</v>
      </c>
      <c r="AQ1629">
        <f>_xlfn.XLOOKUP(D1629,log_prices!M:M,log_prices!L:L,,0)</f>
        <v>15</v>
      </c>
      <c r="AS1629" cm="1">
        <f t="array" ref="AS1629">IF(AQ1629="","",SUM(IFERROR(H1629:AL1629-H1628:AL1628,0)))</f>
        <v>1904</v>
      </c>
    </row>
    <row r="1630" spans="1:45" hidden="1" x14ac:dyDescent="0.25">
      <c r="A1630">
        <v>1629</v>
      </c>
      <c r="B1630">
        <v>2026</v>
      </c>
      <c r="C1630">
        <v>2</v>
      </c>
      <c r="D1630" t="s">
        <v>174</v>
      </c>
      <c r="E1630">
        <v>31</v>
      </c>
      <c r="F1630">
        <v>13</v>
      </c>
      <c r="G1630" t="s">
        <v>432</v>
      </c>
      <c r="H1630" s="48">
        <v>16593</v>
      </c>
      <c r="I1630" s="48">
        <v>17452</v>
      </c>
      <c r="J1630" s="48">
        <v>17868</v>
      </c>
      <c r="K1630" s="48">
        <v>18267</v>
      </c>
      <c r="L1630" s="48">
        <v>18460</v>
      </c>
      <c r="M1630" s="48">
        <v>18844</v>
      </c>
      <c r="N1630" s="48">
        <v>19387</v>
      </c>
      <c r="O1630" s="48">
        <v>19615</v>
      </c>
      <c r="P1630" s="48">
        <v>19894</v>
      </c>
      <c r="Q1630" s="48">
        <v>20291</v>
      </c>
      <c r="R1630" s="48">
        <v>20544</v>
      </c>
      <c r="S1630" s="48">
        <v>21035</v>
      </c>
      <c r="T1630" s="48">
        <v>21371</v>
      </c>
      <c r="U1630" s="48">
        <v>21783</v>
      </c>
      <c r="V1630" s="48">
        <v>21949</v>
      </c>
      <c r="W1630" s="48">
        <v>22505</v>
      </c>
      <c r="X1630" s="48">
        <v>23032</v>
      </c>
      <c r="Y1630" s="48">
        <v>23392</v>
      </c>
      <c r="Z1630" s="48">
        <v>23761</v>
      </c>
      <c r="AA1630" s="48">
        <v>24202</v>
      </c>
      <c r="AB1630" s="48">
        <v>24785</v>
      </c>
      <c r="AC1630" s="48">
        <v>25133</v>
      </c>
      <c r="AD1630" s="48">
        <v>25660</v>
      </c>
      <c r="AE1630" s="48">
        <v>26046</v>
      </c>
      <c r="AF1630" s="48">
        <v>26602</v>
      </c>
      <c r="AG1630" s="48">
        <v>27084</v>
      </c>
      <c r="AH1630" s="48">
        <v>27284</v>
      </c>
      <c r="AI1630" s="48">
        <v>27996</v>
      </c>
    </row>
    <row r="1631" spans="1:45" hidden="1" x14ac:dyDescent="0.25">
      <c r="A1631">
        <v>1630</v>
      </c>
      <c r="B1631">
        <v>2026</v>
      </c>
      <c r="C1631">
        <v>2</v>
      </c>
      <c r="D1631" t="s">
        <v>174</v>
      </c>
      <c r="E1631">
        <v>31</v>
      </c>
      <c r="F1631">
        <v>13</v>
      </c>
      <c r="G1631" t="s">
        <v>433</v>
      </c>
      <c r="H1631" s="48">
        <v>17452</v>
      </c>
      <c r="I1631" s="48">
        <v>17868</v>
      </c>
      <c r="J1631" s="48">
        <v>18267</v>
      </c>
      <c r="K1631" s="48">
        <v>18460</v>
      </c>
      <c r="L1631" s="48">
        <v>18844</v>
      </c>
      <c r="M1631" s="48">
        <v>19387</v>
      </c>
      <c r="N1631" s="48">
        <v>19615</v>
      </c>
      <c r="O1631" s="48">
        <v>19746</v>
      </c>
      <c r="P1631" s="48">
        <v>20291</v>
      </c>
      <c r="Q1631" s="48">
        <v>20544</v>
      </c>
      <c r="R1631" s="48">
        <v>21035</v>
      </c>
      <c r="S1631" s="48">
        <v>21371</v>
      </c>
      <c r="T1631" s="48">
        <v>21783</v>
      </c>
      <c r="U1631" s="48">
        <v>21949</v>
      </c>
      <c r="V1631" s="48">
        <v>22505</v>
      </c>
      <c r="W1631" s="48">
        <v>23032</v>
      </c>
      <c r="X1631" s="48">
        <v>23390</v>
      </c>
      <c r="Y1631" s="48">
        <v>23761</v>
      </c>
      <c r="Z1631" s="48">
        <v>24202</v>
      </c>
      <c r="AA1631" s="48">
        <v>24696</v>
      </c>
      <c r="AB1631" s="48">
        <v>25133</v>
      </c>
      <c r="AC1631" s="48">
        <v>25501</v>
      </c>
      <c r="AD1631" s="48">
        <v>26046</v>
      </c>
      <c r="AE1631" s="48">
        <v>26602</v>
      </c>
      <c r="AF1631" s="48">
        <v>27084</v>
      </c>
      <c r="AG1631" s="48">
        <v>27284</v>
      </c>
      <c r="AH1631" s="48">
        <v>27996</v>
      </c>
      <c r="AI1631" s="48">
        <v>28668</v>
      </c>
      <c r="AP1631" cm="1">
        <f t="array" ref="AP1631">IF(AQ1631="","",SUM(IFERROR(H1631:AL1631-H1630:AL1630,0))*AQ1631/100)</f>
        <v>1401.24</v>
      </c>
      <c r="AQ1631">
        <f>_xlfn.XLOOKUP(D1631,log_prices!M:M,log_prices!L:L,,0)</f>
        <v>12</v>
      </c>
      <c r="AS1631" cm="1">
        <f t="array" ref="AS1631">IF(AQ1631="","",SUM(IFERROR(H1631:AL1631-H1630:AL1630,0)))</f>
        <v>11677</v>
      </c>
    </row>
    <row r="1632" spans="1:45" hidden="1" x14ac:dyDescent="0.25">
      <c r="A1632">
        <v>1631</v>
      </c>
      <c r="B1632">
        <v>2026</v>
      </c>
      <c r="C1632">
        <v>2</v>
      </c>
      <c r="D1632" t="s">
        <v>751</v>
      </c>
      <c r="E1632">
        <v>31</v>
      </c>
      <c r="F1632">
        <v>13</v>
      </c>
      <c r="G1632" t="s">
        <v>432</v>
      </c>
      <c r="H1632" s="48">
        <v>372903</v>
      </c>
      <c r="I1632" s="48">
        <v>372982</v>
      </c>
      <c r="J1632" s="48">
        <v>373147</v>
      </c>
      <c r="K1632" s="48">
        <v>373208</v>
      </c>
      <c r="L1632" s="48">
        <v>373236</v>
      </c>
      <c r="M1632" s="48">
        <v>373278</v>
      </c>
      <c r="N1632" s="48">
        <v>373410</v>
      </c>
      <c r="O1632" s="48">
        <v>373467</v>
      </c>
      <c r="P1632" s="48">
        <v>373536</v>
      </c>
      <c r="Q1632" s="48">
        <v>373592</v>
      </c>
      <c r="R1632" s="48">
        <v>373654</v>
      </c>
      <c r="S1632" s="48">
        <v>373718</v>
      </c>
      <c r="T1632" s="48">
        <v>373783</v>
      </c>
      <c r="U1632" s="48">
        <v>373870</v>
      </c>
      <c r="V1632" s="48" t="s">
        <v>320</v>
      </c>
      <c r="W1632" s="48">
        <v>374125</v>
      </c>
      <c r="X1632" s="48">
        <v>374163</v>
      </c>
      <c r="Y1632" s="48">
        <v>374225</v>
      </c>
      <c r="Z1632" s="48">
        <v>374293</v>
      </c>
      <c r="AA1632" s="48">
        <v>374365</v>
      </c>
      <c r="AB1632" s="48">
        <v>374448</v>
      </c>
      <c r="AC1632" s="48">
        <v>374534</v>
      </c>
      <c r="AD1632" s="48">
        <v>374593</v>
      </c>
      <c r="AE1632" s="48">
        <v>374675</v>
      </c>
      <c r="AF1632" s="48">
        <v>374746</v>
      </c>
      <c r="AG1632" s="48">
        <v>630386</v>
      </c>
      <c r="AH1632" s="48">
        <v>630459</v>
      </c>
      <c r="AI1632" s="48">
        <v>630459</v>
      </c>
    </row>
    <row r="1633" spans="1:45" hidden="1" x14ac:dyDescent="0.25">
      <c r="A1633">
        <v>1632</v>
      </c>
      <c r="B1633">
        <v>2026</v>
      </c>
      <c r="C1633">
        <v>2</v>
      </c>
      <c r="D1633" t="s">
        <v>751</v>
      </c>
      <c r="E1633">
        <v>31</v>
      </c>
      <c r="F1633">
        <v>13</v>
      </c>
      <c r="G1633" t="s">
        <v>433</v>
      </c>
      <c r="H1633" s="48">
        <v>372982</v>
      </c>
      <c r="I1633" s="48">
        <v>373049</v>
      </c>
      <c r="J1633" s="48">
        <v>373208</v>
      </c>
      <c r="K1633" s="48">
        <v>373236</v>
      </c>
      <c r="L1633" s="48">
        <v>373278</v>
      </c>
      <c r="M1633" s="48">
        <v>373410</v>
      </c>
      <c r="N1633" s="48">
        <v>373467</v>
      </c>
      <c r="O1633" s="48">
        <v>373536</v>
      </c>
      <c r="P1633" s="48">
        <v>373592</v>
      </c>
      <c r="Q1633" s="48">
        <v>373654</v>
      </c>
      <c r="R1633" s="48">
        <v>373718</v>
      </c>
      <c r="S1633" s="48">
        <v>373783</v>
      </c>
      <c r="T1633" s="48">
        <v>373866</v>
      </c>
      <c r="U1633" s="48">
        <v>373931</v>
      </c>
      <c r="V1633" s="48" t="s">
        <v>320</v>
      </c>
      <c r="W1633" s="48">
        <v>374163</v>
      </c>
      <c r="X1633" s="48">
        <v>374225</v>
      </c>
      <c r="Y1633" s="48">
        <v>374293</v>
      </c>
      <c r="Z1633" s="48">
        <v>374365</v>
      </c>
      <c r="AA1633" s="48">
        <v>374443</v>
      </c>
      <c r="AB1633" s="48">
        <v>374534</v>
      </c>
      <c r="AC1633" s="48">
        <v>374593</v>
      </c>
      <c r="AD1633" s="48">
        <v>374670</v>
      </c>
      <c r="AE1633" s="48">
        <v>374746</v>
      </c>
      <c r="AF1633" s="48">
        <v>374809</v>
      </c>
      <c r="AG1633" s="48">
        <v>630459</v>
      </c>
      <c r="AH1633" s="48">
        <v>630459</v>
      </c>
      <c r="AI1633" s="48">
        <v>630492</v>
      </c>
      <c r="AP1633" cm="1">
        <f t="array" ref="AP1633">IF(AQ1633="","",SUM(IFERROR(H1633:AL1633-H1632:AL1632,0))*AQ1633/100)</f>
        <v>255.9</v>
      </c>
      <c r="AQ1633">
        <f>_xlfn.XLOOKUP(D1633,log_prices!M:M,log_prices!L:L,,0)</f>
        <v>15</v>
      </c>
      <c r="AS1633" cm="1">
        <f t="array" ref="AS1633">IF(AQ1633="","",SUM(IFERROR(H1633:AL1633-H1632:AL1632,0)))</f>
        <v>1706</v>
      </c>
    </row>
    <row r="1634" spans="1:45" hidden="1" x14ac:dyDescent="0.25">
      <c r="A1634">
        <v>1633</v>
      </c>
      <c r="B1634">
        <v>2026</v>
      </c>
      <c r="C1634">
        <v>2</v>
      </c>
      <c r="D1634" t="s">
        <v>753</v>
      </c>
      <c r="E1634">
        <v>31</v>
      </c>
      <c r="F1634">
        <v>13</v>
      </c>
      <c r="G1634" t="s">
        <v>432</v>
      </c>
      <c r="H1634" s="48">
        <v>581774</v>
      </c>
      <c r="I1634" s="48">
        <v>581838</v>
      </c>
      <c r="J1634" s="48">
        <v>581898</v>
      </c>
      <c r="K1634" s="48">
        <v>581934</v>
      </c>
      <c r="L1634" s="48">
        <v>581976</v>
      </c>
      <c r="M1634" s="48">
        <v>582017</v>
      </c>
      <c r="N1634" s="48">
        <v>582051</v>
      </c>
      <c r="O1634" s="48">
        <v>582121</v>
      </c>
      <c r="P1634" s="48">
        <v>582167</v>
      </c>
      <c r="Q1634" s="48">
        <v>582227</v>
      </c>
      <c r="R1634" s="48">
        <v>582283</v>
      </c>
      <c r="S1634" s="48">
        <v>582385</v>
      </c>
      <c r="T1634" s="48">
        <v>582484</v>
      </c>
      <c r="U1634" s="48">
        <v>582603</v>
      </c>
      <c r="V1634" s="48">
        <v>582653</v>
      </c>
      <c r="W1634" s="48">
        <v>582686</v>
      </c>
      <c r="X1634" s="48">
        <v>582734</v>
      </c>
      <c r="Y1634" s="48">
        <v>582836</v>
      </c>
      <c r="Z1634" s="48">
        <v>582901</v>
      </c>
      <c r="AA1634" s="48">
        <v>582956</v>
      </c>
      <c r="AB1634" s="48">
        <v>583028</v>
      </c>
      <c r="AC1634" s="48">
        <v>583096</v>
      </c>
      <c r="AD1634" s="48">
        <v>583150</v>
      </c>
      <c r="AE1634" s="48">
        <v>583206</v>
      </c>
      <c r="AF1634" s="48">
        <v>583281</v>
      </c>
      <c r="AG1634" s="48">
        <v>583351</v>
      </c>
      <c r="AH1634" s="48">
        <v>583401</v>
      </c>
      <c r="AI1634" s="48">
        <v>583460</v>
      </c>
    </row>
    <row r="1635" spans="1:45" hidden="1" x14ac:dyDescent="0.25">
      <c r="A1635">
        <v>1634</v>
      </c>
      <c r="B1635">
        <v>2026</v>
      </c>
      <c r="C1635">
        <v>2</v>
      </c>
      <c r="D1635" t="s">
        <v>753</v>
      </c>
      <c r="E1635">
        <v>31</v>
      </c>
      <c r="F1635">
        <v>13</v>
      </c>
      <c r="G1635" t="s">
        <v>433</v>
      </c>
      <c r="H1635" s="48">
        <v>581838</v>
      </c>
      <c r="I1635" s="48">
        <v>581898</v>
      </c>
      <c r="J1635" s="48">
        <v>581934</v>
      </c>
      <c r="K1635" s="48">
        <v>581976</v>
      </c>
      <c r="L1635" s="48">
        <v>582017</v>
      </c>
      <c r="M1635" s="48">
        <v>582051</v>
      </c>
      <c r="N1635" s="48">
        <v>582121</v>
      </c>
      <c r="O1635" s="48">
        <v>582167</v>
      </c>
      <c r="P1635" s="48">
        <v>582227</v>
      </c>
      <c r="Q1635" s="48">
        <v>582283</v>
      </c>
      <c r="R1635" s="48">
        <v>582385</v>
      </c>
      <c r="S1635" s="48">
        <v>582484</v>
      </c>
      <c r="T1635" s="48">
        <v>582603</v>
      </c>
      <c r="U1635" s="48">
        <v>582653</v>
      </c>
      <c r="V1635" s="48">
        <v>582686</v>
      </c>
      <c r="W1635" s="48">
        <v>582734</v>
      </c>
      <c r="X1635" s="48">
        <v>582836</v>
      </c>
      <c r="Y1635" s="48">
        <v>582901</v>
      </c>
      <c r="Z1635" s="48">
        <v>582956</v>
      </c>
      <c r="AA1635" s="48">
        <v>583028</v>
      </c>
      <c r="AB1635" s="48">
        <v>583096</v>
      </c>
      <c r="AC1635" s="48">
        <v>583150</v>
      </c>
      <c r="AD1635" s="48">
        <v>583206</v>
      </c>
      <c r="AE1635" s="48">
        <v>583281</v>
      </c>
      <c r="AF1635" s="48">
        <v>583351</v>
      </c>
      <c r="AG1635" s="48">
        <v>583401</v>
      </c>
      <c r="AH1635" s="48">
        <v>583460</v>
      </c>
      <c r="AI1635" s="48">
        <v>583492</v>
      </c>
      <c r="AP1635" cm="1">
        <f t="array" ref="AP1635">IF(AQ1635="","",SUM(IFERROR(H1635:AL1635-H1634:AL1634,0))*AQ1635/100)</f>
        <v>257.7</v>
      </c>
      <c r="AQ1635">
        <f>_xlfn.XLOOKUP(D1635,log_prices!M:M,log_prices!L:L,,0)</f>
        <v>15</v>
      </c>
      <c r="AS1635" cm="1">
        <f t="array" ref="AS1635">IF(AQ1635="","",SUM(IFERROR(H1635:AL1635-H1634:AL1634,0)))</f>
        <v>1718</v>
      </c>
    </row>
    <row r="1636" spans="1:45" hidden="1" x14ac:dyDescent="0.25">
      <c r="A1636">
        <v>1635</v>
      </c>
      <c r="B1636">
        <v>2026</v>
      </c>
      <c r="C1636">
        <v>2</v>
      </c>
      <c r="D1636" t="s">
        <v>754</v>
      </c>
      <c r="E1636">
        <v>31</v>
      </c>
      <c r="F1636">
        <v>13</v>
      </c>
      <c r="G1636" t="s">
        <v>432</v>
      </c>
      <c r="H1636" s="48" t="s">
        <v>320</v>
      </c>
      <c r="I1636" s="48">
        <v>448758</v>
      </c>
      <c r="J1636" s="48">
        <v>448787</v>
      </c>
      <c r="K1636" s="48">
        <v>448819</v>
      </c>
      <c r="L1636" s="48">
        <v>448855</v>
      </c>
      <c r="M1636" s="48">
        <v>448913</v>
      </c>
      <c r="N1636" s="48">
        <v>448970</v>
      </c>
      <c r="O1636" s="48">
        <v>448980</v>
      </c>
      <c r="P1636" s="48">
        <v>449038</v>
      </c>
      <c r="Q1636" s="48">
        <v>449061</v>
      </c>
      <c r="R1636" s="48">
        <v>449075</v>
      </c>
      <c r="S1636" s="48">
        <v>449107</v>
      </c>
      <c r="T1636" s="48">
        <v>449133</v>
      </c>
      <c r="U1636" s="48">
        <v>449151</v>
      </c>
      <c r="V1636" s="48" t="s">
        <v>320</v>
      </c>
      <c r="W1636" s="48">
        <v>449334</v>
      </c>
      <c r="X1636" s="48">
        <v>449388</v>
      </c>
      <c r="Y1636" s="48">
        <v>449413</v>
      </c>
      <c r="Z1636" s="48">
        <v>449441</v>
      </c>
      <c r="AA1636" s="48">
        <v>449523</v>
      </c>
      <c r="AB1636" s="48">
        <v>449547</v>
      </c>
      <c r="AC1636" s="48">
        <v>449585</v>
      </c>
      <c r="AD1636" s="48">
        <v>449630</v>
      </c>
      <c r="AE1636" s="48">
        <v>449680</v>
      </c>
      <c r="AF1636" s="48">
        <v>449720</v>
      </c>
      <c r="AG1636" s="48">
        <v>449799</v>
      </c>
      <c r="AH1636" s="48">
        <v>449835</v>
      </c>
      <c r="AI1636" s="48">
        <v>449860</v>
      </c>
    </row>
    <row r="1637" spans="1:45" hidden="1" x14ac:dyDescent="0.25">
      <c r="A1637">
        <v>1636</v>
      </c>
      <c r="B1637">
        <v>2026</v>
      </c>
      <c r="C1637">
        <v>2</v>
      </c>
      <c r="D1637" t="s">
        <v>754</v>
      </c>
      <c r="E1637">
        <v>31</v>
      </c>
      <c r="F1637">
        <v>13</v>
      </c>
      <c r="G1637" t="s">
        <v>433</v>
      </c>
      <c r="H1637" s="48" t="s">
        <v>320</v>
      </c>
      <c r="I1637" s="48">
        <v>448787</v>
      </c>
      <c r="J1637" s="48">
        <v>448819</v>
      </c>
      <c r="K1637" s="48">
        <v>448855</v>
      </c>
      <c r="L1637" s="48">
        <v>448913</v>
      </c>
      <c r="M1637" s="48">
        <v>448970</v>
      </c>
      <c r="N1637" s="48">
        <v>448980</v>
      </c>
      <c r="O1637" s="48">
        <v>449038</v>
      </c>
      <c r="P1637" s="48">
        <v>449061</v>
      </c>
      <c r="Q1637" s="48">
        <v>449075</v>
      </c>
      <c r="R1637" s="48">
        <v>449107</v>
      </c>
      <c r="S1637" s="48">
        <v>449133</v>
      </c>
      <c r="T1637" s="48">
        <v>449151</v>
      </c>
      <c r="U1637" s="48">
        <v>449221</v>
      </c>
      <c r="V1637" s="48" t="s">
        <v>320</v>
      </c>
      <c r="W1637" s="48">
        <v>449388</v>
      </c>
      <c r="X1637" s="48">
        <v>449413</v>
      </c>
      <c r="Y1637" s="48">
        <v>449441</v>
      </c>
      <c r="Z1637" s="48">
        <v>449523</v>
      </c>
      <c r="AA1637" s="48">
        <v>449547</v>
      </c>
      <c r="AB1637" s="48">
        <v>449585</v>
      </c>
      <c r="AC1637" s="48">
        <v>449630</v>
      </c>
      <c r="AD1637" s="48">
        <v>449680</v>
      </c>
      <c r="AE1637" s="48">
        <v>449720</v>
      </c>
      <c r="AF1637" s="48">
        <v>449799</v>
      </c>
      <c r="AG1637" s="48">
        <v>449835</v>
      </c>
      <c r="AH1637" s="48">
        <v>449860</v>
      </c>
      <c r="AI1637" s="48">
        <v>449944</v>
      </c>
      <c r="AP1637" cm="1">
        <f t="array" ref="AP1637">IF(AQ1637="","",SUM(IFERROR(H1637:AL1637-H1636:AL1636,0))*AQ1637/100)</f>
        <v>160.94999999999999</v>
      </c>
      <c r="AQ1637">
        <f>_xlfn.XLOOKUP(D1637,log_prices!M:M,log_prices!L:L,,0)</f>
        <v>15</v>
      </c>
      <c r="AS1637" cm="1">
        <f t="array" ref="AS1637">IF(AQ1637="","",SUM(IFERROR(H1637:AL1637-H1636:AL1636,0)))</f>
        <v>1073</v>
      </c>
    </row>
    <row r="1638" spans="1:45" hidden="1" x14ac:dyDescent="0.25">
      <c r="A1638">
        <v>1637</v>
      </c>
      <c r="B1638">
        <v>2026</v>
      </c>
      <c r="C1638">
        <v>2</v>
      </c>
      <c r="D1638" t="s">
        <v>755</v>
      </c>
      <c r="E1638">
        <v>31</v>
      </c>
      <c r="F1638">
        <v>13</v>
      </c>
      <c r="G1638" t="s">
        <v>432</v>
      </c>
      <c r="H1638" s="48">
        <v>219586</v>
      </c>
      <c r="I1638" s="48">
        <v>219609</v>
      </c>
      <c r="J1638" s="48">
        <v>219649</v>
      </c>
      <c r="K1638" s="48">
        <v>219668</v>
      </c>
      <c r="L1638" s="48">
        <v>219678</v>
      </c>
      <c r="M1638" s="48">
        <v>219708</v>
      </c>
      <c r="N1638" s="48">
        <v>219734</v>
      </c>
      <c r="O1638" s="48">
        <v>219774</v>
      </c>
      <c r="P1638" s="48">
        <v>219803</v>
      </c>
      <c r="Q1638" s="48">
        <v>219873</v>
      </c>
      <c r="R1638" s="48">
        <v>219929</v>
      </c>
      <c r="S1638" s="48">
        <v>219957</v>
      </c>
      <c r="T1638" s="48">
        <v>219991</v>
      </c>
      <c r="U1638" s="48">
        <v>220019</v>
      </c>
      <c r="V1638" s="48" t="s">
        <v>320</v>
      </c>
      <c r="W1638" s="48">
        <v>220041</v>
      </c>
      <c r="X1638" s="48">
        <v>220046</v>
      </c>
      <c r="Y1638" s="48">
        <v>220095</v>
      </c>
      <c r="Z1638" s="48">
        <v>220132</v>
      </c>
      <c r="AA1638" s="48">
        <v>220215</v>
      </c>
      <c r="AB1638" s="48">
        <v>220257</v>
      </c>
      <c r="AC1638" s="48">
        <v>220285</v>
      </c>
      <c r="AD1638" s="48">
        <v>220331</v>
      </c>
      <c r="AE1638" s="48">
        <v>220357</v>
      </c>
      <c r="AF1638" s="48">
        <v>220400</v>
      </c>
      <c r="AG1638" s="48">
        <v>220437</v>
      </c>
      <c r="AH1638" s="48">
        <v>220481</v>
      </c>
      <c r="AI1638" s="48">
        <v>220514</v>
      </c>
    </row>
    <row r="1639" spans="1:45" hidden="1" x14ac:dyDescent="0.25">
      <c r="A1639">
        <v>1638</v>
      </c>
      <c r="B1639">
        <v>2026</v>
      </c>
      <c r="C1639">
        <v>2</v>
      </c>
      <c r="D1639" t="s">
        <v>755</v>
      </c>
      <c r="E1639">
        <v>31</v>
      </c>
      <c r="F1639">
        <v>13</v>
      </c>
      <c r="G1639" t="s">
        <v>433</v>
      </c>
      <c r="H1639" s="48">
        <v>219609</v>
      </c>
      <c r="I1639" s="48">
        <v>219648</v>
      </c>
      <c r="J1639" s="48">
        <v>219668</v>
      </c>
      <c r="K1639" s="48">
        <v>219678</v>
      </c>
      <c r="L1639" s="48">
        <v>219707</v>
      </c>
      <c r="M1639" s="48">
        <v>219734</v>
      </c>
      <c r="N1639" s="48">
        <v>219774</v>
      </c>
      <c r="O1639" s="48">
        <v>219802</v>
      </c>
      <c r="P1639" s="48">
        <v>219873</v>
      </c>
      <c r="Q1639" s="48">
        <v>219927</v>
      </c>
      <c r="R1639" s="48">
        <v>219957</v>
      </c>
      <c r="S1639" s="48">
        <v>219991</v>
      </c>
      <c r="T1639" s="48">
        <v>220019</v>
      </c>
      <c r="U1639" s="48">
        <v>220040</v>
      </c>
      <c r="V1639" s="48" t="s">
        <v>320</v>
      </c>
      <c r="W1639" s="48">
        <v>220046</v>
      </c>
      <c r="X1639" s="48">
        <v>220095</v>
      </c>
      <c r="Y1639" s="48">
        <v>220131</v>
      </c>
      <c r="Z1639" s="48">
        <v>220215</v>
      </c>
      <c r="AA1639" s="48">
        <v>220251</v>
      </c>
      <c r="AB1639" s="48">
        <v>220285</v>
      </c>
      <c r="AC1639" s="48">
        <v>220327</v>
      </c>
      <c r="AD1639" s="48">
        <v>220356</v>
      </c>
      <c r="AE1639" s="48">
        <v>220400</v>
      </c>
      <c r="AF1639" s="48">
        <v>220431</v>
      </c>
      <c r="AG1639" s="48">
        <v>220481</v>
      </c>
      <c r="AH1639" s="48">
        <v>220514</v>
      </c>
      <c r="AI1639" s="48">
        <v>220539</v>
      </c>
      <c r="AP1639" cm="1">
        <f t="array" ref="AP1639">IF(AQ1639="","",SUM(IFERROR(H1639:AL1639-H1638:AL1638,0))*AQ1639/100)</f>
        <v>139.35</v>
      </c>
      <c r="AQ1639">
        <f>_xlfn.XLOOKUP(D1639,log_prices!M:M,log_prices!L:L,,0)</f>
        <v>15</v>
      </c>
      <c r="AS1639" cm="1">
        <f t="array" ref="AS1639">IF(AQ1639="","",SUM(IFERROR(H1639:AL1639-H1638:AL1638,0)))</f>
        <v>929</v>
      </c>
    </row>
    <row r="1640" spans="1:45" hidden="1" x14ac:dyDescent="0.25">
      <c r="A1640">
        <v>1639</v>
      </c>
      <c r="B1640">
        <v>2026</v>
      </c>
      <c r="C1640">
        <v>2</v>
      </c>
      <c r="D1640" t="s">
        <v>757</v>
      </c>
      <c r="E1640">
        <v>31</v>
      </c>
      <c r="F1640">
        <v>13</v>
      </c>
      <c r="G1640" t="s">
        <v>432</v>
      </c>
      <c r="H1640" s="48">
        <v>281555</v>
      </c>
      <c r="I1640" s="48">
        <v>281597</v>
      </c>
      <c r="J1640" s="48">
        <v>281648</v>
      </c>
      <c r="K1640" s="48">
        <v>281708</v>
      </c>
      <c r="L1640" s="48">
        <v>281781</v>
      </c>
      <c r="M1640" s="48">
        <v>281852</v>
      </c>
      <c r="N1640" s="48">
        <v>281923</v>
      </c>
      <c r="O1640" s="48">
        <v>281998</v>
      </c>
      <c r="P1640" s="48">
        <v>282052</v>
      </c>
      <c r="Q1640" s="48">
        <v>282163</v>
      </c>
      <c r="R1640" s="48">
        <v>282226</v>
      </c>
      <c r="S1640" s="48">
        <v>282306</v>
      </c>
      <c r="T1640" s="48">
        <v>282389</v>
      </c>
      <c r="U1640" s="48">
        <v>282420</v>
      </c>
      <c r="V1640" s="48">
        <v>282523</v>
      </c>
      <c r="W1640" s="48">
        <v>282569</v>
      </c>
      <c r="X1640" s="48">
        <v>282608</v>
      </c>
      <c r="Y1640" s="48">
        <v>282696</v>
      </c>
      <c r="Z1640" s="48">
        <v>282776</v>
      </c>
      <c r="AA1640" s="48">
        <v>282881</v>
      </c>
      <c r="AB1640" s="48">
        <v>282919</v>
      </c>
      <c r="AC1640" s="48">
        <v>283038</v>
      </c>
      <c r="AD1640" s="48">
        <v>283063</v>
      </c>
      <c r="AE1640" s="48">
        <v>283165</v>
      </c>
      <c r="AF1640" s="48">
        <v>283272</v>
      </c>
      <c r="AG1640" s="48">
        <v>283354</v>
      </c>
      <c r="AH1640" s="48">
        <v>283458</v>
      </c>
      <c r="AI1640" s="48">
        <v>283539</v>
      </c>
    </row>
    <row r="1641" spans="1:45" hidden="1" x14ac:dyDescent="0.25">
      <c r="A1641">
        <v>1640</v>
      </c>
      <c r="B1641">
        <v>2026</v>
      </c>
      <c r="C1641">
        <v>2</v>
      </c>
      <c r="D1641" t="s">
        <v>757</v>
      </c>
      <c r="E1641">
        <v>31</v>
      </c>
      <c r="F1641">
        <v>13</v>
      </c>
      <c r="G1641" t="s">
        <v>433</v>
      </c>
      <c r="H1641" s="48">
        <v>281597</v>
      </c>
      <c r="I1641" s="48">
        <v>281648</v>
      </c>
      <c r="J1641" s="48">
        <v>281708</v>
      </c>
      <c r="K1641" s="48">
        <v>281781</v>
      </c>
      <c r="L1641" s="48">
        <v>281852</v>
      </c>
      <c r="M1641" s="48">
        <v>281923</v>
      </c>
      <c r="N1641" s="48">
        <v>281998</v>
      </c>
      <c r="O1641" s="48">
        <v>282052</v>
      </c>
      <c r="P1641" s="48">
        <v>282163</v>
      </c>
      <c r="Q1641" s="48">
        <v>282226</v>
      </c>
      <c r="R1641" s="48">
        <v>282306</v>
      </c>
      <c r="S1641" s="48">
        <v>282389</v>
      </c>
      <c r="T1641" s="48">
        <v>282420</v>
      </c>
      <c r="U1641" s="48">
        <v>282523</v>
      </c>
      <c r="V1641" s="48">
        <v>282569</v>
      </c>
      <c r="W1641" s="48">
        <v>282608</v>
      </c>
      <c r="X1641" s="48">
        <v>282696</v>
      </c>
      <c r="Y1641" s="48">
        <v>282776</v>
      </c>
      <c r="Z1641" s="48">
        <v>282881</v>
      </c>
      <c r="AA1641" s="48">
        <v>282919</v>
      </c>
      <c r="AB1641" s="48">
        <v>283038</v>
      </c>
      <c r="AC1641" s="48">
        <v>283063</v>
      </c>
      <c r="AD1641" s="48">
        <v>283165</v>
      </c>
      <c r="AE1641" s="48">
        <v>283272</v>
      </c>
      <c r="AF1641" s="48">
        <v>283354</v>
      </c>
      <c r="AG1641" s="48">
        <v>283458</v>
      </c>
      <c r="AH1641" s="48">
        <v>283539</v>
      </c>
      <c r="AI1641" s="48">
        <v>283587</v>
      </c>
      <c r="AP1641" cm="1">
        <f t="array" ref="AP1641">IF(AQ1641="","",SUM(IFERROR(H1641:AL1641-H1640:AL1640,0))*AQ1641/100)</f>
        <v>304.8</v>
      </c>
      <c r="AQ1641">
        <f>_xlfn.XLOOKUP(D1641,log_prices!M:M,log_prices!L:L,,0)</f>
        <v>15</v>
      </c>
      <c r="AS1641" cm="1">
        <f t="array" ref="AS1641">IF(AQ1641="","",SUM(IFERROR(H1641:AL1641-H1640:AL1640,0)))</f>
        <v>2032</v>
      </c>
    </row>
    <row r="1642" spans="1:45" hidden="1" x14ac:dyDescent="0.25">
      <c r="A1642">
        <v>1641</v>
      </c>
      <c r="B1642">
        <v>2026</v>
      </c>
      <c r="C1642">
        <v>2</v>
      </c>
      <c r="D1642" t="s">
        <v>1131</v>
      </c>
      <c r="E1642">
        <v>31</v>
      </c>
      <c r="F1642">
        <v>13</v>
      </c>
      <c r="G1642" t="s">
        <v>430</v>
      </c>
      <c r="H1642" s="48" t="s">
        <v>320</v>
      </c>
      <c r="I1642" s="48" t="s">
        <v>320</v>
      </c>
      <c r="J1642" s="48" t="s">
        <v>320</v>
      </c>
      <c r="K1642" s="48" t="s">
        <v>320</v>
      </c>
      <c r="L1642" s="48" t="s">
        <v>320</v>
      </c>
      <c r="M1642" s="48" t="s">
        <v>320</v>
      </c>
      <c r="N1642" s="48" t="s">
        <v>320</v>
      </c>
      <c r="O1642" s="48" t="s">
        <v>320</v>
      </c>
      <c r="P1642" s="48" t="s">
        <v>375</v>
      </c>
      <c r="Q1642" s="48" t="s">
        <v>375</v>
      </c>
      <c r="R1642" s="48" t="s">
        <v>375</v>
      </c>
      <c r="S1642" s="48" t="s">
        <v>375</v>
      </c>
      <c r="T1642" s="48" t="s">
        <v>375</v>
      </c>
      <c r="U1642" s="48" t="s">
        <v>375</v>
      </c>
      <c r="V1642" s="48" t="s">
        <v>375</v>
      </c>
      <c r="W1642" s="48" t="s">
        <v>375</v>
      </c>
      <c r="X1642" s="48" t="s">
        <v>375</v>
      </c>
      <c r="Y1642" s="48" t="s">
        <v>375</v>
      </c>
      <c r="Z1642" s="48" t="s">
        <v>375</v>
      </c>
      <c r="AA1642" s="48" t="s">
        <v>375</v>
      </c>
      <c r="AB1642" s="48" t="s">
        <v>375</v>
      </c>
      <c r="AC1642" s="48" t="s">
        <v>375</v>
      </c>
      <c r="AD1642" s="48" t="s">
        <v>375</v>
      </c>
      <c r="AE1642" s="48" t="s">
        <v>375</v>
      </c>
      <c r="AF1642" s="48" t="s">
        <v>375</v>
      </c>
      <c r="AG1642" s="48" t="s">
        <v>375</v>
      </c>
      <c r="AH1642" s="48" t="s">
        <v>375</v>
      </c>
      <c r="AI1642" s="48" t="s">
        <v>375</v>
      </c>
    </row>
    <row r="1643" spans="1:45" hidden="1" x14ac:dyDescent="0.25">
      <c r="A1643">
        <v>1642</v>
      </c>
      <c r="B1643">
        <v>2026</v>
      </c>
      <c r="C1643">
        <v>2</v>
      </c>
      <c r="D1643" t="s">
        <v>1131</v>
      </c>
      <c r="E1643">
        <v>31</v>
      </c>
      <c r="F1643">
        <v>13</v>
      </c>
      <c r="G1643" t="s">
        <v>431</v>
      </c>
      <c r="H1643" s="48" t="s">
        <v>320</v>
      </c>
      <c r="I1643" s="48" t="s">
        <v>320</v>
      </c>
      <c r="J1643" s="48" t="s">
        <v>320</v>
      </c>
      <c r="K1643" s="48" t="s">
        <v>320</v>
      </c>
      <c r="L1643" s="48" t="s">
        <v>320</v>
      </c>
      <c r="M1643" s="48" t="s">
        <v>320</v>
      </c>
      <c r="N1643" s="48" t="s">
        <v>320</v>
      </c>
      <c r="O1643" s="48" t="s">
        <v>320</v>
      </c>
      <c r="P1643" s="48">
        <v>0.75</v>
      </c>
      <c r="Q1643" s="48">
        <v>0.75</v>
      </c>
      <c r="R1643" s="48">
        <v>0.75</v>
      </c>
      <c r="S1643" s="48">
        <v>0.75</v>
      </c>
      <c r="T1643" s="48">
        <v>0.75</v>
      </c>
      <c r="U1643" s="48">
        <v>0.75</v>
      </c>
      <c r="V1643" s="48">
        <v>0.75</v>
      </c>
      <c r="W1643" s="48">
        <v>0.75</v>
      </c>
      <c r="X1643" s="48">
        <v>0.75</v>
      </c>
      <c r="Y1643" s="48">
        <v>0.75</v>
      </c>
      <c r="Z1643" s="48">
        <v>0.79166666666666674</v>
      </c>
      <c r="AA1643" s="48">
        <v>0.75</v>
      </c>
      <c r="AB1643" s="48">
        <v>0.95833333333333326</v>
      </c>
      <c r="AC1643" s="48">
        <v>0.75</v>
      </c>
      <c r="AD1643" s="48">
        <v>0.75</v>
      </c>
      <c r="AE1643" s="48">
        <v>0.75</v>
      </c>
      <c r="AF1643" s="48">
        <v>0.75</v>
      </c>
      <c r="AG1643" s="48">
        <v>0.95833333333333326</v>
      </c>
      <c r="AH1643" s="48">
        <v>0.75</v>
      </c>
      <c r="AI1643" s="48">
        <v>0.95833333333333326</v>
      </c>
      <c r="AM1643">
        <v>20</v>
      </c>
      <c r="AO1643" cm="1">
        <f t="array" ref="AO1643">SUM(IFERROR(MOD((H1643:AL1643-H1642:AL1642)*24,11),""))</f>
        <v>15.999999999999989</v>
      </c>
    </row>
    <row r="1644" spans="1:45" hidden="1" x14ac:dyDescent="0.25">
      <c r="A1644">
        <v>1643</v>
      </c>
      <c r="B1644">
        <v>2026</v>
      </c>
      <c r="C1644">
        <v>2</v>
      </c>
      <c r="D1644" t="s">
        <v>1131</v>
      </c>
      <c r="E1644">
        <v>31</v>
      </c>
      <c r="F1644">
        <v>13</v>
      </c>
      <c r="G1644" t="s">
        <v>432</v>
      </c>
      <c r="P1644" s="48">
        <v>839269</v>
      </c>
      <c r="Q1644" s="48">
        <v>839289</v>
      </c>
      <c r="R1644" s="48">
        <v>839307</v>
      </c>
      <c r="S1644" s="48">
        <v>839325</v>
      </c>
      <c r="T1644" s="48">
        <v>839342</v>
      </c>
      <c r="U1644" s="48">
        <v>839360</v>
      </c>
      <c r="V1644" s="48">
        <v>839377</v>
      </c>
      <c r="W1644" s="48">
        <v>839397</v>
      </c>
      <c r="X1644" s="48">
        <v>839417</v>
      </c>
      <c r="Y1644" s="48">
        <v>839511</v>
      </c>
      <c r="Z1644" s="48">
        <v>839594</v>
      </c>
      <c r="AA1644" s="48">
        <v>839686</v>
      </c>
      <c r="AB1644" s="48">
        <v>839782</v>
      </c>
      <c r="AC1644" s="48">
        <v>839876</v>
      </c>
      <c r="AD1644" s="48">
        <v>839973</v>
      </c>
      <c r="AE1644" s="48">
        <v>839975</v>
      </c>
      <c r="AF1644" s="48">
        <v>839997</v>
      </c>
      <c r="AG1644" s="48">
        <v>840039</v>
      </c>
      <c r="AH1644" s="48">
        <v>840125</v>
      </c>
      <c r="AI1644" s="48">
        <v>840214</v>
      </c>
    </row>
    <row r="1645" spans="1:45" hidden="1" x14ac:dyDescent="0.25">
      <c r="A1645">
        <v>1644</v>
      </c>
      <c r="B1645">
        <v>2026</v>
      </c>
      <c r="C1645">
        <v>2</v>
      </c>
      <c r="D1645" t="s">
        <v>1131</v>
      </c>
      <c r="E1645">
        <v>31</v>
      </c>
      <c r="F1645">
        <v>13</v>
      </c>
      <c r="G1645" t="s">
        <v>433</v>
      </c>
      <c r="P1645" s="48">
        <v>839289</v>
      </c>
      <c r="Q1645" s="48">
        <v>839307</v>
      </c>
      <c r="R1645" s="48">
        <v>839325</v>
      </c>
      <c r="S1645" s="48">
        <v>839342</v>
      </c>
      <c r="T1645" s="48">
        <v>839360</v>
      </c>
      <c r="U1645" s="48">
        <v>839377</v>
      </c>
      <c r="V1645" s="48">
        <v>839397</v>
      </c>
      <c r="W1645" s="48">
        <v>839417</v>
      </c>
      <c r="X1645" s="48">
        <v>839511</v>
      </c>
      <c r="Y1645" s="48">
        <v>839594</v>
      </c>
      <c r="Z1645" s="48">
        <v>839686</v>
      </c>
      <c r="AA1645" s="48">
        <v>839782</v>
      </c>
      <c r="AB1645" s="48">
        <v>839876</v>
      </c>
      <c r="AC1645" s="48">
        <v>839973</v>
      </c>
      <c r="AD1645" s="48">
        <v>839975</v>
      </c>
      <c r="AE1645" s="48">
        <v>839997</v>
      </c>
      <c r="AF1645" s="48">
        <v>840039</v>
      </c>
      <c r="AG1645" s="48">
        <v>840125</v>
      </c>
      <c r="AH1645" s="48">
        <v>840214</v>
      </c>
      <c r="AI1645" s="48">
        <v>840284</v>
      </c>
      <c r="AP1645" cm="1">
        <f t="array" ref="AP1645">IF(AQ1645="","",SUM(IFERROR(H1645:AL1645-H1644:AL1644,0))*AQ1645/100)</f>
        <v>152.25</v>
      </c>
      <c r="AQ1645">
        <f>_xlfn.XLOOKUP(D1645,log_prices!M:M,log_prices!L:L,,0)</f>
        <v>15</v>
      </c>
      <c r="AS1645" cm="1">
        <f t="array" ref="AS1645">IF(AQ1645="","",SUM(IFERROR(H1645:AL1645-H1644:AL1644,0)))</f>
        <v>1015</v>
      </c>
    </row>
    <row r="1646" spans="1:45" hidden="1" x14ac:dyDescent="0.25">
      <c r="A1646">
        <v>1645</v>
      </c>
      <c r="B1646">
        <v>2026</v>
      </c>
      <c r="C1646">
        <v>2</v>
      </c>
      <c r="D1646" t="s">
        <v>1125</v>
      </c>
      <c r="E1646">
        <v>31</v>
      </c>
      <c r="F1646">
        <v>13</v>
      </c>
      <c r="G1646" t="s">
        <v>430</v>
      </c>
      <c r="H1646" s="48" t="s">
        <v>320</v>
      </c>
      <c r="I1646" s="48" t="s">
        <v>320</v>
      </c>
      <c r="J1646" s="48" t="s">
        <v>320</v>
      </c>
      <c r="K1646" s="48" t="s">
        <v>320</v>
      </c>
      <c r="L1646" s="48" t="s">
        <v>320</v>
      </c>
      <c r="M1646" s="48" t="s">
        <v>320</v>
      </c>
      <c r="N1646" s="48" t="s">
        <v>320</v>
      </c>
      <c r="O1646" s="48" t="s">
        <v>320</v>
      </c>
      <c r="P1646" s="48" t="s">
        <v>320</v>
      </c>
      <c r="Q1646" s="48" t="s">
        <v>320</v>
      </c>
      <c r="R1646" s="48" t="s">
        <v>320</v>
      </c>
      <c r="S1646" s="48" t="s">
        <v>320</v>
      </c>
      <c r="T1646" s="48" t="s">
        <v>320</v>
      </c>
      <c r="U1646" s="48" t="s">
        <v>320</v>
      </c>
      <c r="V1646" s="48" t="s">
        <v>375</v>
      </c>
      <c r="W1646" s="48" t="s">
        <v>375</v>
      </c>
      <c r="X1646" s="48" t="s">
        <v>375</v>
      </c>
      <c r="Y1646" s="48" t="s">
        <v>375</v>
      </c>
      <c r="Z1646" s="48" t="s">
        <v>375</v>
      </c>
      <c r="AA1646" s="48" t="s">
        <v>375</v>
      </c>
      <c r="AB1646" s="48" t="s">
        <v>375</v>
      </c>
      <c r="AC1646" s="48" t="s">
        <v>375</v>
      </c>
      <c r="AD1646" s="48" t="s">
        <v>375</v>
      </c>
      <c r="AE1646" s="48" t="s">
        <v>375</v>
      </c>
      <c r="AF1646" s="48" t="s">
        <v>375</v>
      </c>
      <c r="AG1646" s="48" t="s">
        <v>375</v>
      </c>
      <c r="AH1646" s="48" t="s">
        <v>375</v>
      </c>
      <c r="AI1646" s="48" t="s">
        <v>375</v>
      </c>
    </row>
    <row r="1647" spans="1:45" hidden="1" x14ac:dyDescent="0.25">
      <c r="A1647">
        <v>1646</v>
      </c>
      <c r="B1647">
        <v>2026</v>
      </c>
      <c r="C1647">
        <v>2</v>
      </c>
      <c r="D1647" t="s">
        <v>1125</v>
      </c>
      <c r="E1647">
        <v>31</v>
      </c>
      <c r="F1647">
        <v>13</v>
      </c>
      <c r="G1647" t="s">
        <v>431</v>
      </c>
      <c r="H1647" s="48" t="s">
        <v>320</v>
      </c>
      <c r="I1647" s="48" t="s">
        <v>320</v>
      </c>
      <c r="J1647" s="48" t="s">
        <v>320</v>
      </c>
      <c r="K1647" s="48" t="s">
        <v>320</v>
      </c>
      <c r="L1647" s="48" t="s">
        <v>320</v>
      </c>
      <c r="M1647" s="48" t="s">
        <v>320</v>
      </c>
      <c r="N1647" s="48" t="s">
        <v>320</v>
      </c>
      <c r="O1647" s="48" t="s">
        <v>320</v>
      </c>
      <c r="P1647" s="48" t="s">
        <v>320</v>
      </c>
      <c r="Q1647" s="48" t="s">
        <v>320</v>
      </c>
      <c r="R1647" s="48" t="s">
        <v>320</v>
      </c>
      <c r="S1647" s="48" t="s">
        <v>320</v>
      </c>
      <c r="T1647" s="48" t="s">
        <v>320</v>
      </c>
      <c r="U1647" s="48" t="s">
        <v>320</v>
      </c>
      <c r="V1647" s="48">
        <v>0.75</v>
      </c>
      <c r="W1647" s="48">
        <v>0.75</v>
      </c>
      <c r="X1647" s="48">
        <v>0.75</v>
      </c>
      <c r="Y1647" s="48">
        <v>0.75</v>
      </c>
      <c r="Z1647" s="48">
        <v>0.75</v>
      </c>
      <c r="AA1647" s="48">
        <v>0.75</v>
      </c>
      <c r="AB1647" s="48">
        <v>0.75</v>
      </c>
      <c r="AC1647" s="48">
        <v>0.75</v>
      </c>
      <c r="AD1647" s="48">
        <v>0.75</v>
      </c>
      <c r="AE1647" s="48">
        <v>0.79166666666666674</v>
      </c>
      <c r="AF1647" s="48">
        <v>0.79166666666666674</v>
      </c>
      <c r="AG1647" s="48">
        <v>0.75</v>
      </c>
      <c r="AH1647" s="48">
        <v>0.75</v>
      </c>
      <c r="AI1647" s="48">
        <v>0.75</v>
      </c>
      <c r="AM1647" cm="1">
        <f t="array" ref="AM1647">SUM(_xlfn.LET(_xlpm.r,((IFERROR(H1647:AL1647-H1646:AL1646,0))*24)/10,IF(_xlpm.r&gt;1,1,_xlpm.r)))</f>
        <v>14</v>
      </c>
      <c r="AO1647" cm="1">
        <f t="array" ref="AO1647">SUM(IFERROR(MOD((H1647:AL1647-H1646:AL1646)*24,11),""))</f>
        <v>2</v>
      </c>
    </row>
    <row r="1648" spans="1:45" hidden="1" x14ac:dyDescent="0.25">
      <c r="A1648">
        <v>1647</v>
      </c>
      <c r="B1648">
        <v>2026</v>
      </c>
      <c r="C1648">
        <v>2</v>
      </c>
      <c r="D1648" t="s">
        <v>1125</v>
      </c>
      <c r="E1648">
        <v>31</v>
      </c>
      <c r="F1648">
        <v>13</v>
      </c>
      <c r="G1648" t="s">
        <v>432</v>
      </c>
      <c r="H1648" s="48" t="s">
        <v>320</v>
      </c>
      <c r="I1648" s="48" t="s">
        <v>320</v>
      </c>
      <c r="J1648" s="48" t="s">
        <v>320</v>
      </c>
      <c r="K1648" s="48" t="s">
        <v>320</v>
      </c>
      <c r="L1648" s="48" t="s">
        <v>320</v>
      </c>
      <c r="M1648" s="48" t="s">
        <v>320</v>
      </c>
      <c r="N1648" s="48" t="s">
        <v>320</v>
      </c>
      <c r="O1648" s="48" t="s">
        <v>320</v>
      </c>
      <c r="P1648" s="48" t="s">
        <v>320</v>
      </c>
      <c r="Q1648" s="48" t="s">
        <v>320</v>
      </c>
      <c r="R1648" s="48" t="s">
        <v>320</v>
      </c>
      <c r="S1648" s="48" t="s">
        <v>320</v>
      </c>
      <c r="T1648" s="48" t="s">
        <v>320</v>
      </c>
      <c r="U1648" s="48" t="s">
        <v>320</v>
      </c>
      <c r="V1648" s="48">
        <v>786733</v>
      </c>
      <c r="W1648" s="48">
        <v>786747</v>
      </c>
      <c r="X1648" s="48">
        <v>786759</v>
      </c>
      <c r="Y1648" s="48">
        <v>786772</v>
      </c>
      <c r="Z1648" s="48">
        <v>786783</v>
      </c>
      <c r="AA1648" s="48">
        <v>786797</v>
      </c>
      <c r="AB1648" s="48">
        <v>786815</v>
      </c>
      <c r="AC1648" s="48">
        <v>786824</v>
      </c>
      <c r="AD1648" s="48">
        <v>786841</v>
      </c>
      <c r="AE1648" s="48">
        <v>786858</v>
      </c>
      <c r="AF1648" s="48">
        <v>786897</v>
      </c>
      <c r="AG1648" s="48">
        <v>786928</v>
      </c>
      <c r="AH1648" s="48">
        <v>786954</v>
      </c>
      <c r="AI1648" s="48">
        <v>786972</v>
      </c>
    </row>
    <row r="1649" spans="1:45" hidden="1" x14ac:dyDescent="0.25">
      <c r="A1649">
        <v>1648</v>
      </c>
      <c r="B1649">
        <v>2026</v>
      </c>
      <c r="C1649">
        <v>2</v>
      </c>
      <c r="D1649" t="s">
        <v>1125</v>
      </c>
      <c r="E1649">
        <v>31</v>
      </c>
      <c r="F1649">
        <v>13</v>
      </c>
      <c r="G1649" t="s">
        <v>433</v>
      </c>
      <c r="H1649" s="48" t="s">
        <v>320</v>
      </c>
      <c r="I1649" s="48" t="s">
        <v>320</v>
      </c>
      <c r="J1649" s="48" t="s">
        <v>320</v>
      </c>
      <c r="K1649" s="48" t="s">
        <v>320</v>
      </c>
      <c r="L1649" s="48" t="s">
        <v>320</v>
      </c>
      <c r="M1649" s="48" t="s">
        <v>320</v>
      </c>
      <c r="N1649" s="48" t="s">
        <v>320</v>
      </c>
      <c r="O1649" s="48" t="s">
        <v>320</v>
      </c>
      <c r="P1649" s="48" t="s">
        <v>320</v>
      </c>
      <c r="Q1649" s="48" t="s">
        <v>320</v>
      </c>
      <c r="R1649" s="48" t="s">
        <v>320</v>
      </c>
      <c r="S1649" s="48" t="s">
        <v>320</v>
      </c>
      <c r="T1649" s="48" t="s">
        <v>320</v>
      </c>
      <c r="U1649" s="48" t="s">
        <v>320</v>
      </c>
      <c r="V1649" s="48">
        <v>786742</v>
      </c>
      <c r="W1649" s="48">
        <v>786756</v>
      </c>
      <c r="X1649" s="48">
        <v>786770</v>
      </c>
      <c r="Y1649" s="48">
        <v>786784</v>
      </c>
      <c r="Z1649" s="48">
        <v>786798</v>
      </c>
      <c r="AA1649" s="48">
        <v>786812</v>
      </c>
      <c r="AB1649" s="48">
        <v>786826</v>
      </c>
      <c r="AC1649" s="48">
        <v>786842</v>
      </c>
      <c r="AD1649" s="48">
        <v>786858</v>
      </c>
      <c r="AE1649" s="48">
        <v>786897</v>
      </c>
      <c r="AF1649" s="48">
        <v>786928</v>
      </c>
      <c r="AG1649" s="48">
        <v>786954</v>
      </c>
      <c r="AH1649" s="48">
        <v>786972</v>
      </c>
      <c r="AI1649" s="48">
        <v>787010</v>
      </c>
      <c r="AP1649" cm="1">
        <f t="array" ref="AP1649">IF(AQ1649="","",SUM(IFERROR(H1649:AL1649-H1648:AL1648,0))*AQ1649/100)</f>
        <v>40.35</v>
      </c>
      <c r="AQ1649">
        <f>_xlfn.XLOOKUP(D1649,log_prices!M:M,log_prices!L:L,,0)</f>
        <v>15</v>
      </c>
      <c r="AS1649" cm="1">
        <f t="array" ref="AS1649">IF(AQ1649="","",SUM(IFERROR(H1649:AL1649-H1648:AL1648,0)))</f>
        <v>269</v>
      </c>
    </row>
    <row r="1650" spans="1:45" hidden="1" x14ac:dyDescent="0.25">
      <c r="A1650">
        <v>1649</v>
      </c>
      <c r="B1650">
        <v>2026</v>
      </c>
      <c r="C1650">
        <v>2</v>
      </c>
      <c r="D1650" t="s">
        <v>1126</v>
      </c>
      <c r="E1650">
        <v>31</v>
      </c>
      <c r="F1650">
        <v>13</v>
      </c>
      <c r="G1650" t="s">
        <v>430</v>
      </c>
      <c r="H1650" s="48" t="s">
        <v>320</v>
      </c>
      <c r="I1650" s="48" t="s">
        <v>320</v>
      </c>
      <c r="J1650" s="48" t="s">
        <v>320</v>
      </c>
      <c r="K1650" s="48" t="s">
        <v>320</v>
      </c>
      <c r="L1650" s="48" t="s">
        <v>320</v>
      </c>
      <c r="M1650" s="48" t="s">
        <v>320</v>
      </c>
      <c r="N1650" s="48" t="s">
        <v>320</v>
      </c>
      <c r="O1650" s="48" t="s">
        <v>320</v>
      </c>
      <c r="P1650" s="48" t="s">
        <v>320</v>
      </c>
      <c r="Q1650" s="48" t="s">
        <v>320</v>
      </c>
      <c r="R1650" s="48" t="s">
        <v>320</v>
      </c>
      <c r="S1650" s="48" t="s">
        <v>320</v>
      </c>
      <c r="T1650" s="48" t="s">
        <v>320</v>
      </c>
      <c r="U1650" s="48" t="s">
        <v>320</v>
      </c>
      <c r="V1650" s="48" t="s">
        <v>375</v>
      </c>
      <c r="W1650" s="48" t="s">
        <v>375</v>
      </c>
      <c r="X1650" s="48" t="s">
        <v>375</v>
      </c>
      <c r="Y1650" s="48" t="s">
        <v>375</v>
      </c>
      <c r="Z1650" s="48" t="s">
        <v>375</v>
      </c>
      <c r="AA1650" s="48" t="s">
        <v>375</v>
      </c>
      <c r="AB1650" s="48" t="s">
        <v>375</v>
      </c>
      <c r="AC1650" s="48" t="s">
        <v>375</v>
      </c>
      <c r="AD1650" s="48" t="s">
        <v>375</v>
      </c>
      <c r="AE1650" s="48" t="s">
        <v>375</v>
      </c>
      <c r="AF1650" s="48" t="s">
        <v>375</v>
      </c>
      <c r="AG1650" s="48" t="s">
        <v>375</v>
      </c>
      <c r="AH1650" s="48" t="s">
        <v>375</v>
      </c>
      <c r="AI1650" s="48" t="s">
        <v>375</v>
      </c>
    </row>
    <row r="1651" spans="1:45" hidden="1" x14ac:dyDescent="0.25">
      <c r="A1651">
        <v>1650</v>
      </c>
      <c r="B1651">
        <v>2026</v>
      </c>
      <c r="C1651">
        <v>2</v>
      </c>
      <c r="D1651" t="s">
        <v>1126</v>
      </c>
      <c r="E1651">
        <v>31</v>
      </c>
      <c r="F1651">
        <v>13</v>
      </c>
      <c r="G1651" t="s">
        <v>431</v>
      </c>
      <c r="H1651" s="48" t="s">
        <v>320</v>
      </c>
      <c r="I1651" s="48" t="s">
        <v>320</v>
      </c>
      <c r="J1651" s="48" t="s">
        <v>320</v>
      </c>
      <c r="K1651" s="48" t="s">
        <v>320</v>
      </c>
      <c r="L1651" s="48" t="s">
        <v>320</v>
      </c>
      <c r="M1651" s="48" t="s">
        <v>320</v>
      </c>
      <c r="N1651" s="48" t="s">
        <v>320</v>
      </c>
      <c r="O1651" s="48" t="s">
        <v>320</v>
      </c>
      <c r="P1651" s="48" t="s">
        <v>320</v>
      </c>
      <c r="Q1651" s="48" t="s">
        <v>320</v>
      </c>
      <c r="R1651" s="48" t="s">
        <v>320</v>
      </c>
      <c r="S1651" s="48" t="s">
        <v>320</v>
      </c>
      <c r="T1651" s="48" t="s">
        <v>320</v>
      </c>
      <c r="U1651" s="48" t="s">
        <v>320</v>
      </c>
      <c r="V1651" s="48">
        <v>0.75</v>
      </c>
      <c r="W1651" s="48">
        <v>0.75</v>
      </c>
      <c r="X1651" s="48">
        <v>0.75</v>
      </c>
      <c r="Y1651" s="48">
        <v>0.75</v>
      </c>
      <c r="Z1651" s="48">
        <v>0.75</v>
      </c>
      <c r="AA1651" s="48">
        <v>0.75</v>
      </c>
      <c r="AB1651" s="48">
        <v>0.75</v>
      </c>
      <c r="AC1651" s="48">
        <v>0.75</v>
      </c>
      <c r="AD1651" s="48">
        <v>0.75</v>
      </c>
      <c r="AE1651" s="48">
        <v>0.75</v>
      </c>
      <c r="AF1651" s="48">
        <v>0.75</v>
      </c>
      <c r="AG1651" s="48">
        <v>0.75</v>
      </c>
      <c r="AH1651" s="48">
        <v>0.75</v>
      </c>
      <c r="AI1651" s="48">
        <v>0.75</v>
      </c>
      <c r="AM1651" cm="1">
        <f t="array" ref="AM1651">SUM(_xlfn.LET(_xlpm.r,((IFERROR(H1651:AL1651-H1650:AL1650,0))*24)/10,IF(_xlpm.r&gt;1,1,_xlpm.r)))</f>
        <v>14</v>
      </c>
      <c r="AO1651" cm="1">
        <f t="array" ref="AO1651">SUM(IFERROR(MOD((H1651:AL1651-H1650:AL1650)*24,11),""))</f>
        <v>0</v>
      </c>
    </row>
    <row r="1652" spans="1:45" hidden="1" x14ac:dyDescent="0.25">
      <c r="A1652">
        <v>1651</v>
      </c>
      <c r="B1652">
        <v>2026</v>
      </c>
      <c r="C1652">
        <v>2</v>
      </c>
      <c r="D1652" t="s">
        <v>1126</v>
      </c>
      <c r="E1652">
        <v>31</v>
      </c>
      <c r="F1652">
        <v>13</v>
      </c>
      <c r="G1652" t="s">
        <v>432</v>
      </c>
      <c r="H1652" s="48" t="s">
        <v>320</v>
      </c>
      <c r="I1652" s="48" t="s">
        <v>320</v>
      </c>
      <c r="J1652" s="48" t="s">
        <v>320</v>
      </c>
      <c r="K1652" s="48" t="s">
        <v>320</v>
      </c>
      <c r="L1652" s="48" t="s">
        <v>320</v>
      </c>
      <c r="M1652" s="48" t="s">
        <v>320</v>
      </c>
      <c r="N1652" s="48" t="s">
        <v>320</v>
      </c>
      <c r="O1652" s="48" t="s">
        <v>320</v>
      </c>
      <c r="P1652" s="48" t="s">
        <v>320</v>
      </c>
      <c r="Q1652" s="48" t="s">
        <v>320</v>
      </c>
      <c r="R1652" s="48" t="s">
        <v>320</v>
      </c>
      <c r="S1652" s="48" t="s">
        <v>320</v>
      </c>
      <c r="T1652" s="48" t="s">
        <v>320</v>
      </c>
      <c r="U1652" s="48" t="s">
        <v>320</v>
      </c>
      <c r="V1652" s="48">
        <v>799807</v>
      </c>
      <c r="W1652" s="48">
        <v>799816</v>
      </c>
      <c r="X1652" s="48">
        <v>799825</v>
      </c>
      <c r="Y1652" s="48">
        <v>799836</v>
      </c>
      <c r="Z1652" s="48">
        <v>799848</v>
      </c>
      <c r="AA1652" s="48">
        <v>799863</v>
      </c>
      <c r="AB1652" s="48">
        <v>799878</v>
      </c>
      <c r="AC1652" s="48">
        <v>799889</v>
      </c>
      <c r="AD1652" s="48">
        <v>799907</v>
      </c>
      <c r="AE1652" s="48">
        <v>799924</v>
      </c>
      <c r="AF1652" s="48">
        <v>799937</v>
      </c>
      <c r="AG1652" s="48">
        <v>799957</v>
      </c>
      <c r="AH1652" s="48">
        <v>799999</v>
      </c>
      <c r="AI1652" s="48">
        <v>800048</v>
      </c>
    </row>
    <row r="1653" spans="1:45" hidden="1" x14ac:dyDescent="0.25">
      <c r="A1653">
        <v>1652</v>
      </c>
      <c r="B1653">
        <v>2026</v>
      </c>
      <c r="C1653">
        <v>2</v>
      </c>
      <c r="D1653" t="s">
        <v>1126</v>
      </c>
      <c r="E1653">
        <v>31</v>
      </c>
      <c r="F1653">
        <v>13</v>
      </c>
      <c r="G1653" t="s">
        <v>433</v>
      </c>
      <c r="H1653" s="48" t="s">
        <v>320</v>
      </c>
      <c r="I1653" s="48" t="s">
        <v>320</v>
      </c>
      <c r="J1653" s="48" t="s">
        <v>320</v>
      </c>
      <c r="K1653" s="48" t="s">
        <v>320</v>
      </c>
      <c r="L1653" s="48" t="s">
        <v>320</v>
      </c>
      <c r="M1653" s="48" t="s">
        <v>320</v>
      </c>
      <c r="N1653" s="48" t="s">
        <v>320</v>
      </c>
      <c r="O1653" s="48" t="s">
        <v>320</v>
      </c>
      <c r="P1653" s="48" t="s">
        <v>320</v>
      </c>
      <c r="Q1653" s="48" t="s">
        <v>320</v>
      </c>
      <c r="R1653" s="48" t="s">
        <v>320</v>
      </c>
      <c r="S1653" s="48" t="s">
        <v>320</v>
      </c>
      <c r="T1653" s="48" t="s">
        <v>320</v>
      </c>
      <c r="U1653" s="48" t="s">
        <v>320</v>
      </c>
      <c r="V1653" s="48">
        <v>799816</v>
      </c>
      <c r="W1653" s="48">
        <v>799825</v>
      </c>
      <c r="X1653" s="48">
        <v>799836</v>
      </c>
      <c r="Y1653" s="48">
        <v>799848</v>
      </c>
      <c r="Z1653" s="48">
        <v>799863</v>
      </c>
      <c r="AA1653" s="48">
        <v>799878</v>
      </c>
      <c r="AB1653" s="48">
        <v>799889</v>
      </c>
      <c r="AC1653" s="48">
        <v>799907</v>
      </c>
      <c r="AD1653" s="48">
        <v>799924</v>
      </c>
      <c r="AE1653" s="48">
        <v>799937</v>
      </c>
      <c r="AF1653" s="48">
        <v>799957</v>
      </c>
      <c r="AG1653" s="48">
        <v>799999</v>
      </c>
      <c r="AH1653" s="48">
        <v>800048</v>
      </c>
      <c r="AI1653" s="48">
        <v>800082</v>
      </c>
      <c r="AP1653" cm="1">
        <f t="array" ref="AP1653">IF(AQ1653="","",SUM(IFERROR(H1653:AL1653-H1652:AL1652,0))*AQ1653/100)</f>
        <v>41.25</v>
      </c>
      <c r="AQ1653">
        <f>_xlfn.XLOOKUP(D1653,log_prices!M:M,log_prices!L:L,,0)</f>
        <v>15</v>
      </c>
      <c r="AS1653" cm="1">
        <f t="array" ref="AS1653">IF(AQ1653="","",SUM(IFERROR(H1653:AL1653-H1652:AL1652,0)))</f>
        <v>275</v>
      </c>
    </row>
    <row r="1654" spans="1:45" hidden="1" x14ac:dyDescent="0.25">
      <c r="A1654">
        <v>1653</v>
      </c>
      <c r="B1654">
        <v>2026</v>
      </c>
      <c r="C1654">
        <v>2</v>
      </c>
      <c r="D1654" t="s">
        <v>160</v>
      </c>
      <c r="E1654">
        <v>31</v>
      </c>
      <c r="F1654">
        <v>13</v>
      </c>
      <c r="G1654" t="s">
        <v>432</v>
      </c>
      <c r="H1654" s="48">
        <v>293344</v>
      </c>
      <c r="I1654" s="48">
        <v>293372</v>
      </c>
      <c r="J1654" s="48">
        <v>293389</v>
      </c>
      <c r="K1654" s="48">
        <v>293390</v>
      </c>
      <c r="L1654" s="48">
        <v>293418</v>
      </c>
      <c r="M1654" s="48">
        <v>293440</v>
      </c>
      <c r="N1654" s="48">
        <v>293492</v>
      </c>
      <c r="O1654" s="48">
        <v>293547</v>
      </c>
      <c r="P1654" s="48">
        <v>293662</v>
      </c>
      <c r="Q1654" s="48">
        <v>293862</v>
      </c>
      <c r="R1654" s="48">
        <v>293975</v>
      </c>
      <c r="S1654" s="48">
        <v>294017</v>
      </c>
      <c r="T1654" s="48">
        <v>294220</v>
      </c>
      <c r="U1654" s="48">
        <v>294341</v>
      </c>
      <c r="V1654" s="48">
        <v>294475</v>
      </c>
      <c r="W1654" s="48">
        <v>294593</v>
      </c>
      <c r="X1654" s="48">
        <v>294751</v>
      </c>
      <c r="Y1654" s="48">
        <v>294881</v>
      </c>
      <c r="Z1654" s="48">
        <v>294979</v>
      </c>
      <c r="AA1654" s="48">
        <v>295249</v>
      </c>
      <c r="AB1654" s="48">
        <v>295365</v>
      </c>
      <c r="AC1654" s="48">
        <v>295475</v>
      </c>
      <c r="AD1654" s="48">
        <v>295615</v>
      </c>
      <c r="AE1654" s="48">
        <v>295671</v>
      </c>
      <c r="AF1654" s="48">
        <v>295777</v>
      </c>
      <c r="AG1654" s="48">
        <v>295899</v>
      </c>
      <c r="AH1654" s="48">
        <v>296004</v>
      </c>
      <c r="AI1654" s="48">
        <v>296110</v>
      </c>
    </row>
    <row r="1655" spans="1:45" hidden="1" x14ac:dyDescent="0.25">
      <c r="A1655">
        <v>1654</v>
      </c>
      <c r="B1655">
        <v>2026</v>
      </c>
      <c r="C1655">
        <v>2</v>
      </c>
      <c r="D1655" t="s">
        <v>160</v>
      </c>
      <c r="E1655">
        <v>31</v>
      </c>
      <c r="F1655">
        <v>13</v>
      </c>
      <c r="G1655" t="s">
        <v>433</v>
      </c>
      <c r="H1655" s="48">
        <v>293372</v>
      </c>
      <c r="I1655" s="48">
        <v>293389</v>
      </c>
      <c r="J1655" s="48">
        <v>293390</v>
      </c>
      <c r="K1655" s="48">
        <v>293418</v>
      </c>
      <c r="L1655" s="48">
        <v>293440</v>
      </c>
      <c r="M1655" s="48">
        <v>293492</v>
      </c>
      <c r="N1655" s="48">
        <v>293547</v>
      </c>
      <c r="O1655" s="48">
        <v>293662</v>
      </c>
      <c r="P1655" s="48">
        <v>293862</v>
      </c>
      <c r="Q1655" s="48">
        <v>293975</v>
      </c>
      <c r="R1655" s="48">
        <v>294017</v>
      </c>
      <c r="S1655" s="48">
        <v>294220</v>
      </c>
      <c r="T1655" s="48">
        <v>294341</v>
      </c>
      <c r="U1655" s="48">
        <v>294475</v>
      </c>
      <c r="V1655" s="48">
        <v>294593</v>
      </c>
      <c r="W1655" s="48">
        <v>294751</v>
      </c>
      <c r="X1655" s="48">
        <v>294881</v>
      </c>
      <c r="Y1655" s="48">
        <v>294979</v>
      </c>
      <c r="Z1655" s="48">
        <v>294998</v>
      </c>
      <c r="AA1655" s="48">
        <v>295365</v>
      </c>
      <c r="AB1655" s="48">
        <v>295475</v>
      </c>
      <c r="AC1655" s="48">
        <v>295615</v>
      </c>
      <c r="AD1655" s="48">
        <v>295671</v>
      </c>
      <c r="AE1655" s="48">
        <v>295777</v>
      </c>
      <c r="AF1655" s="48">
        <v>295899</v>
      </c>
      <c r="AG1655" s="48">
        <v>296004</v>
      </c>
      <c r="AH1655" s="48">
        <v>296110</v>
      </c>
      <c r="AI1655" s="48">
        <v>296240</v>
      </c>
      <c r="AP1655" cm="1">
        <f t="array" ref="AP1655">IF(AQ1655="","",SUM(IFERROR(H1655:AL1655-H1654:AL1654,0))*AQ1655/100)</f>
        <v>396.75</v>
      </c>
      <c r="AQ1655">
        <f>_xlfn.XLOOKUP(D1655,log_prices!M:M,log_prices!L:L,,0)</f>
        <v>15</v>
      </c>
      <c r="AS1655" cm="1">
        <f t="array" ref="AS1655">IF(AQ1655="","",SUM(IFERROR(H1655:AL1655-H1654:AL1654,0)))</f>
        <v>2645</v>
      </c>
    </row>
    <row r="1656" spans="1:45" x14ac:dyDescent="0.25">
      <c r="A1656">
        <v>1655</v>
      </c>
      <c r="B1656">
        <v>2026</v>
      </c>
      <c r="C1656">
        <v>3</v>
      </c>
      <c r="D1656" t="s">
        <v>786</v>
      </c>
      <c r="E1656">
        <v>31</v>
      </c>
      <c r="F1656">
        <v>14</v>
      </c>
      <c r="G1656" t="s">
        <v>430</v>
      </c>
      <c r="H1656" s="48">
        <v>0.33333333333333331</v>
      </c>
      <c r="I1656" s="48">
        <v>0.33333333333333331</v>
      </c>
      <c r="J1656" s="48">
        <v>0.33333333333333331</v>
      </c>
      <c r="K1656" s="48">
        <v>0.33333333333333331</v>
      </c>
      <c r="L1656" s="48">
        <v>0.33333333333333331</v>
      </c>
      <c r="M1656" s="48">
        <v>0.33333333333333331</v>
      </c>
      <c r="N1656" s="48">
        <v>0.33333333333333331</v>
      </c>
      <c r="O1656" s="48">
        <v>0.33333333333333331</v>
      </c>
      <c r="P1656" s="48">
        <v>0.33333333333333331</v>
      </c>
      <c r="Q1656" s="48">
        <v>0.33333333333333331</v>
      </c>
      <c r="R1656" s="48">
        <v>0.33333333333333331</v>
      </c>
      <c r="S1656" s="48">
        <v>0.33333333333333331</v>
      </c>
      <c r="T1656" s="48">
        <v>0.33333333333333331</v>
      </c>
      <c r="U1656" s="48">
        <v>0.33333333333333331</v>
      </c>
      <c r="V1656" s="48">
        <v>0.33333333333333331</v>
      </c>
      <c r="W1656" s="48">
        <v>0.33333333333333331</v>
      </c>
      <c r="X1656" s="48">
        <v>0.33333333333333331</v>
      </c>
      <c r="Y1656" s="48">
        <v>0.33333333333333331</v>
      </c>
      <c r="Z1656" s="48">
        <v>0.33333333333333331</v>
      </c>
      <c r="AE1656" s="48">
        <v>0.33333333333333331</v>
      </c>
      <c r="AF1656" s="48">
        <v>0.33333333333333331</v>
      </c>
      <c r="AG1656" s="48">
        <v>0.33333333333333331</v>
      </c>
      <c r="AH1656" s="48">
        <v>0.33333333333333331</v>
      </c>
      <c r="AI1656" s="48">
        <v>0.33333333333333331</v>
      </c>
      <c r="AJ1656" s="48">
        <v>0.33333333333333331</v>
      </c>
      <c r="AK1656" s="48">
        <v>0.33333333333333331</v>
      </c>
      <c r="AL1656" s="48">
        <v>0.33333333333333331</v>
      </c>
    </row>
    <row r="1657" spans="1:45" x14ac:dyDescent="0.25">
      <c r="A1657">
        <v>1656</v>
      </c>
      <c r="B1657">
        <v>2026</v>
      </c>
      <c r="C1657">
        <v>3</v>
      </c>
      <c r="D1657" t="s">
        <v>786</v>
      </c>
      <c r="E1657">
        <v>31</v>
      </c>
      <c r="F1657">
        <v>14</v>
      </c>
      <c r="G1657" t="s">
        <v>431</v>
      </c>
      <c r="H1657" s="48">
        <v>0.75</v>
      </c>
      <c r="I1657" s="48">
        <v>0.75</v>
      </c>
      <c r="J1657" s="48">
        <v>0.875</v>
      </c>
      <c r="K1657" s="48">
        <v>0.75</v>
      </c>
      <c r="L1657" s="48">
        <v>0.75</v>
      </c>
      <c r="M1657" s="48">
        <v>0.875</v>
      </c>
      <c r="N1657" s="48">
        <v>0.75</v>
      </c>
      <c r="O1657" s="48">
        <v>0.75</v>
      </c>
      <c r="P1657" s="48">
        <v>0.75</v>
      </c>
      <c r="Q1657" s="48">
        <v>0.875</v>
      </c>
      <c r="R1657" s="48">
        <v>0.75</v>
      </c>
      <c r="S1657" s="48">
        <v>0.75</v>
      </c>
      <c r="T1657" s="48">
        <v>0.875</v>
      </c>
      <c r="U1657" s="48">
        <v>0.75</v>
      </c>
      <c r="V1657" s="48">
        <v>0.75</v>
      </c>
      <c r="W1657" s="48">
        <v>0.75</v>
      </c>
      <c r="X1657" s="48">
        <v>0.75</v>
      </c>
      <c r="Y1657" s="48">
        <v>0.75</v>
      </c>
      <c r="Z1657" s="48">
        <v>0.75</v>
      </c>
      <c r="AE1657" s="48">
        <v>0.75</v>
      </c>
      <c r="AF1657" s="48">
        <v>0.75</v>
      </c>
      <c r="AG1657" s="48">
        <v>0.75</v>
      </c>
      <c r="AH1657" s="48">
        <v>0.75</v>
      </c>
      <c r="AI1657" s="48">
        <v>0.75</v>
      </c>
      <c r="AJ1657" s="48">
        <v>0.75</v>
      </c>
      <c r="AK1657" s="48">
        <v>0.875</v>
      </c>
      <c r="AL1657" s="48">
        <v>0.75</v>
      </c>
      <c r="AM1657">
        <v>29</v>
      </c>
      <c r="AO1657">
        <v>15</v>
      </c>
    </row>
    <row r="1658" spans="1:45" hidden="1" x14ac:dyDescent="0.25">
      <c r="A1658">
        <v>1657</v>
      </c>
      <c r="B1658">
        <v>2026</v>
      </c>
      <c r="C1658">
        <v>3</v>
      </c>
      <c r="D1658" t="s">
        <v>460</v>
      </c>
      <c r="E1658">
        <v>50</v>
      </c>
      <c r="F1658">
        <v>10</v>
      </c>
      <c r="G1658" t="s">
        <v>430</v>
      </c>
      <c r="H1658" s="134"/>
      <c r="I1658" s="134">
        <v>0.33333333333333331</v>
      </c>
      <c r="J1658" s="134">
        <v>0.33333333333333331</v>
      </c>
      <c r="K1658" s="134">
        <v>0.33333333333333331</v>
      </c>
      <c r="L1658" s="134">
        <v>0.33333333333333331</v>
      </c>
      <c r="M1658" s="134">
        <v>0.33333333333333331</v>
      </c>
      <c r="N1658" s="134">
        <v>0.33333333333333331</v>
      </c>
      <c r="O1658" s="134">
        <v>0.33333333333333331</v>
      </c>
      <c r="P1658" s="134">
        <v>0.33333333333333331</v>
      </c>
      <c r="Q1658" s="134">
        <v>0.33333333333333331</v>
      </c>
      <c r="R1658" s="134">
        <v>0.33333333333333331</v>
      </c>
      <c r="S1658" s="134">
        <v>0.33333333333333331</v>
      </c>
      <c r="T1658" s="134">
        <v>0.33333333333333331</v>
      </c>
      <c r="U1658" s="134">
        <v>0.33333333333333331</v>
      </c>
      <c r="V1658" s="134">
        <v>0.33333333333333331</v>
      </c>
    </row>
    <row r="1659" spans="1:45" hidden="1" x14ac:dyDescent="0.25">
      <c r="A1659">
        <v>1658</v>
      </c>
      <c r="B1659">
        <v>2026</v>
      </c>
      <c r="C1659">
        <v>3</v>
      </c>
      <c r="D1659" t="s">
        <v>460</v>
      </c>
      <c r="E1659">
        <v>50</v>
      </c>
      <c r="F1659">
        <v>10</v>
      </c>
      <c r="G1659" t="s">
        <v>431</v>
      </c>
      <c r="I1659" s="48">
        <v>0.75</v>
      </c>
      <c r="J1659" s="48">
        <v>0.75</v>
      </c>
      <c r="K1659" s="48">
        <v>0.75</v>
      </c>
      <c r="L1659" s="48">
        <v>0.75</v>
      </c>
      <c r="M1659" s="48">
        <v>0.75</v>
      </c>
      <c r="N1659" s="48">
        <v>0.75</v>
      </c>
      <c r="O1659" s="48">
        <v>0.75</v>
      </c>
      <c r="P1659" s="48">
        <v>0.75</v>
      </c>
      <c r="Q1659" s="48">
        <v>0.75</v>
      </c>
      <c r="R1659" s="48">
        <v>0.75</v>
      </c>
      <c r="S1659" s="48">
        <v>0.75</v>
      </c>
      <c r="T1659" s="48">
        <v>0.75</v>
      </c>
      <c r="U1659" s="48">
        <v>0.75</v>
      </c>
      <c r="V1659" s="48">
        <v>0.75</v>
      </c>
      <c r="AM1659">
        <v>14</v>
      </c>
    </row>
    <row r="1660" spans="1:45" hidden="1" x14ac:dyDescent="0.25">
      <c r="A1660">
        <v>1659</v>
      </c>
      <c r="B1660">
        <v>2026</v>
      </c>
      <c r="C1660">
        <v>3</v>
      </c>
      <c r="D1660" t="s">
        <v>638</v>
      </c>
      <c r="E1660">
        <v>51</v>
      </c>
      <c r="F1660">
        <v>8</v>
      </c>
      <c r="G1660" t="s">
        <v>430</v>
      </c>
      <c r="H1660" s="134">
        <v>0.33333333333333331</v>
      </c>
      <c r="I1660" s="134">
        <v>0.33333333333333331</v>
      </c>
      <c r="J1660" s="134">
        <v>0.33333333333333331</v>
      </c>
      <c r="K1660" s="134">
        <v>0.33333333333333331</v>
      </c>
      <c r="L1660" s="134">
        <v>0.33333333333333331</v>
      </c>
      <c r="M1660" s="134">
        <v>0.33333333333333331</v>
      </c>
      <c r="N1660" s="134">
        <v>0.33333333333333331</v>
      </c>
      <c r="O1660" s="134">
        <v>0.33333333333333331</v>
      </c>
      <c r="P1660" s="134">
        <v>0.33333333333333331</v>
      </c>
      <c r="Q1660" s="134">
        <v>0.33333333333333331</v>
      </c>
      <c r="R1660" s="134">
        <v>0.33333333333333331</v>
      </c>
      <c r="S1660" s="134">
        <v>0.33333333333333331</v>
      </c>
      <c r="T1660" s="134">
        <v>0.33333333333333331</v>
      </c>
      <c r="U1660" s="134">
        <v>0.33333333333333331</v>
      </c>
      <c r="V1660" s="134">
        <v>0.33333333333333331</v>
      </c>
      <c r="W1660" s="134">
        <v>0.33333333333333331</v>
      </c>
      <c r="X1660" s="134">
        <v>0.33333333333333331</v>
      </c>
      <c r="Y1660" s="134">
        <v>0.33333333333333331</v>
      </c>
      <c r="Z1660" s="134">
        <v>0.33333333333333331</v>
      </c>
      <c r="AA1660" s="134"/>
      <c r="AB1660" s="134"/>
      <c r="AC1660" s="134"/>
      <c r="AD1660" s="134"/>
      <c r="AE1660" s="134">
        <v>0.33333333333333331</v>
      </c>
      <c r="AF1660" s="134">
        <v>0.33333333333333331</v>
      </c>
      <c r="AG1660" s="134">
        <v>0.33333333333333331</v>
      </c>
      <c r="AH1660" s="134">
        <v>0.33333333333333331</v>
      </c>
      <c r="AI1660" s="134">
        <v>0.33333333333333331</v>
      </c>
      <c r="AJ1660" s="134"/>
      <c r="AK1660" s="134"/>
      <c r="AL1660" s="134"/>
    </row>
    <row r="1661" spans="1:45" hidden="1" x14ac:dyDescent="0.25">
      <c r="A1661">
        <v>1660</v>
      </c>
      <c r="B1661">
        <v>2026</v>
      </c>
      <c r="C1661">
        <v>3</v>
      </c>
      <c r="D1661" t="s">
        <v>638</v>
      </c>
      <c r="E1661">
        <v>51</v>
      </c>
      <c r="F1661">
        <v>8</v>
      </c>
      <c r="G1661" t="s">
        <v>431</v>
      </c>
      <c r="H1661" s="48">
        <v>0.75</v>
      </c>
      <c r="I1661" s="48">
        <v>0.75</v>
      </c>
      <c r="J1661" s="48">
        <v>0.75</v>
      </c>
      <c r="K1661" s="48">
        <v>0.75</v>
      </c>
      <c r="L1661" s="48">
        <v>0.75</v>
      </c>
      <c r="M1661" s="48">
        <v>0.75</v>
      </c>
      <c r="N1661" s="48">
        <v>0.75</v>
      </c>
      <c r="O1661" s="48">
        <v>0.75</v>
      </c>
      <c r="P1661" s="48">
        <v>0.75</v>
      </c>
      <c r="Q1661" s="48">
        <v>0.75</v>
      </c>
      <c r="R1661" s="48">
        <v>0.75</v>
      </c>
      <c r="S1661" s="48">
        <v>0.75</v>
      </c>
      <c r="T1661" s="48">
        <v>0.75</v>
      </c>
      <c r="U1661" s="48">
        <v>0.75</v>
      </c>
      <c r="V1661" s="48">
        <v>0.75</v>
      </c>
      <c r="W1661" s="48">
        <v>0.83333333333333337</v>
      </c>
      <c r="X1661" s="48">
        <v>0.75</v>
      </c>
      <c r="Y1661" s="48">
        <v>0.75</v>
      </c>
      <c r="Z1661" s="48">
        <v>0.75</v>
      </c>
      <c r="AE1661" s="48">
        <v>0.75</v>
      </c>
      <c r="AF1661" s="48">
        <v>0.79166666666666663</v>
      </c>
      <c r="AG1661" s="48">
        <v>0.75</v>
      </c>
      <c r="AH1661" s="48">
        <v>0.75</v>
      </c>
      <c r="AI1661" s="48">
        <v>0.75</v>
      </c>
      <c r="AM1661">
        <v>26</v>
      </c>
      <c r="AO1661">
        <v>3</v>
      </c>
    </row>
    <row r="1662" spans="1:45" hidden="1" x14ac:dyDescent="0.25">
      <c r="A1662">
        <v>1661</v>
      </c>
      <c r="B1662">
        <v>2026</v>
      </c>
      <c r="C1662">
        <v>3</v>
      </c>
      <c r="D1662" t="s">
        <v>477</v>
      </c>
      <c r="E1662">
        <v>65</v>
      </c>
      <c r="F1662">
        <v>11</v>
      </c>
      <c r="G1662" t="s">
        <v>430</v>
      </c>
      <c r="H1662" s="134"/>
      <c r="I1662" s="134">
        <v>0.33333333333333331</v>
      </c>
      <c r="J1662" s="134">
        <v>0.33333333333333331</v>
      </c>
      <c r="K1662" s="134">
        <v>0.33333333333333331</v>
      </c>
      <c r="L1662" s="134">
        <v>0.33333333333333331</v>
      </c>
      <c r="M1662" s="134">
        <v>0.33333333333333331</v>
      </c>
      <c r="N1662" s="134">
        <v>0.33333333333333331</v>
      </c>
      <c r="O1662" s="134">
        <v>0.33333333333333331</v>
      </c>
      <c r="P1662" s="134">
        <v>0.33333333333333331</v>
      </c>
      <c r="Q1662" s="134">
        <v>0.33333333333333331</v>
      </c>
      <c r="R1662" s="134">
        <v>0.33333333333333331</v>
      </c>
      <c r="S1662" s="134">
        <v>0.33333333333333331</v>
      </c>
      <c r="T1662" s="134">
        <v>0.33333333333333331</v>
      </c>
      <c r="U1662" s="134">
        <v>0.33333333333333331</v>
      </c>
      <c r="V1662" s="134">
        <v>0.33333333333333331</v>
      </c>
      <c r="W1662" s="134">
        <v>0.33333333333333331</v>
      </c>
      <c r="X1662" s="134">
        <v>0.33333333333333331</v>
      </c>
      <c r="Y1662" s="134">
        <v>0.33333333333333331</v>
      </c>
      <c r="Z1662" s="134">
        <v>0.33333333333333331</v>
      </c>
      <c r="AA1662" s="134"/>
      <c r="AB1662" s="134"/>
      <c r="AC1662" s="134"/>
      <c r="AD1662" s="134"/>
      <c r="AE1662" s="134">
        <v>0.33333333333333331</v>
      </c>
      <c r="AF1662" s="134">
        <v>0.33333333333333331</v>
      </c>
      <c r="AG1662" s="134">
        <v>0.33333333333333331</v>
      </c>
      <c r="AH1662" s="134">
        <v>0.33333333333333331</v>
      </c>
      <c r="AI1662" s="134">
        <v>0.33333333333333331</v>
      </c>
      <c r="AJ1662" s="134"/>
      <c r="AK1662" s="134">
        <v>0.33333333333333331</v>
      </c>
      <c r="AL1662" s="134">
        <v>0.33333333333333331</v>
      </c>
    </row>
    <row r="1663" spans="1:45" hidden="1" x14ac:dyDescent="0.25">
      <c r="A1663">
        <v>1662</v>
      </c>
      <c r="B1663">
        <v>2026</v>
      </c>
      <c r="C1663">
        <v>3</v>
      </c>
      <c r="D1663" t="s">
        <v>477</v>
      </c>
      <c r="E1663">
        <v>65</v>
      </c>
      <c r="F1663">
        <v>11</v>
      </c>
      <c r="G1663" t="s">
        <v>431</v>
      </c>
      <c r="I1663" s="48">
        <v>0.75</v>
      </c>
      <c r="J1663" s="48">
        <v>0.75</v>
      </c>
      <c r="K1663" s="48">
        <v>0.75</v>
      </c>
      <c r="L1663" s="48">
        <v>0.75</v>
      </c>
      <c r="M1663" s="48">
        <v>0.75</v>
      </c>
      <c r="N1663" s="48">
        <v>0.75</v>
      </c>
      <c r="O1663" s="48">
        <v>0.75</v>
      </c>
      <c r="P1663" s="48">
        <v>0.75</v>
      </c>
      <c r="Q1663" s="48">
        <v>0.75</v>
      </c>
      <c r="R1663" s="48">
        <v>0.75</v>
      </c>
      <c r="S1663" s="48">
        <v>0.75</v>
      </c>
      <c r="T1663" s="48">
        <v>0.75</v>
      </c>
      <c r="U1663" s="48">
        <v>0.75</v>
      </c>
      <c r="V1663" s="48">
        <v>0.75</v>
      </c>
      <c r="W1663" s="48">
        <v>0.75</v>
      </c>
      <c r="X1663" s="48">
        <v>0.75</v>
      </c>
      <c r="Y1663" s="48">
        <v>0.75</v>
      </c>
      <c r="Z1663" s="48">
        <v>0.75</v>
      </c>
      <c r="AE1663" s="48">
        <v>0.75</v>
      </c>
      <c r="AF1663" s="48">
        <v>0.75</v>
      </c>
      <c r="AG1663" s="48">
        <v>0.75</v>
      </c>
      <c r="AH1663" s="48">
        <v>0.75</v>
      </c>
      <c r="AI1663" s="48">
        <v>0.75</v>
      </c>
      <c r="AK1663" s="48">
        <v>0.75</v>
      </c>
      <c r="AL1663" s="48">
        <v>0.75</v>
      </c>
      <c r="AM1663">
        <v>27</v>
      </c>
    </row>
    <row r="1664" spans="1:45" hidden="1" x14ac:dyDescent="0.25">
      <c r="A1664">
        <v>1663</v>
      </c>
      <c r="B1664">
        <v>2026</v>
      </c>
      <c r="C1664">
        <v>3</v>
      </c>
      <c r="D1664" t="s">
        <v>481</v>
      </c>
      <c r="E1664">
        <v>85</v>
      </c>
      <c r="F1664">
        <v>10</v>
      </c>
      <c r="G1664" t="s">
        <v>430</v>
      </c>
      <c r="H1664" s="134"/>
      <c r="I1664" s="48">
        <v>0.33333333333333331</v>
      </c>
      <c r="J1664" s="48">
        <v>0.33333333333333331</v>
      </c>
      <c r="K1664" s="48">
        <v>0.33333333333333331</v>
      </c>
      <c r="L1664" s="48">
        <v>0.33333333333333331</v>
      </c>
      <c r="M1664" s="48">
        <v>0.33333333333333331</v>
      </c>
      <c r="N1664" s="48">
        <v>0.33333333333333331</v>
      </c>
      <c r="O1664" s="48">
        <v>0.33333333333333331</v>
      </c>
      <c r="P1664" s="48">
        <v>0.33333333333333331</v>
      </c>
      <c r="Q1664" s="48">
        <v>0.33333333333333331</v>
      </c>
      <c r="R1664" s="48">
        <v>0.33333333333333331</v>
      </c>
      <c r="S1664" s="48">
        <v>0.33333333333333331</v>
      </c>
      <c r="T1664" s="48">
        <v>0.33333333333333331</v>
      </c>
      <c r="U1664" s="48">
        <v>0.33333333333333331</v>
      </c>
      <c r="V1664" s="48">
        <v>0.33333333333333331</v>
      </c>
      <c r="W1664" s="48">
        <v>0.33333333333333331</v>
      </c>
      <c r="X1664" s="48">
        <v>0.33333333333333331</v>
      </c>
      <c r="Y1664" s="48">
        <v>0.33333333333333331</v>
      </c>
      <c r="Z1664" s="48">
        <v>0.33333333333333331</v>
      </c>
      <c r="AE1664" s="48">
        <v>0.33333333333333331</v>
      </c>
      <c r="AF1664" s="48">
        <v>0.33333333333333331</v>
      </c>
      <c r="AG1664" s="48">
        <v>0.33333333333333331</v>
      </c>
      <c r="AH1664" s="48">
        <v>0.33333333333333331</v>
      </c>
      <c r="AI1664" s="48">
        <v>0.33333333333333331</v>
      </c>
      <c r="AJ1664" s="48">
        <v>0.33333333333333331</v>
      </c>
      <c r="AK1664" s="48">
        <v>0.33333333333333331</v>
      </c>
      <c r="AL1664" s="48">
        <v>0.33333333333333331</v>
      </c>
    </row>
    <row r="1665" spans="1:41" hidden="1" x14ac:dyDescent="0.25">
      <c r="A1665">
        <v>1664</v>
      </c>
      <c r="B1665">
        <v>2026</v>
      </c>
      <c r="C1665">
        <v>3</v>
      </c>
      <c r="D1665" t="s">
        <v>481</v>
      </c>
      <c r="E1665">
        <v>85</v>
      </c>
      <c r="F1665">
        <v>10</v>
      </c>
      <c r="G1665" t="s">
        <v>431</v>
      </c>
      <c r="I1665" s="48">
        <v>1</v>
      </c>
      <c r="J1665" s="48">
        <v>0.79166666666666674</v>
      </c>
      <c r="K1665" s="48">
        <v>0.83333333333333326</v>
      </c>
      <c r="L1665" s="48">
        <v>0.83333333333333326</v>
      </c>
      <c r="M1665" s="48">
        <v>0.95833333333333326</v>
      </c>
      <c r="N1665" s="48">
        <v>0.875</v>
      </c>
      <c r="O1665" s="48">
        <v>0.79166666666666674</v>
      </c>
      <c r="P1665" s="48">
        <v>0.83333333333333326</v>
      </c>
      <c r="Q1665" s="48">
        <v>0.79166666666666674</v>
      </c>
      <c r="R1665" s="48">
        <v>0.83333333333333326</v>
      </c>
      <c r="S1665" s="48">
        <v>1</v>
      </c>
      <c r="T1665" s="48">
        <v>1</v>
      </c>
      <c r="U1665" s="48">
        <v>0.83333333333333326</v>
      </c>
      <c r="V1665" s="48">
        <v>0.79166666666666674</v>
      </c>
      <c r="W1665" s="48">
        <v>0.875</v>
      </c>
      <c r="X1665" s="48">
        <v>0.79166666666666674</v>
      </c>
      <c r="Y1665" s="48">
        <v>0.79166666666666674</v>
      </c>
      <c r="Z1665" s="48">
        <v>0.75</v>
      </c>
      <c r="AE1665" s="48">
        <v>0.75</v>
      </c>
      <c r="AF1665" s="48">
        <v>0.79166666666666674</v>
      </c>
      <c r="AG1665" s="48">
        <v>0.79166666666666674</v>
      </c>
      <c r="AH1665" s="48">
        <v>0.75</v>
      </c>
      <c r="AI1665" s="48">
        <v>0.75</v>
      </c>
      <c r="AJ1665" s="48">
        <v>0.75</v>
      </c>
      <c r="AK1665" s="48">
        <v>0.75</v>
      </c>
      <c r="AL1665" s="48">
        <v>0.75</v>
      </c>
      <c r="AM1665">
        <v>28</v>
      </c>
      <c r="AO1665">
        <v>47</v>
      </c>
    </row>
    <row r="1666" spans="1:41" hidden="1" x14ac:dyDescent="0.25">
      <c r="A1666">
        <v>1665</v>
      </c>
      <c r="B1666">
        <v>2026</v>
      </c>
      <c r="C1666">
        <v>3</v>
      </c>
      <c r="D1666" t="s">
        <v>494</v>
      </c>
      <c r="E1666">
        <v>95</v>
      </c>
      <c r="F1666">
        <v>9</v>
      </c>
      <c r="G1666" t="s">
        <v>430</v>
      </c>
      <c r="H1666" s="134"/>
      <c r="I1666" s="48">
        <v>0.33333333333333331</v>
      </c>
      <c r="J1666" s="48">
        <v>0.33333333333333331</v>
      </c>
      <c r="K1666" s="48">
        <v>0.33333333333333331</v>
      </c>
      <c r="L1666" s="48">
        <v>0.33333333333333331</v>
      </c>
      <c r="M1666" s="48">
        <v>0.33333333333333331</v>
      </c>
      <c r="N1666" s="48">
        <v>0.33333333333333331</v>
      </c>
      <c r="O1666" s="48">
        <v>0.33333333333333331</v>
      </c>
      <c r="P1666" s="48">
        <v>0.33333333333333331</v>
      </c>
      <c r="Q1666" s="48">
        <v>0.33333333333333331</v>
      </c>
      <c r="R1666" s="48">
        <v>0.33333333333333331</v>
      </c>
      <c r="S1666" s="48">
        <v>0.33333333333333331</v>
      </c>
      <c r="T1666" s="48">
        <v>0.33333333333333331</v>
      </c>
      <c r="U1666" s="48">
        <v>0.33333333333333331</v>
      </c>
      <c r="V1666" s="48">
        <v>0.33333333333333331</v>
      </c>
      <c r="W1666" s="48">
        <v>0.33333333333333331</v>
      </c>
      <c r="X1666" s="48">
        <v>0.33333333333333331</v>
      </c>
      <c r="Y1666" s="48">
        <v>0.33333333333333331</v>
      </c>
      <c r="Z1666" s="48">
        <v>0.33333333333333331</v>
      </c>
      <c r="AE1666" s="48">
        <v>0.33333333333333331</v>
      </c>
      <c r="AF1666" s="48">
        <v>0.33333333333333331</v>
      </c>
      <c r="AG1666" s="48">
        <v>0.33333333333333331</v>
      </c>
      <c r="AH1666" s="48">
        <v>0.33333333333333331</v>
      </c>
      <c r="AI1666" s="48">
        <v>0.33333333333333331</v>
      </c>
      <c r="AJ1666" s="48">
        <v>0.33333333333333331</v>
      </c>
      <c r="AK1666" s="48">
        <v>0.33333333333333331</v>
      </c>
      <c r="AL1666" s="48">
        <v>0.33333333333333331</v>
      </c>
    </row>
    <row r="1667" spans="1:41" hidden="1" x14ac:dyDescent="0.25">
      <c r="A1667">
        <v>1666</v>
      </c>
      <c r="B1667">
        <v>2026</v>
      </c>
      <c r="C1667">
        <v>3</v>
      </c>
      <c r="D1667" t="s">
        <v>494</v>
      </c>
      <c r="E1667">
        <v>95</v>
      </c>
      <c r="F1667">
        <v>9</v>
      </c>
      <c r="G1667" t="s">
        <v>431</v>
      </c>
      <c r="I1667" s="48">
        <v>0.75</v>
      </c>
      <c r="J1667" s="48">
        <v>0.875</v>
      </c>
      <c r="K1667" s="48">
        <v>0.75</v>
      </c>
      <c r="L1667" s="48">
        <v>0.75</v>
      </c>
      <c r="M1667" s="48">
        <v>0.75</v>
      </c>
      <c r="N1667" s="48">
        <v>0.75</v>
      </c>
      <c r="O1667" s="48">
        <v>0.75</v>
      </c>
      <c r="P1667" s="48">
        <v>0.75</v>
      </c>
      <c r="Q1667" s="48">
        <v>0.75</v>
      </c>
      <c r="R1667" s="48">
        <v>0.75</v>
      </c>
      <c r="S1667" s="48">
        <v>0.75</v>
      </c>
      <c r="T1667" s="48">
        <v>0.75</v>
      </c>
      <c r="U1667" s="48">
        <v>0.75</v>
      </c>
      <c r="V1667" s="48">
        <v>0.75</v>
      </c>
      <c r="W1667" s="48">
        <v>0.75</v>
      </c>
      <c r="X1667" s="48">
        <v>0.75</v>
      </c>
      <c r="Y1667" s="48">
        <v>0.75</v>
      </c>
      <c r="Z1667" s="48">
        <v>0.75</v>
      </c>
      <c r="AE1667" s="48">
        <v>0.75</v>
      </c>
      <c r="AF1667" s="48">
        <v>0.75</v>
      </c>
      <c r="AG1667" s="48">
        <v>0.75</v>
      </c>
      <c r="AH1667" s="48">
        <v>0.75</v>
      </c>
      <c r="AI1667" s="48">
        <v>0.75</v>
      </c>
      <c r="AJ1667" s="48">
        <v>0.75</v>
      </c>
      <c r="AK1667" s="48">
        <v>0.75</v>
      </c>
      <c r="AL1667" s="48">
        <v>0.75</v>
      </c>
      <c r="AM1667">
        <v>28</v>
      </c>
      <c r="AO1667" s="48">
        <v>3</v>
      </c>
    </row>
    <row r="1668" spans="1:41" hidden="1" x14ac:dyDescent="0.25">
      <c r="A1668">
        <v>1667</v>
      </c>
      <c r="B1668">
        <v>2026</v>
      </c>
      <c r="C1668">
        <v>3</v>
      </c>
      <c r="D1668" t="s">
        <v>501</v>
      </c>
      <c r="E1668">
        <v>98</v>
      </c>
      <c r="F1668">
        <v>9</v>
      </c>
      <c r="G1668" t="s">
        <v>430</v>
      </c>
      <c r="H1668" s="134"/>
      <c r="I1668" s="134">
        <v>0.33333333333333331</v>
      </c>
      <c r="J1668" s="134">
        <v>0.33333333333333331</v>
      </c>
      <c r="K1668" s="134">
        <v>0.33333333333333331</v>
      </c>
      <c r="L1668" s="134">
        <v>0.33333333333333331</v>
      </c>
      <c r="M1668" s="134">
        <v>0.33333333333333331</v>
      </c>
      <c r="N1668" s="134">
        <v>0.33333333333333331</v>
      </c>
      <c r="O1668" s="134">
        <v>0.33333333333333331</v>
      </c>
      <c r="P1668" s="134">
        <v>0.33333333333333331</v>
      </c>
      <c r="Q1668" s="134">
        <v>0.33333333333333331</v>
      </c>
      <c r="R1668" s="134">
        <v>0.33333333333333331</v>
      </c>
      <c r="S1668" s="134"/>
      <c r="T1668" s="134">
        <v>0.33333333333333331</v>
      </c>
      <c r="U1668" s="134">
        <v>0.33333333333333331</v>
      </c>
      <c r="V1668" s="134">
        <v>0.33333333333333331</v>
      </c>
      <c r="W1668" s="134">
        <v>0.33333333333333331</v>
      </c>
      <c r="X1668" s="134">
        <v>0.33333333333333331</v>
      </c>
      <c r="Y1668" s="134">
        <v>0.33333333333333331</v>
      </c>
      <c r="Z1668" s="134">
        <v>0.33333333333333331</v>
      </c>
      <c r="AA1668" s="134"/>
      <c r="AB1668" s="134"/>
      <c r="AC1668" s="134"/>
      <c r="AD1668" s="134"/>
      <c r="AE1668" s="134">
        <v>0.33333333333333331</v>
      </c>
      <c r="AF1668" s="134">
        <v>0.33333333333333331</v>
      </c>
      <c r="AG1668" s="134">
        <v>0.33333333333333331</v>
      </c>
      <c r="AH1668" s="134">
        <v>0.33333333333333331</v>
      </c>
      <c r="AI1668" s="134">
        <v>0.33333333333333331</v>
      </c>
      <c r="AJ1668" s="134"/>
      <c r="AK1668" s="134">
        <v>0.33333333333333331</v>
      </c>
      <c r="AL1668" s="134">
        <v>0.33333333333333331</v>
      </c>
    </row>
    <row r="1669" spans="1:41" hidden="1" x14ac:dyDescent="0.25">
      <c r="A1669">
        <v>1668</v>
      </c>
      <c r="B1669">
        <v>2026</v>
      </c>
      <c r="C1669">
        <v>3</v>
      </c>
      <c r="D1669" t="s">
        <v>501</v>
      </c>
      <c r="E1669">
        <v>98</v>
      </c>
      <c r="F1669">
        <v>9</v>
      </c>
      <c r="G1669" t="s">
        <v>431</v>
      </c>
      <c r="I1669" s="48">
        <v>0.75</v>
      </c>
      <c r="J1669" s="48">
        <v>0.75</v>
      </c>
      <c r="K1669" s="48">
        <v>0.75</v>
      </c>
      <c r="L1669" s="48">
        <v>0.75</v>
      </c>
      <c r="M1669" s="48">
        <v>0.75</v>
      </c>
      <c r="N1669" s="48">
        <v>0.75</v>
      </c>
      <c r="O1669" s="48">
        <v>0.75</v>
      </c>
      <c r="P1669" s="48">
        <v>0.75</v>
      </c>
      <c r="Q1669" s="48">
        <v>0.75</v>
      </c>
      <c r="R1669" s="48">
        <v>0.75</v>
      </c>
      <c r="T1669" s="48">
        <v>0.75</v>
      </c>
      <c r="U1669" s="48">
        <v>0.75</v>
      </c>
      <c r="V1669" s="48">
        <v>0.75</v>
      </c>
      <c r="W1669" s="48">
        <v>0.75</v>
      </c>
      <c r="X1669" s="48">
        <v>0.75</v>
      </c>
      <c r="Y1669" s="48">
        <v>0.75</v>
      </c>
      <c r="Z1669" s="48">
        <v>0.75</v>
      </c>
      <c r="AE1669" s="48">
        <v>0.75</v>
      </c>
      <c r="AF1669" s="48">
        <v>0.75</v>
      </c>
      <c r="AG1669" s="48">
        <v>0.75</v>
      </c>
      <c r="AH1669" s="48">
        <v>0.75</v>
      </c>
      <c r="AI1669" s="48">
        <v>0.75</v>
      </c>
      <c r="AK1669" s="48">
        <v>0.75</v>
      </c>
      <c r="AL1669" s="48">
        <v>0.75</v>
      </c>
      <c r="AM1669">
        <v>26</v>
      </c>
    </row>
    <row r="1670" spans="1:41" hidden="1" x14ac:dyDescent="0.25">
      <c r="A1670">
        <v>1669</v>
      </c>
      <c r="B1670">
        <v>2026</v>
      </c>
      <c r="C1670">
        <v>3</v>
      </c>
      <c r="D1670" t="s">
        <v>504</v>
      </c>
      <c r="E1670">
        <v>100</v>
      </c>
      <c r="F1670">
        <v>9</v>
      </c>
      <c r="G1670" t="s">
        <v>430</v>
      </c>
      <c r="I1670" s="48">
        <v>0.33333333333333331</v>
      </c>
      <c r="J1670" s="48">
        <v>0.33333333333333331</v>
      </c>
      <c r="K1670" s="48">
        <v>0.33333333333333331</v>
      </c>
      <c r="L1670" s="48">
        <v>0.33333333333333331</v>
      </c>
      <c r="M1670" s="48">
        <v>0.33333333333333331</v>
      </c>
      <c r="N1670" s="48">
        <v>0.33333333333333331</v>
      </c>
      <c r="O1670" s="48">
        <v>0.33333333333333331</v>
      </c>
      <c r="P1670" s="48">
        <v>0.33333333333333331</v>
      </c>
      <c r="Q1670" s="48">
        <v>0.33333333333333331</v>
      </c>
      <c r="R1670" s="48">
        <v>0.33333333333333331</v>
      </c>
      <c r="S1670" s="48">
        <v>0.33333333333333331</v>
      </c>
      <c r="T1670" s="48">
        <v>0.33333333333333331</v>
      </c>
      <c r="U1670" s="48">
        <v>0.33333333333333331</v>
      </c>
      <c r="V1670" s="48">
        <v>0.33333333333333331</v>
      </c>
      <c r="W1670" s="48">
        <v>0.33333333333333331</v>
      </c>
      <c r="X1670" s="48">
        <v>0.33333333333333331</v>
      </c>
      <c r="Y1670" s="48">
        <v>0.33333333333333331</v>
      </c>
      <c r="Z1670" s="48">
        <v>0.33333333333333331</v>
      </c>
      <c r="AE1670" s="48">
        <v>0.33333333333333331</v>
      </c>
      <c r="AF1670" s="48">
        <v>0.33333333333333331</v>
      </c>
      <c r="AG1670" s="48">
        <v>0.33333333333333331</v>
      </c>
      <c r="AH1670" s="48">
        <v>0.33333333333333331</v>
      </c>
      <c r="AI1670" s="48">
        <v>0.33333333333333331</v>
      </c>
      <c r="AK1670" s="48">
        <v>0.33333333333333331</v>
      </c>
      <c r="AL1670" s="48">
        <v>0.33333333333333331</v>
      </c>
    </row>
    <row r="1671" spans="1:41" hidden="1" x14ac:dyDescent="0.25">
      <c r="A1671">
        <v>1670</v>
      </c>
      <c r="B1671">
        <v>2026</v>
      </c>
      <c r="C1671">
        <v>3</v>
      </c>
      <c r="D1671" t="s">
        <v>504</v>
      </c>
      <c r="E1671">
        <v>100</v>
      </c>
      <c r="F1671">
        <v>9</v>
      </c>
      <c r="G1671" t="s">
        <v>431</v>
      </c>
      <c r="I1671" s="48">
        <v>0.75</v>
      </c>
      <c r="J1671" s="48">
        <v>0.75</v>
      </c>
      <c r="K1671" s="48">
        <v>0.75</v>
      </c>
      <c r="L1671" s="48">
        <v>0.75</v>
      </c>
      <c r="M1671" s="48">
        <v>0.75</v>
      </c>
      <c r="N1671" s="48">
        <v>0.75</v>
      </c>
      <c r="O1671" s="48">
        <v>0.75</v>
      </c>
      <c r="P1671" s="48">
        <v>0.75</v>
      </c>
      <c r="Q1671" s="48">
        <v>0.75</v>
      </c>
      <c r="R1671" s="48">
        <v>0.75</v>
      </c>
      <c r="S1671" s="48">
        <v>0.75</v>
      </c>
      <c r="T1671" s="48">
        <v>0.75</v>
      </c>
      <c r="U1671" s="48">
        <v>0.75</v>
      </c>
      <c r="V1671" s="48">
        <v>0.75</v>
      </c>
      <c r="W1671" s="48">
        <v>0.75</v>
      </c>
      <c r="X1671" s="48">
        <v>0.75</v>
      </c>
      <c r="Y1671" s="48">
        <v>0.75</v>
      </c>
      <c r="Z1671" s="48">
        <v>0.75</v>
      </c>
      <c r="AE1671" s="48">
        <v>0.75</v>
      </c>
      <c r="AF1671" s="48">
        <v>0.75</v>
      </c>
      <c r="AG1671" s="48">
        <v>0.75</v>
      </c>
      <c r="AH1671" s="48">
        <v>0.75</v>
      </c>
      <c r="AI1671" s="48">
        <v>0.75</v>
      </c>
      <c r="AK1671" s="48">
        <v>0.75</v>
      </c>
      <c r="AL1671" s="48">
        <v>0.75</v>
      </c>
      <c r="AM1671">
        <v>27</v>
      </c>
    </row>
    <row r="1672" spans="1:41" hidden="1" x14ac:dyDescent="0.25">
      <c r="A1672">
        <v>1671</v>
      </c>
      <c r="B1672">
        <v>2026</v>
      </c>
      <c r="C1672">
        <v>3</v>
      </c>
      <c r="D1672" t="s">
        <v>1144</v>
      </c>
      <c r="E1672">
        <v>100</v>
      </c>
      <c r="F1672">
        <v>9</v>
      </c>
      <c r="G1672" t="s">
        <v>430</v>
      </c>
      <c r="J1672" s="48">
        <v>0.33333333333333331</v>
      </c>
      <c r="K1672" s="48">
        <v>0.33333333333333331</v>
      </c>
      <c r="L1672" s="48">
        <v>0.33333333333333331</v>
      </c>
      <c r="M1672" s="48">
        <v>0.33333333333333331</v>
      </c>
      <c r="N1672" s="48">
        <v>0.33333333333333331</v>
      </c>
      <c r="O1672" s="48">
        <v>0.33333333333333331</v>
      </c>
      <c r="P1672" s="48">
        <v>0.33333333333333331</v>
      </c>
      <c r="Q1672" s="48">
        <v>0.33333333333333331</v>
      </c>
      <c r="R1672" s="48">
        <v>0.33333333333333331</v>
      </c>
      <c r="S1672" s="48">
        <v>0.33333333333333331</v>
      </c>
      <c r="T1672" s="48">
        <v>0.33333333333333331</v>
      </c>
      <c r="U1672" s="48">
        <v>0.33333333333333331</v>
      </c>
      <c r="V1672" s="48">
        <v>0.33333333333333331</v>
      </c>
      <c r="W1672" s="48">
        <v>0.33333333333333331</v>
      </c>
      <c r="X1672" s="48">
        <v>0.33333333333333331</v>
      </c>
      <c r="Y1672" s="48">
        <v>0.33333333333333331</v>
      </c>
      <c r="Z1672" s="48">
        <v>0.33333333333333331</v>
      </c>
      <c r="AE1672" s="48">
        <v>0.33333333333333331</v>
      </c>
      <c r="AF1672" s="48">
        <v>0.33333333333333331</v>
      </c>
      <c r="AG1672" s="48">
        <v>0.33333333333333331</v>
      </c>
      <c r="AH1672" s="48">
        <v>0.33333333333333331</v>
      </c>
      <c r="AI1672" s="48">
        <v>0.33333333333333331</v>
      </c>
      <c r="AK1672" s="48">
        <v>0.33333333333333331</v>
      </c>
      <c r="AL1672" s="48">
        <v>0.33333333333333331</v>
      </c>
    </row>
    <row r="1673" spans="1:41" hidden="1" x14ac:dyDescent="0.25">
      <c r="A1673">
        <v>1672</v>
      </c>
      <c r="B1673">
        <v>2026</v>
      </c>
      <c r="C1673">
        <v>3</v>
      </c>
      <c r="D1673" t="s">
        <v>1144</v>
      </c>
      <c r="E1673">
        <v>100</v>
      </c>
      <c r="F1673">
        <v>9</v>
      </c>
      <c r="G1673" t="s">
        <v>431</v>
      </c>
      <c r="J1673" s="48">
        <v>0.75</v>
      </c>
      <c r="K1673" s="48">
        <v>0.75</v>
      </c>
      <c r="L1673" s="48">
        <v>0.75</v>
      </c>
      <c r="M1673" s="48">
        <v>0.75</v>
      </c>
      <c r="N1673" s="48">
        <v>0.75</v>
      </c>
      <c r="O1673" s="48">
        <v>0.75</v>
      </c>
      <c r="P1673" s="48">
        <v>0.75</v>
      </c>
      <c r="Q1673" s="48">
        <v>0.75</v>
      </c>
      <c r="R1673" s="48">
        <v>0.75</v>
      </c>
      <c r="S1673" s="48">
        <v>0.75</v>
      </c>
      <c r="T1673" s="48">
        <v>0.75</v>
      </c>
      <c r="U1673" s="48">
        <v>0.75</v>
      </c>
      <c r="V1673" s="48">
        <v>0.75</v>
      </c>
      <c r="W1673" s="48">
        <v>0.75</v>
      </c>
      <c r="X1673" s="48">
        <v>0.75</v>
      </c>
      <c r="Y1673" s="48">
        <v>0.75</v>
      </c>
      <c r="Z1673" s="48">
        <v>0.75</v>
      </c>
      <c r="AE1673" s="48">
        <v>0.75</v>
      </c>
      <c r="AF1673" s="48">
        <v>0.75</v>
      </c>
      <c r="AG1673" s="48">
        <v>0.75</v>
      </c>
      <c r="AH1673" s="48">
        <v>0.75</v>
      </c>
      <c r="AI1673" s="48">
        <v>0.75</v>
      </c>
      <c r="AK1673" s="48">
        <v>0.75</v>
      </c>
      <c r="AL1673" s="48">
        <v>0.75</v>
      </c>
      <c r="AM1673">
        <v>26</v>
      </c>
    </row>
    <row r="1674" spans="1:41" hidden="1" x14ac:dyDescent="0.25">
      <c r="A1674">
        <v>1673</v>
      </c>
      <c r="B1674">
        <v>2026</v>
      </c>
      <c r="C1674">
        <v>3</v>
      </c>
      <c r="D1674" t="s">
        <v>491</v>
      </c>
      <c r="E1674">
        <v>102</v>
      </c>
      <c r="F1674">
        <v>8</v>
      </c>
      <c r="G1674" t="s">
        <v>430</v>
      </c>
      <c r="I1674" s="48">
        <v>0.33333333333333331</v>
      </c>
      <c r="J1674" s="48">
        <v>0.33333333333333331</v>
      </c>
      <c r="K1674" s="48">
        <v>0.33333333333333331</v>
      </c>
      <c r="L1674" s="48">
        <v>0.33333333333333331</v>
      </c>
      <c r="M1674" s="48">
        <v>0.33333333333333331</v>
      </c>
      <c r="N1674" s="48">
        <v>0.33333333333333331</v>
      </c>
      <c r="P1674" s="48">
        <v>0.33333333333333331</v>
      </c>
      <c r="Q1674" s="48">
        <v>0.33333333333333331</v>
      </c>
      <c r="R1674" s="48">
        <v>0.33333333333333331</v>
      </c>
      <c r="S1674" s="48">
        <v>0.33333333333333331</v>
      </c>
      <c r="T1674" s="48">
        <v>0.33333333333333331</v>
      </c>
      <c r="U1674" s="48">
        <v>0.33333333333333331</v>
      </c>
      <c r="W1674" s="48">
        <v>0.33333333333333331</v>
      </c>
      <c r="X1674" s="48">
        <v>0.33333333333333331</v>
      </c>
      <c r="Y1674" s="48">
        <v>0.33333333333333331</v>
      </c>
      <c r="Z1674" s="48">
        <v>0.33333333333333331</v>
      </c>
      <c r="AE1674" s="48">
        <v>0.33333333333333331</v>
      </c>
      <c r="AF1674" s="48">
        <v>0.33333333333333331</v>
      </c>
      <c r="AG1674" s="48">
        <v>0.33333333333333331</v>
      </c>
      <c r="AH1674" s="48">
        <v>0.33333333333333331</v>
      </c>
      <c r="AI1674" s="48">
        <v>0.33333333333333331</v>
      </c>
      <c r="AK1674" s="48">
        <v>0.33333333333333331</v>
      </c>
      <c r="AL1674" s="48">
        <v>0.33333333333333331</v>
      </c>
    </row>
    <row r="1675" spans="1:41" hidden="1" x14ac:dyDescent="0.25">
      <c r="A1675">
        <v>1674</v>
      </c>
      <c r="B1675">
        <v>2026</v>
      </c>
      <c r="C1675">
        <v>3</v>
      </c>
      <c r="D1675" t="s">
        <v>491</v>
      </c>
      <c r="E1675">
        <v>102</v>
      </c>
      <c r="F1675">
        <v>8</v>
      </c>
      <c r="G1675" t="s">
        <v>431</v>
      </c>
      <c r="I1675" s="48">
        <v>0.75</v>
      </c>
      <c r="J1675" s="48">
        <v>0.75</v>
      </c>
      <c r="K1675" s="48">
        <v>0.75</v>
      </c>
      <c r="L1675" s="48">
        <v>0.75</v>
      </c>
      <c r="M1675" s="48">
        <v>0.75</v>
      </c>
      <c r="N1675" s="48">
        <v>0.75</v>
      </c>
      <c r="P1675" s="48">
        <v>0.75</v>
      </c>
      <c r="Q1675" s="48">
        <v>0.75</v>
      </c>
      <c r="R1675" s="48">
        <v>0.75</v>
      </c>
      <c r="S1675" s="48">
        <v>0.75</v>
      </c>
      <c r="T1675" s="48">
        <v>0.75</v>
      </c>
      <c r="U1675" s="48">
        <v>0.75</v>
      </c>
      <c r="W1675" s="48">
        <v>0.75</v>
      </c>
      <c r="X1675" s="48">
        <v>0.75</v>
      </c>
      <c r="Y1675" s="48">
        <v>0.75</v>
      </c>
      <c r="Z1675" s="48">
        <v>0.75</v>
      </c>
      <c r="AE1675" s="48">
        <v>0.75</v>
      </c>
      <c r="AF1675" s="48">
        <v>0.75</v>
      </c>
      <c r="AG1675" s="48">
        <v>0.75</v>
      </c>
      <c r="AH1675" s="48">
        <v>0.75</v>
      </c>
      <c r="AI1675" s="48">
        <v>0.75</v>
      </c>
      <c r="AK1675" s="48">
        <v>0.75</v>
      </c>
      <c r="AL1675" s="48">
        <v>0.75</v>
      </c>
      <c r="AM1675">
        <v>25</v>
      </c>
    </row>
    <row r="1676" spans="1:41" hidden="1" x14ac:dyDescent="0.25">
      <c r="A1676">
        <v>1675</v>
      </c>
      <c r="B1676">
        <v>2026</v>
      </c>
      <c r="C1676">
        <v>3</v>
      </c>
      <c r="D1676" t="s">
        <v>492</v>
      </c>
      <c r="E1676">
        <v>102</v>
      </c>
      <c r="F1676">
        <v>8</v>
      </c>
      <c r="G1676" t="s">
        <v>430</v>
      </c>
      <c r="I1676" s="48">
        <v>0.33333333333333331</v>
      </c>
      <c r="J1676" s="48">
        <v>0.33333333333333331</v>
      </c>
      <c r="K1676" s="48">
        <v>0.33333333333333331</v>
      </c>
      <c r="L1676" s="48">
        <v>0.33333333333333331</v>
      </c>
      <c r="M1676" s="48">
        <v>0.33333333333333331</v>
      </c>
      <c r="N1676" s="48">
        <v>0.33333333333333331</v>
      </c>
      <c r="P1676" s="48">
        <v>0.33333333333333331</v>
      </c>
      <c r="R1676" s="48">
        <v>0.33333333333333331</v>
      </c>
      <c r="S1676" s="48">
        <v>0.33333333333333331</v>
      </c>
      <c r="T1676" s="48">
        <v>0.33333333333333331</v>
      </c>
      <c r="U1676" s="48">
        <v>0.33333333333333331</v>
      </c>
      <c r="W1676" s="48">
        <v>0.33333333333333331</v>
      </c>
      <c r="X1676" s="48">
        <v>0.33333333333333331</v>
      </c>
      <c r="Y1676" s="48">
        <v>0.33333333333333331</v>
      </c>
      <c r="Z1676" s="48">
        <v>0.33333333333333331</v>
      </c>
      <c r="AE1676" s="48">
        <v>0.33333333333333331</v>
      </c>
      <c r="AF1676" s="48">
        <v>0.33333333333333331</v>
      </c>
      <c r="AG1676" s="48">
        <v>0.33333333333333331</v>
      </c>
      <c r="AH1676" s="48">
        <v>0.33333333333333331</v>
      </c>
      <c r="AI1676" s="48">
        <v>0.33333333333333331</v>
      </c>
      <c r="AK1676" s="48">
        <v>0.33333333333333331</v>
      </c>
      <c r="AL1676" s="48">
        <v>0.33333333333333331</v>
      </c>
    </row>
    <row r="1677" spans="1:41" hidden="1" x14ac:dyDescent="0.25">
      <c r="A1677">
        <v>1676</v>
      </c>
      <c r="B1677">
        <v>2026</v>
      </c>
      <c r="C1677">
        <v>3</v>
      </c>
      <c r="D1677" t="s">
        <v>492</v>
      </c>
      <c r="E1677">
        <v>102</v>
      </c>
      <c r="F1677">
        <v>8</v>
      </c>
      <c r="G1677" t="s">
        <v>431</v>
      </c>
      <c r="I1677" s="48">
        <v>0.75</v>
      </c>
      <c r="J1677" s="48">
        <v>0.75</v>
      </c>
      <c r="K1677" s="48">
        <v>0.75</v>
      </c>
      <c r="L1677" s="48">
        <v>0.75</v>
      </c>
      <c r="M1677" s="48">
        <v>0.75</v>
      </c>
      <c r="N1677" s="48">
        <v>0.75</v>
      </c>
      <c r="P1677" s="48">
        <v>0.75</v>
      </c>
      <c r="R1677" s="48">
        <v>0.75</v>
      </c>
      <c r="S1677" s="48">
        <v>0.75</v>
      </c>
      <c r="T1677" s="48">
        <v>0.75</v>
      </c>
      <c r="U1677" s="48">
        <v>0.75</v>
      </c>
      <c r="W1677" s="48">
        <v>0.75</v>
      </c>
      <c r="X1677" s="48">
        <v>0.75</v>
      </c>
      <c r="Y1677" s="48">
        <v>0.75</v>
      </c>
      <c r="Z1677" s="48">
        <v>0.75</v>
      </c>
      <c r="AE1677" s="48">
        <v>0.75</v>
      </c>
      <c r="AF1677" s="48">
        <v>0.75</v>
      </c>
      <c r="AG1677" s="48">
        <v>0.75</v>
      </c>
      <c r="AH1677" s="48">
        <v>0.75</v>
      </c>
      <c r="AI1677" s="48">
        <v>0.75</v>
      </c>
      <c r="AK1677" s="48">
        <v>0.75</v>
      </c>
      <c r="AL1677" s="48">
        <v>0.75</v>
      </c>
      <c r="AM1677">
        <v>24</v>
      </c>
    </row>
    <row r="1678" spans="1:41" hidden="1" x14ac:dyDescent="0.25">
      <c r="A1678">
        <v>1677</v>
      </c>
      <c r="B1678">
        <v>2026</v>
      </c>
      <c r="C1678">
        <v>3</v>
      </c>
      <c r="D1678" t="s">
        <v>493</v>
      </c>
      <c r="E1678">
        <v>102</v>
      </c>
      <c r="F1678">
        <v>8</v>
      </c>
      <c r="G1678" t="s">
        <v>430</v>
      </c>
      <c r="H1678" s="48">
        <v>0.33333333333333331</v>
      </c>
      <c r="I1678" s="48">
        <v>0.33333333333333331</v>
      </c>
      <c r="J1678" s="48">
        <v>0.33333333333333331</v>
      </c>
      <c r="K1678" s="48">
        <v>0.33333333333333331</v>
      </c>
      <c r="L1678" s="48">
        <v>0.33333333333333331</v>
      </c>
      <c r="M1678" s="48">
        <v>0.33333333333333331</v>
      </c>
      <c r="N1678" s="48">
        <v>0.33333333333333331</v>
      </c>
      <c r="O1678" s="48">
        <v>0.33333333333333331</v>
      </c>
      <c r="P1678" s="48">
        <v>0.33333333333333331</v>
      </c>
      <c r="Q1678" s="48">
        <v>0.33333333333333331</v>
      </c>
      <c r="R1678" s="48">
        <v>0.33333333333333331</v>
      </c>
      <c r="S1678" s="48">
        <v>0.33333333333333331</v>
      </c>
      <c r="T1678" s="48">
        <v>0.33333333333333331</v>
      </c>
      <c r="U1678" s="48">
        <v>0.33333333333333331</v>
      </c>
      <c r="V1678" s="48">
        <v>0.33333333333333331</v>
      </c>
      <c r="W1678" s="48">
        <v>0.33333333333333331</v>
      </c>
      <c r="X1678" s="48">
        <v>0.33333333333333331</v>
      </c>
      <c r="Y1678" s="48">
        <v>0.33333333333333331</v>
      </c>
      <c r="Z1678" s="48">
        <v>0.33333333333333331</v>
      </c>
      <c r="AE1678" s="48">
        <v>0.33333333333333331</v>
      </c>
      <c r="AF1678" s="48">
        <v>0.33333333333333331</v>
      </c>
      <c r="AG1678" s="48">
        <v>0.33333333333333331</v>
      </c>
      <c r="AH1678" s="48">
        <v>0.33333333333333331</v>
      </c>
      <c r="AI1678" s="48">
        <v>0.33333333333333331</v>
      </c>
      <c r="AJ1678" s="48">
        <v>0.33333333333333331</v>
      </c>
      <c r="AK1678" s="48">
        <v>0.33333333333333331</v>
      </c>
      <c r="AL1678" s="48">
        <v>0.33333333333333331</v>
      </c>
    </row>
    <row r="1679" spans="1:41" hidden="1" x14ac:dyDescent="0.25">
      <c r="A1679">
        <v>1678</v>
      </c>
      <c r="B1679">
        <v>2026</v>
      </c>
      <c r="C1679">
        <v>3</v>
      </c>
      <c r="D1679" t="s">
        <v>493</v>
      </c>
      <c r="E1679">
        <v>102</v>
      </c>
      <c r="F1679">
        <v>8</v>
      </c>
      <c r="G1679" t="s">
        <v>431</v>
      </c>
      <c r="H1679" s="48">
        <v>0.75</v>
      </c>
      <c r="I1679" s="48">
        <v>0.83333333333333326</v>
      </c>
      <c r="J1679" s="48">
        <v>0.875</v>
      </c>
      <c r="K1679" s="48">
        <v>0.75</v>
      </c>
      <c r="L1679" s="48">
        <v>0.83333333333333326</v>
      </c>
      <c r="M1679" s="48">
        <v>0.83333333333333326</v>
      </c>
      <c r="N1679" s="48">
        <v>0.75</v>
      </c>
      <c r="O1679" s="48">
        <v>0.75</v>
      </c>
      <c r="P1679" s="48">
        <v>0.75</v>
      </c>
      <c r="Q1679" s="48">
        <v>0.875</v>
      </c>
      <c r="R1679" s="48">
        <v>0.875</v>
      </c>
      <c r="S1679" s="48">
        <v>0.75</v>
      </c>
      <c r="T1679" s="48">
        <v>0.83333333333333326</v>
      </c>
      <c r="U1679" s="48">
        <v>0.75</v>
      </c>
      <c r="V1679" s="48">
        <v>0.75</v>
      </c>
      <c r="W1679" s="48">
        <v>0.83333333333333326</v>
      </c>
      <c r="X1679" s="48">
        <v>0.83333333333333326</v>
      </c>
      <c r="Y1679" s="48">
        <v>0.75</v>
      </c>
      <c r="Z1679" s="48">
        <v>0.75</v>
      </c>
      <c r="AE1679" s="48">
        <v>0.83333333333333326</v>
      </c>
      <c r="AF1679" s="48">
        <v>0.75</v>
      </c>
      <c r="AG1679" s="48">
        <v>0.875</v>
      </c>
      <c r="AH1679" s="48">
        <v>0.75</v>
      </c>
      <c r="AI1679" s="48">
        <v>0.75</v>
      </c>
      <c r="AJ1679" s="48">
        <v>0.75</v>
      </c>
      <c r="AK1679" s="48">
        <v>0.75</v>
      </c>
      <c r="AL1679" s="48">
        <v>0.75</v>
      </c>
      <c r="AM1679">
        <v>29</v>
      </c>
      <c r="AO1679">
        <v>26</v>
      </c>
    </row>
    <row r="1680" spans="1:41" hidden="1" x14ac:dyDescent="0.25">
      <c r="A1680">
        <v>1679</v>
      </c>
      <c r="B1680">
        <v>2026</v>
      </c>
      <c r="C1680">
        <v>3</v>
      </c>
      <c r="D1680" t="s">
        <v>530</v>
      </c>
      <c r="E1680">
        <v>121</v>
      </c>
      <c r="F1680">
        <v>6</v>
      </c>
      <c r="G1680" t="s">
        <v>430</v>
      </c>
      <c r="H1680" s="134"/>
      <c r="I1680" s="48">
        <v>0.33333333333333331</v>
      </c>
      <c r="J1680" s="48">
        <v>0.33333333333333331</v>
      </c>
      <c r="K1680" s="48">
        <v>0.33333333333333331</v>
      </c>
      <c r="L1680" s="48">
        <v>0.33333333333333331</v>
      </c>
      <c r="M1680" s="48">
        <v>0.33333333333333331</v>
      </c>
      <c r="N1680" s="48">
        <v>0.33333333333333331</v>
      </c>
      <c r="O1680" s="48">
        <v>0.33333333333333331</v>
      </c>
      <c r="P1680" s="48">
        <v>0.33333333333333331</v>
      </c>
      <c r="Q1680" s="48">
        <v>0.33333333333333331</v>
      </c>
      <c r="R1680" s="48">
        <v>0.33333333333333331</v>
      </c>
      <c r="S1680" s="48">
        <v>0.33333333333333331</v>
      </c>
      <c r="T1680" s="48">
        <v>0.33333333333333331</v>
      </c>
      <c r="U1680" s="48">
        <v>0.33333333333333331</v>
      </c>
      <c r="W1680" s="48">
        <v>0.33333333333333331</v>
      </c>
      <c r="X1680" s="48">
        <v>0.33333333333333331</v>
      </c>
      <c r="Y1680" s="48">
        <v>0.33333333333333331</v>
      </c>
      <c r="Z1680" s="48">
        <v>0.33333333333333331</v>
      </c>
      <c r="AE1680" s="48">
        <v>0.33333333333333331</v>
      </c>
      <c r="AF1680" s="48">
        <v>0.33333333333333331</v>
      </c>
      <c r="AG1680" s="48">
        <v>0.33333333333333331</v>
      </c>
      <c r="AH1680" s="48">
        <v>0.33333333333333331</v>
      </c>
      <c r="AI1680" s="48">
        <v>0.33333333333333331</v>
      </c>
      <c r="AK1680" s="48">
        <v>0.33333333333333331</v>
      </c>
      <c r="AL1680" s="48">
        <v>0.33333333333333331</v>
      </c>
    </row>
    <row r="1681" spans="1:41" hidden="1" x14ac:dyDescent="0.25">
      <c r="A1681">
        <v>1680</v>
      </c>
      <c r="B1681">
        <v>2026</v>
      </c>
      <c r="C1681">
        <v>3</v>
      </c>
      <c r="D1681" t="s">
        <v>530</v>
      </c>
      <c r="E1681">
        <v>121</v>
      </c>
      <c r="F1681">
        <v>6</v>
      </c>
      <c r="G1681" t="s">
        <v>431</v>
      </c>
      <c r="I1681" s="48">
        <v>0.75</v>
      </c>
      <c r="J1681" s="48">
        <v>0.75</v>
      </c>
      <c r="K1681" s="48">
        <v>0.75</v>
      </c>
      <c r="L1681" s="48">
        <v>0.75</v>
      </c>
      <c r="M1681" s="48">
        <v>0.75</v>
      </c>
      <c r="N1681" s="48">
        <v>0.75</v>
      </c>
      <c r="O1681" s="48">
        <v>0.75</v>
      </c>
      <c r="P1681" s="48">
        <v>0.75</v>
      </c>
      <c r="Q1681" s="48">
        <v>0.75</v>
      </c>
      <c r="R1681" s="48">
        <v>0.75</v>
      </c>
      <c r="S1681" s="48">
        <v>0.75</v>
      </c>
      <c r="T1681" s="48">
        <v>0.75</v>
      </c>
      <c r="U1681" s="48">
        <v>0.75</v>
      </c>
      <c r="W1681" s="48">
        <v>0.75</v>
      </c>
      <c r="X1681" s="48">
        <v>0.75</v>
      </c>
      <c r="Y1681" s="48">
        <v>0.75</v>
      </c>
      <c r="Z1681" s="48">
        <v>0.75</v>
      </c>
      <c r="AE1681" s="48">
        <v>0.75</v>
      </c>
      <c r="AF1681" s="48">
        <v>0.75</v>
      </c>
      <c r="AG1681" s="48">
        <v>0.75</v>
      </c>
      <c r="AH1681" s="48">
        <v>0.75</v>
      </c>
      <c r="AI1681" s="48">
        <v>0.75</v>
      </c>
      <c r="AK1681" s="48">
        <v>0.75</v>
      </c>
      <c r="AL1681" s="48">
        <v>0.75</v>
      </c>
      <c r="AM1681">
        <v>26</v>
      </c>
    </row>
    <row r="1682" spans="1:41" hidden="1" x14ac:dyDescent="0.25">
      <c r="A1682">
        <v>1681</v>
      </c>
      <c r="B1682">
        <v>2026</v>
      </c>
      <c r="C1682">
        <v>3</v>
      </c>
      <c r="D1682" t="s">
        <v>531</v>
      </c>
      <c r="E1682">
        <v>141</v>
      </c>
      <c r="F1682">
        <v>5</v>
      </c>
      <c r="G1682" t="s">
        <v>430</v>
      </c>
      <c r="I1682" s="48">
        <v>0.33333333333333331</v>
      </c>
      <c r="J1682" s="48">
        <v>0.33333333333333331</v>
      </c>
      <c r="K1682" s="48">
        <v>0.33333333333333331</v>
      </c>
      <c r="L1682" s="48">
        <v>0.33333333333333331</v>
      </c>
      <c r="M1682" s="48">
        <v>0.33333333333333331</v>
      </c>
      <c r="N1682" s="48">
        <v>0.33333333333333331</v>
      </c>
      <c r="O1682" s="48">
        <v>0.33333333333333331</v>
      </c>
      <c r="P1682" s="48">
        <v>0.33333333333333331</v>
      </c>
      <c r="Q1682" s="48">
        <v>0.33333333333333331</v>
      </c>
      <c r="R1682" s="48">
        <v>0.33333333333333331</v>
      </c>
      <c r="S1682" s="48">
        <v>0.33333333333333331</v>
      </c>
      <c r="T1682" s="48">
        <v>0.33333333333333331</v>
      </c>
      <c r="U1682" s="48">
        <v>0.33333333333333331</v>
      </c>
      <c r="V1682" s="48">
        <v>0.33333333333333331</v>
      </c>
      <c r="W1682" s="48">
        <v>0.33333333333333331</v>
      </c>
      <c r="Y1682" s="48">
        <v>0.33333333333333331</v>
      </c>
      <c r="Z1682" s="48">
        <v>0.33333333333333331</v>
      </c>
      <c r="AE1682" s="48">
        <v>0.33333333333333331</v>
      </c>
      <c r="AF1682" s="48">
        <v>0.33333333333333331</v>
      </c>
      <c r="AG1682" s="48">
        <v>0.33333333333333331</v>
      </c>
      <c r="AH1682" s="48">
        <v>0.33333333333333331</v>
      </c>
      <c r="AI1682" s="48">
        <v>0.33333333333333331</v>
      </c>
      <c r="AJ1682" s="48">
        <v>0.33333333333333331</v>
      </c>
      <c r="AK1682" s="48">
        <v>0.33333333333333331</v>
      </c>
      <c r="AL1682" s="48">
        <v>0.33333333333333331</v>
      </c>
    </row>
    <row r="1683" spans="1:41" hidden="1" x14ac:dyDescent="0.25">
      <c r="A1683">
        <v>1682</v>
      </c>
      <c r="B1683">
        <v>2026</v>
      </c>
      <c r="C1683">
        <v>3</v>
      </c>
      <c r="D1683" t="s">
        <v>531</v>
      </c>
      <c r="E1683">
        <v>141</v>
      </c>
      <c r="F1683">
        <v>5</v>
      </c>
      <c r="G1683" t="s">
        <v>431</v>
      </c>
      <c r="I1683" s="48">
        <v>0.83333333333333326</v>
      </c>
      <c r="J1683" s="48">
        <v>0.83333333333333326</v>
      </c>
      <c r="K1683" s="48">
        <v>0.875</v>
      </c>
      <c r="L1683" s="48">
        <v>0.875</v>
      </c>
      <c r="M1683" s="48">
        <v>0.83333333333333326</v>
      </c>
      <c r="N1683" s="48">
        <v>0.83333333333333326</v>
      </c>
      <c r="O1683" s="48">
        <v>0.79166666666666663</v>
      </c>
      <c r="P1683" s="48">
        <v>0.75</v>
      </c>
      <c r="Q1683" s="48">
        <v>0.75</v>
      </c>
      <c r="R1683" s="48">
        <v>0.75</v>
      </c>
      <c r="S1683" s="48">
        <v>0.83333333333333326</v>
      </c>
      <c r="T1683" s="48">
        <v>0.95833333333333326</v>
      </c>
      <c r="U1683" s="48">
        <v>0.91666666666666674</v>
      </c>
      <c r="V1683" s="48">
        <v>0.79166666666666663</v>
      </c>
      <c r="W1683" s="48">
        <v>0.79166666666666663</v>
      </c>
      <c r="Y1683" s="48">
        <v>0.75</v>
      </c>
      <c r="Z1683" s="48">
        <v>0.75</v>
      </c>
      <c r="AE1683" s="48">
        <v>0.75</v>
      </c>
      <c r="AF1683" s="48">
        <v>0.75</v>
      </c>
      <c r="AG1683" s="48">
        <v>0.75</v>
      </c>
      <c r="AH1683" s="48">
        <v>0.75</v>
      </c>
      <c r="AI1683" s="48">
        <v>0.75</v>
      </c>
      <c r="AJ1683" s="48">
        <v>0.75</v>
      </c>
      <c r="AK1683" s="48">
        <v>0.75</v>
      </c>
      <c r="AL1683" s="48">
        <v>0.75</v>
      </c>
      <c r="AM1683">
        <v>27</v>
      </c>
      <c r="AO1683">
        <v>29</v>
      </c>
    </row>
    <row r="1684" spans="1:41" hidden="1" x14ac:dyDescent="0.25">
      <c r="A1684">
        <v>1683</v>
      </c>
      <c r="B1684">
        <v>2026</v>
      </c>
      <c r="C1684">
        <v>3</v>
      </c>
      <c r="D1684" t="s">
        <v>703</v>
      </c>
      <c r="E1684">
        <v>163</v>
      </c>
      <c r="F1684">
        <v>3</v>
      </c>
      <c r="G1684" t="s">
        <v>430</v>
      </c>
      <c r="I1684" s="48">
        <v>0.33333333333333331</v>
      </c>
      <c r="J1684" s="48">
        <v>0.33333333333333331</v>
      </c>
      <c r="K1684" s="48">
        <v>0.33333333333333331</v>
      </c>
      <c r="L1684" s="48">
        <v>0.33333333333333331</v>
      </c>
      <c r="M1684" s="48">
        <v>0.33333333333333331</v>
      </c>
      <c r="N1684" s="48">
        <v>0.33333333333333331</v>
      </c>
      <c r="O1684" s="48">
        <v>0.33333333333333331</v>
      </c>
      <c r="P1684" s="48">
        <v>0.33333333333333331</v>
      </c>
      <c r="Q1684" s="48">
        <v>0.33333333333333331</v>
      </c>
      <c r="R1684" s="48">
        <v>0.33333333333333331</v>
      </c>
      <c r="S1684" s="48">
        <v>0.33333333333333331</v>
      </c>
      <c r="T1684" s="48">
        <v>0.33333333333333331</v>
      </c>
      <c r="U1684" s="48">
        <v>0.33333333333333331</v>
      </c>
      <c r="V1684" s="48">
        <v>0.33333333333333331</v>
      </c>
      <c r="W1684" s="48">
        <v>0.33333333333333331</v>
      </c>
      <c r="X1684" s="48">
        <v>0.33333333333333331</v>
      </c>
      <c r="Y1684" s="48">
        <v>0.33333333333333331</v>
      </c>
      <c r="Z1684" s="48">
        <v>0.33333333333333331</v>
      </c>
      <c r="AF1684" s="48">
        <v>0.33333333333333331</v>
      </c>
      <c r="AG1684" s="48">
        <v>0.33333333333333331</v>
      </c>
      <c r="AH1684" s="48">
        <v>0.33333333333333331</v>
      </c>
      <c r="AI1684" s="48">
        <v>0.33333333333333331</v>
      </c>
      <c r="AJ1684" s="48">
        <v>0.33333333333333331</v>
      </c>
      <c r="AK1684" s="48">
        <v>0.33333333333333331</v>
      </c>
      <c r="AL1684" s="48">
        <v>0.33333333333333331</v>
      </c>
    </row>
    <row r="1685" spans="1:41" hidden="1" x14ac:dyDescent="0.25">
      <c r="A1685">
        <v>1684</v>
      </c>
      <c r="B1685">
        <v>2026</v>
      </c>
      <c r="C1685">
        <v>3</v>
      </c>
      <c r="D1685" t="s">
        <v>703</v>
      </c>
      <c r="E1685">
        <v>163</v>
      </c>
      <c r="F1685">
        <v>3</v>
      </c>
      <c r="G1685" t="s">
        <v>431</v>
      </c>
      <c r="I1685" s="48">
        <v>0.75</v>
      </c>
      <c r="J1685" s="48">
        <v>0.75</v>
      </c>
      <c r="K1685" s="48">
        <v>0.75</v>
      </c>
      <c r="L1685" s="48">
        <v>0.75</v>
      </c>
      <c r="M1685" s="48">
        <v>0.75</v>
      </c>
      <c r="N1685" s="48">
        <v>0.75</v>
      </c>
      <c r="O1685" s="48">
        <v>0.75</v>
      </c>
      <c r="P1685" s="48">
        <v>0.75</v>
      </c>
      <c r="Q1685" s="48">
        <v>0.75</v>
      </c>
      <c r="R1685" s="48">
        <v>0.75</v>
      </c>
      <c r="S1685" s="48">
        <v>0.75</v>
      </c>
      <c r="T1685" s="48">
        <v>0.75</v>
      </c>
      <c r="U1685" s="48">
        <v>0.75</v>
      </c>
      <c r="V1685" s="48">
        <v>0.75</v>
      </c>
      <c r="W1685" s="48">
        <v>0.75</v>
      </c>
      <c r="X1685" s="48">
        <v>0.75</v>
      </c>
      <c r="Y1685" s="48">
        <v>0.75</v>
      </c>
      <c r="Z1685" s="48">
        <v>0.75</v>
      </c>
      <c r="AF1685" s="48">
        <v>0.75</v>
      </c>
      <c r="AG1685" s="48">
        <v>0.75</v>
      </c>
      <c r="AH1685" s="48">
        <v>0.75</v>
      </c>
      <c r="AI1685" s="48">
        <v>0.75</v>
      </c>
      <c r="AJ1685" s="48">
        <v>0.75</v>
      </c>
      <c r="AK1685" s="48">
        <v>0.75</v>
      </c>
      <c r="AL1685" s="48">
        <v>0.75</v>
      </c>
      <c r="AM1685">
        <v>27</v>
      </c>
    </row>
    <row r="1686" spans="1:41" hidden="1" x14ac:dyDescent="0.25">
      <c r="A1686">
        <v>1685</v>
      </c>
      <c r="B1686">
        <v>2026</v>
      </c>
      <c r="C1686">
        <v>3</v>
      </c>
      <c r="D1686" t="s">
        <v>795</v>
      </c>
      <c r="E1686">
        <v>173</v>
      </c>
      <c r="F1686">
        <v>2</v>
      </c>
      <c r="G1686" t="s">
        <v>430</v>
      </c>
      <c r="I1686" s="48">
        <v>0.33333333333333331</v>
      </c>
      <c r="J1686" s="48">
        <v>0.33333333333333331</v>
      </c>
      <c r="K1686" s="48">
        <v>0.33333333333333331</v>
      </c>
      <c r="L1686" s="48">
        <v>0.33333333333333331</v>
      </c>
      <c r="M1686" s="48">
        <v>0.33333333333333331</v>
      </c>
      <c r="N1686" s="48">
        <v>0.33333333333333331</v>
      </c>
      <c r="O1686" s="48">
        <v>0.33333333333333331</v>
      </c>
      <c r="P1686" s="48">
        <v>0.33333333333333331</v>
      </c>
      <c r="Q1686" s="48">
        <v>0.33333333333333331</v>
      </c>
      <c r="R1686" s="48">
        <v>0.33333333333333331</v>
      </c>
      <c r="S1686" s="48">
        <v>0.33333333333333331</v>
      </c>
      <c r="T1686" s="48">
        <v>0.33333333333333331</v>
      </c>
      <c r="U1686" s="48">
        <v>0.33333333333333331</v>
      </c>
      <c r="V1686" s="48">
        <v>0.33333333333333331</v>
      </c>
      <c r="W1686" s="48">
        <v>0.33333333333333331</v>
      </c>
      <c r="X1686" s="48">
        <v>0.33333333333333331</v>
      </c>
      <c r="Y1686" s="48">
        <v>0.33333333333333331</v>
      </c>
      <c r="Z1686" s="48">
        <v>0.33333333333333331</v>
      </c>
      <c r="AE1686" s="48">
        <v>0.33333333333333331</v>
      </c>
      <c r="AF1686" s="48">
        <v>0.33333333333333331</v>
      </c>
      <c r="AG1686" s="48">
        <v>0.33333333333333331</v>
      </c>
      <c r="AH1686" s="48">
        <v>0.33333333333333331</v>
      </c>
      <c r="AI1686" s="48">
        <v>0.33333333333333331</v>
      </c>
      <c r="AJ1686" s="48">
        <v>0.33333333333333331</v>
      </c>
      <c r="AK1686" s="48">
        <v>0.33333333333333331</v>
      </c>
      <c r="AL1686" s="48">
        <v>0.33333333333333331</v>
      </c>
    </row>
    <row r="1687" spans="1:41" hidden="1" x14ac:dyDescent="0.25">
      <c r="A1687">
        <v>1686</v>
      </c>
      <c r="B1687">
        <v>2026</v>
      </c>
      <c r="C1687">
        <v>3</v>
      </c>
      <c r="D1687" t="s">
        <v>795</v>
      </c>
      <c r="E1687">
        <v>173</v>
      </c>
      <c r="F1687">
        <v>2</v>
      </c>
      <c r="G1687" t="s">
        <v>431</v>
      </c>
      <c r="I1687" s="48">
        <v>0.75</v>
      </c>
      <c r="J1687" s="48">
        <v>0.75</v>
      </c>
      <c r="K1687" s="48">
        <v>0.75</v>
      </c>
      <c r="L1687" s="48">
        <v>0.75</v>
      </c>
      <c r="M1687" s="48">
        <v>0.75</v>
      </c>
      <c r="N1687" s="48">
        <v>0.75</v>
      </c>
      <c r="O1687" s="48">
        <v>0.75</v>
      </c>
      <c r="P1687" s="48">
        <v>0.75</v>
      </c>
      <c r="Q1687" s="48">
        <v>0.75</v>
      </c>
      <c r="R1687" s="48">
        <v>0.75</v>
      </c>
      <c r="S1687" s="48">
        <v>0.75</v>
      </c>
      <c r="T1687" s="48">
        <v>0.75</v>
      </c>
      <c r="U1687" s="48">
        <v>0.75</v>
      </c>
      <c r="V1687" s="48">
        <v>0.75</v>
      </c>
      <c r="W1687" s="48">
        <v>0.75</v>
      </c>
      <c r="X1687" s="48">
        <v>0.75</v>
      </c>
      <c r="Y1687" s="48">
        <v>0.75</v>
      </c>
      <c r="Z1687" s="48">
        <v>0.75</v>
      </c>
      <c r="AE1687" s="48">
        <v>0.75</v>
      </c>
      <c r="AF1687" s="48">
        <v>0.75</v>
      </c>
      <c r="AG1687" s="48">
        <v>0.75</v>
      </c>
      <c r="AH1687" s="48">
        <v>0.75</v>
      </c>
      <c r="AI1687" s="48">
        <v>0.75</v>
      </c>
      <c r="AJ1687" s="48">
        <v>0.75</v>
      </c>
      <c r="AK1687" s="48">
        <v>0.75</v>
      </c>
      <c r="AL1687" s="48">
        <v>0.75</v>
      </c>
      <c r="AM1687">
        <v>28</v>
      </c>
    </row>
    <row r="1688" spans="1:41" hidden="1" x14ac:dyDescent="0.25">
      <c r="A1688">
        <v>1687</v>
      </c>
      <c r="B1688">
        <v>2026</v>
      </c>
      <c r="C1688">
        <v>2</v>
      </c>
      <c r="D1688" t="s">
        <v>1151</v>
      </c>
      <c r="E1688">
        <v>179</v>
      </c>
      <c r="F1688">
        <v>1</v>
      </c>
      <c r="G1688" t="s">
        <v>430</v>
      </c>
      <c r="AF1688" s="48">
        <v>0.33333333333333331</v>
      </c>
      <c r="AG1688" s="48">
        <v>0.33333333333333331</v>
      </c>
      <c r="AH1688" s="48">
        <v>0.33333333333333331</v>
      </c>
      <c r="AI1688" s="48">
        <v>0.33333333333333331</v>
      </c>
    </row>
    <row r="1689" spans="1:41" hidden="1" x14ac:dyDescent="0.25">
      <c r="A1689">
        <v>1688</v>
      </c>
      <c r="B1689">
        <v>2026</v>
      </c>
      <c r="C1689">
        <v>2</v>
      </c>
      <c r="D1689" t="s">
        <v>1151</v>
      </c>
      <c r="E1689">
        <v>179</v>
      </c>
      <c r="F1689">
        <v>1</v>
      </c>
      <c r="G1689" t="s">
        <v>431</v>
      </c>
      <c r="AF1689" s="48">
        <v>0.75</v>
      </c>
      <c r="AG1689" s="48">
        <v>0.75</v>
      </c>
      <c r="AH1689" s="48">
        <v>0.75</v>
      </c>
      <c r="AI1689" s="48">
        <v>0.75</v>
      </c>
      <c r="AM1689">
        <v>4</v>
      </c>
    </row>
    <row r="1690" spans="1:41" hidden="1" x14ac:dyDescent="0.25">
      <c r="A1690">
        <v>1689</v>
      </c>
      <c r="B1690">
        <v>2026</v>
      </c>
      <c r="C1690">
        <v>3</v>
      </c>
      <c r="D1690" t="s">
        <v>1151</v>
      </c>
      <c r="E1690">
        <v>179</v>
      </c>
      <c r="F1690">
        <v>1</v>
      </c>
      <c r="G1690" t="s">
        <v>430</v>
      </c>
      <c r="I1690" s="48">
        <v>0.33333333333333331</v>
      </c>
      <c r="M1690" s="48">
        <v>0.33333333333333331</v>
      </c>
      <c r="N1690" s="48">
        <v>0.33333333333333331</v>
      </c>
      <c r="P1690" s="48">
        <v>0.33333333333333331</v>
      </c>
      <c r="Q1690" s="48">
        <v>0.33333333333333331</v>
      </c>
      <c r="S1690" s="48">
        <v>0.33333333333333331</v>
      </c>
      <c r="T1690" s="48">
        <v>0.33333333333333331</v>
      </c>
      <c r="U1690" s="48">
        <v>0.33333333333333331</v>
      </c>
      <c r="W1690" s="48">
        <v>0.33333333333333331</v>
      </c>
      <c r="X1690" s="48">
        <v>0.33333333333333331</v>
      </c>
      <c r="Y1690" s="48">
        <v>0.33333333333333331</v>
      </c>
      <c r="Z1690" s="48">
        <v>0.33333333333333331</v>
      </c>
      <c r="AF1690" s="48">
        <v>0.33333333333333331</v>
      </c>
      <c r="AG1690" s="48">
        <v>0.33333333333333331</v>
      </c>
      <c r="AH1690" s="48">
        <v>0.33333333333333331</v>
      </c>
      <c r="AI1690" s="48">
        <v>0.33333333333333331</v>
      </c>
      <c r="AJ1690" s="48">
        <v>0.33333333333333331</v>
      </c>
      <c r="AK1690" s="48">
        <v>0.33333333333333331</v>
      </c>
      <c r="AL1690" s="48">
        <v>0.33333333333333331</v>
      </c>
    </row>
    <row r="1691" spans="1:41" hidden="1" x14ac:dyDescent="0.25">
      <c r="A1691">
        <v>1690</v>
      </c>
      <c r="B1691">
        <v>2026</v>
      </c>
      <c r="C1691">
        <v>3</v>
      </c>
      <c r="D1691" t="s">
        <v>1151</v>
      </c>
      <c r="E1691">
        <v>179</v>
      </c>
      <c r="F1691">
        <v>1</v>
      </c>
      <c r="G1691" t="s">
        <v>431</v>
      </c>
      <c r="I1691" s="48">
        <v>0.75</v>
      </c>
      <c r="M1691" s="48">
        <v>0.75</v>
      </c>
      <c r="N1691" s="48">
        <v>0.75</v>
      </c>
      <c r="P1691" s="48">
        <v>0.75</v>
      </c>
      <c r="Q1691" s="48">
        <v>0.75</v>
      </c>
      <c r="S1691" s="48">
        <v>0.75</v>
      </c>
      <c r="T1691" s="48">
        <v>0.75</v>
      </c>
      <c r="U1691" s="48">
        <v>0.75</v>
      </c>
      <c r="W1691" s="48">
        <v>0.75</v>
      </c>
      <c r="X1691" s="48">
        <v>0.75</v>
      </c>
      <c r="Y1691" s="48">
        <v>0.75</v>
      </c>
      <c r="Z1691" s="48">
        <v>0.75</v>
      </c>
      <c r="AF1691" s="48">
        <v>0.75</v>
      </c>
      <c r="AG1691" s="48">
        <v>0.75</v>
      </c>
      <c r="AH1691" s="48">
        <v>0.75</v>
      </c>
      <c r="AI1691" s="48">
        <v>0.75</v>
      </c>
      <c r="AJ1691" s="48">
        <v>0.75</v>
      </c>
      <c r="AK1691" s="48">
        <v>0.75</v>
      </c>
      <c r="AL1691" s="48">
        <v>0.75</v>
      </c>
      <c r="AM1691">
        <v>19</v>
      </c>
    </row>
    <row r="1692" spans="1:41" hidden="1" x14ac:dyDescent="0.25">
      <c r="A1692">
        <v>1691</v>
      </c>
      <c r="B1692">
        <v>2026</v>
      </c>
      <c r="C1692">
        <v>3</v>
      </c>
      <c r="D1692" t="s">
        <v>798</v>
      </c>
      <c r="E1692">
        <v>182</v>
      </c>
      <c r="F1692">
        <v>2</v>
      </c>
      <c r="G1692" t="s">
        <v>430</v>
      </c>
      <c r="I1692" s="48">
        <v>0.33333333333333331</v>
      </c>
      <c r="J1692" s="48">
        <v>0.33333333333333331</v>
      </c>
      <c r="K1692" s="48">
        <v>0.33333333333333331</v>
      </c>
      <c r="L1692" s="48">
        <v>0.33333333333333331</v>
      </c>
      <c r="M1692" s="48">
        <v>0.33333333333333331</v>
      </c>
      <c r="N1692" s="48">
        <v>0.33333333333333331</v>
      </c>
      <c r="O1692" s="48">
        <v>0.33333333333333331</v>
      </c>
      <c r="P1692" s="48">
        <v>0.33333333333333331</v>
      </c>
      <c r="Q1692" s="48">
        <v>0.33333333333333331</v>
      </c>
      <c r="R1692" s="48">
        <v>0.33333333333333331</v>
      </c>
      <c r="S1692" s="48">
        <v>0.33333333333333331</v>
      </c>
      <c r="T1692" s="48">
        <v>0.33333333333333331</v>
      </c>
      <c r="U1692" s="48">
        <v>0.33333333333333331</v>
      </c>
      <c r="V1692" s="48">
        <v>0.33333333333333331</v>
      </c>
      <c r="W1692" s="48">
        <v>0.33333333333333331</v>
      </c>
      <c r="X1692" s="48">
        <v>0.33333333333333331</v>
      </c>
      <c r="Z1692" s="48">
        <v>0.33333333333333331</v>
      </c>
      <c r="AA1692" s="48">
        <v>0.33333333333333331</v>
      </c>
      <c r="AB1692" s="48">
        <v>0.33333333333333331</v>
      </c>
      <c r="AC1692" s="48">
        <v>0.33333333333333331</v>
      </c>
      <c r="AD1692" s="48">
        <v>0.33333333333333331</v>
      </c>
      <c r="AE1692" s="48">
        <v>0.33333333333333331</v>
      </c>
      <c r="AF1692" s="48">
        <v>0.33333333333333331</v>
      </c>
      <c r="AG1692" s="48">
        <v>0.33333333333333331</v>
      </c>
      <c r="AH1692" s="48">
        <v>0.33333333333333331</v>
      </c>
      <c r="AI1692" s="48">
        <v>0.33333333333333331</v>
      </c>
      <c r="AJ1692" s="48">
        <v>0.33333333333333331</v>
      </c>
      <c r="AK1692" s="48">
        <v>0.33333333333333331</v>
      </c>
      <c r="AL1692" s="48">
        <v>0.33333333333333331</v>
      </c>
    </row>
    <row r="1693" spans="1:41" hidden="1" x14ac:dyDescent="0.25">
      <c r="A1693">
        <v>1692</v>
      </c>
      <c r="B1693">
        <v>2026</v>
      </c>
      <c r="C1693">
        <v>3</v>
      </c>
      <c r="D1693" t="s">
        <v>798</v>
      </c>
      <c r="E1693">
        <v>182</v>
      </c>
      <c r="F1693">
        <v>2</v>
      </c>
      <c r="G1693" t="s">
        <v>431</v>
      </c>
      <c r="I1693" s="48">
        <v>0.75</v>
      </c>
      <c r="J1693" s="48">
        <v>0.75</v>
      </c>
      <c r="K1693" s="48">
        <v>0.75</v>
      </c>
      <c r="L1693" s="48">
        <v>0.75</v>
      </c>
      <c r="M1693" s="48">
        <v>0.75</v>
      </c>
      <c r="N1693" s="48">
        <v>0.75</v>
      </c>
      <c r="O1693" s="48">
        <v>0.75</v>
      </c>
      <c r="P1693" s="48">
        <v>0.75</v>
      </c>
      <c r="Q1693" s="48">
        <v>0.75</v>
      </c>
      <c r="R1693" s="48">
        <v>0.75</v>
      </c>
      <c r="S1693" s="48">
        <v>0.75</v>
      </c>
      <c r="T1693" s="48">
        <v>0.75</v>
      </c>
      <c r="U1693" s="48">
        <v>0.75</v>
      </c>
      <c r="V1693" s="48">
        <v>0.75</v>
      </c>
      <c r="W1693" s="48">
        <v>0.75</v>
      </c>
      <c r="X1693" s="48">
        <v>0.75</v>
      </c>
      <c r="Z1693" s="48">
        <v>0.75</v>
      </c>
      <c r="AA1693" s="48">
        <v>0.75</v>
      </c>
      <c r="AB1693" s="48">
        <v>0.75</v>
      </c>
      <c r="AC1693" s="48">
        <v>0.75</v>
      </c>
      <c r="AD1693" s="48">
        <v>0.75</v>
      </c>
      <c r="AE1693" s="48">
        <v>0.75</v>
      </c>
      <c r="AF1693" s="48">
        <v>0.75</v>
      </c>
      <c r="AG1693" s="48">
        <v>0.75</v>
      </c>
      <c r="AH1693" s="48">
        <v>0.75</v>
      </c>
      <c r="AI1693" s="48">
        <v>0.75</v>
      </c>
      <c r="AJ1693" s="48">
        <v>0.75</v>
      </c>
      <c r="AK1693" s="48">
        <v>0.75</v>
      </c>
      <c r="AL1693" s="48">
        <v>0.75</v>
      </c>
      <c r="AM1693">
        <v>31</v>
      </c>
    </row>
    <row r="1694" spans="1:41" hidden="1" x14ac:dyDescent="0.25">
      <c r="A1694">
        <v>1693</v>
      </c>
      <c r="B1694">
        <v>2026</v>
      </c>
      <c r="C1694">
        <v>3</v>
      </c>
      <c r="D1694" t="s">
        <v>799</v>
      </c>
      <c r="E1694">
        <v>182</v>
      </c>
      <c r="F1694">
        <v>2</v>
      </c>
      <c r="G1694" t="s">
        <v>430</v>
      </c>
      <c r="I1694" s="48">
        <v>0.33333333333333331</v>
      </c>
      <c r="J1694" s="48">
        <v>0.33333333333333331</v>
      </c>
      <c r="K1694" s="48">
        <v>0.33333333333333331</v>
      </c>
      <c r="L1694" s="48">
        <v>0.33333333333333331</v>
      </c>
      <c r="M1694" s="48">
        <v>0.33333333333333331</v>
      </c>
      <c r="N1694" s="48">
        <v>0.33333333333333331</v>
      </c>
      <c r="O1694" s="48">
        <v>0.33333333333333331</v>
      </c>
      <c r="P1694" s="48">
        <v>0.33333333333333331</v>
      </c>
      <c r="Q1694" s="48">
        <v>0.33333333333333331</v>
      </c>
      <c r="R1694" s="48">
        <v>0.33333333333333331</v>
      </c>
      <c r="S1694" s="48">
        <v>0.33333333333333331</v>
      </c>
      <c r="T1694" s="48">
        <v>0.33333333333333331</v>
      </c>
      <c r="U1694" s="48">
        <v>0.33333333333333331</v>
      </c>
      <c r="V1694" s="48">
        <v>0.33333333333333331</v>
      </c>
      <c r="W1694" s="48">
        <v>0.33333333333333331</v>
      </c>
      <c r="X1694" s="48">
        <v>0.33333333333333331</v>
      </c>
      <c r="Y1694" s="48">
        <v>0.33333333333333331</v>
      </c>
      <c r="Z1694" s="48">
        <v>0.33333333333333331</v>
      </c>
      <c r="AE1694" s="48">
        <v>0.33333333333333331</v>
      </c>
      <c r="AF1694" s="48">
        <v>0.33333333333333331</v>
      </c>
      <c r="AG1694" s="48">
        <v>0.33333333333333331</v>
      </c>
      <c r="AH1694" s="48">
        <v>0.33333333333333331</v>
      </c>
      <c r="AI1694" s="48">
        <v>0.33333333333333331</v>
      </c>
      <c r="AK1694" s="48">
        <v>0.33333333333333331</v>
      </c>
      <c r="AL1694" s="48">
        <v>0.33333333333333331</v>
      </c>
    </row>
    <row r="1695" spans="1:41" hidden="1" x14ac:dyDescent="0.25">
      <c r="A1695">
        <v>1694</v>
      </c>
      <c r="B1695">
        <v>2026</v>
      </c>
      <c r="C1695">
        <v>3</v>
      </c>
      <c r="D1695" t="s">
        <v>799</v>
      </c>
      <c r="E1695">
        <v>182</v>
      </c>
      <c r="F1695">
        <v>2</v>
      </c>
      <c r="G1695" t="s">
        <v>431</v>
      </c>
      <c r="I1695" s="48">
        <v>0.75</v>
      </c>
      <c r="J1695" s="48">
        <v>0.75</v>
      </c>
      <c r="K1695" s="48">
        <v>0.75</v>
      </c>
      <c r="L1695" s="48">
        <v>0.75</v>
      </c>
      <c r="M1695" s="48">
        <v>0.75</v>
      </c>
      <c r="N1695" s="48">
        <v>0.75</v>
      </c>
      <c r="O1695" s="48">
        <v>0.75</v>
      </c>
      <c r="P1695" s="48">
        <v>0.75</v>
      </c>
      <c r="Q1695" s="48">
        <v>0.75</v>
      </c>
      <c r="R1695" s="48">
        <v>0.75</v>
      </c>
      <c r="S1695" s="48">
        <v>0.75</v>
      </c>
      <c r="T1695" s="48">
        <v>0.75</v>
      </c>
      <c r="U1695" s="48">
        <v>0.75</v>
      </c>
      <c r="V1695" s="48">
        <v>0.75</v>
      </c>
      <c r="W1695" s="48">
        <v>0.875</v>
      </c>
      <c r="X1695" s="48">
        <v>0.75</v>
      </c>
      <c r="Y1695" s="48">
        <v>0.75</v>
      </c>
      <c r="Z1695" s="48">
        <v>0.75</v>
      </c>
      <c r="AE1695" s="48">
        <v>0.75</v>
      </c>
      <c r="AF1695" s="48">
        <v>0.75</v>
      </c>
      <c r="AG1695" s="48">
        <v>0.75</v>
      </c>
      <c r="AH1695" s="48">
        <v>0.75</v>
      </c>
      <c r="AI1695" s="48">
        <v>0.75</v>
      </c>
      <c r="AK1695" s="48">
        <v>0.75</v>
      </c>
      <c r="AL1695" s="48">
        <v>0.75</v>
      </c>
      <c r="AM1695">
        <v>27</v>
      </c>
      <c r="AO1695">
        <v>3</v>
      </c>
    </row>
    <row r="1696" spans="1:41" hidden="1" x14ac:dyDescent="0.25">
      <c r="A1696">
        <v>1695</v>
      </c>
      <c r="B1696">
        <v>2026</v>
      </c>
      <c r="C1696">
        <v>4</v>
      </c>
      <c r="D1696" t="s">
        <v>481</v>
      </c>
      <c r="E1696">
        <v>85</v>
      </c>
      <c r="F1696">
        <v>10</v>
      </c>
      <c r="G1696" t="s">
        <v>430</v>
      </c>
      <c r="H1696" s="48">
        <v>0.33333333333333331</v>
      </c>
      <c r="I1696" s="48">
        <v>0.33333333333333331</v>
      </c>
      <c r="J1696" s="48">
        <v>0.33333333333333331</v>
      </c>
      <c r="K1696" s="48">
        <v>0.33333333333333331</v>
      </c>
      <c r="M1696" s="48">
        <v>0.33333333333333331</v>
      </c>
      <c r="N1696" s="48">
        <v>0.33333333333333331</v>
      </c>
      <c r="O1696" s="48">
        <v>0.33333333333333331</v>
      </c>
      <c r="P1696" s="48">
        <v>0.33333333333333331</v>
      </c>
    </row>
    <row r="1697" spans="1:41" hidden="1" x14ac:dyDescent="0.25">
      <c r="A1697">
        <v>1696</v>
      </c>
      <c r="B1697">
        <v>2026</v>
      </c>
      <c r="C1697">
        <v>4</v>
      </c>
      <c r="D1697" t="s">
        <v>481</v>
      </c>
      <c r="E1697">
        <v>85</v>
      </c>
      <c r="F1697">
        <v>10</v>
      </c>
      <c r="G1697" t="s">
        <v>431</v>
      </c>
      <c r="H1697" s="48">
        <v>0.75</v>
      </c>
      <c r="I1697" s="48">
        <v>0.75</v>
      </c>
      <c r="J1697" s="48">
        <v>0.875</v>
      </c>
      <c r="K1697" s="48">
        <v>0.83333333333333337</v>
      </c>
      <c r="M1697" s="48">
        <v>0.79166666666666674</v>
      </c>
      <c r="N1697" s="48">
        <v>0.75</v>
      </c>
      <c r="O1697" s="48">
        <v>0.79166666666666674</v>
      </c>
      <c r="P1697" s="48">
        <v>0.75</v>
      </c>
      <c r="AM1697">
        <v>8</v>
      </c>
      <c r="AO1697">
        <v>7</v>
      </c>
    </row>
    <row r="1698" spans="1:41" hidden="1" x14ac:dyDescent="0.25">
      <c r="A1698">
        <v>1697</v>
      </c>
      <c r="B1698">
        <v>2026</v>
      </c>
      <c r="C1698">
        <v>4</v>
      </c>
      <c r="D1698" t="s">
        <v>795</v>
      </c>
      <c r="E1698">
        <v>173</v>
      </c>
      <c r="F1698">
        <v>2</v>
      </c>
      <c r="G1698" t="s">
        <v>430</v>
      </c>
      <c r="H1698" s="48">
        <v>0.33333333333333331</v>
      </c>
      <c r="I1698" s="48">
        <v>0.33333333333333331</v>
      </c>
      <c r="J1698" s="48">
        <v>0.33333333333333331</v>
      </c>
      <c r="K1698" s="48">
        <v>0.33333333333333331</v>
      </c>
      <c r="M1698" s="48">
        <v>0.33333333333333331</v>
      </c>
      <c r="N1698" s="48">
        <v>0.33333333333333331</v>
      </c>
    </row>
    <row r="1699" spans="1:41" hidden="1" x14ac:dyDescent="0.25">
      <c r="A1699">
        <v>1698</v>
      </c>
      <c r="B1699">
        <v>2026</v>
      </c>
      <c r="C1699">
        <v>4</v>
      </c>
      <c r="D1699" t="s">
        <v>795</v>
      </c>
      <c r="E1699">
        <v>173</v>
      </c>
      <c r="F1699">
        <v>2</v>
      </c>
      <c r="G1699" t="s">
        <v>431</v>
      </c>
      <c r="H1699" s="48">
        <v>0.75</v>
      </c>
      <c r="I1699" s="48">
        <v>0.75</v>
      </c>
      <c r="J1699" s="48">
        <v>0.75</v>
      </c>
      <c r="K1699" s="48">
        <v>0.75</v>
      </c>
      <c r="M1699" s="48">
        <v>0.75</v>
      </c>
      <c r="N1699" s="48">
        <v>0.75</v>
      </c>
      <c r="AM1699">
        <v>6</v>
      </c>
    </row>
  </sheetData>
  <autoFilter ref="A1:AS1699" xr:uid="{31D98463-92B2-469F-A8A2-4052CBCFB091}">
    <filterColumn colId="3">
      <filters>
        <filter val="90GG153"/>
      </filters>
    </filterColumn>
  </autoFilter>
  <conditionalFormatting sqref="H1:AL1293 H1294:I1295 H1296:AL1423 H1424:H1481 H1482:AL1483 AJ1484:AL1549 H1484:AI1565 AJ1554:AL1565 H1566:AL1631 H1632:H1641 H1634:AL1663 H1664:H1669 I1687:AL1687 H1688:AL1689 H1690:AD1691 AF1690:AL1691">
    <cfRule type="expression" dxfId="13" priority="27">
      <formula>LEFT($G1,4)="time"</formula>
    </cfRule>
  </conditionalFormatting>
  <conditionalFormatting sqref="H1670:AL1686">
    <cfRule type="expression" dxfId="12" priority="5">
      <formula>LEFT($G1670,4)="time"</formula>
    </cfRule>
  </conditionalFormatting>
  <conditionalFormatting sqref="H1692:AL1048576">
    <cfRule type="expression" dxfId="11" priority="1">
      <formula>LEFT($G1692,4)="time"</formula>
    </cfRule>
  </conditionalFormatting>
  <conditionalFormatting sqref="I1434:AL1481">
    <cfRule type="expression" dxfId="10" priority="20">
      <formula>LEFT($G1434,4)="time"</formula>
    </cfRule>
  </conditionalFormatting>
  <conditionalFormatting sqref="I1664:AL1671 AO1667">
    <cfRule type="expression" dxfId="9" priority="11">
      <formula>LEFT($G1664,4)="time"</formula>
    </cfRule>
  </conditionalFormatting>
  <conditionalFormatting sqref="J1295:S1295">
    <cfRule type="expression" dxfId="8" priority="49">
      <formula>LEFT($G1294,4)="time"</formula>
    </cfRule>
  </conditionalFormatting>
  <conditionalFormatting sqref="T1294:AL1295">
    <cfRule type="expression" dxfId="7" priority="26">
      <formula>LEFT($G1294,4)="time"</formula>
    </cfRule>
  </conditionalFormatting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C3C6-C9E9-415D-917A-812D0B016842}">
  <sheetPr codeName="Sheet5" filterMode="1"/>
  <dimension ref="A1:M245"/>
  <sheetViews>
    <sheetView workbookViewId="0">
      <pane ySplit="1" topLeftCell="A2" activePane="bottomLeft" state="frozen"/>
      <selection activeCell="O1" sqref="O1"/>
      <selection pane="bottomLeft" activeCell="O1" sqref="O1"/>
    </sheetView>
  </sheetViews>
  <sheetFormatPr defaultRowHeight="15" x14ac:dyDescent="0.25"/>
  <cols>
    <col min="1" max="1" width="4" bestFit="1" customWidth="1"/>
    <col min="2" max="2" width="7.140625" bestFit="1" customWidth="1"/>
    <col min="3" max="3" width="10.7109375" bestFit="1" customWidth="1"/>
    <col min="4" max="4" width="3.28515625" customWidth="1"/>
    <col min="5" max="5" width="8.42578125" bestFit="1" customWidth="1"/>
    <col min="6" max="6" width="8.42578125" customWidth="1"/>
    <col min="7" max="7" width="37.7109375" bestFit="1" customWidth="1"/>
    <col min="8" max="8" width="11.7109375" style="61" customWidth="1"/>
    <col min="9" max="9" width="11.28515625" bestFit="1" customWidth="1"/>
    <col min="10" max="11" width="11.5703125" style="61" bestFit="1" customWidth="1"/>
  </cols>
  <sheetData>
    <row r="1" spans="1:13" x14ac:dyDescent="0.25">
      <c r="A1" s="93" t="s">
        <v>69</v>
      </c>
      <c r="B1" s="93" t="s">
        <v>68</v>
      </c>
      <c r="C1" s="93" t="s">
        <v>76</v>
      </c>
      <c r="D1" s="93" t="s">
        <v>78</v>
      </c>
      <c r="E1" s="93" t="s">
        <v>77</v>
      </c>
      <c r="F1" s="93" t="s">
        <v>545</v>
      </c>
      <c r="G1" s="93" t="s">
        <v>536</v>
      </c>
      <c r="H1" s="94" t="s">
        <v>537</v>
      </c>
      <c r="I1" s="93" t="s">
        <v>538</v>
      </c>
      <c r="J1" s="94" t="s">
        <v>612</v>
      </c>
      <c r="K1" s="94" t="s">
        <v>613</v>
      </c>
      <c r="M1" s="94" t="s">
        <v>691</v>
      </c>
    </row>
    <row r="2" spans="1:13" hidden="1" x14ac:dyDescent="0.25">
      <c r="A2" cm="1">
        <f t="array" ref="A2:A212">_xlfn.SEQUENCE(COUNTA(B:B)-1)</f>
        <v>1</v>
      </c>
      <c r="B2" t="str" cm="1">
        <f t="array" ref="B2:B212">_xlfn.DROP(_xlfn.UNIQUE(TEXT(_xlfn._TRO_TRAILING(quantities!D:D),"000")&amp;"-"&amp;TEXT(_xlfn._TRO_TRAILING(quantities!E:E),"000")),1)</f>
        <v>030-001</v>
      </c>
      <c r="C2" cm="1">
        <f t="array" ref="C2:C212">_xlfn.NUMBERVALUE(LEFT(_xlfn.ANCHORARRAY(B2),FIND("-",_xlfn.ANCHORARRAY(B2))-1))</f>
        <v>30</v>
      </c>
      <c r="D2" cm="1">
        <f t="array" ref="D2:D212">_xlfn.NUMBERVALUE(MID(_xlfn.ANCHORARRAY(B2),FIND("-",_xlfn.ANCHORARRAY(B2))+1,4))</f>
        <v>1</v>
      </c>
      <c r="E2" s="19" cm="1">
        <f t="array" ref="E2">_xlfn.XLOOKUP(B2,old_ipc_dates!F:F,old_ipc_dates!B:B,IF(D2=1,_xlfn.XLOOKUP(C2,log_contracts!B:B,log_contracts!D:D,,0),_xlfn.XLOOKUP(1,($C1:C$18=C2)*($D1:D$18=D2-1),$F1:F$18+1,,0)),0)</f>
        <v>45658</v>
      </c>
      <c r="F2" s="19">
        <f>_xlfn.XLOOKUP(B2,old_ipc_dates!F:F,old_ipc_dates!C:C,EOMONTH(E2,0),0)</f>
        <v>45688</v>
      </c>
      <c r="G2" t="str" cm="1">
        <f t="array" ref="G2:G212">_xlfn.XLOOKUP(_xlfn.ANCHORARRAY(C2),log_contracts!B:B,log_contracts!E:E,,0)</f>
        <v>NAR TRANSPORT SERVICES MMC</v>
      </c>
      <c r="H2" s="61" cm="1">
        <f t="array" ref="H2">SUM(_xlfn._xlws.FILTER(_xlfn._TRO_TRAILING(quantities!L:L),(_xlfn._TRO_TRAILING(quantities!D:D)=C2)*(_xlfn._TRO_TRAILING(quantities!E:E)=D2)))</f>
        <v>1833.3333333333335</v>
      </c>
      <c r="I2" s="61"/>
      <c r="J2" s="61" t="e">
        <f ca="1">SUMIFS(
INDIRECT("'[S2 Subcon IPC Log.xlsx]Subcon IPC Log'!"&amp;"$O:$O"),
INDIRECT("'[S2 Subcon IPC Log.xlsx]Subcon IPC Log'!"&amp;"$C:$C"),
"KLN-SPP2-"&amp;_xlfn.XLOOKUP(C2,log_contracts!B:B,log_contracts!C:C)&amp;"-"&amp;TEXT(C2,"000"),
INDIRECT("'[S2 Subcon IPC Log.xlsx]Subcon IPC Log'!"&amp;"$D:$D"),
"&lt;="&amp;D2)</f>
        <v>#REF!</v>
      </c>
      <c r="K2" s="61" t="e" cm="1">
        <f t="array" aca="1" ref="K2:K213" ca="1">ROUND(_xlfn.DROP(_xlfn._TRO_TRAILING(H:H)-_xlfn._TRO_TRAILING(J:J),1),0)</f>
        <v>#REF!</v>
      </c>
    </row>
    <row r="3" spans="1:13" hidden="1" x14ac:dyDescent="0.25">
      <c r="A3">
        <v>2</v>
      </c>
      <c r="B3" t="str">
        <v>031-001</v>
      </c>
      <c r="C3">
        <v>31</v>
      </c>
      <c r="D3">
        <v>1</v>
      </c>
      <c r="E3" s="19" cm="1">
        <f t="array" ref="E3">_xlfn.XLOOKUP(B3,old_ipc_dates!F:F,old_ipc_dates!B:B,IF(D3=1,_xlfn.XLOOKUP(C3,log_contracts!B:B,log_contracts!D:D,,0),_xlfn.XLOOKUP(1,($C2:C$18=C3)*($D2:D$18=D3-1),$F2:F$18+1,,0)),0)</f>
        <v>45693</v>
      </c>
      <c r="F3" s="19">
        <f>_xlfn.XLOOKUP(B3,old_ipc_dates!F:F,old_ipc_dates!C:C,EOMONTH(E3,0),0)</f>
        <v>45716</v>
      </c>
      <c r="G3" t="str">
        <v>NAR TRANSPORT SERVICES MMC</v>
      </c>
      <c r="H3" s="61" cm="1">
        <f t="array" ref="H3">SUM(_xlfn._xlws.FILTER(_xlfn._TRO_TRAILING(quantities!L:L),(_xlfn._TRO_TRAILING(quantities!D:D)=C3)*(_xlfn._TRO_TRAILING(quantities!E:E)=D3)))</f>
        <v>11283.421999999997</v>
      </c>
      <c r="I3" s="61"/>
      <c r="J3" t="e">
        <f ca="1">SUMIFS(
INDIRECT("'[S2 Subcon IPC Log.xlsx]Subcon IPC Log'!"&amp;"$O:$O"),
INDIRECT("'[S2 Subcon IPC Log.xlsx]Subcon IPC Log'!"&amp;"$C:$C"),
"KLN-SPP2-"&amp;_xlfn.XLOOKUP(C3,log_contracts!B:B,log_contracts!C:C)&amp;"-"&amp;TEXT(C3,"000"),
INDIRECT("'[S2 Subcon IPC Log.xlsx]Subcon IPC Log'!"&amp;"$D:$D"),
D3)</f>
        <v>#REF!</v>
      </c>
      <c r="K3" s="61" t="e">
        <f ca="1"/>
        <v>#REF!</v>
      </c>
    </row>
    <row r="4" spans="1:13" hidden="1" x14ac:dyDescent="0.25">
      <c r="A4">
        <v>3</v>
      </c>
      <c r="B4" t="str">
        <v>046-001</v>
      </c>
      <c r="C4">
        <v>46</v>
      </c>
      <c r="D4">
        <v>1</v>
      </c>
      <c r="E4" s="19" cm="1">
        <f t="array" ref="E4">_xlfn.XLOOKUP(B4,old_ipc_dates!F:F,old_ipc_dates!B:B,IF(D4=1,_xlfn.XLOOKUP(C4,log_contracts!B:B,log_contracts!D:D,,0),_xlfn.XLOOKUP(1,($C3:C$18=C4)*($D3:D$18=D4-1),$F3:F$18+1,,0)),0)</f>
        <v>45778</v>
      </c>
      <c r="F4" s="19">
        <f>_xlfn.XLOOKUP(B4,old_ipc_dates!F:F,old_ipc_dates!C:C,EOMONTH(E4,0),0)</f>
        <v>45808</v>
      </c>
      <c r="G4" t="str">
        <v>HARDCORE CONSTRUCTION AND EQUIPMENT</v>
      </c>
      <c r="H4" s="61" cm="1">
        <f t="array" ref="H4">SUM(_xlfn._xlws.FILTER(_xlfn._TRO_TRAILING(quantities!L:L),(_xlfn._TRO_TRAILING(quantities!D:D)=C4)*(_xlfn._TRO_TRAILING(quantities!E:E)=D4)))</f>
        <v>1714.2857142857142</v>
      </c>
      <c r="I4" s="61"/>
      <c r="J4" t="e">
        <f ca="1">SUMIFS(
INDIRECT("'[S2 Subcon IPC Log.xlsx]Subcon IPC Log'!"&amp;"$O:$O"),
INDIRECT("'[S2 Subcon IPC Log.xlsx]Subcon IPC Log'!"&amp;"$C:$C"),
"KLN-SPP2-"&amp;_xlfn.XLOOKUP(C4,log_contracts!B:B,log_contracts!C:C)&amp;"-"&amp;TEXT(C4,"000"),
INDIRECT("'[S2 Subcon IPC Log.xlsx]Subcon IPC Log'!"&amp;"$D:$D"),
D4)</f>
        <v>#REF!</v>
      </c>
      <c r="K4" s="61" t="e">
        <f ca="1"/>
        <v>#REF!</v>
      </c>
    </row>
    <row r="5" spans="1:13" hidden="1" x14ac:dyDescent="0.25">
      <c r="A5">
        <v>4</v>
      </c>
      <c r="B5" t="str">
        <v>050-001</v>
      </c>
      <c r="C5">
        <v>50</v>
      </c>
      <c r="D5">
        <v>1</v>
      </c>
      <c r="E5" s="19" cm="1">
        <f t="array" ref="E5">_xlfn.XLOOKUP(B5,old_ipc_dates!F:F,old_ipc_dates!B:B,IF(D5=1,_xlfn.XLOOKUP(C5,log_contracts!B:B,log_contracts!D:D,,0),_xlfn.XLOOKUP(1,($C4:C$18=C5)*($D4:D$18=D5-1),$F4:F$18+1,,0)),0)</f>
        <v>45809</v>
      </c>
      <c r="F5" s="19">
        <f>_xlfn.XLOOKUP(B5,old_ipc_dates!F:F,old_ipc_dates!C:C,EOMONTH(E5,0),0)</f>
        <v>45838</v>
      </c>
      <c r="G5" t="str">
        <v>LOFT CONSTRUCTION</v>
      </c>
      <c r="H5" s="61" cm="1">
        <f t="array" ref="H5">SUM(_xlfn._xlws.FILTER(_xlfn._TRO_TRAILING(quantities!L:L),(_xlfn._TRO_TRAILING(quantities!D:D)=C5)*(_xlfn._TRO_TRAILING(quantities!E:E)=D5)))</f>
        <v>8750</v>
      </c>
      <c r="I5" s="61"/>
      <c r="J5" t="e">
        <f ca="1">SUMIFS(
INDIRECT("'[S2 Subcon IPC Log.xlsx]Subcon IPC Log'!"&amp;"$O:$O"),
INDIRECT("'[S2 Subcon IPC Log.xlsx]Subcon IPC Log'!"&amp;"$C:$C"),
"KLN-SPP2-"&amp;_xlfn.XLOOKUP(C5,log_contracts!B:B,log_contracts!C:C)&amp;"-"&amp;TEXT(C5,"000"),
INDIRECT("'[S2 Subcon IPC Log.xlsx]Subcon IPC Log'!"&amp;"$D:$D"),
D5)</f>
        <v>#REF!</v>
      </c>
      <c r="K5" s="61" t="e">
        <f ca="1"/>
        <v>#REF!</v>
      </c>
    </row>
    <row r="6" spans="1:13" hidden="1" x14ac:dyDescent="0.25">
      <c r="A6">
        <v>5</v>
      </c>
      <c r="B6" t="str">
        <v>051-001</v>
      </c>
      <c r="C6">
        <v>51</v>
      </c>
      <c r="D6">
        <v>1</v>
      </c>
      <c r="E6" s="19" cm="1">
        <f t="array" ref="E6">_xlfn.XLOOKUP(B6,old_ipc_dates!F:F,old_ipc_dates!B:B,IF(D6=1,_xlfn.XLOOKUP(C6,log_contracts!B:B,log_contracts!D:D,,0),_xlfn.XLOOKUP(1,($C5:C$18=C6)*($D5:D$18=D6-1),$F5:F$18+1,,0)),0)</f>
        <v>45761</v>
      </c>
      <c r="F6" s="19">
        <f>_xlfn.XLOOKUP(B6,old_ipc_dates!F:F,old_ipc_dates!C:C,EOMONTH(E6,0),0)</f>
        <v>45777</v>
      </c>
      <c r="G6" t="str">
        <v>INTERMAK GROUP MMC</v>
      </c>
      <c r="H6" s="61" cm="1">
        <f t="array" ref="H6">SUM(_xlfn._xlws.FILTER(_xlfn._TRO_TRAILING(quantities!L:L),(_xlfn._TRO_TRAILING(quantities!D:D)=C6)*(_xlfn._TRO_TRAILING(quantities!E:E)=D6)))</f>
        <v>3700</v>
      </c>
      <c r="I6" s="61"/>
      <c r="J6" t="e">
        <f ca="1">SUMIFS(
INDIRECT("'[S2 Subcon IPC Log.xlsx]Subcon IPC Log'!"&amp;"$O:$O"),
INDIRECT("'[S2 Subcon IPC Log.xlsx]Subcon IPC Log'!"&amp;"$C:$C"),
"KLN-SPP2-"&amp;_xlfn.XLOOKUP(C6,log_contracts!B:B,log_contracts!C:C)&amp;"-"&amp;TEXT(C6,"000"),
INDIRECT("'[S2 Subcon IPC Log.xlsx]Subcon IPC Log'!"&amp;"$D:$D"),
D6)</f>
        <v>#REF!</v>
      </c>
      <c r="K6" s="61" t="e">
        <f ca="1"/>
        <v>#REF!</v>
      </c>
    </row>
    <row r="7" spans="1:13" hidden="1" x14ac:dyDescent="0.25">
      <c r="A7">
        <v>6</v>
      </c>
      <c r="B7" t="str">
        <v>052-001</v>
      </c>
      <c r="C7">
        <v>52</v>
      </c>
      <c r="D7">
        <v>1</v>
      </c>
      <c r="E7" s="19" cm="1">
        <f t="array" ref="E7">_xlfn.XLOOKUP(B7,old_ipc_dates!F:F,old_ipc_dates!B:B,IF(D7=1,_xlfn.XLOOKUP(C7,log_contracts!B:B,log_contracts!D:D,,0),_xlfn.XLOOKUP(1,($C6:C$18=C7)*($D6:D$18=D7-1),$F6:F$18+1,,0)),0)</f>
        <v>45762</v>
      </c>
      <c r="F7" s="19">
        <f>_xlfn.XLOOKUP(B7,old_ipc_dates!F:F,old_ipc_dates!C:C,EOMONTH(E7,0),0)</f>
        <v>45777</v>
      </c>
      <c r="G7" t="str">
        <v>DTS MMC</v>
      </c>
      <c r="H7" s="61" cm="1">
        <f t="array" ref="H7">SUM(_xlfn._xlws.FILTER(_xlfn._TRO_TRAILING(quantities!L:L),(_xlfn._TRO_TRAILING(quantities!D:D)=C7)*(_xlfn._TRO_TRAILING(quantities!E:E)=D7)))</f>
        <v>6262.5</v>
      </c>
      <c r="I7" s="61"/>
      <c r="J7" s="61" t="e">
        <f ca="1">SUMIFS(
INDIRECT("'[S2 Subcon IPC Log.xlsx]Subcon IPC Log'!"&amp;"$O:$O"),
INDIRECT("'[S2 Subcon IPC Log.xlsx]Subcon IPC Log'!"&amp;"$C:$C"),
"KLN-SPP2-"&amp;_xlfn.XLOOKUP(C7,log_contracts!B:B,log_contracts!C:C)&amp;"-"&amp;TEXT(C7,"000"),
INDIRECT("'[S2 Subcon IPC Log.xlsx]Subcon IPC Log'!"&amp;"$D:$D"),
D7)</f>
        <v>#REF!</v>
      </c>
      <c r="K7" s="61" t="e">
        <f ca="1"/>
        <v>#REF!</v>
      </c>
    </row>
    <row r="8" spans="1:13" hidden="1" x14ac:dyDescent="0.25">
      <c r="A8">
        <v>7</v>
      </c>
      <c r="B8" t="str">
        <v>065-001</v>
      </c>
      <c r="C8">
        <v>65</v>
      </c>
      <c r="D8">
        <v>1</v>
      </c>
      <c r="E8" s="19" cm="1">
        <f t="array" ref="E8">_xlfn.XLOOKUP(B8,old_ipc_dates!F:F,old_ipc_dates!B:B,IF(D8=1,_xlfn.XLOOKUP(C8,log_contracts!B:B,log_contracts!D:D,,0),_xlfn.XLOOKUP(1,($C7:C$18=C8)*($D7:D$18=D8-1),$F7:F$18+1,,0)),0)</f>
        <v>45778</v>
      </c>
      <c r="F8" s="19">
        <f>_xlfn.XLOOKUP(B8,old_ipc_dates!F:F,old_ipc_dates!C:C,EOMONTH(E8,0),0)</f>
        <v>45808</v>
      </c>
      <c r="G8" t="str">
        <v>ETIBAR MAMMADOV</v>
      </c>
      <c r="H8" s="61" cm="1">
        <f t="array" ref="H8">SUM(_xlfn._xlws.FILTER(_xlfn._TRO_TRAILING(quantities!L:L),(_xlfn._TRO_TRAILING(quantities!D:D)=C8)*(_xlfn._TRO_TRAILING(quantities!E:E)=D8)))</f>
        <v>8446.3342857142852</v>
      </c>
      <c r="I8" s="61"/>
      <c r="J8" t="e">
        <f ca="1">SUMIFS(
INDIRECT("'[S2 Subcon IPC Log.xlsx]Subcon IPC Log'!"&amp;"$O:$O"),
INDIRECT("'[S2 Subcon IPC Log.xlsx]Subcon IPC Log'!"&amp;"$C:$C"),
"KLN-SPP2-"&amp;_xlfn.XLOOKUP(C8,log_contracts!B:B,log_contracts!C:C)&amp;"-"&amp;TEXT(C8,"000"),
INDIRECT("'[S2 Subcon IPC Log.xlsx]Subcon IPC Log'!"&amp;"$D:$D"),
D8)</f>
        <v>#REF!</v>
      </c>
      <c r="K8" s="61" t="e">
        <f ca="1"/>
        <v>#REF!</v>
      </c>
    </row>
    <row r="9" spans="1:13" hidden="1" x14ac:dyDescent="0.25">
      <c r="A9">
        <v>8</v>
      </c>
      <c r="B9" t="str">
        <v>085-001</v>
      </c>
      <c r="C9">
        <v>85</v>
      </c>
      <c r="D9">
        <v>1</v>
      </c>
      <c r="E9" s="19" cm="1">
        <f t="array" ref="E9">_xlfn.XLOOKUP(B9,old_ipc_dates!F:F,old_ipc_dates!B:B,IF(D9=1,_xlfn.XLOOKUP(C9,log_contracts!B:B,log_contracts!D:D,,0),_xlfn.XLOOKUP(1,($C8:C$18=C9)*($D8:D$18=D9-1),$F8:F$18+1,,0)),0)</f>
        <v>45824</v>
      </c>
      <c r="F9" s="19">
        <f>_xlfn.XLOOKUP(B9,old_ipc_dates!F:F,old_ipc_dates!C:C,EOMONTH(E9,0),0)</f>
        <v>45838</v>
      </c>
      <c r="G9" t="str">
        <v>BABEK ALBANDOV</v>
      </c>
      <c r="H9" s="61" cm="1">
        <f t="array" ref="H9">SUM(_xlfn._xlws.FILTER(_xlfn._TRO_TRAILING(quantities!L:L),(_xlfn._TRO_TRAILING(quantities!D:D)=C9)*(_xlfn._TRO_TRAILING(quantities!E:E)=D9)))</f>
        <v>7857.1679999999997</v>
      </c>
      <c r="I9" s="61"/>
      <c r="J9" t="e">
        <f ca="1">SUMIFS(
INDIRECT("'[S2 Subcon IPC Log.xlsx]Subcon IPC Log'!"&amp;"$O:$O"),
INDIRECT("'[S2 Subcon IPC Log.xlsx]Subcon IPC Log'!"&amp;"$C:$C"),
"KLN-SPP2-"&amp;_xlfn.XLOOKUP(C9,log_contracts!B:B,log_contracts!C:C)&amp;"-"&amp;TEXT(C9,"000"),
INDIRECT("'[S2 Subcon IPC Log.xlsx]Subcon IPC Log'!"&amp;"$D:$D"),
D9)</f>
        <v>#REF!</v>
      </c>
      <c r="K9" s="61" t="e">
        <f ca="1"/>
        <v>#REF!</v>
      </c>
    </row>
    <row r="10" spans="1:13" hidden="1" x14ac:dyDescent="0.25">
      <c r="A10">
        <v>9</v>
      </c>
      <c r="B10" t="str">
        <v>094-001</v>
      </c>
      <c r="C10">
        <v>94</v>
      </c>
      <c r="D10">
        <v>1</v>
      </c>
      <c r="E10" s="19" cm="1">
        <f t="array" ref="E10">_xlfn.XLOOKUP(B10,old_ipc_dates!F:F,old_ipc_dates!B:B,IF(D10=1,_xlfn.XLOOKUP(C10,log_contracts!B:B,log_contracts!D:D,,0),_xlfn.XLOOKUP(1,($C9:C$18=C10)*($D9:D$18=D10-1),$F9:F$18+1,,0)),0)</f>
        <v>45809</v>
      </c>
      <c r="F10" s="19">
        <f>_xlfn.XLOOKUP(B10,old_ipc_dates!F:F,old_ipc_dates!C:C,EOMONTH(E10,0),0)</f>
        <v>45838</v>
      </c>
      <c r="G10" t="str">
        <v>XANIM ABDULLAYEVA</v>
      </c>
      <c r="H10" s="61" cm="1">
        <f t="array" ref="H10">SUM(_xlfn._xlws.FILTER(_xlfn._TRO_TRAILING(quantities!L:L),(_xlfn._TRO_TRAILING(quantities!D:D)=C10)*(_xlfn._TRO_TRAILING(quantities!E:E)=D10)))</f>
        <v>3500</v>
      </c>
      <c r="I10" s="61"/>
      <c r="J10" t="e">
        <f ca="1">SUMIFS(
INDIRECT("'[S2 Subcon IPC Log.xlsx]Subcon IPC Log'!"&amp;"$O:$O"),
INDIRECT("'[S2 Subcon IPC Log.xlsx]Subcon IPC Log'!"&amp;"$C:$C"),
"KLN-SPP2-"&amp;_xlfn.XLOOKUP(C10,log_contracts!B:B,log_contracts!C:C)&amp;"-"&amp;TEXT(C10,"000"),
INDIRECT("'[S2 Subcon IPC Log.xlsx]Subcon IPC Log'!"&amp;"$D:$D"),
D10)</f>
        <v>#REF!</v>
      </c>
      <c r="K10" s="61" t="e">
        <f ca="1"/>
        <v>#REF!</v>
      </c>
    </row>
    <row r="11" spans="1:13" hidden="1" x14ac:dyDescent="0.25">
      <c r="A11">
        <v>10</v>
      </c>
      <c r="B11" t="str">
        <v>095-001</v>
      </c>
      <c r="C11">
        <v>95</v>
      </c>
      <c r="D11">
        <v>1</v>
      </c>
      <c r="E11" s="19" cm="1">
        <f t="array" ref="E11">_xlfn.XLOOKUP(B11,old_ipc_dates!F:F,old_ipc_dates!B:B,IF(D11=1,_xlfn.XLOOKUP(C11,log_contracts!B:B,log_contracts!D:D,,0),_xlfn.XLOOKUP(1,($C10:C$18=C11)*($D10:D$18=D11-1),$F10:F$18+1,,0)),0)</f>
        <v>45851</v>
      </c>
      <c r="F11" s="19">
        <f>_xlfn.XLOOKUP(B11,old_ipc_dates!F:F,old_ipc_dates!C:C,EOMONTH(E11,0),0)</f>
        <v>45869</v>
      </c>
      <c r="G11" t="str">
        <v>IBRAHIM XALILOV</v>
      </c>
      <c r="H11" s="61" cm="1">
        <f t="array" ref="H11">SUM(_xlfn._xlws.FILTER(_xlfn._TRO_TRAILING(quantities!L:L),(_xlfn._TRO_TRAILING(quantities!D:D)=C11)*(_xlfn._TRO_TRAILING(quantities!E:E)=D11)))</f>
        <v>4714.2149999999992</v>
      </c>
      <c r="I11" s="61"/>
      <c r="J11" s="61" t="e">
        <f ca="1">SUMIFS(
INDIRECT("'[S2 Subcon IPC Log.xlsx]Subcon IPC Log'!"&amp;"$O:$O"),
INDIRECT("'[S2 Subcon IPC Log.xlsx]Subcon IPC Log'!"&amp;"$C:$C"),
"KLN-SPP2-"&amp;_xlfn.XLOOKUP(C11,log_contracts!B:B,log_contracts!C:C)&amp;"-"&amp;TEXT(C11,"000"),
INDIRECT("'[S2 Subcon IPC Log.xlsx]Subcon IPC Log'!"&amp;"$D:$D"),
D11)</f>
        <v>#REF!</v>
      </c>
      <c r="K11" s="61" t="e">
        <f ca="1"/>
        <v>#REF!</v>
      </c>
    </row>
    <row r="12" spans="1:13" hidden="1" x14ac:dyDescent="0.25">
      <c r="A12">
        <v>11</v>
      </c>
      <c r="B12" t="str">
        <v>098-001</v>
      </c>
      <c r="C12">
        <v>98</v>
      </c>
      <c r="D12">
        <v>1</v>
      </c>
      <c r="E12" s="19" cm="1">
        <f t="array" ref="E12">_xlfn.XLOOKUP(B12,old_ipc_dates!F:F,old_ipc_dates!B:B,IF(D12=1,_xlfn.XLOOKUP(C12,log_contracts!B:B,log_contracts!D:D,,0),_xlfn.XLOOKUP(1,($C11:C$18=C12)*($D11:D$18=D12-1),$F11:F$18+1,,0)),0)</f>
        <v>45858</v>
      </c>
      <c r="F12" s="19">
        <f>_xlfn.XLOOKUP(B12,old_ipc_dates!F:F,old_ipc_dates!C:C,EOMONTH(E12,0),0)</f>
        <v>45869</v>
      </c>
      <c r="G12" t="str">
        <v>HACIAGA KERIMOV</v>
      </c>
      <c r="H12" s="61" cm="1">
        <f t="array" ref="H12">SUM(_xlfn._xlws.FILTER(_xlfn._TRO_TRAILING(quantities!L:L),(_xlfn._TRO_TRAILING(quantities!D:D)=C12)*(_xlfn._TRO_TRAILING(quantities!E:E)=D12)))</f>
        <v>1285.68</v>
      </c>
      <c r="I12" s="61"/>
      <c r="J12" t="e">
        <f ca="1">SUMIFS(
INDIRECT("'[S2 Subcon IPC Log.xlsx]Subcon IPC Log'!"&amp;"$O:$O"),
INDIRECT("'[S2 Subcon IPC Log.xlsx]Subcon IPC Log'!"&amp;"$C:$C"),
"KLN-SPP2-"&amp;_xlfn.XLOOKUP(C12,log_contracts!B:B,log_contracts!C:C)&amp;"-"&amp;TEXT(C12,"000"),
INDIRECT("'[S2 Subcon IPC Log.xlsx]Subcon IPC Log'!"&amp;"$D:$D"),
D12)</f>
        <v>#REF!</v>
      </c>
      <c r="K12" s="61" t="e">
        <f ca="1"/>
        <v>#REF!</v>
      </c>
    </row>
    <row r="13" spans="1:13" hidden="1" x14ac:dyDescent="0.25">
      <c r="A13">
        <v>12</v>
      </c>
      <c r="B13" t="str">
        <v>099-001</v>
      </c>
      <c r="C13">
        <v>99</v>
      </c>
      <c r="D13">
        <v>1</v>
      </c>
      <c r="E13" s="19" cm="1">
        <f t="array" ref="E13">_xlfn.XLOOKUP(B13,old_ipc_dates!F:F,old_ipc_dates!B:B,IF(D13=1,_xlfn.XLOOKUP(C13,log_contracts!B:B,log_contracts!D:D,,0),_xlfn.XLOOKUP(1,($C12:C$18=C13)*($D12:D$18=D13-1),$F12:F$18+1,,0)),0)</f>
        <v>45859</v>
      </c>
      <c r="F13" s="19">
        <f>_xlfn.XLOOKUP(B13,old_ipc_dates!F:F,old_ipc_dates!C:C,EOMONTH(E13,0),0)</f>
        <v>45869</v>
      </c>
      <c r="G13" t="str">
        <v>YUSIF MAHARRAMOV</v>
      </c>
      <c r="H13" s="61" cm="1">
        <f t="array" ref="H13">SUM(_xlfn._xlws.FILTER(_xlfn._TRO_TRAILING(quantities!L:L),(_xlfn._TRO_TRAILING(quantities!D:D)=C13)*(_xlfn._TRO_TRAILING(quantities!E:E)=D13)))</f>
        <v>1250</v>
      </c>
      <c r="I13" s="61"/>
      <c r="J13" t="e">
        <f ca="1">SUMIFS(
INDIRECT("'[S2 Subcon IPC Log.xlsx]Subcon IPC Log'!"&amp;"$O:$O"),
INDIRECT("'[S2 Subcon IPC Log.xlsx]Subcon IPC Log'!"&amp;"$C:$C"),
"KLN-SPP2-"&amp;_xlfn.XLOOKUP(C13,log_contracts!B:B,log_contracts!C:C)&amp;"-"&amp;TEXT(C13,"000"),
INDIRECT("'[S2 Subcon IPC Log.xlsx]Subcon IPC Log'!"&amp;"$D:$D"),
D13)</f>
        <v>#REF!</v>
      </c>
      <c r="K13" s="61" t="e">
        <f ca="1"/>
        <v>#REF!</v>
      </c>
    </row>
    <row r="14" spans="1:13" hidden="1" x14ac:dyDescent="0.25">
      <c r="A14">
        <v>13</v>
      </c>
      <c r="B14" t="str">
        <v>100-001</v>
      </c>
      <c r="C14">
        <v>100</v>
      </c>
      <c r="D14">
        <v>1</v>
      </c>
      <c r="E14" s="19" cm="1">
        <f t="array" ref="E14">_xlfn.XLOOKUP(B14,old_ipc_dates!F:F,old_ipc_dates!B:B,IF(D14=1,_xlfn.XLOOKUP(C14,log_contracts!B:B,log_contracts!D:D,,0),_xlfn.XLOOKUP(1,($C13:C$18=C14)*($D13:D$18=D14-1),$F13:F$18+1,,0)),0)</f>
        <v>45861</v>
      </c>
      <c r="F14" s="19">
        <f>_xlfn.XLOOKUP(B14,old_ipc_dates!F:F,old_ipc_dates!C:C,EOMONTH(E14,0),0)</f>
        <v>45869</v>
      </c>
      <c r="G14" t="str">
        <v>RUSLAN HUSEYNOV</v>
      </c>
      <c r="H14" s="61" cm="1">
        <f t="array" ref="H14">SUM(_xlfn._xlws.FILTER(_xlfn._TRO_TRAILING(quantities!L:L),(_xlfn._TRO_TRAILING(quantities!D:D)=C14)*(_xlfn._TRO_TRAILING(quantities!E:E)=D14)))</f>
        <v>1767.8571428571427</v>
      </c>
      <c r="I14" s="61"/>
      <c r="J14" t="e">
        <f ca="1">SUMIFS(
INDIRECT("'[S2 Subcon IPC Log.xlsx]Subcon IPC Log'!"&amp;"$O:$O"),
INDIRECT("'[S2 Subcon IPC Log.xlsx]Subcon IPC Log'!"&amp;"$C:$C"),
"KLN-SPP2-"&amp;_xlfn.XLOOKUP(C14,log_contracts!B:B,log_contracts!C:C)&amp;"-"&amp;TEXT(C14,"000"),
INDIRECT("'[S2 Subcon IPC Log.xlsx]Subcon IPC Log'!"&amp;"$D:$D"),
D14)</f>
        <v>#REF!</v>
      </c>
      <c r="K14" s="61" t="e">
        <f ca="1"/>
        <v>#REF!</v>
      </c>
    </row>
    <row r="15" spans="1:13" hidden="1" x14ac:dyDescent="0.25">
      <c r="A15">
        <v>14</v>
      </c>
      <c r="B15" t="str">
        <v>102-001</v>
      </c>
      <c r="C15">
        <v>102</v>
      </c>
      <c r="D15">
        <v>1</v>
      </c>
      <c r="E15" s="19" cm="1">
        <f t="array" ref="E15">_xlfn.XLOOKUP(B15,old_ipc_dates!F:F,old_ipc_dates!B:B,IF(D15=1,_xlfn.XLOOKUP(C15,log_contracts!B:B,log_contracts!D:D,,0),_xlfn.XLOOKUP(1,($C14:C$18=C15)*($D14:D$18=D15-1),$F14:F$18+1,,0)),0)</f>
        <v>45892</v>
      </c>
      <c r="F15" s="19">
        <f>_xlfn.XLOOKUP(B15,old_ipc_dates!F:F,old_ipc_dates!C:C,EOMONTH(E15,0),0)</f>
        <v>45900</v>
      </c>
      <c r="G15" t="str">
        <v>KONUL HUSEYNOVA</v>
      </c>
      <c r="H15" s="61" cm="1">
        <f t="array" ref="H15">SUM(_xlfn._xlws.FILTER(_xlfn._TRO_TRAILING(quantities!L:L),(_xlfn._TRO_TRAILING(quantities!D:D)=C15)*(_xlfn._TRO_TRAILING(quantities!E:E)=D15)))</f>
        <v>625</v>
      </c>
      <c r="I15" s="61"/>
      <c r="J15" t="e">
        <f ca="1">SUMIFS(
INDIRECT("'[S2 Subcon IPC Log.xlsx]Subcon IPC Log'!"&amp;"$O:$O"),
INDIRECT("'[S2 Subcon IPC Log.xlsx]Subcon IPC Log'!"&amp;"$C:$C"),
"KLN-SPP2-"&amp;_xlfn.XLOOKUP(C15,log_contracts!B:B,log_contracts!C:C)&amp;"-"&amp;TEXT(C15,"000"),
INDIRECT("'[S2 Subcon IPC Log.xlsx]Subcon IPC Log'!"&amp;"$D:$D"),
D15)</f>
        <v>#REF!</v>
      </c>
      <c r="K15" s="61" t="e">
        <f ca="1"/>
        <v>#REF!</v>
      </c>
    </row>
    <row r="16" spans="1:13" hidden="1" x14ac:dyDescent="0.25">
      <c r="A16">
        <v>15</v>
      </c>
      <c r="B16" t="str">
        <v>110-001</v>
      </c>
      <c r="C16">
        <v>110</v>
      </c>
      <c r="D16">
        <v>1</v>
      </c>
      <c r="E16" s="19" cm="1">
        <f t="array" ref="E16">_xlfn.XLOOKUP(B16,old_ipc_dates!F:F,old_ipc_dates!B:B,IF(D16=1,_xlfn.XLOOKUP(C16,log_contracts!B:B,log_contracts!D:D,,0),_xlfn.XLOOKUP(1,($C15:C$18=C16)*($D15:D$18=D16-1),$F15:F$18+1,,0)),0)</f>
        <v>45895</v>
      </c>
      <c r="F16" s="19">
        <f>_xlfn.XLOOKUP(B16,old_ipc_dates!F:F,old_ipc_dates!C:C,EOMONTH(E16,0),0)</f>
        <v>45900</v>
      </c>
      <c r="G16" t="str">
        <v>MAMMAD QALANDARLI</v>
      </c>
      <c r="H16" s="61" cm="1">
        <f t="array" ref="H16">SUM(_xlfn._xlws.FILTER(_xlfn._TRO_TRAILING(quantities!L:L),(_xlfn._TRO_TRAILING(quantities!D:D)=C16)*(_xlfn._TRO_TRAILING(quantities!E:E)=D16)))</f>
        <v>1328.5714285714284</v>
      </c>
      <c r="I16" s="61"/>
      <c r="J16" s="61" t="e">
        <f ca="1">SUMIFS(
INDIRECT("'[S2 Subcon IPC Log.xlsx]Subcon IPC Log'!"&amp;"$O:$O"),
INDIRECT("'[S2 Subcon IPC Log.xlsx]Subcon IPC Log'!"&amp;"$C:$C"),
"KLN-SPP2-"&amp;_xlfn.XLOOKUP(C16,log_contracts!B:B,log_contracts!C:C)&amp;"-"&amp;TEXT(C16,"000"),
INDIRECT("'[S2 Subcon IPC Log.xlsx]Subcon IPC Log'!"&amp;"$D:$D"),
D16)</f>
        <v>#REF!</v>
      </c>
      <c r="K16" s="61" t="e">
        <f ca="1"/>
        <v>#REF!</v>
      </c>
    </row>
    <row r="17" spans="1:11" x14ac:dyDescent="0.25">
      <c r="A17">
        <v>16</v>
      </c>
      <c r="B17" t="str">
        <v>121-001</v>
      </c>
      <c r="C17">
        <v>121</v>
      </c>
      <c r="D17">
        <v>1</v>
      </c>
      <c r="E17" s="19" cm="1">
        <f t="array" ref="E17">_xlfn.XLOOKUP(B17,old_ipc_dates!F:F,old_ipc_dates!B:B,IF(D17=1,_xlfn.XLOOKUP(C17,log_contracts!B:B,log_contracts!D:D,,0),_xlfn.XLOOKUP(1,($C16:C$18=C17)*($D16:D$18=D17-1),$F16:F$18+1,,0)),0)</f>
        <v>45931</v>
      </c>
      <c r="F17" s="19">
        <f>_xlfn.XLOOKUP(B17,old_ipc_dates!F:F,old_ipc_dates!C:C,EOMONTH(E17,0),0)</f>
        <v>45961</v>
      </c>
      <c r="G17" t="str">
        <v>TEYMUR ABBASOV</v>
      </c>
      <c r="H17" s="61" cm="1">
        <f t="array" ref="H17">SUM(_xlfn._xlws.FILTER(_xlfn._TRO_TRAILING(quantities!L:L),(_xlfn._TRO_TRAILING(quantities!D:D)=C17)*(_xlfn._TRO_TRAILING(quantities!E:E)=D17)))</f>
        <v>3702.8159999999998</v>
      </c>
      <c r="I17" s="61"/>
      <c r="J17" t="e">
        <f ca="1">SUMIFS(
INDIRECT("'[S2 Subcon IPC Log.xlsx]Subcon IPC Log'!"&amp;"$O:$O"),
INDIRECT("'[S2 Subcon IPC Log.xlsx]Subcon IPC Log'!"&amp;"$C:$C"),
"KLN-SPP2-"&amp;_xlfn.XLOOKUP(C17,log_contracts!B:B,log_contracts!C:C)&amp;"-"&amp;TEXT(C17,"000"),
INDIRECT("'[S2 Subcon IPC Log.xlsx]Subcon IPC Log'!"&amp;"$D:$D"),
D17)</f>
        <v>#REF!</v>
      </c>
      <c r="K17" s="61" t="e">
        <f ca="1"/>
        <v>#REF!</v>
      </c>
    </row>
    <row r="18" spans="1:11" hidden="1" x14ac:dyDescent="0.25">
      <c r="A18">
        <v>17</v>
      </c>
      <c r="B18" t="str">
        <v>141-001</v>
      </c>
      <c r="C18">
        <v>141</v>
      </c>
      <c r="D18">
        <v>1</v>
      </c>
      <c r="E18" s="19" cm="1">
        <f t="array" ref="E18">_xlfn.XLOOKUP(B18,old_ipc_dates!F:F,old_ipc_dates!B:B,IF(D18=1,_xlfn.XLOOKUP(C18,log_contracts!B:B,log_contracts!D:D,,0),_xlfn.XLOOKUP(1,($C17:C$18=C18)*($D17:D$18=D18-1),$F17:F$18+1,,0)),0)</f>
        <v>45601</v>
      </c>
      <c r="F18" s="19">
        <f>_xlfn.XLOOKUP(B18,old_ipc_dates!F:F,old_ipc_dates!C:C,EOMONTH(E18,0),0)</f>
        <v>45626</v>
      </c>
      <c r="G18" t="str">
        <v>MIRELEM CABBROV</v>
      </c>
      <c r="H18" s="61" cm="1">
        <f t="array" ref="H18">SUM(_xlfn._xlws.FILTER(_xlfn._TRO_TRAILING(quantities!L:L),(_xlfn._TRO_TRAILING(quantities!D:D)=C18)*(_xlfn._TRO_TRAILING(quantities!E:E)=D18)))</f>
        <v>5657.1428571428569</v>
      </c>
      <c r="I18" s="61"/>
      <c r="J18" t="e">
        <f ca="1">SUMIFS(
INDIRECT("'[S2 Subcon IPC Log.xlsx]Subcon IPC Log'!"&amp;"$O:$O"),
INDIRECT("'[S2 Subcon IPC Log.xlsx]Subcon IPC Log'!"&amp;"$C:$C"),
"KLN-SPP2-"&amp;_xlfn.XLOOKUP(C18,log_contracts!B:B,log_contracts!C:C)&amp;"-"&amp;TEXT(C18,"000"),
INDIRECT("'[S2 Subcon IPC Log.xlsx]Subcon IPC Log'!"&amp;"$D:$D"),
D18)</f>
        <v>#REF!</v>
      </c>
      <c r="K18" s="61" t="e">
        <f ca="1"/>
        <v>#REF!</v>
      </c>
    </row>
    <row r="19" spans="1:11" hidden="1" x14ac:dyDescent="0.25">
      <c r="A19">
        <v>18</v>
      </c>
      <c r="B19" t="str">
        <v>163-001</v>
      </c>
      <c r="C19">
        <v>163</v>
      </c>
      <c r="D19">
        <v>1</v>
      </c>
      <c r="E19" s="19" cm="1">
        <f t="array" ref="E19">_xlfn.XLOOKUP(B19,old_ipc_dates!F:F,old_ipc_dates!B:B,IF(D19=1,_xlfn.XLOOKUP(C19,log_contracts!B:B,log_contracts!D:D,,0),_xlfn.XLOOKUP(1,($C18:C$18=C19)*($D18:D$18=D19-1),$F18:F$18+1,,0)),0)</f>
        <v>46035</v>
      </c>
      <c r="F19" s="19">
        <f>_xlfn.XLOOKUP(B19,old_ipc_dates!F:F,old_ipc_dates!C:C,EOMONTH(E19,0),0)</f>
        <v>46053</v>
      </c>
      <c r="G19" t="str">
        <v>Əsgərov Yaşar</v>
      </c>
      <c r="H19" s="61" cm="1">
        <f t="array" ref="H19">SUM(_xlfn._xlws.FILTER(_xlfn._TRO_TRAILING(quantities!L:L),(_xlfn._TRO_TRAILING(quantities!D:D)=C19)*(_xlfn._TRO_TRAILING(quantities!E:E)=D19)))</f>
        <v>2375</v>
      </c>
      <c r="I19" s="61"/>
      <c r="J19" t="e">
        <f ca="1">SUMIFS(
INDIRECT("'[S2 Subcon IPC Log.xlsx]Subcon IPC Log'!"&amp;"$O:$O"),
INDIRECT("'[S2 Subcon IPC Log.xlsx]Subcon IPC Log'!"&amp;"$C:$C"),
"KLN-SPP2-"&amp;_xlfn.XLOOKUP(C19,log_contracts!B:B,log_contracts!C:C)&amp;"-"&amp;TEXT(C19,"000"),
INDIRECT("'[S2 Subcon IPC Log.xlsx]Subcon IPC Log'!"&amp;"$D:$D"),
D19)</f>
        <v>#REF!</v>
      </c>
      <c r="K19" s="61" t="e">
        <f ca="1"/>
        <v>#REF!</v>
      </c>
    </row>
    <row r="20" spans="1:11" hidden="1" x14ac:dyDescent="0.25">
      <c r="A20">
        <v>19</v>
      </c>
      <c r="B20" t="str">
        <v>164-001</v>
      </c>
      <c r="C20">
        <v>164</v>
      </c>
      <c r="D20">
        <v>1</v>
      </c>
      <c r="E20" s="19" cm="1">
        <f t="array" ref="E20">_xlfn.XLOOKUP(B20,old_ipc_dates!F:F,old_ipc_dates!B:B,IF(D20=1,_xlfn.XLOOKUP(C20,log_contracts!B:B,log_contracts!D:D,,0),_xlfn.XLOOKUP(1,($C$18:C19=C20)*($D$18:D19=D20-1),$F$18:F19+1,,0)),0)</f>
        <v>46035</v>
      </c>
      <c r="F20" s="19">
        <f>_xlfn.XLOOKUP(B20,old_ipc_dates!F:F,old_ipc_dates!C:C,EOMONTH(E20,0),0)</f>
        <v>46053</v>
      </c>
      <c r="G20" t="str">
        <v>Əliyev Fizuli</v>
      </c>
      <c r="H20" s="61" cm="1">
        <f t="array" ref="H20">SUM(_xlfn._xlws.FILTER(_xlfn._TRO_TRAILING(quantities!L:L),(_xlfn._TRO_TRAILING(quantities!D:D)=C20)*(_xlfn._TRO_TRAILING(quantities!E:E)=D20)))</f>
        <v>6875</v>
      </c>
      <c r="I20" s="61"/>
      <c r="J20" t="e">
        <f ca="1">SUMIFS(
INDIRECT("'[S2 Subcon IPC Log.xlsx]Subcon IPC Log'!"&amp;"$O:$O"),
INDIRECT("'[S2 Subcon IPC Log.xlsx]Subcon IPC Log'!"&amp;"$C:$C"),
"KLN-SPP2-"&amp;_xlfn.XLOOKUP(C20,log_contracts!B:B,log_contracts!C:C)&amp;"-"&amp;TEXT(C20,"000"),
INDIRECT("'[S2 Subcon IPC Log.xlsx]Subcon IPC Log'!"&amp;"$D:$D"),
D20)</f>
        <v>#REF!</v>
      </c>
      <c r="K20" s="61" t="e">
        <f ca="1"/>
        <v>#REF!</v>
      </c>
    </row>
    <row r="21" spans="1:11" hidden="1" x14ac:dyDescent="0.25">
      <c r="A21">
        <v>20</v>
      </c>
      <c r="B21" t="str">
        <v>172-001</v>
      </c>
      <c r="C21">
        <v>172</v>
      </c>
      <c r="D21">
        <v>1</v>
      </c>
      <c r="E21" s="19" cm="1">
        <f t="array" ref="E21">_xlfn.XLOOKUP(B21,old_ipc_dates!F:F,old_ipc_dates!B:B,IF(D21=1,_xlfn.XLOOKUP(C21,log_contracts!B:B,log_contracts!D:D,,0),_xlfn.XLOOKUP(1,($C$18:C20=C21)*($D$18:D20=D21-1),$F$18:F20+1,,0)),0)</f>
        <v>46034</v>
      </c>
      <c r="F21" s="19">
        <f>_xlfn.XLOOKUP(B21,old_ipc_dates!F:F,old_ipc_dates!C:C,EOMONTH(E21,0),0)</f>
        <v>46053</v>
      </c>
      <c r="G21" t="str">
        <v>Mahmudov Rüstəm</v>
      </c>
      <c r="H21" s="61" cm="1">
        <f t="array" ref="H21">SUM(_xlfn._xlws.FILTER(_xlfn._TRO_TRAILING(quantities!L:L),(_xlfn._TRO_TRAILING(quantities!D:D)=C21)*(_xlfn._TRO_TRAILING(quantities!E:E)=D21)))</f>
        <v>3732.1428571428569</v>
      </c>
      <c r="I21" s="61"/>
      <c r="J21" s="61" t="e">
        <f ca="1">SUMIFS(
INDIRECT("'[S2 Subcon IPC Log.xlsx]Subcon IPC Log'!"&amp;"$O:$O"),
INDIRECT("'[S2 Subcon IPC Log.xlsx]Subcon IPC Log'!"&amp;"$C:$C"),
"KLN-SPP2-"&amp;_xlfn.XLOOKUP(C21,log_contracts!B:B,log_contracts!C:C)&amp;"-"&amp;TEXT(C21,"000"),
INDIRECT("'[S2 Subcon IPC Log.xlsx]Subcon IPC Log'!"&amp;"$D:$D"),
D21)</f>
        <v>#REF!</v>
      </c>
      <c r="K21" s="61" t="e">
        <f ca="1"/>
        <v>#REF!</v>
      </c>
    </row>
    <row r="22" spans="1:11" hidden="1" x14ac:dyDescent="0.25">
      <c r="A22">
        <v>21</v>
      </c>
      <c r="B22" t="str">
        <v>173-001</v>
      </c>
      <c r="C22">
        <v>173</v>
      </c>
      <c r="D22">
        <v>1</v>
      </c>
      <c r="E22" s="19" cm="1">
        <f t="array" ref="E22">_xlfn.XLOOKUP(B22,old_ipc_dates!F:F,old_ipc_dates!B:B,IF(D22=1,_xlfn.XLOOKUP(C22,log_contracts!B:B,log_contracts!D:D,,0),_xlfn.XLOOKUP(1,($C$18:C21=C22)*($D$18:D21=D22-1),$F$18:F21+1,,0)),0)</f>
        <v>46054</v>
      </c>
      <c r="F22" s="19">
        <f>_xlfn.XLOOKUP(B22,old_ipc_dates!F:F,old_ipc_dates!C:C,EOMONTH(E22,0),0)</f>
        <v>46081</v>
      </c>
      <c r="G22" t="str">
        <v>Hüseynov Pərviz</v>
      </c>
      <c r="H22" s="61" cm="1">
        <f t="array" ref="H22">SUM(_xlfn._xlws.FILTER(_xlfn._TRO_TRAILING(quantities!L:L),(_xlfn._TRO_TRAILING(quantities!D:D)=C22)*(_xlfn._TRO_TRAILING(quantities!E:E)=D22)))</f>
        <v>10357.142857142859</v>
      </c>
      <c r="I22" s="61"/>
      <c r="J22" t="e">
        <f ca="1">SUMIFS(
INDIRECT("'[S2 Subcon IPC Log.xlsx]Subcon IPC Log'!"&amp;"$O:$O"),
INDIRECT("'[S2 Subcon IPC Log.xlsx]Subcon IPC Log'!"&amp;"$C:$C"),
"KLN-SPP2-"&amp;_xlfn.XLOOKUP(C22,log_contracts!B:B,log_contracts!C:C)&amp;"-"&amp;TEXT(C22,"000"),
INDIRECT("'[S2 Subcon IPC Log.xlsx]Subcon IPC Log'!"&amp;"$D:$D"),
D22)</f>
        <v>#REF!</v>
      </c>
      <c r="K22" s="61" t="e">
        <f ca="1"/>
        <v>#REF!</v>
      </c>
    </row>
    <row r="23" spans="1:11" hidden="1" x14ac:dyDescent="0.25">
      <c r="A23">
        <v>22</v>
      </c>
      <c r="B23" t="str">
        <v>179-001</v>
      </c>
      <c r="C23">
        <v>179</v>
      </c>
      <c r="D23">
        <v>1</v>
      </c>
      <c r="E23" s="19" cm="1">
        <f t="array" ref="E23">_xlfn.XLOOKUP(B23,old_ipc_dates!F:F,old_ipc_dates!B:B,IF(D23=1,_xlfn.XLOOKUP(C23,log_contracts!B:B,log_contracts!D:D,,0),_xlfn.XLOOKUP(1,($C$18:C22=C23)*($D$18:D22=D23-1),$F$18:F22+1,,0)),0)</f>
        <v>46077</v>
      </c>
      <c r="F23" s="19">
        <f>_xlfn.XLOOKUP(B23,old_ipc_dates!F:F,old_ipc_dates!C:C,EOMONTH(E23,0),0)</f>
        <v>46081</v>
      </c>
      <c r="G23" t="str">
        <v>INFRACON MMC</v>
      </c>
      <c r="H23" s="61" cm="1">
        <f t="array" ref="H23">SUM(_xlfn._xlws.FILTER(_xlfn._TRO_TRAILING(quantities!L:L),(_xlfn._TRO_TRAILING(quantities!D:D)=C23)*(_xlfn._TRO_TRAILING(quantities!E:E)=D23)))</f>
        <v>4107.1428571428578</v>
      </c>
      <c r="I23" s="61"/>
      <c r="J23" t="e">
        <f ca="1">SUMIFS(
INDIRECT("'[S2 Subcon IPC Log.xlsx]Subcon IPC Log'!"&amp;"$O:$O"),
INDIRECT("'[S2 Subcon IPC Log.xlsx]Subcon IPC Log'!"&amp;"$C:$C"),
"KLN-SPP2-"&amp;_xlfn.XLOOKUP(C23,log_contracts!B:B,log_contracts!C:C)&amp;"-"&amp;TEXT(C23,"000"),
INDIRECT("'[S2 Subcon IPC Log.xlsx]Subcon IPC Log'!"&amp;"$D:$D"),
D23)</f>
        <v>#REF!</v>
      </c>
      <c r="K23" s="61" t="e">
        <f ca="1"/>
        <v>#REF!</v>
      </c>
    </row>
    <row r="24" spans="1:11" hidden="1" x14ac:dyDescent="0.25">
      <c r="A24">
        <v>23</v>
      </c>
      <c r="B24" t="str">
        <v>182-001</v>
      </c>
      <c r="C24">
        <v>182</v>
      </c>
      <c r="D24">
        <v>1</v>
      </c>
      <c r="E24" s="19" cm="1">
        <f t="array" ref="E24">_xlfn.XLOOKUP(B24,old_ipc_dates!F:F,old_ipc_dates!B:B,IF(D24=1,_xlfn.XLOOKUP(C24,log_contracts!B:B,log_contracts!D:D,,0),_xlfn.XLOOKUP(1,($C$18:C23=C24)*($D$18:D23=D24-1),$F$18:F23+1,,0)),0)</f>
        <v>46075</v>
      </c>
      <c r="F24" s="19">
        <f>_xlfn.XLOOKUP(B24,old_ipc_dates!F:F,old_ipc_dates!C:C,EOMONTH(E24,0),0)</f>
        <v>46081</v>
      </c>
      <c r="G24" t="str">
        <v>Rüstəmov Sakit</v>
      </c>
      <c r="H24" s="61" cm="1">
        <f t="array" ref="H24">SUM(_xlfn._xlws.FILTER(_xlfn._TRO_TRAILING(quantities!L:L),(_xlfn._TRO_TRAILING(quantities!D:D)=C24)*(_xlfn._TRO_TRAILING(quantities!E:E)=D24)))</f>
        <v>2285.7142857142858</v>
      </c>
      <c r="I24" s="61"/>
      <c r="J24" t="e">
        <f ca="1">SUMIFS(
INDIRECT("'[S2 Subcon IPC Log.xlsx]Subcon IPC Log'!"&amp;"$O:$O"),
INDIRECT("'[S2 Subcon IPC Log.xlsx]Subcon IPC Log'!"&amp;"$C:$C"),
"KLN-SPP2-"&amp;_xlfn.XLOOKUP(C24,log_contracts!B:B,log_contracts!C:C)&amp;"-"&amp;TEXT(C24,"000"),
INDIRECT("'[S2 Subcon IPC Log.xlsx]Subcon IPC Log'!"&amp;"$D:$D"),
D24)</f>
        <v>#REF!</v>
      </c>
      <c r="K24" s="61" t="e">
        <f ca="1"/>
        <v>#REF!</v>
      </c>
    </row>
    <row r="25" spans="1:11" hidden="1" x14ac:dyDescent="0.25">
      <c r="A25">
        <v>24</v>
      </c>
      <c r="B25" t="str">
        <v>030-002</v>
      </c>
      <c r="C25">
        <v>30</v>
      </c>
      <c r="D25">
        <v>2</v>
      </c>
      <c r="E25" s="19" cm="1">
        <f t="array" ref="E25">_xlfn.XLOOKUP(B25,old_ipc_dates!F:F,old_ipc_dates!B:B,IF(D25=1,_xlfn.XLOOKUP(C25,log_contracts!B:B,log_contracts!D:D,,0),_xlfn.XLOOKUP(1,($C$18:C24=C25)*($D$18:D24=D25-1),$F$18:F24+1,,0)),0)</f>
        <v>45689</v>
      </c>
      <c r="F25" s="19">
        <f>_xlfn.XLOOKUP(B25,old_ipc_dates!F:F,old_ipc_dates!C:C,EOMONTH(E25,0),0)</f>
        <v>45716</v>
      </c>
      <c r="G25" t="str">
        <v>NAR TRANSPORT SERVICES MMC</v>
      </c>
      <c r="H25" s="61" cm="1">
        <f t="array" ref="H25">SUM(_xlfn._xlws.FILTER(_xlfn._TRO_TRAILING(quantities!L:L),(_xlfn._TRO_TRAILING(quantities!D:D)=C25)*(_xlfn._TRO_TRAILING(quantities!E:E)=D25)))</f>
        <v>11000</v>
      </c>
      <c r="I25" s="61"/>
      <c r="J25" t="e">
        <f ca="1">SUMIFS(
INDIRECT("'[S2 Subcon IPC Log.xlsx]Subcon IPC Log'!"&amp;"$O:$O"),
INDIRECT("'[S2 Subcon IPC Log.xlsx]Subcon IPC Log'!"&amp;"$C:$C"),
"KLN-SPP2-"&amp;_xlfn.XLOOKUP(C25,log_contracts!B:B,log_contracts!C:C)&amp;"-"&amp;TEXT(C25,"000"),
INDIRECT("'[S2 Subcon IPC Log.xlsx]Subcon IPC Log'!"&amp;"$D:$D"),
D25)</f>
        <v>#REF!</v>
      </c>
      <c r="K25" s="61" t="e">
        <f ca="1"/>
        <v>#REF!</v>
      </c>
    </row>
    <row r="26" spans="1:11" hidden="1" x14ac:dyDescent="0.25">
      <c r="A26">
        <v>25</v>
      </c>
      <c r="B26" t="str">
        <v>031-002</v>
      </c>
      <c r="C26">
        <v>31</v>
      </c>
      <c r="D26">
        <v>2</v>
      </c>
      <c r="E26" s="19" cm="1">
        <f t="array" ref="E26">_xlfn.XLOOKUP(B26,old_ipc_dates!F:F,old_ipc_dates!B:B,IF(D26=1,_xlfn.XLOOKUP(C26,log_contracts!B:B,log_contracts!D:D,,0),_xlfn.XLOOKUP(1,($C$18:C25=C26)*($D$18:D25=D26-1),$F$18:F25+1,,0)),0)</f>
        <v>45717</v>
      </c>
      <c r="F26" s="19">
        <f>_xlfn.XLOOKUP(B26,old_ipc_dates!F:F,old_ipc_dates!C:C,EOMONTH(E26,0),0)</f>
        <v>45747</v>
      </c>
      <c r="G26" t="str">
        <v>NAR TRANSPORT SERVICES MMC</v>
      </c>
      <c r="H26" s="61" cm="1">
        <f t="array" ref="H26">SUM(_xlfn._xlws.FILTER(_xlfn._TRO_TRAILING(quantities!L:L),(_xlfn._TRO_TRAILING(quantities!D:D)=C26)*(_xlfn._TRO_TRAILING(quantities!E:E)=D26)))</f>
        <v>38935.150142857165</v>
      </c>
      <c r="I26" s="61"/>
      <c r="J26" s="61" t="e">
        <f ca="1">SUMIFS(
INDIRECT("'[S2 Subcon IPC Log.xlsx]Subcon IPC Log'!"&amp;"$O:$O"),
INDIRECT("'[S2 Subcon IPC Log.xlsx]Subcon IPC Log'!"&amp;"$C:$C"),
"KLN-SPP2-"&amp;_xlfn.XLOOKUP(C26,log_contracts!B:B,log_contracts!C:C)&amp;"-"&amp;TEXT(C26,"000"),
INDIRECT("'[S2 Subcon IPC Log.xlsx]Subcon IPC Log'!"&amp;"$D:$D"),
D26)</f>
        <v>#REF!</v>
      </c>
      <c r="K26" s="61" t="e">
        <f ca="1"/>
        <v>#REF!</v>
      </c>
    </row>
    <row r="27" spans="1:11" hidden="1" x14ac:dyDescent="0.25">
      <c r="A27">
        <v>26</v>
      </c>
      <c r="B27" t="str">
        <v>046-002</v>
      </c>
      <c r="C27">
        <v>46</v>
      </c>
      <c r="D27">
        <v>2</v>
      </c>
      <c r="E27" s="19" cm="1">
        <f t="array" ref="E27">_xlfn.XLOOKUP(B27,old_ipc_dates!F:F,old_ipc_dates!B:B,IF(D27=1,_xlfn.XLOOKUP(C27,log_contracts!B:B,log_contracts!D:D,,0),_xlfn.XLOOKUP(1,($C$18:C26=C27)*($D$18:D26=D27-1),$F$18:F26+1,,0)),0)</f>
        <v>45809</v>
      </c>
      <c r="F27" s="19">
        <f>_xlfn.XLOOKUP(B27,old_ipc_dates!F:F,old_ipc_dates!C:C,EOMONTH(E27,0),0)</f>
        <v>45838</v>
      </c>
      <c r="G27" t="str">
        <v>HARDCORE CONSTRUCTION AND EQUIPMENT</v>
      </c>
      <c r="H27" s="61" cm="1">
        <f t="array" ref="H27">SUM(_xlfn._xlws.FILTER(_xlfn._TRO_TRAILING(quantities!L:L),(_xlfn._TRO_TRAILING(quantities!D:D)=C27)*(_xlfn._TRO_TRAILING(quantities!E:E)=D27)))</f>
        <v>17839.285714285714</v>
      </c>
      <c r="I27" s="61"/>
      <c r="J27" t="e">
        <f ca="1">SUMIFS(
INDIRECT("'[S2 Subcon IPC Log.xlsx]Subcon IPC Log'!"&amp;"$O:$O"),
INDIRECT("'[S2 Subcon IPC Log.xlsx]Subcon IPC Log'!"&amp;"$C:$C"),
"KLN-SPP2-"&amp;_xlfn.XLOOKUP(C27,log_contracts!B:B,log_contracts!C:C)&amp;"-"&amp;TEXT(C27,"000"),
INDIRECT("'[S2 Subcon IPC Log.xlsx]Subcon IPC Log'!"&amp;"$D:$D"),
D27)</f>
        <v>#REF!</v>
      </c>
      <c r="K27" s="61" t="e">
        <f ca="1"/>
        <v>#REF!</v>
      </c>
    </row>
    <row r="28" spans="1:11" hidden="1" x14ac:dyDescent="0.25">
      <c r="A28">
        <v>27</v>
      </c>
      <c r="B28" t="str">
        <v>050-002</v>
      </c>
      <c r="C28">
        <v>50</v>
      </c>
      <c r="D28">
        <v>2</v>
      </c>
      <c r="E28" s="19" cm="1">
        <f t="array" ref="E28">_xlfn.XLOOKUP(B28,old_ipc_dates!F:F,old_ipc_dates!B:B,IF(D28=1,_xlfn.XLOOKUP(C28,log_contracts!B:B,log_contracts!D:D,,0),_xlfn.XLOOKUP(1,($C$18:C27=C28)*($D$18:D27=D28-1),$F$18:F27+1,,0)),0)</f>
        <v>45839</v>
      </c>
      <c r="F28" s="19">
        <f>_xlfn.XLOOKUP(B28,old_ipc_dates!F:F,old_ipc_dates!C:C,EOMONTH(E28,0),0)</f>
        <v>45869</v>
      </c>
      <c r="G28" t="str">
        <v>LOFT CONSTRUCTION</v>
      </c>
      <c r="H28" s="61" cm="1">
        <f t="array" ref="H28">SUM(_xlfn._xlws.FILTER(_xlfn._TRO_TRAILING(quantities!L:L),(_xlfn._TRO_TRAILING(quantities!D:D)=C28)*(_xlfn._TRO_TRAILING(quantities!E:E)=D28)))</f>
        <v>10357.142857142859</v>
      </c>
      <c r="I28" s="61"/>
      <c r="J28" t="e">
        <f ca="1">SUMIFS(
INDIRECT("'[S2 Subcon IPC Log.xlsx]Subcon IPC Log'!"&amp;"$O:$O"),
INDIRECT("'[S2 Subcon IPC Log.xlsx]Subcon IPC Log'!"&amp;"$C:$C"),
"KLN-SPP2-"&amp;_xlfn.XLOOKUP(C28,log_contracts!B:B,log_contracts!C:C)&amp;"-"&amp;TEXT(C28,"000"),
INDIRECT("'[S2 Subcon IPC Log.xlsx]Subcon IPC Log'!"&amp;"$D:$D"),
D28)</f>
        <v>#REF!</v>
      </c>
      <c r="K28" s="61" t="e">
        <f ca="1"/>
        <v>#REF!</v>
      </c>
    </row>
    <row r="29" spans="1:11" hidden="1" x14ac:dyDescent="0.25">
      <c r="A29">
        <v>28</v>
      </c>
      <c r="B29" t="str">
        <v>051-002</v>
      </c>
      <c r="C29">
        <v>51</v>
      </c>
      <c r="D29">
        <v>2</v>
      </c>
      <c r="E29" s="19" cm="1">
        <f t="array" ref="E29">_xlfn.XLOOKUP(B29,old_ipc_dates!F:F,old_ipc_dates!B:B,IF(D29=1,_xlfn.XLOOKUP(C29,log_contracts!B:B,log_contracts!D:D,,0),_xlfn.XLOOKUP(1,($C$18:C28=C29)*($D$18:D28=D29-1),$F$18:F28+1,,0)),0)</f>
        <v>45870</v>
      </c>
      <c r="F29" s="19">
        <f>_xlfn.XLOOKUP(B29,old_ipc_dates!F:F,old_ipc_dates!C:C,EOMONTH(E29,0),0)</f>
        <v>45930</v>
      </c>
      <c r="G29" t="str">
        <v>INTERMAK GROUP MMC</v>
      </c>
      <c r="H29" s="61" cm="1">
        <f t="array" ref="H29">SUM(_xlfn._xlws.FILTER(_xlfn._TRO_TRAILING(quantities!L:L),(_xlfn._TRO_TRAILING(quantities!D:D)=C29)*(_xlfn._TRO_TRAILING(quantities!E:E)=D29)))</f>
        <v>9999.82</v>
      </c>
      <c r="I29" s="61"/>
      <c r="J29" t="e">
        <f ca="1">SUMIFS(
INDIRECT("'[S2 Subcon IPC Log.xlsx]Subcon IPC Log'!"&amp;"$O:$O"),
INDIRECT("'[S2 Subcon IPC Log.xlsx]Subcon IPC Log'!"&amp;"$C:$C"),
"KLN-SPP2-"&amp;_xlfn.XLOOKUP(C29,log_contracts!B:B,log_contracts!C:C)&amp;"-"&amp;TEXT(C29,"000"),
INDIRECT("'[S2 Subcon IPC Log.xlsx]Subcon IPC Log'!"&amp;"$D:$D"),
D29)</f>
        <v>#REF!</v>
      </c>
      <c r="K29" s="61" t="e">
        <f ca="1"/>
        <v>#REF!</v>
      </c>
    </row>
    <row r="30" spans="1:11" hidden="1" x14ac:dyDescent="0.25">
      <c r="A30">
        <v>29</v>
      </c>
      <c r="B30" t="str">
        <v>052-002</v>
      </c>
      <c r="C30">
        <v>52</v>
      </c>
      <c r="D30">
        <v>2</v>
      </c>
      <c r="E30" s="19" cm="1">
        <f t="array" ref="E30">_xlfn.XLOOKUP(B30,old_ipc_dates!F:F,old_ipc_dates!B:B,IF(D30=1,_xlfn.XLOOKUP(C30,log_contracts!B:B,log_contracts!D:D,,0),_xlfn.XLOOKUP(1,($C$18:C29=C30)*($D$18:D29=D30-1),$F$18:F29+1,,0)),0)</f>
        <v>45778</v>
      </c>
      <c r="F30" s="19">
        <f>_xlfn.XLOOKUP(B30,old_ipc_dates!F:F,old_ipc_dates!C:C,EOMONTH(E30,0),0)</f>
        <v>45808</v>
      </c>
      <c r="G30" t="str">
        <v>DTS MMC</v>
      </c>
      <c r="H30" s="61" cm="1">
        <f t="array" ref="H30">SUM(_xlfn._xlws.FILTER(_xlfn._TRO_TRAILING(quantities!L:L),(_xlfn._TRO_TRAILING(quantities!D:D)=C30)*(_xlfn._TRO_TRAILING(quantities!E:E)=D30)))</f>
        <v>15178.54</v>
      </c>
      <c r="I30" s="61"/>
      <c r="J30" t="e">
        <f ca="1">SUMIFS(
INDIRECT("'[S2 Subcon IPC Log.xlsx]Subcon IPC Log'!"&amp;"$O:$O"),
INDIRECT("'[S2 Subcon IPC Log.xlsx]Subcon IPC Log'!"&amp;"$C:$C"),
"KLN-SPP2-"&amp;_xlfn.XLOOKUP(C30,log_contracts!B:B,log_contracts!C:C)&amp;"-"&amp;TEXT(C30,"000"),
INDIRECT("'[S2 Subcon IPC Log.xlsx]Subcon IPC Log'!"&amp;"$D:$D"),
D30)</f>
        <v>#REF!</v>
      </c>
      <c r="K30" s="61" t="e">
        <f ca="1"/>
        <v>#REF!</v>
      </c>
    </row>
    <row r="31" spans="1:11" hidden="1" x14ac:dyDescent="0.25">
      <c r="A31">
        <v>30</v>
      </c>
      <c r="B31" t="str">
        <v>065-002</v>
      </c>
      <c r="C31">
        <v>65</v>
      </c>
      <c r="D31">
        <v>2</v>
      </c>
      <c r="E31" s="19" cm="1">
        <f t="array" ref="E31">_xlfn.XLOOKUP(B31,old_ipc_dates!F:F,old_ipc_dates!B:B,IF(D31=1,_xlfn.XLOOKUP(C31,log_contracts!B:B,log_contracts!D:D,,0),_xlfn.XLOOKUP(1,($C$18:C30=C31)*($D$18:D30=D31-1),$F$18:F30+1,,0)),0)</f>
        <v>45809</v>
      </c>
      <c r="F31" s="19">
        <f>_xlfn.XLOOKUP(B31,old_ipc_dates!F:F,old_ipc_dates!C:C,EOMONTH(E31,0),0)</f>
        <v>45838</v>
      </c>
      <c r="G31" t="str">
        <v>ETIBAR MAMMADOV</v>
      </c>
      <c r="H31" s="61" cm="1">
        <f t="array" ref="H31">SUM(_xlfn._xlws.FILTER(_xlfn._TRO_TRAILING(quantities!L:L),(_xlfn._TRO_TRAILING(quantities!D:D)=C31)*(_xlfn._TRO_TRAILING(quantities!E:E)=D31)))</f>
        <v>8955.2414285714294</v>
      </c>
      <c r="I31" s="61"/>
      <c r="J31" t="e">
        <f ca="1">SUMIFS(
INDIRECT("'[S2 Subcon IPC Log.xlsx]Subcon IPC Log'!"&amp;"$O:$O"),
INDIRECT("'[S2 Subcon IPC Log.xlsx]Subcon IPC Log'!"&amp;"$C:$C"),
"KLN-SPP2-"&amp;_xlfn.XLOOKUP(C31,log_contracts!B:B,log_contracts!C:C)&amp;"-"&amp;TEXT(C31,"000"),
INDIRECT("'[S2 Subcon IPC Log.xlsx]Subcon IPC Log'!"&amp;"$D:$D"),
D31)</f>
        <v>#REF!</v>
      </c>
      <c r="K31" s="61" t="e">
        <f ca="1"/>
        <v>#REF!</v>
      </c>
    </row>
    <row r="32" spans="1:11" hidden="1" x14ac:dyDescent="0.25">
      <c r="A32">
        <v>31</v>
      </c>
      <c r="B32" t="str">
        <v>085-002</v>
      </c>
      <c r="C32">
        <v>85</v>
      </c>
      <c r="D32">
        <v>2</v>
      </c>
      <c r="E32" s="19" cm="1">
        <f t="array" ref="E32">_xlfn.XLOOKUP(B32,old_ipc_dates!F:F,old_ipc_dates!B:B,IF(D32=1,_xlfn.XLOOKUP(C32,log_contracts!B:B,log_contracts!D:D,,0),_xlfn.XLOOKUP(1,($C$18:C31=C32)*($D$18:D31=D32-1),$F$18:F31+1,,0)),0)</f>
        <v>45839</v>
      </c>
      <c r="F32" s="19">
        <f>_xlfn.XLOOKUP(B32,old_ipc_dates!F:F,old_ipc_dates!C:C,EOMONTH(E32,0),0)</f>
        <v>45869</v>
      </c>
      <c r="G32" t="str">
        <v>BABEK ALBANDOV</v>
      </c>
      <c r="H32" s="61" cm="1">
        <f t="array" ref="H32">SUM(_xlfn._xlws.FILTER(_xlfn._TRO_TRAILING(quantities!L:L),(_xlfn._TRO_TRAILING(quantities!D:D)=C32)*(_xlfn._TRO_TRAILING(quantities!E:E)=D32)))</f>
        <v>14732.189999999999</v>
      </c>
      <c r="I32" s="61"/>
      <c r="J32" t="e">
        <f ca="1">SUMIFS(
INDIRECT("'[S2 Subcon IPC Log.xlsx]Subcon IPC Log'!"&amp;"$O:$O"),
INDIRECT("'[S2 Subcon IPC Log.xlsx]Subcon IPC Log'!"&amp;"$C:$C"),
"KLN-SPP2-"&amp;_xlfn.XLOOKUP(C32,log_contracts!B:B,log_contracts!C:C)&amp;"-"&amp;TEXT(C32,"000"),
INDIRECT("'[S2 Subcon IPC Log.xlsx]Subcon IPC Log'!"&amp;"$D:$D"),
D32)</f>
        <v>#REF!</v>
      </c>
      <c r="K32" s="61" t="e">
        <f ca="1"/>
        <v>#REF!</v>
      </c>
    </row>
    <row r="33" spans="1:11" hidden="1" x14ac:dyDescent="0.25">
      <c r="A33">
        <v>32</v>
      </c>
      <c r="B33" t="str">
        <v>094-002</v>
      </c>
      <c r="C33">
        <v>94</v>
      </c>
      <c r="D33">
        <v>2</v>
      </c>
      <c r="E33" s="19" cm="1">
        <f t="array" ref="E33">_xlfn.XLOOKUP(B33,old_ipc_dates!F:F,old_ipc_dates!B:B,IF(D33=1,_xlfn.XLOOKUP(C33,log_contracts!B:B,log_contracts!D:D,,0),_xlfn.XLOOKUP(1,($C$18:C32=C33)*($D$18:D32=D33-1),$F$18:F32+1,,0)),0)</f>
        <v>45839</v>
      </c>
      <c r="F33" s="19">
        <f>_xlfn.XLOOKUP(B33,old_ipc_dates!F:F,old_ipc_dates!C:C,EOMONTH(E33,0),0)</f>
        <v>45869</v>
      </c>
      <c r="G33" t="str">
        <v>XANIM ABDULLAYEVA</v>
      </c>
      <c r="H33" s="61" cm="1">
        <f t="array" ref="H33">SUM(_xlfn._xlws.FILTER(_xlfn._TRO_TRAILING(quantities!L:L),(_xlfn._TRO_TRAILING(quantities!D:D)=C33)*(_xlfn._TRO_TRAILING(quantities!E:E)=D33)))</f>
        <v>5687.5</v>
      </c>
      <c r="I33" s="61"/>
      <c r="J33" t="e">
        <f ca="1">SUMIFS(
INDIRECT("'[S2 Subcon IPC Log.xlsx]Subcon IPC Log'!"&amp;"$O:$O"),
INDIRECT("'[S2 Subcon IPC Log.xlsx]Subcon IPC Log'!"&amp;"$C:$C"),
"KLN-SPP2-"&amp;_xlfn.XLOOKUP(C33,log_contracts!B:B,log_contracts!C:C)&amp;"-"&amp;TEXT(C33,"000"),
INDIRECT("'[S2 Subcon IPC Log.xlsx]Subcon IPC Log'!"&amp;"$D:$D"),
D33)</f>
        <v>#REF!</v>
      </c>
      <c r="K33" s="61" t="e">
        <f ca="1"/>
        <v>#REF!</v>
      </c>
    </row>
    <row r="34" spans="1:11" hidden="1" x14ac:dyDescent="0.25">
      <c r="A34">
        <v>33</v>
      </c>
      <c r="B34" t="str">
        <v>095-002</v>
      </c>
      <c r="C34">
        <v>95</v>
      </c>
      <c r="D34">
        <v>2</v>
      </c>
      <c r="E34" s="19" cm="1">
        <f t="array" ref="E34">_xlfn.XLOOKUP(B34,old_ipc_dates!F:F,old_ipc_dates!B:B,IF(D34=1,_xlfn.XLOOKUP(C34,log_contracts!B:B,log_contracts!D:D,,0),_xlfn.XLOOKUP(1,($C$18:C33=C34)*($D$18:D33=D34-1),$F$18:F33+1,,0)),0)</f>
        <v>45870</v>
      </c>
      <c r="F34" s="19">
        <f>_xlfn.XLOOKUP(B34,old_ipc_dates!F:F,old_ipc_dates!C:C,EOMONTH(E34,0),0)</f>
        <v>45900</v>
      </c>
      <c r="G34" t="str">
        <v>IBRAHIM XALILOV</v>
      </c>
      <c r="H34" s="61" cm="1">
        <f t="array" ref="H34">SUM(_xlfn._xlws.FILTER(_xlfn._TRO_TRAILING(quantities!L:L),(_xlfn._TRO_TRAILING(quantities!D:D)=C34)*(_xlfn._TRO_TRAILING(quantities!E:E)=D34)))</f>
        <v>7714.1699999999992</v>
      </c>
      <c r="I34" s="61"/>
      <c r="J34" s="61" t="e">
        <f ca="1">SUMIFS(
INDIRECT("'[S2 Subcon IPC Log.xlsx]Subcon IPC Log'!"&amp;"$O:$O"),
INDIRECT("'[S2 Subcon IPC Log.xlsx]Subcon IPC Log'!"&amp;"$C:$C"),
"KLN-SPP2-"&amp;_xlfn.XLOOKUP(C34,log_contracts!B:B,log_contracts!C:C)&amp;"-"&amp;TEXT(C34,"000"),
INDIRECT("'[S2 Subcon IPC Log.xlsx]Subcon IPC Log'!"&amp;"$D:$D"),
D34)</f>
        <v>#REF!</v>
      </c>
      <c r="K34" s="61" t="e">
        <f ca="1"/>
        <v>#REF!</v>
      </c>
    </row>
    <row r="35" spans="1:11" hidden="1" x14ac:dyDescent="0.25">
      <c r="A35">
        <v>34</v>
      </c>
      <c r="B35" t="str">
        <v>098-002</v>
      </c>
      <c r="C35">
        <v>98</v>
      </c>
      <c r="D35">
        <v>2</v>
      </c>
      <c r="E35" s="19" cm="1">
        <f t="array" ref="E35">_xlfn.XLOOKUP(B35,old_ipc_dates!F:F,old_ipc_dates!B:B,IF(D35=1,_xlfn.XLOOKUP(C35,log_contracts!B:B,log_contracts!D:D,,0),_xlfn.XLOOKUP(1,($C$18:C34=C35)*($D$18:D34=D35-1),$F$18:F34+1,,0)),0)</f>
        <v>45870</v>
      </c>
      <c r="F35" s="19">
        <f>_xlfn.XLOOKUP(B35,old_ipc_dates!F:F,old_ipc_dates!C:C,EOMONTH(E35,0),0)</f>
        <v>45900</v>
      </c>
      <c r="G35" t="str">
        <v>HACIAGA KERIMOV</v>
      </c>
      <c r="H35" s="61" cm="1">
        <f t="array" ref="H35">SUM(_xlfn._xlws.FILTER(_xlfn._TRO_TRAILING(quantities!L:L),(_xlfn._TRO_TRAILING(quantities!D:D)=C35)*(_xlfn._TRO_TRAILING(quantities!E:E)=D35)))</f>
        <v>3107.06</v>
      </c>
      <c r="I35" s="61"/>
      <c r="J35" t="e">
        <f ca="1">SUMIFS(
INDIRECT("'[S2 Subcon IPC Log.xlsx]Subcon IPC Log'!"&amp;"$O:$O"),
INDIRECT("'[S2 Subcon IPC Log.xlsx]Subcon IPC Log'!"&amp;"$C:$C"),
"KLN-SPP2-"&amp;_xlfn.XLOOKUP(C35,log_contracts!B:B,log_contracts!C:C)&amp;"-"&amp;TEXT(C35,"000"),
INDIRECT("'[S2 Subcon IPC Log.xlsx]Subcon IPC Log'!"&amp;"$D:$D"),
D35)</f>
        <v>#REF!</v>
      </c>
      <c r="K35" s="61" t="e">
        <f ca="1"/>
        <v>#REF!</v>
      </c>
    </row>
    <row r="36" spans="1:11" hidden="1" x14ac:dyDescent="0.25">
      <c r="A36">
        <v>35</v>
      </c>
      <c r="B36" t="str">
        <v>099-002</v>
      </c>
      <c r="C36">
        <v>99</v>
      </c>
      <c r="D36">
        <v>2</v>
      </c>
      <c r="E36" s="19" cm="1">
        <f t="array" ref="E36">_xlfn.XLOOKUP(B36,old_ipc_dates!F:F,old_ipc_dates!B:B,IF(D36=1,_xlfn.XLOOKUP(C36,log_contracts!B:B,log_contracts!D:D,,0),_xlfn.XLOOKUP(1,($C$18:C35=C36)*($D$18:D35=D36-1),$F$18:F35+1,,0)),0)</f>
        <v>45870</v>
      </c>
      <c r="F36" s="19">
        <f>_xlfn.XLOOKUP(B36,old_ipc_dates!F:F,old_ipc_dates!C:C,EOMONTH(E36,0),0)</f>
        <v>45900</v>
      </c>
      <c r="G36" t="str">
        <v>YUSIF MAHARRAMOV</v>
      </c>
      <c r="H36" s="61" cm="1">
        <f t="array" ref="H36">SUM(_xlfn._xlws.FILTER(_xlfn._TRO_TRAILING(quantities!L:L),(_xlfn._TRO_TRAILING(quantities!D:D)=C36)*(_xlfn._TRO_TRAILING(quantities!E:E)=D36)))</f>
        <v>4262.5</v>
      </c>
      <c r="I36" s="61"/>
      <c r="J36" t="e">
        <f ca="1">SUMIFS(
INDIRECT("'[S2 Subcon IPC Log.xlsx]Subcon IPC Log'!"&amp;"$O:$O"),
INDIRECT("'[S2 Subcon IPC Log.xlsx]Subcon IPC Log'!"&amp;"$C:$C"),
"KLN-SPP2-"&amp;_xlfn.XLOOKUP(C36,log_contracts!B:B,log_contracts!C:C)&amp;"-"&amp;TEXT(C36,"000"),
INDIRECT("'[S2 Subcon IPC Log.xlsx]Subcon IPC Log'!"&amp;"$D:$D"),
D36)</f>
        <v>#REF!</v>
      </c>
      <c r="K36" s="61" t="e">
        <f ca="1"/>
        <v>#REF!</v>
      </c>
    </row>
    <row r="37" spans="1:11" hidden="1" x14ac:dyDescent="0.25">
      <c r="A37">
        <v>36</v>
      </c>
      <c r="B37" t="str">
        <v>100-002</v>
      </c>
      <c r="C37">
        <v>100</v>
      </c>
      <c r="D37">
        <v>2</v>
      </c>
      <c r="E37" s="19" cm="1">
        <f t="array" ref="E37">_xlfn.XLOOKUP(B37,old_ipc_dates!F:F,old_ipc_dates!B:B,IF(D37=1,_xlfn.XLOOKUP(C37,log_contracts!B:B,log_contracts!D:D,,0),_xlfn.XLOOKUP(1,($C$18:C36=C37)*($D$18:D36=D37-1),$F$18:F36+1,,0)),0)</f>
        <v>45870</v>
      </c>
      <c r="F37" s="19">
        <f>_xlfn.XLOOKUP(B37,old_ipc_dates!F:F,old_ipc_dates!C:C,EOMONTH(E37,0),0)</f>
        <v>45900</v>
      </c>
      <c r="G37" t="str">
        <v>RUSLAN HUSEYNOV</v>
      </c>
      <c r="H37" s="61" cm="1">
        <f t="array" ref="H37">SUM(_xlfn._xlws.FILTER(_xlfn._TRO_TRAILING(quantities!L:L),(_xlfn._TRO_TRAILING(quantities!D:D)=C37)*(_xlfn._TRO_TRAILING(quantities!E:E)=D37)))</f>
        <v>5303.5714285714284</v>
      </c>
      <c r="I37" s="61"/>
      <c r="J37" t="e">
        <f ca="1">SUMIFS(
INDIRECT("'[S2 Subcon IPC Log.xlsx]Subcon IPC Log'!"&amp;"$O:$O"),
INDIRECT("'[S2 Subcon IPC Log.xlsx]Subcon IPC Log'!"&amp;"$C:$C"),
"KLN-SPP2-"&amp;_xlfn.XLOOKUP(C37,log_contracts!B:B,log_contracts!C:C)&amp;"-"&amp;TEXT(C37,"000"),
INDIRECT("'[S2 Subcon IPC Log.xlsx]Subcon IPC Log'!"&amp;"$D:$D"),
D37)</f>
        <v>#REF!</v>
      </c>
      <c r="K37" s="61" t="e">
        <f ca="1"/>
        <v>#REF!</v>
      </c>
    </row>
    <row r="38" spans="1:11" hidden="1" x14ac:dyDescent="0.25">
      <c r="A38">
        <v>37</v>
      </c>
      <c r="B38" t="str">
        <v>102-002</v>
      </c>
      <c r="C38">
        <v>102</v>
      </c>
      <c r="D38">
        <v>2</v>
      </c>
      <c r="E38" s="19" cm="1">
        <f t="array" ref="E38">_xlfn.XLOOKUP(B38,old_ipc_dates!F:F,old_ipc_dates!B:B,IF(D38=1,_xlfn.XLOOKUP(C38,log_contracts!B:B,log_contracts!D:D,,0),_xlfn.XLOOKUP(1,($C$18:C37=C38)*($D$18:D37=D38-1),$F$18:F37+1,,0)),0)</f>
        <v>45901</v>
      </c>
      <c r="F38" s="19">
        <f>_xlfn.XLOOKUP(B38,old_ipc_dates!F:F,old_ipc_dates!C:C,EOMONTH(E38,0),0)</f>
        <v>45930</v>
      </c>
      <c r="G38" t="str">
        <v>KONUL HUSEYNOVA</v>
      </c>
      <c r="H38" s="61" cm="1">
        <f t="array" ref="H38">SUM(_xlfn._xlws.FILTER(_xlfn._TRO_TRAILING(quantities!L:L),(_xlfn._TRO_TRAILING(quantities!D:D)=C38)*(_xlfn._TRO_TRAILING(quantities!E:E)=D38)))</f>
        <v>8600</v>
      </c>
      <c r="I38" s="61"/>
      <c r="J38" t="e">
        <f ca="1">SUMIFS(
INDIRECT("'[S2 Subcon IPC Log.xlsx]Subcon IPC Log'!"&amp;"$O:$O"),
INDIRECT("'[S2 Subcon IPC Log.xlsx]Subcon IPC Log'!"&amp;"$C:$C"),
"KLN-SPP2-"&amp;_xlfn.XLOOKUP(C38,log_contracts!B:B,log_contracts!C:C)&amp;"-"&amp;TEXT(C38,"000"),
INDIRECT("'[S2 Subcon IPC Log.xlsx]Subcon IPC Log'!"&amp;"$D:$D"),
D38)</f>
        <v>#REF!</v>
      </c>
      <c r="K38" s="61" t="e">
        <f ca="1"/>
        <v>#REF!</v>
      </c>
    </row>
    <row r="39" spans="1:11" hidden="1" x14ac:dyDescent="0.25">
      <c r="A39">
        <v>38</v>
      </c>
      <c r="B39" t="str">
        <v>110-002</v>
      </c>
      <c r="C39">
        <v>110</v>
      </c>
      <c r="D39">
        <v>2</v>
      </c>
      <c r="E39" s="19" cm="1">
        <f t="array" ref="E39">_xlfn.XLOOKUP(B39,old_ipc_dates!F:F,old_ipc_dates!B:B,IF(D39=1,_xlfn.XLOOKUP(C39,log_contracts!B:B,log_contracts!D:D,,0),_xlfn.XLOOKUP(1,($C$18:C38=C39)*($D$18:D38=D39-1),$F$18:F38+1,,0)),0)</f>
        <v>45901</v>
      </c>
      <c r="F39" s="19">
        <f>_xlfn.XLOOKUP(B39,old_ipc_dates!F:F,old_ipc_dates!C:C,EOMONTH(E39,0),0)</f>
        <v>45930</v>
      </c>
      <c r="G39" t="str">
        <v>MAMMAD QALANDARLI</v>
      </c>
      <c r="H39" s="61" cm="1">
        <f t="array" ref="H39">SUM(_xlfn._xlws.FILTER(_xlfn._TRO_TRAILING(quantities!L:L),(_xlfn._TRO_TRAILING(quantities!D:D)=C39)*(_xlfn._TRO_TRAILING(quantities!E:E)=D39)))</f>
        <v>5757.1428571428569</v>
      </c>
      <c r="I39" s="61"/>
      <c r="J39" t="e">
        <f ca="1">SUMIFS(
INDIRECT("'[S2 Subcon IPC Log.xlsx]Subcon IPC Log'!"&amp;"$O:$O"),
INDIRECT("'[S2 Subcon IPC Log.xlsx]Subcon IPC Log'!"&amp;"$C:$C"),
"KLN-SPP2-"&amp;_xlfn.XLOOKUP(C39,log_contracts!B:B,log_contracts!C:C)&amp;"-"&amp;TEXT(C39,"000"),
INDIRECT("'[S2 Subcon IPC Log.xlsx]Subcon IPC Log'!"&amp;"$D:$D"),
D39)</f>
        <v>#REF!</v>
      </c>
      <c r="K39" s="61" t="e">
        <f ca="1"/>
        <v>#REF!</v>
      </c>
    </row>
    <row r="40" spans="1:11" x14ac:dyDescent="0.25">
      <c r="A40">
        <v>39</v>
      </c>
      <c r="B40" t="str">
        <v>121-002</v>
      </c>
      <c r="C40">
        <v>121</v>
      </c>
      <c r="D40">
        <v>2</v>
      </c>
      <c r="E40" s="19" cm="1">
        <f t="array" ref="E40">_xlfn.XLOOKUP(B40,old_ipc_dates!F:F,old_ipc_dates!B:B,IF(D40=1,_xlfn.XLOOKUP(C40,log_contracts!B:B,log_contracts!D:D,,0),_xlfn.XLOOKUP(1,($C$18:C39=C40)*($D$18:D39=D40-1),$F$18:F39+1,,0)),0)</f>
        <v>45962</v>
      </c>
      <c r="F40" s="19">
        <f>_xlfn.XLOOKUP(B40,old_ipc_dates!F:F,old_ipc_dates!C:C,EOMONTH(E40,0),0)</f>
        <v>45991</v>
      </c>
      <c r="G40" t="str">
        <v>TEYMUR ABBASOV</v>
      </c>
      <c r="H40" s="61" cm="1">
        <f t="array" ref="H40">SUM(_xlfn._xlws.FILTER(_xlfn._TRO_TRAILING(quantities!L:L),(_xlfn._TRO_TRAILING(quantities!D:D)=C40)*(_xlfn._TRO_TRAILING(quantities!E:E)=D40)))</f>
        <v>3831.3859999999995</v>
      </c>
      <c r="I40" s="61"/>
      <c r="J40" t="e">
        <f ca="1">SUMIFS(
INDIRECT("'[S2 Subcon IPC Log.xlsx]Subcon IPC Log'!"&amp;"$O:$O"),
INDIRECT("'[S2 Subcon IPC Log.xlsx]Subcon IPC Log'!"&amp;"$C:$C"),
"KLN-SPP2-"&amp;_xlfn.XLOOKUP(C40,log_contracts!B:B,log_contracts!C:C)&amp;"-"&amp;TEXT(C40,"000"),
INDIRECT("'[S2 Subcon IPC Log.xlsx]Subcon IPC Log'!"&amp;"$D:$D"),
D40)</f>
        <v>#REF!</v>
      </c>
      <c r="K40" s="61" t="e">
        <f ca="1"/>
        <v>#REF!</v>
      </c>
    </row>
    <row r="41" spans="1:11" hidden="1" x14ac:dyDescent="0.25">
      <c r="A41">
        <v>40</v>
      </c>
      <c r="B41" t="str">
        <v>141-002</v>
      </c>
      <c r="C41">
        <v>141</v>
      </c>
      <c r="D41">
        <v>2</v>
      </c>
      <c r="E41" s="19" cm="1">
        <f t="array" ref="E41">_xlfn.XLOOKUP(B41,old_ipc_dates!F:F,old_ipc_dates!B:B,IF(D41=1,_xlfn.XLOOKUP(C41,log_contracts!B:B,log_contracts!D:D,,0),_xlfn.XLOOKUP(1,($C$18:C40=C41)*($D$18:D40=D41-1),$F$18:F40+1,,0)),0)</f>
        <v>45627</v>
      </c>
      <c r="F41" s="19">
        <f>_xlfn.XLOOKUP(B41,old_ipc_dates!F:F,old_ipc_dates!C:C,EOMONTH(E41,0),0)</f>
        <v>45657</v>
      </c>
      <c r="G41" t="str">
        <v>MIRELEM CABBROV</v>
      </c>
      <c r="H41" s="61" cm="1">
        <f t="array" ref="H41">SUM(_xlfn._xlws.FILTER(_xlfn._TRO_TRAILING(quantities!L:L),(_xlfn._TRO_TRAILING(quantities!D:D)=C41)*(_xlfn._TRO_TRAILING(quantities!E:E)=D41)))</f>
        <v>6214.2857142857147</v>
      </c>
      <c r="I41" s="61"/>
      <c r="J41" t="e">
        <f ca="1">SUMIFS(
INDIRECT("'[S2 Subcon IPC Log.xlsx]Subcon IPC Log'!"&amp;"$O:$O"),
INDIRECT("'[S2 Subcon IPC Log.xlsx]Subcon IPC Log'!"&amp;"$C:$C"),
"KLN-SPP2-"&amp;_xlfn.XLOOKUP(C41,log_contracts!B:B,log_contracts!C:C)&amp;"-"&amp;TEXT(C41,"000"),
INDIRECT("'[S2 Subcon IPC Log.xlsx]Subcon IPC Log'!"&amp;"$D:$D"),
D41)</f>
        <v>#REF!</v>
      </c>
      <c r="K41" s="61" t="e">
        <f ca="1"/>
        <v>#REF!</v>
      </c>
    </row>
    <row r="42" spans="1:11" hidden="1" x14ac:dyDescent="0.25">
      <c r="A42">
        <v>41</v>
      </c>
      <c r="B42" t="str">
        <v>163-002</v>
      </c>
      <c r="C42">
        <v>163</v>
      </c>
      <c r="D42">
        <v>2</v>
      </c>
      <c r="E42" s="19" cm="1">
        <f t="array" ref="E42">_xlfn.XLOOKUP(B42,old_ipc_dates!F:F,old_ipc_dates!B:B,IF(D42=1,_xlfn.XLOOKUP(C42,log_contracts!B:B,log_contracts!D:D,,0),_xlfn.XLOOKUP(1,($C$18:C41=C42)*($D$18:D41=D42-1),$F$18:F41+1,,0)),0)</f>
        <v>46054</v>
      </c>
      <c r="F42" s="19">
        <f>_xlfn.XLOOKUP(B42,old_ipc_dates!F:F,old_ipc_dates!C:C,EOMONTH(E42,0),0)</f>
        <v>46081</v>
      </c>
      <c r="G42" t="str">
        <v>Əsgərov Yaşar</v>
      </c>
      <c r="H42" s="61" cm="1">
        <f t="array" ref="H42">SUM(_xlfn._xlws.FILTER(_xlfn._TRO_TRAILING(quantities!L:L),(_xlfn._TRO_TRAILING(quantities!D:D)=C42)*(_xlfn._TRO_TRAILING(quantities!E:E)=D42)))</f>
        <v>4750</v>
      </c>
      <c r="I42" s="61"/>
      <c r="J42" t="e">
        <f ca="1">SUMIFS(
INDIRECT("'[S2 Subcon IPC Log.xlsx]Subcon IPC Log'!"&amp;"$O:$O"),
INDIRECT("'[S2 Subcon IPC Log.xlsx]Subcon IPC Log'!"&amp;"$C:$C"),
"KLN-SPP2-"&amp;_xlfn.XLOOKUP(C42,log_contracts!B:B,log_contracts!C:C)&amp;"-"&amp;TEXT(C42,"000"),
INDIRECT("'[S2 Subcon IPC Log.xlsx]Subcon IPC Log'!"&amp;"$D:$D"),
D42)</f>
        <v>#REF!</v>
      </c>
      <c r="K42" s="61" t="e">
        <f ca="1"/>
        <v>#REF!</v>
      </c>
    </row>
    <row r="43" spans="1:11" hidden="1" x14ac:dyDescent="0.25">
      <c r="A43">
        <v>42</v>
      </c>
      <c r="B43" t="str">
        <v>172-002</v>
      </c>
      <c r="C43">
        <v>172</v>
      </c>
      <c r="D43">
        <v>2</v>
      </c>
      <c r="E43" s="19" cm="1">
        <f t="array" ref="E43">_xlfn.XLOOKUP(B43,old_ipc_dates!F:F,old_ipc_dates!B:B,IF(D43=1,_xlfn.XLOOKUP(C43,log_contracts!B:B,log_contracts!D:D,,0),_xlfn.XLOOKUP(1,($C$18:C42=C43)*($D$18:D42=D43-1),$F$18:F42+1,,0)),0)</f>
        <v>46054</v>
      </c>
      <c r="F43" s="19">
        <f>_xlfn.XLOOKUP(B43,old_ipc_dates!F:F,old_ipc_dates!C:C,EOMONTH(E43,0),0)</f>
        <v>46081</v>
      </c>
      <c r="G43" t="str">
        <v>Mahmudov Rüstəm</v>
      </c>
      <c r="H43" s="61" cm="1">
        <f t="array" ref="H43">SUM(_xlfn._xlws.FILTER(_xlfn._TRO_TRAILING(quantities!L:L),(_xlfn._TRO_TRAILING(quantities!D:D)=C43)*(_xlfn._TRO_TRAILING(quantities!E:E)=D43)))</f>
        <v>1964.2857142857142</v>
      </c>
      <c r="I43" s="61"/>
      <c r="J43" t="e">
        <f ca="1">SUMIFS(
INDIRECT("'[S2 Subcon IPC Log.xlsx]Subcon IPC Log'!"&amp;"$O:$O"),
INDIRECT("'[S2 Subcon IPC Log.xlsx]Subcon IPC Log'!"&amp;"$C:$C"),
"KLN-SPP2-"&amp;_xlfn.XLOOKUP(C43,log_contracts!B:B,log_contracts!C:C)&amp;"-"&amp;TEXT(C43,"000"),
INDIRECT("'[S2 Subcon IPC Log.xlsx]Subcon IPC Log'!"&amp;"$D:$D"),
D43)</f>
        <v>#REF!</v>
      </c>
      <c r="K43" s="61" t="e">
        <f ca="1"/>
        <v>#REF!</v>
      </c>
    </row>
    <row r="44" spans="1:11" hidden="1" x14ac:dyDescent="0.25">
      <c r="A44">
        <v>43</v>
      </c>
      <c r="B44" t="str">
        <v>173-002</v>
      </c>
      <c r="C44">
        <v>173</v>
      </c>
      <c r="D44">
        <v>2</v>
      </c>
      <c r="E44" s="19" cm="1">
        <f t="array" ref="E44">_xlfn.XLOOKUP(B44,old_ipc_dates!F:F,old_ipc_dates!B:B,IF(D44=1,_xlfn.XLOOKUP(C44,log_contracts!B:B,log_contracts!D:D,,0),_xlfn.XLOOKUP(1,($C$18:C43=C44)*($D$18:D43=D44-1),$F$18:F43+1,,0)),0)</f>
        <v>46082</v>
      </c>
      <c r="F44" s="19">
        <f>_xlfn.XLOOKUP(B44,old_ipc_dates!F:F,old_ipc_dates!C:C,EOMONTH(E44,0),0)</f>
        <v>46112</v>
      </c>
      <c r="G44" t="str">
        <v>Hüseynov Pərviz</v>
      </c>
      <c r="H44" s="61" cm="1">
        <f t="array" ref="H44">SUM(_xlfn._xlws.FILTER(_xlfn._TRO_TRAILING(quantities!L:L),(_xlfn._TRO_TRAILING(quantities!D:D)=C44)*(_xlfn._TRO_TRAILING(quantities!E:E)=D44)))</f>
        <v>12142.857142857143</v>
      </c>
      <c r="I44" s="61"/>
      <c r="J44" s="61" t="e">
        <f ca="1">SUMIFS(
INDIRECT("'[S2 Subcon IPC Log.xlsx]Subcon IPC Log'!"&amp;"$O:$O"),
INDIRECT("'[S2 Subcon IPC Log.xlsx]Subcon IPC Log'!"&amp;"$C:$C"),
"KLN-SPP2-"&amp;_xlfn.XLOOKUP(C44,log_contracts!B:B,log_contracts!C:C)&amp;"-"&amp;TEXT(C44,"000"),
INDIRECT("'[S2 Subcon IPC Log.xlsx]Subcon IPC Log'!"&amp;"$D:$D"),
D44)</f>
        <v>#REF!</v>
      </c>
      <c r="K44" s="61" t="e">
        <f ca="1"/>
        <v>#REF!</v>
      </c>
    </row>
    <row r="45" spans="1:11" hidden="1" x14ac:dyDescent="0.25">
      <c r="A45">
        <v>44</v>
      </c>
      <c r="B45" t="str">
        <v>182-002</v>
      </c>
      <c r="C45">
        <v>182</v>
      </c>
      <c r="D45">
        <v>2</v>
      </c>
      <c r="E45" s="19" cm="1">
        <f t="array" ref="E45">_xlfn.XLOOKUP(B45,old_ipc_dates!F:F,old_ipc_dates!B:B,IF(D45=1,_xlfn.XLOOKUP(C45,log_contracts!B:B,log_contracts!D:D,,0),_xlfn.XLOOKUP(1,($C$18:C44=C45)*($D$18:D44=D45-1),$F$18:F44+1,,0)),0)</f>
        <v>46082</v>
      </c>
      <c r="F45" s="19">
        <f>_xlfn.XLOOKUP(B45,old_ipc_dates!F:F,old_ipc_dates!C:C,EOMONTH(E45,0),0)</f>
        <v>46112</v>
      </c>
      <c r="G45" t="str">
        <v>Rüstəmov Sakit</v>
      </c>
      <c r="H45" s="61" cm="1">
        <f t="array" ref="H45">SUM(_xlfn._xlws.FILTER(_xlfn._TRO_TRAILING(quantities!L:L),(_xlfn._TRO_TRAILING(quantities!D:D)=C45)*(_xlfn._TRO_TRAILING(quantities!E:E)=D45)))</f>
        <v>11885.714285714284</v>
      </c>
      <c r="I45" s="61"/>
      <c r="J45" t="e">
        <f ca="1">SUMIFS(
INDIRECT("'[S2 Subcon IPC Log.xlsx]Subcon IPC Log'!"&amp;"$O:$O"),
INDIRECT("'[S2 Subcon IPC Log.xlsx]Subcon IPC Log'!"&amp;"$C:$C"),
"KLN-SPP2-"&amp;_xlfn.XLOOKUP(C45,log_contracts!B:B,log_contracts!C:C)&amp;"-"&amp;TEXT(C45,"000"),
INDIRECT("'[S2 Subcon IPC Log.xlsx]Subcon IPC Log'!"&amp;"$D:$D"),
D45)</f>
        <v>#REF!</v>
      </c>
      <c r="K45" s="61" t="e">
        <f ca="1"/>
        <v>#REF!</v>
      </c>
    </row>
    <row r="46" spans="1:11" hidden="1" x14ac:dyDescent="0.25">
      <c r="A46">
        <v>45</v>
      </c>
      <c r="B46" t="str">
        <v>031-003</v>
      </c>
      <c r="C46">
        <v>31</v>
      </c>
      <c r="D46">
        <v>3</v>
      </c>
      <c r="E46" s="19" cm="1">
        <f t="array" ref="E46">_xlfn.XLOOKUP(B46,old_ipc_dates!F:F,old_ipc_dates!B:B,IF(D46=1,_xlfn.XLOOKUP(C46,log_contracts!B:B,log_contracts!D:D,,0),_xlfn.XLOOKUP(1,($C$18:C45=C46)*($D$18:D45=D46-1),$F$18:F45+1,,0)),0)</f>
        <v>45748</v>
      </c>
      <c r="F46" s="19">
        <f>_xlfn.XLOOKUP(B46,old_ipc_dates!F:F,old_ipc_dates!C:C,EOMONTH(E46,0),0)</f>
        <v>45777</v>
      </c>
      <c r="G46" t="str">
        <v>NAR TRANSPORT SERVICES MMC</v>
      </c>
      <c r="H46" s="61" cm="1">
        <f t="array" ref="H46">SUM(_xlfn._xlws.FILTER(_xlfn._TRO_TRAILING(quantities!L:L),(_xlfn._TRO_TRAILING(quantities!D:D)=C46)*(_xlfn._TRO_TRAILING(quantities!E:E)=D46)))</f>
        <v>33511.975707142854</v>
      </c>
      <c r="I46" s="61"/>
      <c r="J46" t="e">
        <f ca="1">SUMIFS(
INDIRECT("'[S2 Subcon IPC Log.xlsx]Subcon IPC Log'!"&amp;"$O:$O"),
INDIRECT("'[S2 Subcon IPC Log.xlsx]Subcon IPC Log'!"&amp;"$C:$C"),
"KLN-SPP2-"&amp;_xlfn.XLOOKUP(C46,log_contracts!B:B,log_contracts!C:C)&amp;"-"&amp;TEXT(C46,"000"),
INDIRECT("'[S2 Subcon IPC Log.xlsx]Subcon IPC Log'!"&amp;"$D:$D"),
D46)</f>
        <v>#REF!</v>
      </c>
      <c r="K46" s="61" t="e">
        <f ca="1"/>
        <v>#REF!</v>
      </c>
    </row>
    <row r="47" spans="1:11" hidden="1" x14ac:dyDescent="0.25">
      <c r="A47">
        <v>46</v>
      </c>
      <c r="B47" t="str">
        <v>046-003</v>
      </c>
      <c r="C47">
        <v>46</v>
      </c>
      <c r="D47">
        <v>3</v>
      </c>
      <c r="E47" s="19" cm="1">
        <f t="array" ref="E47">_xlfn.XLOOKUP(B47,old_ipc_dates!F:F,old_ipc_dates!B:B,IF(D47=1,_xlfn.XLOOKUP(C47,log_contracts!B:B,log_contracts!D:D,,0),_xlfn.XLOOKUP(1,($C$18:C46=C47)*($D$18:D46=D47-1),$F$18:F46+1,,0)),0)</f>
        <v>45839</v>
      </c>
      <c r="F47" s="19">
        <f>_xlfn.XLOOKUP(B47,old_ipc_dates!F:F,old_ipc_dates!C:C,EOMONTH(E47,0),0)</f>
        <v>45869</v>
      </c>
      <c r="G47" t="str">
        <v>HARDCORE CONSTRUCTION AND EQUIPMENT</v>
      </c>
      <c r="H47" s="61" cm="1">
        <f t="array" ref="H47">SUM(_xlfn._xlws.FILTER(_xlfn._TRO_TRAILING(quantities!L:L),(_xlfn._TRO_TRAILING(quantities!D:D)=C47)*(_xlfn._TRO_TRAILING(quantities!E:E)=D47)))</f>
        <v>29662.14352571428</v>
      </c>
      <c r="I47" s="61"/>
      <c r="J47" t="e">
        <f ca="1">SUMIFS(
INDIRECT("'[S2 Subcon IPC Log.xlsx]Subcon IPC Log'!"&amp;"$O:$O"),
INDIRECT("'[S2 Subcon IPC Log.xlsx]Subcon IPC Log'!"&amp;"$C:$C"),
"KLN-SPP2-"&amp;_xlfn.XLOOKUP(C47,log_contracts!B:B,log_contracts!C:C)&amp;"-"&amp;TEXT(C47,"000"),
INDIRECT("'[S2 Subcon IPC Log.xlsx]Subcon IPC Log'!"&amp;"$D:$D"),
D47)</f>
        <v>#REF!</v>
      </c>
      <c r="K47" s="61" t="e">
        <f ca="1"/>
        <v>#REF!</v>
      </c>
    </row>
    <row r="48" spans="1:11" hidden="1" x14ac:dyDescent="0.25">
      <c r="A48">
        <v>47</v>
      </c>
      <c r="B48" t="str">
        <v>050-003</v>
      </c>
      <c r="C48">
        <v>50</v>
      </c>
      <c r="D48">
        <v>3</v>
      </c>
      <c r="E48" s="19" cm="1">
        <f t="array" ref="E48">_xlfn.XLOOKUP(B48,old_ipc_dates!F:F,old_ipc_dates!B:B,IF(D48=1,_xlfn.XLOOKUP(C48,log_contracts!B:B,log_contracts!D:D,,0),_xlfn.XLOOKUP(1,($C$18:C47=C48)*($D$18:D47=D48-1),$F$18:F47+1,,0)),0)</f>
        <v>45870</v>
      </c>
      <c r="F48" s="19">
        <f>_xlfn.XLOOKUP(B48,old_ipc_dates!F:F,old_ipc_dates!C:C,EOMONTH(E48,0),0)</f>
        <v>45900</v>
      </c>
      <c r="G48" t="str">
        <v>LOFT CONSTRUCTION</v>
      </c>
      <c r="H48" s="61" cm="1">
        <f t="array" ref="H48">SUM(_xlfn._xlws.FILTER(_xlfn._TRO_TRAILING(quantities!L:L),(_xlfn._TRO_TRAILING(quantities!D:D)=C48)*(_xlfn._TRO_TRAILING(quantities!E:E)=D48)))</f>
        <v>10357.142857142859</v>
      </c>
      <c r="I48" s="61"/>
      <c r="J48" t="e">
        <f ca="1">SUMIFS(
INDIRECT("'[S2 Subcon IPC Log.xlsx]Subcon IPC Log'!"&amp;"$O:$O"),
INDIRECT("'[S2 Subcon IPC Log.xlsx]Subcon IPC Log'!"&amp;"$C:$C"),
"KLN-SPP2-"&amp;_xlfn.XLOOKUP(C48,log_contracts!B:B,log_contracts!C:C)&amp;"-"&amp;TEXT(C48,"000"),
INDIRECT("'[S2 Subcon IPC Log.xlsx]Subcon IPC Log'!"&amp;"$D:$D"),
D48)</f>
        <v>#REF!</v>
      </c>
      <c r="K48" s="61" t="e">
        <f ca="1"/>
        <v>#REF!</v>
      </c>
    </row>
    <row r="49" spans="1:11" hidden="1" x14ac:dyDescent="0.25">
      <c r="A49">
        <v>48</v>
      </c>
      <c r="B49" t="str">
        <v>051-003</v>
      </c>
      <c r="C49">
        <v>51</v>
      </c>
      <c r="D49">
        <v>3</v>
      </c>
      <c r="E49" s="19" cm="1">
        <f t="array" ref="E49">_xlfn.XLOOKUP(B49,old_ipc_dates!F:F,old_ipc_dates!B:B,IF(D49=1,_xlfn.XLOOKUP(C49,log_contracts!B:B,log_contracts!D:D,,0),_xlfn.XLOOKUP(1,($C$18:C48=C49)*($D$18:D48=D49-1),$F$18:F48+1,,0)),0)</f>
        <v>45931</v>
      </c>
      <c r="F49" s="19">
        <f>_xlfn.XLOOKUP(B49,old_ipc_dates!F:F,old_ipc_dates!C:C,EOMONTH(E49,0),0)</f>
        <v>45961</v>
      </c>
      <c r="G49" t="str">
        <v>INTERMAK GROUP MMC</v>
      </c>
      <c r="H49" s="61" cm="1">
        <f t="array" ref="H49">SUM(_xlfn._xlws.FILTER(_xlfn._TRO_TRAILING(quantities!L:L),(_xlfn._TRO_TRAILING(quantities!D:D)=C49)*(_xlfn._TRO_TRAILING(quantities!E:E)=D49)))</f>
        <v>8506.2759999999998</v>
      </c>
      <c r="I49" s="61"/>
      <c r="J49" t="e">
        <f ca="1">SUMIFS(
INDIRECT("'[S2 Subcon IPC Log.xlsx]Subcon IPC Log'!"&amp;"$O:$O"),
INDIRECT("'[S2 Subcon IPC Log.xlsx]Subcon IPC Log'!"&amp;"$C:$C"),
"KLN-SPP2-"&amp;_xlfn.XLOOKUP(C49,log_contracts!B:B,log_contracts!C:C)&amp;"-"&amp;TEXT(C49,"000"),
INDIRECT("'[S2 Subcon IPC Log.xlsx]Subcon IPC Log'!"&amp;"$D:$D"),
D49)</f>
        <v>#REF!</v>
      </c>
      <c r="K49" s="61" t="e">
        <f ca="1"/>
        <v>#REF!</v>
      </c>
    </row>
    <row r="50" spans="1:11" hidden="1" x14ac:dyDescent="0.25">
      <c r="A50">
        <v>49</v>
      </c>
      <c r="B50" t="str">
        <v>052-003</v>
      </c>
      <c r="C50">
        <v>52</v>
      </c>
      <c r="D50">
        <v>3</v>
      </c>
      <c r="E50" s="19" cm="1">
        <f t="array" ref="E50">_xlfn.XLOOKUP(B50,old_ipc_dates!F:F,old_ipc_dates!B:B,IF(D50=1,_xlfn.XLOOKUP(C50,log_contracts!B:B,log_contracts!D:D,,0),_xlfn.XLOOKUP(1,($C$18:C49=C50)*($D$18:D49=D50-1),$F$18:F49+1,,0)),0)</f>
        <v>45809</v>
      </c>
      <c r="F50" s="19">
        <f>_xlfn.XLOOKUP(B50,old_ipc_dates!F:F,old_ipc_dates!C:C,EOMONTH(E50,0),0)</f>
        <v>45838</v>
      </c>
      <c r="G50" t="str">
        <v>DTS MMC</v>
      </c>
      <c r="H50" s="61" cm="1">
        <f t="array" ref="H50">SUM(_xlfn._xlws.FILTER(_xlfn._TRO_TRAILING(quantities!L:L),(_xlfn._TRO_TRAILING(quantities!D:D)=C50)*(_xlfn._TRO_TRAILING(quantities!E:E)=D50)))</f>
        <v>16580.28</v>
      </c>
      <c r="I50" s="61"/>
      <c r="J50" t="e">
        <f ca="1">SUMIFS(
INDIRECT("'[S2 Subcon IPC Log.xlsx]Subcon IPC Log'!"&amp;"$O:$O"),
INDIRECT("'[S2 Subcon IPC Log.xlsx]Subcon IPC Log'!"&amp;"$C:$C"),
"KLN-SPP2-"&amp;_xlfn.XLOOKUP(C50,log_contracts!B:B,log_contracts!C:C)&amp;"-"&amp;TEXT(C50,"000"),
INDIRECT("'[S2 Subcon IPC Log.xlsx]Subcon IPC Log'!"&amp;"$D:$D"),
D50)</f>
        <v>#REF!</v>
      </c>
      <c r="K50" s="61" t="e">
        <f ca="1"/>
        <v>#REF!</v>
      </c>
    </row>
    <row r="51" spans="1:11" hidden="1" x14ac:dyDescent="0.25">
      <c r="A51">
        <v>50</v>
      </c>
      <c r="B51" t="str">
        <v>065-003</v>
      </c>
      <c r="C51">
        <v>65</v>
      </c>
      <c r="D51">
        <v>3</v>
      </c>
      <c r="E51" s="19" cm="1">
        <f t="array" ref="E51">_xlfn.XLOOKUP(B51,old_ipc_dates!F:F,old_ipc_dates!B:B,IF(D51=1,_xlfn.XLOOKUP(C51,log_contracts!B:B,log_contracts!D:D,,0),_xlfn.XLOOKUP(1,($C$18:C50=C51)*($D$18:D50=D51-1),$F$18:F50+1,,0)),0)</f>
        <v>45839</v>
      </c>
      <c r="F51" s="19">
        <f>_xlfn.XLOOKUP(B51,old_ipc_dates!F:F,old_ipc_dates!C:C,EOMONTH(E51,0),0)</f>
        <v>45869</v>
      </c>
      <c r="G51" t="str">
        <v>ETIBAR MAMMADOV</v>
      </c>
      <c r="H51" s="61" cm="1">
        <f t="array" ref="H51">SUM(_xlfn._xlws.FILTER(_xlfn._TRO_TRAILING(quantities!L:L),(_xlfn._TRO_TRAILING(quantities!D:D)=C51)*(_xlfn._TRO_TRAILING(quantities!E:E)=D51)))</f>
        <v>8589.2085714285713</v>
      </c>
      <c r="I51" s="61"/>
      <c r="J51" t="e">
        <f ca="1">SUMIFS(
INDIRECT("'[S2 Subcon IPC Log.xlsx]Subcon IPC Log'!"&amp;"$O:$O"),
INDIRECT("'[S2 Subcon IPC Log.xlsx]Subcon IPC Log'!"&amp;"$C:$C"),
"KLN-SPP2-"&amp;_xlfn.XLOOKUP(C51,log_contracts!B:B,log_contracts!C:C)&amp;"-"&amp;TEXT(C51,"000"),
INDIRECT("'[S2 Subcon IPC Log.xlsx]Subcon IPC Log'!"&amp;"$D:$D"),
D51)</f>
        <v>#REF!</v>
      </c>
      <c r="K51" s="61" t="e">
        <f ca="1"/>
        <v>#REF!</v>
      </c>
    </row>
    <row r="52" spans="1:11" hidden="1" x14ac:dyDescent="0.25">
      <c r="A52">
        <v>51</v>
      </c>
      <c r="B52" t="str">
        <v>085-003</v>
      </c>
      <c r="C52">
        <v>85</v>
      </c>
      <c r="D52">
        <v>3</v>
      </c>
      <c r="E52" s="19" cm="1">
        <f t="array" ref="E52">_xlfn.XLOOKUP(B52,old_ipc_dates!F:F,old_ipc_dates!B:B,IF(D52=1,_xlfn.XLOOKUP(C52,log_contracts!B:B,log_contracts!D:D,,0),_xlfn.XLOOKUP(1,($C$18:C51=C52)*($D$18:D51=D52-1),$F$18:F51+1,,0)),0)</f>
        <v>45870</v>
      </c>
      <c r="F52" s="19">
        <f>_xlfn.XLOOKUP(B52,old_ipc_dates!F:F,old_ipc_dates!C:C,EOMONTH(E52,0),0)</f>
        <v>45900</v>
      </c>
      <c r="G52" t="str">
        <v>BABEK ALBANDOV</v>
      </c>
      <c r="H52" s="61" cm="1">
        <f t="array" ref="H52">SUM(_xlfn._xlws.FILTER(_xlfn._TRO_TRAILING(quantities!L:L),(_xlfn._TRO_TRAILING(quantities!D:D)=C52)*(_xlfn._TRO_TRAILING(quantities!E:E)=D52)))</f>
        <v>14598.260999999999</v>
      </c>
      <c r="I52" s="61"/>
      <c r="J52" t="e">
        <f ca="1">SUMIFS(
INDIRECT("'[S2 Subcon IPC Log.xlsx]Subcon IPC Log'!"&amp;"$O:$O"),
INDIRECT("'[S2 Subcon IPC Log.xlsx]Subcon IPC Log'!"&amp;"$C:$C"),
"KLN-SPP2-"&amp;_xlfn.XLOOKUP(C52,log_contracts!B:B,log_contracts!C:C)&amp;"-"&amp;TEXT(C52,"000"),
INDIRECT("'[S2 Subcon IPC Log.xlsx]Subcon IPC Log'!"&amp;"$D:$D"),
D52)</f>
        <v>#REF!</v>
      </c>
      <c r="K52" s="61" t="e">
        <f ca="1"/>
        <v>#REF!</v>
      </c>
    </row>
    <row r="53" spans="1:11" hidden="1" x14ac:dyDescent="0.25">
      <c r="A53">
        <v>52</v>
      </c>
      <c r="B53" t="str">
        <v>094-003</v>
      </c>
      <c r="C53">
        <v>94</v>
      </c>
      <c r="D53">
        <v>3</v>
      </c>
      <c r="E53" s="19" cm="1">
        <f t="array" ref="E53">_xlfn.XLOOKUP(B53,old_ipc_dates!F:F,old_ipc_dates!B:B,IF(D53=1,_xlfn.XLOOKUP(C53,log_contracts!B:B,log_contracts!D:D,,0),_xlfn.XLOOKUP(1,($C$18:C52=C53)*($D$18:D52=D53-1),$F$18:F52+1,,0)),0)</f>
        <v>45870</v>
      </c>
      <c r="F53" s="19">
        <f>_xlfn.XLOOKUP(B53,old_ipc_dates!F:F,old_ipc_dates!C:C,EOMONTH(E53,0),0)</f>
        <v>45900</v>
      </c>
      <c r="G53" t="str">
        <v>XANIM ABDULLAYEVA</v>
      </c>
      <c r="H53" s="61" cm="1">
        <f t="array" ref="H53">SUM(_xlfn._xlws.FILTER(_xlfn._TRO_TRAILING(quantities!L:L),(_xlfn._TRO_TRAILING(quantities!D:D)=C53)*(_xlfn._TRO_TRAILING(quantities!E:E)=D53)))</f>
        <v>10987.5</v>
      </c>
      <c r="I53" s="61"/>
      <c r="J53" t="e">
        <f ca="1">SUMIFS(
INDIRECT("'[S2 Subcon IPC Log.xlsx]Subcon IPC Log'!"&amp;"$O:$O"),
INDIRECT("'[S2 Subcon IPC Log.xlsx]Subcon IPC Log'!"&amp;"$C:$C"),
"KLN-SPP2-"&amp;_xlfn.XLOOKUP(C53,log_contracts!B:B,log_contracts!C:C)&amp;"-"&amp;TEXT(C53,"000"),
INDIRECT("'[S2 Subcon IPC Log.xlsx]Subcon IPC Log'!"&amp;"$D:$D"),
D53)</f>
        <v>#REF!</v>
      </c>
      <c r="K53" s="61" t="e">
        <f ca="1"/>
        <v>#REF!</v>
      </c>
    </row>
    <row r="54" spans="1:11" hidden="1" x14ac:dyDescent="0.25">
      <c r="A54">
        <v>53</v>
      </c>
      <c r="B54" t="str">
        <v>095-003</v>
      </c>
      <c r="C54">
        <v>95</v>
      </c>
      <c r="D54">
        <v>3</v>
      </c>
      <c r="E54" s="19" cm="1">
        <f t="array" ref="E54">_xlfn.XLOOKUP(B54,old_ipc_dates!F:F,old_ipc_dates!B:B,IF(D54=1,_xlfn.XLOOKUP(C54,log_contracts!B:B,log_contracts!D:D,,0),_xlfn.XLOOKUP(1,($C$18:C53=C54)*($D$18:D53=D54-1),$F$18:F53+1,,0)),0)</f>
        <v>45901</v>
      </c>
      <c r="F54" s="19">
        <f>_xlfn.XLOOKUP(B54,old_ipc_dates!F:F,old_ipc_dates!C:C,EOMONTH(E54,0),0)</f>
        <v>45930</v>
      </c>
      <c r="G54" t="str">
        <v>IBRAHIM XALILOV</v>
      </c>
      <c r="H54" s="61" cm="1">
        <f t="array" ref="H54">SUM(_xlfn._xlws.FILTER(_xlfn._TRO_TRAILING(quantities!L:L),(_xlfn._TRO_TRAILING(quantities!D:D)=C54)*(_xlfn._TRO_TRAILING(quantities!E:E)=D54)))</f>
        <v>6857.0399999999991</v>
      </c>
      <c r="I54" s="61"/>
      <c r="J54" t="e">
        <f ca="1">SUMIFS(
INDIRECT("'[S2 Subcon IPC Log.xlsx]Subcon IPC Log'!"&amp;"$O:$O"),
INDIRECT("'[S2 Subcon IPC Log.xlsx]Subcon IPC Log'!"&amp;"$C:$C"),
"KLN-SPP2-"&amp;_xlfn.XLOOKUP(C54,log_contracts!B:B,log_contracts!C:C)&amp;"-"&amp;TEXT(C54,"000"),
INDIRECT("'[S2 Subcon IPC Log.xlsx]Subcon IPC Log'!"&amp;"$D:$D"),
D54)</f>
        <v>#REF!</v>
      </c>
      <c r="K54" s="61" t="e">
        <f ca="1"/>
        <v>#REF!</v>
      </c>
    </row>
    <row r="55" spans="1:11" hidden="1" x14ac:dyDescent="0.25">
      <c r="A55">
        <v>54</v>
      </c>
      <c r="B55" t="str">
        <v>098-003</v>
      </c>
      <c r="C55">
        <v>98</v>
      </c>
      <c r="D55">
        <v>3</v>
      </c>
      <c r="E55" s="19" cm="1">
        <f t="array" ref="E55">_xlfn.XLOOKUP(B55,old_ipc_dates!F:F,old_ipc_dates!B:B,IF(D55=1,_xlfn.XLOOKUP(C55,log_contracts!B:B,log_contracts!D:D,,0),_xlfn.XLOOKUP(1,($C$18:C54=C55)*($D$18:D54=D55-1),$F$18:F54+1,,0)),0)</f>
        <v>45901</v>
      </c>
      <c r="F55" s="19">
        <f>_xlfn.XLOOKUP(B55,old_ipc_dates!F:F,old_ipc_dates!C:C,EOMONTH(E55,0),0)</f>
        <v>45930</v>
      </c>
      <c r="G55" t="str">
        <v>HACIAGA KERIMOV</v>
      </c>
      <c r="H55" s="61" cm="1">
        <f t="array" ref="H55">SUM(_xlfn._xlws.FILTER(_xlfn._TRO_TRAILING(quantities!L:L),(_xlfn._TRO_TRAILING(quantities!D:D)=C55)*(_xlfn._TRO_TRAILING(quantities!E:E)=D55)))</f>
        <v>2717.7780000000002</v>
      </c>
      <c r="I55" s="61"/>
      <c r="J55" t="e">
        <f ca="1">SUMIFS(
INDIRECT("'[S2 Subcon IPC Log.xlsx]Subcon IPC Log'!"&amp;"$O:$O"),
INDIRECT("'[S2 Subcon IPC Log.xlsx]Subcon IPC Log'!"&amp;"$C:$C"),
"KLN-SPP2-"&amp;_xlfn.XLOOKUP(C55,log_contracts!B:B,log_contracts!C:C)&amp;"-"&amp;TEXT(C55,"000"),
INDIRECT("'[S2 Subcon IPC Log.xlsx]Subcon IPC Log'!"&amp;"$D:$D"),
D55)</f>
        <v>#REF!</v>
      </c>
      <c r="K55" s="61" t="e">
        <f ca="1"/>
        <v>#REF!</v>
      </c>
    </row>
    <row r="56" spans="1:11" hidden="1" x14ac:dyDescent="0.25">
      <c r="A56">
        <v>55</v>
      </c>
      <c r="B56" t="str">
        <v>099-003</v>
      </c>
      <c r="C56">
        <v>99</v>
      </c>
      <c r="D56">
        <v>3</v>
      </c>
      <c r="E56" s="19" cm="1">
        <f t="array" ref="E56">_xlfn.XLOOKUP(B56,old_ipc_dates!F:F,old_ipc_dates!B:B,IF(D56=1,_xlfn.XLOOKUP(C56,log_contracts!B:B,log_contracts!D:D,,0),_xlfn.XLOOKUP(1,($C$18:C55=C56)*($D$18:D55=D56-1),$F$18:F55+1,,0)),0)</f>
        <v>45901</v>
      </c>
      <c r="F56" s="19">
        <f>_xlfn.XLOOKUP(B56,old_ipc_dates!F:F,old_ipc_dates!C:C,EOMONTH(E56,0),0)</f>
        <v>45930</v>
      </c>
      <c r="G56" t="str">
        <v>YUSIF MAHARRAMOV</v>
      </c>
      <c r="H56" s="61" cm="1">
        <f t="array" ref="H56">SUM(_xlfn._xlws.FILTER(_xlfn._TRO_TRAILING(quantities!L:L),(_xlfn._TRO_TRAILING(quantities!D:D)=C56)*(_xlfn._TRO_TRAILING(quantities!E:E)=D56)))</f>
        <v>4162.5</v>
      </c>
      <c r="I56" s="61"/>
      <c r="J56" t="e">
        <f ca="1">SUMIFS(
INDIRECT("'[S2 Subcon IPC Log.xlsx]Subcon IPC Log'!"&amp;"$O:$O"),
INDIRECT("'[S2 Subcon IPC Log.xlsx]Subcon IPC Log'!"&amp;"$C:$C"),
"KLN-SPP2-"&amp;_xlfn.XLOOKUP(C56,log_contracts!B:B,log_contracts!C:C)&amp;"-"&amp;TEXT(C56,"000"),
INDIRECT("'[S2 Subcon IPC Log.xlsx]Subcon IPC Log'!"&amp;"$D:$D"),
D56)</f>
        <v>#REF!</v>
      </c>
      <c r="K56" s="61" t="e">
        <f ca="1"/>
        <v>#REF!</v>
      </c>
    </row>
    <row r="57" spans="1:11" hidden="1" x14ac:dyDescent="0.25">
      <c r="A57">
        <v>56</v>
      </c>
      <c r="B57" t="str">
        <v>100-003</v>
      </c>
      <c r="C57">
        <v>100</v>
      </c>
      <c r="D57">
        <v>3</v>
      </c>
      <c r="E57" s="19" cm="1">
        <f t="array" ref="E57">_xlfn.XLOOKUP(B57,old_ipc_dates!F:F,old_ipc_dates!B:B,IF(D57=1,_xlfn.XLOOKUP(C57,log_contracts!B:B,log_contracts!D:D,,0),_xlfn.XLOOKUP(1,($C$18:C56=C57)*($D$18:D56=D57-1),$F$18:F56+1,,0)),0)</f>
        <v>45901</v>
      </c>
      <c r="F57" s="19">
        <f>_xlfn.XLOOKUP(B57,old_ipc_dates!F:F,old_ipc_dates!C:C,EOMONTH(E57,0),0)</f>
        <v>45930</v>
      </c>
      <c r="G57" t="str">
        <v>RUSLAN HUSEYNOV</v>
      </c>
      <c r="H57" s="61" cm="1">
        <f t="array" ref="H57">SUM(_xlfn._xlws.FILTER(_xlfn._TRO_TRAILING(quantities!L:L),(_xlfn._TRO_TRAILING(quantities!D:D)=C57)*(_xlfn._TRO_TRAILING(quantities!E:E)=D57)))</f>
        <v>5107.1428571428569</v>
      </c>
      <c r="I57" s="61"/>
      <c r="J57" t="e">
        <f ca="1">SUMIFS(
INDIRECT("'[S2 Subcon IPC Log.xlsx]Subcon IPC Log'!"&amp;"$O:$O"),
INDIRECT("'[S2 Subcon IPC Log.xlsx]Subcon IPC Log'!"&amp;"$C:$C"),
"KLN-SPP2-"&amp;_xlfn.XLOOKUP(C57,log_contracts!B:B,log_contracts!C:C)&amp;"-"&amp;TEXT(C57,"000"),
INDIRECT("'[S2 Subcon IPC Log.xlsx]Subcon IPC Log'!"&amp;"$D:$D"),
D57)</f>
        <v>#REF!</v>
      </c>
      <c r="K57" s="61" t="e">
        <f ca="1"/>
        <v>#REF!</v>
      </c>
    </row>
    <row r="58" spans="1:11" hidden="1" x14ac:dyDescent="0.25">
      <c r="A58">
        <v>57</v>
      </c>
      <c r="B58" t="str">
        <v>102-003</v>
      </c>
      <c r="C58">
        <v>102</v>
      </c>
      <c r="D58">
        <v>3</v>
      </c>
      <c r="E58" s="19" cm="1">
        <f t="array" ref="E58">_xlfn.XLOOKUP(B58,old_ipc_dates!F:F,old_ipc_dates!B:B,IF(D58=1,_xlfn.XLOOKUP(C58,log_contracts!B:B,log_contracts!D:D,,0),_xlfn.XLOOKUP(1,($C$18:C57=C58)*($D$18:D57=D58-1),$F$18:F57+1,,0)),0)</f>
        <v>45931</v>
      </c>
      <c r="F58" s="19">
        <f>_xlfn.XLOOKUP(B58,old_ipc_dates!F:F,old_ipc_dates!C:C,EOMONTH(E58,0),0)</f>
        <v>45961</v>
      </c>
      <c r="G58" t="str">
        <v>KONUL HUSEYNOVA</v>
      </c>
      <c r="H58" s="61" cm="1">
        <f t="array" ref="H58">SUM(_xlfn._xlws.FILTER(_xlfn._TRO_TRAILING(quantities!L:L),(_xlfn._TRO_TRAILING(quantities!D:D)=C58)*(_xlfn._TRO_TRAILING(quantities!E:E)=D58)))</f>
        <v>12312.5</v>
      </c>
      <c r="I58" s="61"/>
      <c r="J58" t="e">
        <f ca="1">SUMIFS(
INDIRECT("'[S2 Subcon IPC Log.xlsx]Subcon IPC Log'!"&amp;"$O:$O"),
INDIRECT("'[S2 Subcon IPC Log.xlsx]Subcon IPC Log'!"&amp;"$C:$C"),
"KLN-SPP2-"&amp;_xlfn.XLOOKUP(C58,log_contracts!B:B,log_contracts!C:C)&amp;"-"&amp;TEXT(C58,"000"),
INDIRECT("'[S2 Subcon IPC Log.xlsx]Subcon IPC Log'!"&amp;"$D:$D"),
D58)</f>
        <v>#REF!</v>
      </c>
      <c r="K58" s="61" t="e">
        <f ca="1"/>
        <v>#REF!</v>
      </c>
    </row>
    <row r="59" spans="1:11" hidden="1" x14ac:dyDescent="0.25">
      <c r="A59">
        <v>58</v>
      </c>
      <c r="B59" t="str">
        <v>110-003</v>
      </c>
      <c r="C59">
        <v>110</v>
      </c>
      <c r="D59">
        <v>3</v>
      </c>
      <c r="E59" s="19" cm="1">
        <f t="array" ref="E59">_xlfn.XLOOKUP(B59,old_ipc_dates!F:F,old_ipc_dates!B:B,IF(D59=1,_xlfn.XLOOKUP(C59,log_contracts!B:B,log_contracts!D:D,,0),_xlfn.XLOOKUP(1,($C$18:C58=C59)*($D$18:D58=D59-1),$F$18:F58+1,,0)),0)</f>
        <v>45931</v>
      </c>
      <c r="F59" s="19">
        <f>_xlfn.XLOOKUP(B59,old_ipc_dates!F:F,old_ipc_dates!C:C,EOMONTH(E59,0),0)</f>
        <v>45961</v>
      </c>
      <c r="G59" t="str">
        <v>MAMMAD QALANDARLI</v>
      </c>
      <c r="H59" s="61" cm="1">
        <f t="array" ref="H59">SUM(_xlfn._xlws.FILTER(_xlfn._TRO_TRAILING(quantities!L:L),(_xlfn._TRO_TRAILING(quantities!D:D)=C59)*(_xlfn._TRO_TRAILING(quantities!E:E)=D59)))</f>
        <v>6642.8571428571422</v>
      </c>
      <c r="I59" s="61"/>
      <c r="J59" t="e">
        <f ca="1">SUMIFS(
INDIRECT("'[S2 Subcon IPC Log.xlsx]Subcon IPC Log'!"&amp;"$O:$O"),
INDIRECT("'[S2 Subcon IPC Log.xlsx]Subcon IPC Log'!"&amp;"$C:$C"),
"KLN-SPP2-"&amp;_xlfn.XLOOKUP(C59,log_contracts!B:B,log_contracts!C:C)&amp;"-"&amp;TEXT(C59,"000"),
INDIRECT("'[S2 Subcon IPC Log.xlsx]Subcon IPC Log'!"&amp;"$D:$D"),
D59)</f>
        <v>#REF!</v>
      </c>
      <c r="K59" s="61" t="e">
        <f ca="1"/>
        <v>#REF!</v>
      </c>
    </row>
    <row r="60" spans="1:11" x14ac:dyDescent="0.25">
      <c r="A60">
        <v>59</v>
      </c>
      <c r="B60" t="str">
        <v>121-003</v>
      </c>
      <c r="C60">
        <v>121</v>
      </c>
      <c r="D60">
        <v>3</v>
      </c>
      <c r="E60" s="19" cm="1">
        <f t="array" ref="E60">_xlfn.XLOOKUP(B60,old_ipc_dates!F:F,old_ipc_dates!B:B,IF(D60=1,_xlfn.XLOOKUP(C60,log_contracts!B:B,log_contracts!D:D,,0),_xlfn.XLOOKUP(1,($C$18:C59=C60)*($D$18:D59=D60-1),$F$18:F59+1,,0)),0)</f>
        <v>45992</v>
      </c>
      <c r="F60" s="19">
        <f>_xlfn.XLOOKUP(B60,old_ipc_dates!F:F,old_ipc_dates!C:C,EOMONTH(E60,0),0)</f>
        <v>46022</v>
      </c>
      <c r="G60" t="str">
        <v>TEYMUR ABBASOV</v>
      </c>
      <c r="H60" s="61" cm="1">
        <f t="array" ref="H60">SUM(_xlfn._xlws.FILTER(_xlfn._TRO_TRAILING(quantities!L:L),(_xlfn._TRO_TRAILING(quantities!D:D)=C60)*(_xlfn._TRO_TRAILING(quantities!E:E)=D60)))</f>
        <v>3599.96</v>
      </c>
      <c r="I60" s="61"/>
      <c r="J60" t="e">
        <f ca="1">SUMIFS(
INDIRECT("'[S2 Subcon IPC Log.xlsx]Subcon IPC Log'!"&amp;"$O:$O"),
INDIRECT("'[S2 Subcon IPC Log.xlsx]Subcon IPC Log'!"&amp;"$C:$C"),
"KLN-SPP2-"&amp;_xlfn.XLOOKUP(C60,log_contracts!B:B,log_contracts!C:C)&amp;"-"&amp;TEXT(C60,"000"),
INDIRECT("'[S2 Subcon IPC Log.xlsx]Subcon IPC Log'!"&amp;"$D:$D"),
D60)</f>
        <v>#REF!</v>
      </c>
      <c r="K60" s="61" t="e">
        <f ca="1"/>
        <v>#REF!</v>
      </c>
    </row>
    <row r="61" spans="1:11" hidden="1" x14ac:dyDescent="0.25">
      <c r="A61">
        <v>60</v>
      </c>
      <c r="B61" t="str">
        <v>141-003</v>
      </c>
      <c r="C61">
        <v>141</v>
      </c>
      <c r="D61">
        <v>3</v>
      </c>
      <c r="E61" s="19" cm="1">
        <f t="array" ref="E61">_xlfn.XLOOKUP(B61,old_ipc_dates!F:F,old_ipc_dates!B:B,IF(D61=1,_xlfn.XLOOKUP(C61,log_contracts!B:B,log_contracts!D:D,,0),_xlfn.XLOOKUP(1,($C$18:C60=C61)*($D$18:D60=D61-1),$F$18:F60+1,,0)),0)</f>
        <v>45658</v>
      </c>
      <c r="F61" s="19">
        <f>_xlfn.XLOOKUP(B61,old_ipc_dates!F:F,old_ipc_dates!C:C,EOMONTH(E61,0),0)</f>
        <v>45688</v>
      </c>
      <c r="G61" t="str">
        <v>MIRELEM CABBROV</v>
      </c>
      <c r="H61" s="61" cm="1">
        <f t="array" ref="H61">SUM(_xlfn._xlws.FILTER(_xlfn._TRO_TRAILING(quantities!L:L),(_xlfn._TRO_TRAILING(quantities!D:D)=C61)*(_xlfn._TRO_TRAILING(quantities!E:E)=D61)))</f>
        <v>4842.8571428571422</v>
      </c>
      <c r="I61" s="61"/>
      <c r="J61" s="61" t="e">
        <f ca="1">SUMIFS(
INDIRECT("'[S2 Subcon IPC Log.xlsx]Subcon IPC Log'!"&amp;"$O:$O"),
INDIRECT("'[S2 Subcon IPC Log.xlsx]Subcon IPC Log'!"&amp;"$C:$C"),
"KLN-SPP2-"&amp;_xlfn.XLOOKUP(C61,log_contracts!B:B,log_contracts!C:C)&amp;"-"&amp;TEXT(C61,"000"),
INDIRECT("'[S2 Subcon IPC Log.xlsx]Subcon IPC Log'!"&amp;"$D:$D"),
D61)</f>
        <v>#REF!</v>
      </c>
      <c r="K61" s="61" t="e">
        <f ca="1"/>
        <v>#REF!</v>
      </c>
    </row>
    <row r="62" spans="1:11" hidden="1" x14ac:dyDescent="0.25">
      <c r="A62">
        <v>61</v>
      </c>
      <c r="B62" t="str">
        <v>163-003</v>
      </c>
      <c r="C62">
        <v>163</v>
      </c>
      <c r="D62">
        <v>3</v>
      </c>
      <c r="E62" s="19" cm="1">
        <f t="array" ref="E62">_xlfn.XLOOKUP(B62,old_ipc_dates!F:F,old_ipc_dates!B:B,IF(D62=1,_xlfn.XLOOKUP(C62,log_contracts!B:B,log_contracts!D:D,,0),_xlfn.XLOOKUP(1,($C$18:C61=C62)*($D$18:D61=D62-1),$F$18:F61+1,,0)),0)</f>
        <v>46082</v>
      </c>
      <c r="F62" s="19">
        <f>_xlfn.XLOOKUP(B62,old_ipc_dates!F:F,old_ipc_dates!C:C,EOMONTH(E62,0),0)</f>
        <v>46112</v>
      </c>
      <c r="G62" t="str">
        <v>Əsgərov Yaşar</v>
      </c>
      <c r="H62" s="61" cm="1">
        <f t="array" ref="H62">SUM(_xlfn._xlws.FILTER(_xlfn._TRO_TRAILING(quantities!L:L),(_xlfn._TRO_TRAILING(quantities!D:D)=C62)*(_xlfn._TRO_TRAILING(quantities!E:E)=D62)))</f>
        <v>4580.3571428571431</v>
      </c>
      <c r="I62" s="61"/>
      <c r="J62" t="e">
        <f ca="1">SUMIFS(
INDIRECT("'[S2 Subcon IPC Log.xlsx]Subcon IPC Log'!"&amp;"$O:$O"),
INDIRECT("'[S2 Subcon IPC Log.xlsx]Subcon IPC Log'!"&amp;"$C:$C"),
"KLN-SPP2-"&amp;_xlfn.XLOOKUP(C62,log_contracts!B:B,log_contracts!C:C)&amp;"-"&amp;TEXT(C62,"000"),
INDIRECT("'[S2 Subcon IPC Log.xlsx]Subcon IPC Log'!"&amp;"$D:$D"),
D62)</f>
        <v>#REF!</v>
      </c>
      <c r="K62" s="61" t="e">
        <f ca="1"/>
        <v>#REF!</v>
      </c>
    </row>
    <row r="63" spans="1:11" hidden="1" x14ac:dyDescent="0.25">
      <c r="A63">
        <v>62</v>
      </c>
      <c r="B63" t="str">
        <v>031-004</v>
      </c>
      <c r="C63">
        <v>31</v>
      </c>
      <c r="D63">
        <v>4</v>
      </c>
      <c r="E63" s="19" cm="1">
        <f t="array" ref="E63">_xlfn.XLOOKUP(B63,old_ipc_dates!F:F,old_ipc_dates!B:B,IF(D63=1,_xlfn.XLOOKUP(C63,log_contracts!B:B,log_contracts!D:D,,0),_xlfn.XLOOKUP(1,($C$18:C62=C63)*($D$18:D62=D63-1),$F$18:F62+1,,0)),0)</f>
        <v>45778</v>
      </c>
      <c r="F63" s="19">
        <f>_xlfn.XLOOKUP(B63,old_ipc_dates!F:F,old_ipc_dates!C:C,EOMONTH(E63,0),0)</f>
        <v>45808</v>
      </c>
      <c r="G63" t="str">
        <v>NAR TRANSPORT SERVICES MMC</v>
      </c>
      <c r="H63" s="61" cm="1">
        <f t="array" ref="H63">SUM(_xlfn._xlws.FILTER(_xlfn._TRO_TRAILING(quantities!L:L),(_xlfn._TRO_TRAILING(quantities!D:D)=C63)*(_xlfn._TRO_TRAILING(quantities!E:E)=D63)))</f>
        <v>33566.091071428564</v>
      </c>
      <c r="I63" s="61"/>
      <c r="J63" t="e">
        <f ca="1">SUMIFS(
INDIRECT("'[S2 Subcon IPC Log.xlsx]Subcon IPC Log'!"&amp;"$O:$O"),
INDIRECT("'[S2 Subcon IPC Log.xlsx]Subcon IPC Log'!"&amp;"$C:$C"),
"KLN-SPP2-"&amp;_xlfn.XLOOKUP(C63,log_contracts!B:B,log_contracts!C:C)&amp;"-"&amp;TEXT(C63,"000"),
INDIRECT("'[S2 Subcon IPC Log.xlsx]Subcon IPC Log'!"&amp;"$D:$D"),
D63)</f>
        <v>#REF!</v>
      </c>
      <c r="K63" s="61" t="e">
        <f ca="1"/>
        <v>#REF!</v>
      </c>
    </row>
    <row r="64" spans="1:11" hidden="1" x14ac:dyDescent="0.25">
      <c r="A64">
        <v>63</v>
      </c>
      <c r="B64" t="str">
        <v>046-004</v>
      </c>
      <c r="C64">
        <v>46</v>
      </c>
      <c r="D64">
        <v>4</v>
      </c>
      <c r="E64" s="19" cm="1">
        <f t="array" ref="E64">_xlfn.XLOOKUP(B64,old_ipc_dates!F:F,old_ipc_dates!B:B,IF(D64=1,_xlfn.XLOOKUP(C64,log_contracts!B:B,log_contracts!D:D,,0),_xlfn.XLOOKUP(1,($C$18:C63=C64)*($D$18:D63=D64-1),$F$18:F63+1,,0)),0)</f>
        <v>45870</v>
      </c>
      <c r="F64" s="19">
        <f>_xlfn.XLOOKUP(B64,old_ipc_dates!F:F,old_ipc_dates!C:C,EOMONTH(E64,0),0)</f>
        <v>45900</v>
      </c>
      <c r="G64" t="str">
        <v>HARDCORE CONSTRUCTION AND EQUIPMENT</v>
      </c>
      <c r="H64" s="61" cm="1">
        <f t="array" ref="H64">SUM(_xlfn._xlws.FILTER(_xlfn._TRO_TRAILING(quantities!L:L),(_xlfn._TRO_TRAILING(quantities!D:D)=C64)*(_xlfn._TRO_TRAILING(quantities!E:E)=D64)))</f>
        <v>37253.575827142857</v>
      </c>
      <c r="I64" s="61"/>
      <c r="J64" t="e">
        <f ca="1">SUMIFS(
INDIRECT("'[S2 Subcon IPC Log.xlsx]Subcon IPC Log'!"&amp;"$O:$O"),
INDIRECT("'[S2 Subcon IPC Log.xlsx]Subcon IPC Log'!"&amp;"$C:$C"),
"KLN-SPP2-"&amp;_xlfn.XLOOKUP(C64,log_contracts!B:B,log_contracts!C:C)&amp;"-"&amp;TEXT(C64,"000"),
INDIRECT("'[S2 Subcon IPC Log.xlsx]Subcon IPC Log'!"&amp;"$D:$D"),
D64)</f>
        <v>#REF!</v>
      </c>
      <c r="K64" s="61" t="e">
        <f ca="1"/>
        <v>#REF!</v>
      </c>
    </row>
    <row r="65" spans="1:11" hidden="1" x14ac:dyDescent="0.25">
      <c r="A65">
        <v>64</v>
      </c>
      <c r="B65" t="str">
        <v>050-004</v>
      </c>
      <c r="C65">
        <v>50</v>
      </c>
      <c r="D65">
        <v>4</v>
      </c>
      <c r="E65" s="19" cm="1">
        <f t="array" ref="E65">_xlfn.XLOOKUP(B65,old_ipc_dates!F:F,old_ipc_dates!B:B,IF(D65=1,_xlfn.XLOOKUP(C65,log_contracts!B:B,log_contracts!D:D,,0),_xlfn.XLOOKUP(1,($C$18:C64=C65)*($D$18:D64=D65-1),$F$18:F64+1,,0)),0)</f>
        <v>45901</v>
      </c>
      <c r="F65" s="19">
        <f>_xlfn.XLOOKUP(B65,old_ipc_dates!F:F,old_ipc_dates!C:C,EOMONTH(E65,0),0)</f>
        <v>45930</v>
      </c>
      <c r="G65" t="str">
        <v>LOFT CONSTRUCTION</v>
      </c>
      <c r="H65" s="61" cm="1">
        <f t="array" ref="H65">SUM(_xlfn._xlws.FILTER(_xlfn._TRO_TRAILING(quantities!L:L),(_xlfn._TRO_TRAILING(quantities!D:D)=C65)*(_xlfn._TRO_TRAILING(quantities!E:E)=D65)))</f>
        <v>9642.8571428571431</v>
      </c>
      <c r="I65" s="61"/>
      <c r="J65" t="e">
        <f ca="1">SUMIFS(
INDIRECT("'[S2 Subcon IPC Log.xlsx]Subcon IPC Log'!"&amp;"$O:$O"),
INDIRECT("'[S2 Subcon IPC Log.xlsx]Subcon IPC Log'!"&amp;"$C:$C"),
"KLN-SPP2-"&amp;_xlfn.XLOOKUP(C65,log_contracts!B:B,log_contracts!C:C)&amp;"-"&amp;TEXT(C65,"000"),
INDIRECT("'[S2 Subcon IPC Log.xlsx]Subcon IPC Log'!"&amp;"$D:$D"),
D65)</f>
        <v>#REF!</v>
      </c>
      <c r="K65" s="61" t="e">
        <f ca="1"/>
        <v>#REF!</v>
      </c>
    </row>
    <row r="66" spans="1:11" hidden="1" x14ac:dyDescent="0.25">
      <c r="A66">
        <v>65</v>
      </c>
      <c r="B66" t="str">
        <v>051-004</v>
      </c>
      <c r="C66">
        <v>51</v>
      </c>
      <c r="D66">
        <v>4</v>
      </c>
      <c r="E66" s="19" cm="1">
        <f t="array" ref="E66">_xlfn.XLOOKUP(B66,old_ipc_dates!F:F,old_ipc_dates!B:B,IF(D66=1,_xlfn.XLOOKUP(C66,log_contracts!B:B,log_contracts!D:D,,0),_xlfn.XLOOKUP(1,($C$18:C65=C66)*($D$18:D65=D66-1),$F$18:F65+1,,0)),0)</f>
        <v>45962</v>
      </c>
      <c r="F66" s="19">
        <f>_xlfn.XLOOKUP(B66,old_ipc_dates!F:F,old_ipc_dates!C:C,EOMONTH(E66,0),0)</f>
        <v>45991</v>
      </c>
      <c r="G66" t="str">
        <v>INTERMAK GROUP MMC</v>
      </c>
      <c r="H66" s="61" cm="1">
        <f t="array" ref="H66">SUM(_xlfn._xlws.FILTER(_xlfn._TRO_TRAILING(quantities!L:L),(_xlfn._TRO_TRAILING(quantities!D:D)=C66)*(_xlfn._TRO_TRAILING(quantities!E:E)=D66)))</f>
        <v>8060.9269999999997</v>
      </c>
      <c r="I66" s="61"/>
      <c r="J66" t="e">
        <f ca="1">SUMIFS(
INDIRECT("'[S2 Subcon IPC Log.xlsx]Subcon IPC Log'!"&amp;"$O:$O"),
INDIRECT("'[S2 Subcon IPC Log.xlsx]Subcon IPC Log'!"&amp;"$C:$C"),
"KLN-SPP2-"&amp;_xlfn.XLOOKUP(C66,log_contracts!B:B,log_contracts!C:C)&amp;"-"&amp;TEXT(C66,"000"),
INDIRECT("'[S2 Subcon IPC Log.xlsx]Subcon IPC Log'!"&amp;"$D:$D"),
D66)</f>
        <v>#REF!</v>
      </c>
      <c r="K66" s="61" t="e">
        <f ca="1"/>
        <v>#REF!</v>
      </c>
    </row>
    <row r="67" spans="1:11" hidden="1" x14ac:dyDescent="0.25">
      <c r="A67">
        <v>66</v>
      </c>
      <c r="B67" t="str">
        <v>052-004</v>
      </c>
      <c r="C67">
        <v>52</v>
      </c>
      <c r="D67">
        <v>4</v>
      </c>
      <c r="E67" s="19" cm="1">
        <f t="array" ref="E67">_xlfn.XLOOKUP(B67,old_ipc_dates!F:F,old_ipc_dates!B:B,IF(D67=1,_xlfn.XLOOKUP(C67,log_contracts!B:B,log_contracts!D:D,,0),_xlfn.XLOOKUP(1,($C$18:C66=C67)*($D$18:D66=D67-1),$F$18:F66+1,,0)),0)</f>
        <v>45839</v>
      </c>
      <c r="F67" s="19">
        <f>_xlfn.XLOOKUP(B67,old_ipc_dates!F:F,old_ipc_dates!C:C,EOMONTH(E67,0),0)</f>
        <v>45869</v>
      </c>
      <c r="G67" t="str">
        <v>DTS MMC</v>
      </c>
      <c r="H67" s="61" cm="1">
        <f t="array" ref="H67">SUM(_xlfn._xlws.FILTER(_xlfn._TRO_TRAILING(quantities!L:L),(_xlfn._TRO_TRAILING(quantities!D:D)=C67)*(_xlfn._TRO_TRAILING(quantities!E:E)=D67)))</f>
        <v>10875</v>
      </c>
      <c r="I67" s="61"/>
      <c r="J67" t="e">
        <f ca="1">SUMIFS(
INDIRECT("'[S2 Subcon IPC Log.xlsx]Subcon IPC Log'!"&amp;"$O:$O"),
INDIRECT("'[S2 Subcon IPC Log.xlsx]Subcon IPC Log'!"&amp;"$C:$C"),
"KLN-SPP2-"&amp;_xlfn.XLOOKUP(C67,log_contracts!B:B,log_contracts!C:C)&amp;"-"&amp;TEXT(C67,"000"),
INDIRECT("'[S2 Subcon IPC Log.xlsx]Subcon IPC Log'!"&amp;"$D:$D"),
D67)</f>
        <v>#REF!</v>
      </c>
      <c r="K67" s="61" t="e">
        <f ca="1"/>
        <v>#REF!</v>
      </c>
    </row>
    <row r="68" spans="1:11" hidden="1" x14ac:dyDescent="0.25">
      <c r="A68">
        <v>67</v>
      </c>
      <c r="B68" t="str">
        <v>065-004</v>
      </c>
      <c r="C68">
        <v>65</v>
      </c>
      <c r="D68">
        <v>4</v>
      </c>
      <c r="E68" s="19" cm="1">
        <f t="array" ref="E68">_xlfn.XLOOKUP(B68,old_ipc_dates!F:F,old_ipc_dates!B:B,IF(D68=1,_xlfn.XLOOKUP(C68,log_contracts!B:B,log_contracts!D:D,,0),_xlfn.XLOOKUP(1,($C$18:C67=C68)*($D$18:D67=D68-1),$F$18:F67+1,,0)),0)</f>
        <v>45870</v>
      </c>
      <c r="F68" s="19">
        <f>_xlfn.XLOOKUP(B68,old_ipc_dates!F:F,old_ipc_dates!C:C,EOMONTH(E68,0),0)</f>
        <v>45900</v>
      </c>
      <c r="G68" t="str">
        <v>ETIBAR MAMMADOV</v>
      </c>
      <c r="H68" s="61" cm="1">
        <f t="array" ref="H68">SUM(_xlfn._xlws.FILTER(_xlfn._TRO_TRAILING(quantities!L:L),(_xlfn._TRO_TRAILING(quantities!D:D)=C68)*(_xlfn._TRO_TRAILING(quantities!E:E)=D68)))</f>
        <v>9240.966428571428</v>
      </c>
      <c r="I68" s="61"/>
      <c r="J68" t="e">
        <f ca="1">SUMIFS(
INDIRECT("'[S2 Subcon IPC Log.xlsx]Subcon IPC Log'!"&amp;"$O:$O"),
INDIRECT("'[S2 Subcon IPC Log.xlsx]Subcon IPC Log'!"&amp;"$C:$C"),
"KLN-SPP2-"&amp;_xlfn.XLOOKUP(C68,log_contracts!B:B,log_contracts!C:C)&amp;"-"&amp;TEXT(C68,"000"),
INDIRECT("'[S2 Subcon IPC Log.xlsx]Subcon IPC Log'!"&amp;"$D:$D"),
D68)</f>
        <v>#REF!</v>
      </c>
      <c r="K68" s="61" t="e">
        <f ca="1"/>
        <v>#REF!</v>
      </c>
    </row>
    <row r="69" spans="1:11" hidden="1" x14ac:dyDescent="0.25">
      <c r="A69">
        <v>68</v>
      </c>
      <c r="B69" t="str">
        <v>085-004</v>
      </c>
      <c r="C69">
        <v>85</v>
      </c>
      <c r="D69">
        <v>4</v>
      </c>
      <c r="E69" s="19" cm="1">
        <f t="array" ref="E69">_xlfn.XLOOKUP(B69,old_ipc_dates!F:F,old_ipc_dates!B:B,IF(D69=1,_xlfn.XLOOKUP(C69,log_contracts!B:B,log_contracts!D:D,,0),_xlfn.XLOOKUP(1,($C$18:C68=C69)*($D$18:D68=D69-1),$F$18:F68+1,,0)),0)</f>
        <v>45901</v>
      </c>
      <c r="F69" s="19">
        <f>_xlfn.XLOOKUP(B69,old_ipc_dates!F:F,old_ipc_dates!C:C,EOMONTH(E69,0),0)</f>
        <v>45930</v>
      </c>
      <c r="G69" t="str">
        <v>BABEK ALBANDOV</v>
      </c>
      <c r="H69" s="61" cm="1">
        <f t="array" ref="H69">SUM(_xlfn._xlws.FILTER(_xlfn._TRO_TRAILING(quantities!L:L),(_xlfn._TRO_TRAILING(quantities!D:D)=C69)*(_xlfn._TRO_TRAILING(quantities!E:E)=D69)))</f>
        <v>13883.973</v>
      </c>
      <c r="I69" s="61"/>
      <c r="J69" t="e">
        <f ca="1">SUMIFS(
INDIRECT("'[S2 Subcon IPC Log.xlsx]Subcon IPC Log'!"&amp;"$O:$O"),
INDIRECT("'[S2 Subcon IPC Log.xlsx]Subcon IPC Log'!"&amp;"$C:$C"),
"KLN-SPP2-"&amp;_xlfn.XLOOKUP(C69,log_contracts!B:B,log_contracts!C:C)&amp;"-"&amp;TEXT(C69,"000"),
INDIRECT("'[S2 Subcon IPC Log.xlsx]Subcon IPC Log'!"&amp;"$D:$D"),
D69)</f>
        <v>#REF!</v>
      </c>
      <c r="K69" s="61" t="e">
        <f ca="1"/>
        <v>#REF!</v>
      </c>
    </row>
    <row r="70" spans="1:11" hidden="1" x14ac:dyDescent="0.25">
      <c r="A70">
        <v>69</v>
      </c>
      <c r="B70" t="str">
        <v>094-004</v>
      </c>
      <c r="C70">
        <v>94</v>
      </c>
      <c r="D70">
        <v>4</v>
      </c>
      <c r="E70" s="19" cm="1">
        <f t="array" ref="E70">_xlfn.XLOOKUP(B70,old_ipc_dates!F:F,old_ipc_dates!B:B,IF(D70=1,_xlfn.XLOOKUP(C70,log_contracts!B:B,log_contracts!D:D,,0),_xlfn.XLOOKUP(1,($C$18:C69=C70)*($D$18:D69=D70-1),$F$18:F69+1,,0)),0)</f>
        <v>45901</v>
      </c>
      <c r="F70" s="19">
        <f>_xlfn.XLOOKUP(B70,old_ipc_dates!F:F,old_ipc_dates!C:C,EOMONTH(E70,0),0)</f>
        <v>45930</v>
      </c>
      <c r="G70" t="str">
        <v>XANIM ABDULLAYEVA</v>
      </c>
      <c r="H70" s="61" cm="1">
        <f t="array" ref="H70">SUM(_xlfn._xlws.FILTER(_xlfn._TRO_TRAILING(quantities!L:L),(_xlfn._TRO_TRAILING(quantities!D:D)=C70)*(_xlfn._TRO_TRAILING(quantities!E:E)=D70)))</f>
        <v>7500</v>
      </c>
      <c r="I70" s="61"/>
      <c r="J70" t="e">
        <f ca="1">SUMIFS(
INDIRECT("'[S2 Subcon IPC Log.xlsx]Subcon IPC Log'!"&amp;"$O:$O"),
INDIRECT("'[S2 Subcon IPC Log.xlsx]Subcon IPC Log'!"&amp;"$C:$C"),
"KLN-SPP2-"&amp;_xlfn.XLOOKUP(C70,log_contracts!B:B,log_contracts!C:C)&amp;"-"&amp;TEXT(C70,"000"),
INDIRECT("'[S2 Subcon IPC Log.xlsx]Subcon IPC Log'!"&amp;"$D:$D"),
D70)</f>
        <v>#REF!</v>
      </c>
      <c r="K70" s="61" t="e">
        <f ca="1"/>
        <v>#REF!</v>
      </c>
    </row>
    <row r="71" spans="1:11" hidden="1" x14ac:dyDescent="0.25">
      <c r="A71">
        <v>70</v>
      </c>
      <c r="B71" t="str">
        <v>095-004</v>
      </c>
      <c r="C71">
        <v>95</v>
      </c>
      <c r="D71">
        <v>4</v>
      </c>
      <c r="E71" s="19" cm="1">
        <f t="array" ref="E71">_xlfn.XLOOKUP(B71,old_ipc_dates!F:F,old_ipc_dates!B:B,IF(D71=1,_xlfn.XLOOKUP(C71,log_contracts!B:B,log_contracts!D:D,,0),_xlfn.XLOOKUP(1,($C$18:C70=C71)*($D$18:D70=D71-1),$F$18:F70+1,,0)),0)</f>
        <v>45931</v>
      </c>
      <c r="F71" s="19">
        <f>_xlfn.XLOOKUP(B71,old_ipc_dates!F:F,old_ipc_dates!C:C,EOMONTH(E71,0),0)</f>
        <v>45961</v>
      </c>
      <c r="G71" t="str">
        <v>IBRAHIM XALILOV</v>
      </c>
      <c r="H71" s="61" cm="1">
        <f t="array" ref="H71">SUM(_xlfn._xlws.FILTER(_xlfn._TRO_TRAILING(quantities!L:L),(_xlfn._TRO_TRAILING(quantities!D:D)=C71)*(_xlfn._TRO_TRAILING(quantities!E:E)=D71)))</f>
        <v>8142.7349999999997</v>
      </c>
      <c r="I71" s="61"/>
      <c r="J71" t="e">
        <f ca="1">SUMIFS(
INDIRECT("'[S2 Subcon IPC Log.xlsx]Subcon IPC Log'!"&amp;"$O:$O"),
INDIRECT("'[S2 Subcon IPC Log.xlsx]Subcon IPC Log'!"&amp;"$C:$C"),
"KLN-SPP2-"&amp;_xlfn.XLOOKUP(C71,log_contracts!B:B,log_contracts!C:C)&amp;"-"&amp;TEXT(C71,"000"),
INDIRECT("'[S2 Subcon IPC Log.xlsx]Subcon IPC Log'!"&amp;"$D:$D"),
D71)</f>
        <v>#REF!</v>
      </c>
      <c r="K71" s="61" t="e">
        <f ca="1"/>
        <v>#REF!</v>
      </c>
    </row>
    <row r="72" spans="1:11" hidden="1" x14ac:dyDescent="0.25">
      <c r="A72">
        <v>71</v>
      </c>
      <c r="B72" t="str">
        <v>098-004</v>
      </c>
      <c r="C72">
        <v>98</v>
      </c>
      <c r="D72">
        <v>4</v>
      </c>
      <c r="E72" s="19" cm="1">
        <f t="array" ref="E72">_xlfn.XLOOKUP(B72,old_ipc_dates!F:F,old_ipc_dates!B:B,IF(D72=1,_xlfn.XLOOKUP(C72,log_contracts!B:B,log_contracts!D:D,,0),_xlfn.XLOOKUP(1,($C$18:C71=C72)*($D$18:D71=D72-1),$F$18:F71+1,,0)),0)</f>
        <v>45931</v>
      </c>
      <c r="F72" s="19">
        <f>_xlfn.XLOOKUP(B72,old_ipc_dates!F:F,old_ipc_dates!C:C,EOMONTH(E72,0),0)</f>
        <v>45961</v>
      </c>
      <c r="G72" t="str">
        <v>HACIAGA KERIMOV</v>
      </c>
      <c r="H72" s="61" cm="1">
        <f t="array" ref="H72">SUM(_xlfn._xlws.FILTER(_xlfn._TRO_TRAILING(quantities!L:L),(_xlfn._TRO_TRAILING(quantities!D:D)=C72)*(_xlfn._TRO_TRAILING(quantities!E:E)=D72)))</f>
        <v>3357.06</v>
      </c>
      <c r="I72" s="61"/>
      <c r="J72" t="e">
        <f ca="1">SUMIFS(
INDIRECT("'[S2 Subcon IPC Log.xlsx]Subcon IPC Log'!"&amp;"$O:$O"),
INDIRECT("'[S2 Subcon IPC Log.xlsx]Subcon IPC Log'!"&amp;"$C:$C"),
"KLN-SPP2-"&amp;_xlfn.XLOOKUP(C72,log_contracts!B:B,log_contracts!C:C)&amp;"-"&amp;TEXT(C72,"000"),
INDIRECT("'[S2 Subcon IPC Log.xlsx]Subcon IPC Log'!"&amp;"$D:$D"),
D72)</f>
        <v>#REF!</v>
      </c>
      <c r="K72" s="61" t="e">
        <f ca="1"/>
        <v>#REF!</v>
      </c>
    </row>
    <row r="73" spans="1:11" hidden="1" x14ac:dyDescent="0.25">
      <c r="A73">
        <v>72</v>
      </c>
      <c r="B73" t="str">
        <v>099-004</v>
      </c>
      <c r="C73">
        <v>99</v>
      </c>
      <c r="D73">
        <v>4</v>
      </c>
      <c r="E73" s="19" cm="1">
        <f t="array" ref="E73">_xlfn.XLOOKUP(B73,old_ipc_dates!F:F,old_ipc_dates!B:B,IF(D73=1,_xlfn.XLOOKUP(C73,log_contracts!B:B,log_contracts!D:D,,0),_xlfn.XLOOKUP(1,($C$18:C72=C73)*($D$18:D72=D73-1),$F$18:F72+1,,0)),0)</f>
        <v>45931</v>
      </c>
      <c r="F73" s="19">
        <f>_xlfn.XLOOKUP(B73,old_ipc_dates!F:F,old_ipc_dates!C:C,EOMONTH(E73,0),0)</f>
        <v>45961</v>
      </c>
      <c r="G73" t="str">
        <v>YUSIF MAHARRAMOV</v>
      </c>
      <c r="H73" s="61" cm="1">
        <f t="array" ref="H73">SUM(_xlfn._xlws.FILTER(_xlfn._TRO_TRAILING(quantities!L:L),(_xlfn._TRO_TRAILING(quantities!D:D)=C73)*(_xlfn._TRO_TRAILING(quantities!E:E)=D73)))</f>
        <v>3875</v>
      </c>
      <c r="I73" s="61"/>
      <c r="J73" t="e">
        <f ca="1">SUMIFS(
INDIRECT("'[S2 Subcon IPC Log.xlsx]Subcon IPC Log'!"&amp;"$O:$O"),
INDIRECT("'[S2 Subcon IPC Log.xlsx]Subcon IPC Log'!"&amp;"$C:$C"),
"KLN-SPP2-"&amp;_xlfn.XLOOKUP(C73,log_contracts!B:B,log_contracts!C:C)&amp;"-"&amp;TEXT(C73,"000"),
INDIRECT("'[S2 Subcon IPC Log.xlsx]Subcon IPC Log'!"&amp;"$D:$D"),
D73)</f>
        <v>#REF!</v>
      </c>
      <c r="K73" s="61" t="e">
        <f ca="1"/>
        <v>#REF!</v>
      </c>
    </row>
    <row r="74" spans="1:11" hidden="1" x14ac:dyDescent="0.25">
      <c r="A74">
        <v>73</v>
      </c>
      <c r="B74" t="str">
        <v>100-004</v>
      </c>
      <c r="C74">
        <v>100</v>
      </c>
      <c r="D74">
        <v>4</v>
      </c>
      <c r="E74" s="19" cm="1">
        <f t="array" ref="E74">_xlfn.XLOOKUP(B74,old_ipc_dates!F:F,old_ipc_dates!B:B,IF(D74=1,_xlfn.XLOOKUP(C74,log_contracts!B:B,log_contracts!D:D,,0),_xlfn.XLOOKUP(1,($C$18:C73=C74)*($D$18:D73=D74-1),$F$18:F73+1,,0)),0)</f>
        <v>45931</v>
      </c>
      <c r="F74" s="19">
        <f>_xlfn.XLOOKUP(B74,old_ipc_dates!F:F,old_ipc_dates!C:C,EOMONTH(E74,0),0)</f>
        <v>45961</v>
      </c>
      <c r="G74" t="str">
        <v>RUSLAN HUSEYNOV</v>
      </c>
      <c r="H74" s="61" cm="1">
        <f t="array" ref="H74">SUM(_xlfn._xlws.FILTER(_xlfn._TRO_TRAILING(quantities!L:L),(_xlfn._TRO_TRAILING(quantities!D:D)=C74)*(_xlfn._TRO_TRAILING(quantities!E:E)=D74)))</f>
        <v>5696.4285714285706</v>
      </c>
      <c r="I74" s="61"/>
      <c r="J74" t="e">
        <f ca="1">SUMIFS(
INDIRECT("'[S2 Subcon IPC Log.xlsx]Subcon IPC Log'!"&amp;"$O:$O"),
INDIRECT("'[S2 Subcon IPC Log.xlsx]Subcon IPC Log'!"&amp;"$C:$C"),
"KLN-SPP2-"&amp;_xlfn.XLOOKUP(C74,log_contracts!B:B,log_contracts!C:C)&amp;"-"&amp;TEXT(C74,"000"),
INDIRECT("'[S2 Subcon IPC Log.xlsx]Subcon IPC Log'!"&amp;"$D:$D"),
D74)</f>
        <v>#REF!</v>
      </c>
      <c r="K74" s="61" t="e">
        <f ca="1"/>
        <v>#REF!</v>
      </c>
    </row>
    <row r="75" spans="1:11" hidden="1" x14ac:dyDescent="0.25">
      <c r="A75">
        <v>74</v>
      </c>
      <c r="B75" t="str">
        <v>102-004</v>
      </c>
      <c r="C75">
        <v>102</v>
      </c>
      <c r="D75">
        <v>4</v>
      </c>
      <c r="E75" s="19" cm="1">
        <f t="array" ref="E75">_xlfn.XLOOKUP(B75,old_ipc_dates!F:F,old_ipc_dates!B:B,IF(D75=1,_xlfn.XLOOKUP(C75,log_contracts!B:B,log_contracts!D:D,,0),_xlfn.XLOOKUP(1,($C$18:C74=C75)*($D$18:D74=D75-1),$F$18:F74+1,,0)),0)</f>
        <v>45962</v>
      </c>
      <c r="F75" s="19">
        <f>_xlfn.XLOOKUP(B75,old_ipc_dates!F:F,old_ipc_dates!C:C,EOMONTH(E75,0),0)</f>
        <v>45991</v>
      </c>
      <c r="G75" t="str">
        <v>KONUL HUSEYNOVA</v>
      </c>
      <c r="H75" s="61" cm="1">
        <f t="array" ref="H75">SUM(_xlfn._xlws.FILTER(_xlfn._TRO_TRAILING(quantities!L:L),(_xlfn._TRO_TRAILING(quantities!D:D)=C75)*(_xlfn._TRO_TRAILING(quantities!E:E)=D75)))</f>
        <v>13100</v>
      </c>
      <c r="I75" s="61"/>
      <c r="J75" t="e">
        <f ca="1">SUMIFS(
INDIRECT("'[S2 Subcon IPC Log.xlsx]Subcon IPC Log'!"&amp;"$O:$O"),
INDIRECT("'[S2 Subcon IPC Log.xlsx]Subcon IPC Log'!"&amp;"$C:$C"),
"KLN-SPP2-"&amp;_xlfn.XLOOKUP(C75,log_contracts!B:B,log_contracts!C:C)&amp;"-"&amp;TEXT(C75,"000"),
INDIRECT("'[S2 Subcon IPC Log.xlsx]Subcon IPC Log'!"&amp;"$D:$D"),
D75)</f>
        <v>#REF!</v>
      </c>
      <c r="K75" s="61" t="e">
        <f ca="1"/>
        <v>#REF!</v>
      </c>
    </row>
    <row r="76" spans="1:11" hidden="1" x14ac:dyDescent="0.25">
      <c r="A76">
        <v>75</v>
      </c>
      <c r="B76" t="str">
        <v>110-004</v>
      </c>
      <c r="C76">
        <v>110</v>
      </c>
      <c r="D76">
        <v>4</v>
      </c>
      <c r="E76" s="19" cm="1">
        <f t="array" ref="E76">_xlfn.XLOOKUP(B76,old_ipc_dates!F:F,old_ipc_dates!B:B,IF(D76=1,_xlfn.XLOOKUP(C76,log_contracts!B:B,log_contracts!D:D,,0),_xlfn.XLOOKUP(1,($C$18:C75=C76)*($D$18:D75=D76-1),$F$18:F75+1,,0)),0)</f>
        <v>45962</v>
      </c>
      <c r="F76" s="19">
        <f>_xlfn.XLOOKUP(B76,old_ipc_dates!F:F,old_ipc_dates!C:C,EOMONTH(E76,0),0)</f>
        <v>45991</v>
      </c>
      <c r="G76" t="str">
        <v>MAMMAD QALANDARLI</v>
      </c>
      <c r="H76" s="61" cm="1">
        <f t="array" ref="H76">SUM(_xlfn._xlws.FILTER(_xlfn._TRO_TRAILING(quantities!L:L),(_xlfn._TRO_TRAILING(quantities!D:D)=C76)*(_xlfn._TRO_TRAILING(quantities!E:E)=D76)))</f>
        <v>6421.4285714285706</v>
      </c>
      <c r="I76" s="61"/>
      <c r="J76" t="e">
        <f ca="1">SUMIFS(
INDIRECT("'[S2 Subcon IPC Log.xlsx]Subcon IPC Log'!"&amp;"$O:$O"),
INDIRECT("'[S2 Subcon IPC Log.xlsx]Subcon IPC Log'!"&amp;"$C:$C"),
"KLN-SPP2-"&amp;_xlfn.XLOOKUP(C76,log_contracts!B:B,log_contracts!C:C)&amp;"-"&amp;TEXT(C76,"000"),
INDIRECT("'[S2 Subcon IPC Log.xlsx]Subcon IPC Log'!"&amp;"$D:$D"),
D76)</f>
        <v>#REF!</v>
      </c>
      <c r="K76" s="61" t="e">
        <f ca="1"/>
        <v>#REF!</v>
      </c>
    </row>
    <row r="77" spans="1:11" x14ac:dyDescent="0.25">
      <c r="A77">
        <v>76</v>
      </c>
      <c r="B77" t="str">
        <v>121-004</v>
      </c>
      <c r="C77">
        <v>121</v>
      </c>
      <c r="D77">
        <v>4</v>
      </c>
      <c r="E77" s="19" cm="1">
        <f t="array" ref="E77">_xlfn.XLOOKUP(B77,old_ipc_dates!F:F,old_ipc_dates!B:B,IF(D77=1,_xlfn.XLOOKUP(C77,log_contracts!B:B,log_contracts!D:D,,0),_xlfn.XLOOKUP(1,($C$18:C76=C77)*($D$18:D76=D77-1),$F$18:F76+1,,0)),0)</f>
        <v>46023</v>
      </c>
      <c r="F77" s="19">
        <f>_xlfn.XLOOKUP(B77,old_ipc_dates!F:F,old_ipc_dates!C:C,EOMONTH(E77,0),0)</f>
        <v>46053</v>
      </c>
      <c r="G77" t="str">
        <v>TEYMUR ABBASOV</v>
      </c>
      <c r="H77" s="61" cm="1">
        <f t="array" ref="H77">SUM(_xlfn._xlws.FILTER(_xlfn._TRO_TRAILING(quantities!L:L),(_xlfn._TRO_TRAILING(quantities!D:D)=C77)*(_xlfn._TRO_TRAILING(quantities!E:E)=D77)))</f>
        <v>3471.39</v>
      </c>
      <c r="I77" s="61"/>
      <c r="J77" t="e">
        <f ca="1">SUMIFS(
INDIRECT("'[S2 Subcon IPC Log.xlsx]Subcon IPC Log'!"&amp;"$O:$O"),
INDIRECT("'[S2 Subcon IPC Log.xlsx]Subcon IPC Log'!"&amp;"$C:$C"),
"KLN-SPP2-"&amp;_xlfn.XLOOKUP(C77,log_contracts!B:B,log_contracts!C:C)&amp;"-"&amp;TEXT(C77,"000"),
INDIRECT("'[S2 Subcon IPC Log.xlsx]Subcon IPC Log'!"&amp;"$D:$D"),
D77)</f>
        <v>#REF!</v>
      </c>
      <c r="K77" s="61" t="e">
        <f ca="1"/>
        <v>#REF!</v>
      </c>
    </row>
    <row r="78" spans="1:11" hidden="1" x14ac:dyDescent="0.25">
      <c r="A78">
        <v>77</v>
      </c>
      <c r="B78" t="str">
        <v>141-004</v>
      </c>
      <c r="C78">
        <v>141</v>
      </c>
      <c r="D78">
        <v>4</v>
      </c>
      <c r="E78" s="19" cm="1">
        <f t="array" ref="E78">_xlfn.XLOOKUP(B78,old_ipc_dates!F:F,old_ipc_dates!B:B,IF(D78=1,_xlfn.XLOOKUP(C78,log_contracts!B:B,log_contracts!D:D,,0),_xlfn.XLOOKUP(1,($C$18:C77=C78)*($D$18:D77=D78-1),$F$18:F77+1,,0)),0)</f>
        <v>45689</v>
      </c>
      <c r="F78" s="19">
        <f>_xlfn.XLOOKUP(B78,old_ipc_dates!F:F,old_ipc_dates!C:C,EOMONTH(E78,0),0)</f>
        <v>45716</v>
      </c>
      <c r="G78" t="str">
        <v>MIRELEM CABBROV</v>
      </c>
      <c r="H78" s="61" cm="1">
        <f t="array" ref="H78">SUM(_xlfn._xlws.FILTER(_xlfn._TRO_TRAILING(quantities!L:L),(_xlfn._TRO_TRAILING(quantities!D:D)=C78)*(_xlfn._TRO_TRAILING(quantities!E:E)=D78)))</f>
        <v>4307.1428571428569</v>
      </c>
      <c r="I78" s="61"/>
      <c r="J78" t="e">
        <f ca="1">SUMIFS(
INDIRECT("'[S2 Subcon IPC Log.xlsx]Subcon IPC Log'!"&amp;"$O:$O"),
INDIRECT("'[S2 Subcon IPC Log.xlsx]Subcon IPC Log'!"&amp;"$C:$C"),
"KLN-SPP2-"&amp;_xlfn.XLOOKUP(C78,log_contracts!B:B,log_contracts!C:C)&amp;"-"&amp;TEXT(C78,"000"),
INDIRECT("'[S2 Subcon IPC Log.xlsx]Subcon IPC Log'!"&amp;"$D:$D"),
D78)</f>
        <v>#REF!</v>
      </c>
      <c r="K78" s="61" t="e">
        <f ca="1"/>
        <v>#REF!</v>
      </c>
    </row>
    <row r="79" spans="1:11" hidden="1" x14ac:dyDescent="0.25">
      <c r="A79">
        <v>78</v>
      </c>
      <c r="B79" t="str">
        <v>031-005</v>
      </c>
      <c r="C79">
        <v>31</v>
      </c>
      <c r="D79">
        <v>5</v>
      </c>
      <c r="E79" s="19" cm="1">
        <f t="array" ref="E79">_xlfn.XLOOKUP(B79,old_ipc_dates!F:F,old_ipc_dates!B:B,IF(D79=1,_xlfn.XLOOKUP(C79,log_contracts!B:B,log_contracts!D:D,,0),_xlfn.XLOOKUP(1,($C$18:C78=C79)*($D$18:D78=D79-1),$F$18:F78+1,,0)),0)</f>
        <v>45809</v>
      </c>
      <c r="F79" s="19">
        <f>_xlfn.XLOOKUP(B79,old_ipc_dates!F:F,old_ipc_dates!C:C,EOMONTH(E79,0),0)</f>
        <v>45838</v>
      </c>
      <c r="G79" t="str">
        <v>NAR TRANSPORT SERVICES MMC</v>
      </c>
      <c r="H79" s="61" cm="1">
        <f t="array" ref="H79">SUM(_xlfn._xlws.FILTER(_xlfn._TRO_TRAILING(quantities!L:L),(_xlfn._TRO_TRAILING(quantities!D:D)=C79)*(_xlfn._TRO_TRAILING(quantities!E:E)=D79)))</f>
        <v>36829.621214285711</v>
      </c>
      <c r="I79" s="61"/>
      <c r="J79" t="e">
        <f ca="1">SUMIFS(
INDIRECT("'[S2 Subcon IPC Log.xlsx]Subcon IPC Log'!"&amp;"$O:$O"),
INDIRECT("'[S2 Subcon IPC Log.xlsx]Subcon IPC Log'!"&amp;"$C:$C"),
"KLN-SPP2-"&amp;_xlfn.XLOOKUP(C79,log_contracts!B:B,log_contracts!C:C)&amp;"-"&amp;TEXT(C79,"000"),
INDIRECT("'[S2 Subcon IPC Log.xlsx]Subcon IPC Log'!"&amp;"$D:$D"),
D79)</f>
        <v>#REF!</v>
      </c>
      <c r="K79" s="61" t="e">
        <f ca="1"/>
        <v>#REF!</v>
      </c>
    </row>
    <row r="80" spans="1:11" hidden="1" x14ac:dyDescent="0.25">
      <c r="A80">
        <v>79</v>
      </c>
      <c r="B80" t="str">
        <v>046-005</v>
      </c>
      <c r="C80">
        <v>46</v>
      </c>
      <c r="D80">
        <v>5</v>
      </c>
      <c r="E80" s="19" cm="1">
        <f t="array" ref="E80">_xlfn.XLOOKUP(B80,old_ipc_dates!F:F,old_ipc_dates!B:B,IF(D80=1,_xlfn.XLOOKUP(C80,log_contracts!B:B,log_contracts!D:D,,0),_xlfn.XLOOKUP(1,($C$18:C79=C80)*($D$18:D79=D80-1),$F$18:F79+1,,0)),0)</f>
        <v>45901</v>
      </c>
      <c r="F80" s="19">
        <f>_xlfn.XLOOKUP(B80,old_ipc_dates!F:F,old_ipc_dates!C:C,EOMONTH(E80,0),0)</f>
        <v>45930</v>
      </c>
      <c r="G80" t="str">
        <v>HARDCORE CONSTRUCTION AND EQUIPMENT</v>
      </c>
      <c r="H80" s="61" cm="1">
        <f t="array" ref="H80">SUM(_xlfn._xlws.FILTER(_xlfn._TRO_TRAILING(quantities!L:L),(_xlfn._TRO_TRAILING(quantities!D:D)=C80)*(_xlfn._TRO_TRAILING(quantities!E:E)=D80)))</f>
        <v>17457.144022857141</v>
      </c>
      <c r="I80" s="61"/>
      <c r="J80" s="61" t="e">
        <f ca="1">SUMIFS(
INDIRECT("'[S2 Subcon IPC Log.xlsx]Subcon IPC Log'!"&amp;"$O:$O"),
INDIRECT("'[S2 Subcon IPC Log.xlsx]Subcon IPC Log'!"&amp;"$C:$C"),
"KLN-SPP2-"&amp;_xlfn.XLOOKUP(C80,log_contracts!B:B,log_contracts!C:C)&amp;"-"&amp;TEXT(C80,"000"),
INDIRECT("'[S2 Subcon IPC Log.xlsx]Subcon IPC Log'!"&amp;"$D:$D"),
D80)</f>
        <v>#REF!</v>
      </c>
      <c r="K80" s="61" t="e">
        <f ca="1"/>
        <v>#REF!</v>
      </c>
    </row>
    <row r="81" spans="1:11" hidden="1" x14ac:dyDescent="0.25">
      <c r="A81">
        <v>80</v>
      </c>
      <c r="B81" t="str">
        <v>050-005</v>
      </c>
      <c r="C81">
        <v>50</v>
      </c>
      <c r="D81">
        <v>5</v>
      </c>
      <c r="E81" s="19" cm="1">
        <f t="array" ref="E81">_xlfn.XLOOKUP(B81,old_ipc_dates!F:F,old_ipc_dates!B:B,IF(D81=1,_xlfn.XLOOKUP(C81,log_contracts!B:B,log_contracts!D:D,,0),_xlfn.XLOOKUP(1,($C$18:C80=C81)*($D$18:D80=D81-1),$F$18:F80+1,,0)),0)</f>
        <v>45931</v>
      </c>
      <c r="F81" s="19">
        <f>_xlfn.XLOOKUP(B81,old_ipc_dates!F:F,old_ipc_dates!C:C,EOMONTH(E81,0),0)</f>
        <v>45961</v>
      </c>
      <c r="G81" t="str">
        <v>LOFT CONSTRUCTION</v>
      </c>
      <c r="H81" s="61" cm="1">
        <f t="array" ref="H81">SUM(_xlfn._xlws.FILTER(_xlfn._TRO_TRAILING(quantities!L:L),(_xlfn._TRO_TRAILING(quantities!D:D)=C81)*(_xlfn._TRO_TRAILING(quantities!E:E)=D81)))</f>
        <v>10000</v>
      </c>
      <c r="I81" s="61"/>
      <c r="J81" t="e">
        <f ca="1">SUMIFS(
INDIRECT("'[S2 Subcon IPC Log.xlsx]Subcon IPC Log'!"&amp;"$O:$O"),
INDIRECT("'[S2 Subcon IPC Log.xlsx]Subcon IPC Log'!"&amp;"$C:$C"),
"KLN-SPP2-"&amp;_xlfn.XLOOKUP(C81,log_contracts!B:B,log_contracts!C:C)&amp;"-"&amp;TEXT(C81,"000"),
INDIRECT("'[S2 Subcon IPC Log.xlsx]Subcon IPC Log'!"&amp;"$D:$D"),
D81)</f>
        <v>#REF!</v>
      </c>
      <c r="K81" s="61" t="e">
        <f ca="1"/>
        <v>#REF!</v>
      </c>
    </row>
    <row r="82" spans="1:11" hidden="1" x14ac:dyDescent="0.25">
      <c r="A82">
        <v>81</v>
      </c>
      <c r="B82" t="str">
        <v>051-005</v>
      </c>
      <c r="C82">
        <v>51</v>
      </c>
      <c r="D82">
        <v>5</v>
      </c>
      <c r="E82" s="19" cm="1">
        <f t="array" ref="E82">_xlfn.XLOOKUP(B82,old_ipc_dates!F:F,old_ipc_dates!B:B,IF(D82=1,_xlfn.XLOOKUP(C82,log_contracts!B:B,log_contracts!D:D,,0),_xlfn.XLOOKUP(1,($C$18:C81=C82)*($D$18:D81=D82-1),$F$18:F81+1,,0)),0)</f>
        <v>45992</v>
      </c>
      <c r="F82" s="19">
        <f>_xlfn.XLOOKUP(B82,old_ipc_dates!F:F,old_ipc_dates!C:C,EOMONTH(E82,0),0)</f>
        <v>46022</v>
      </c>
      <c r="G82" t="str">
        <v>INTERMAK GROUP MMC</v>
      </c>
      <c r="H82" s="61" cm="1">
        <f t="array" ref="H82">SUM(_xlfn._xlws.FILTER(_xlfn._TRO_TRAILING(quantities!L:L),(_xlfn._TRO_TRAILING(quantities!D:D)=C82)*(_xlfn._TRO_TRAILING(quantities!E:E)=D82)))</f>
        <v>11799.487285714285</v>
      </c>
      <c r="I82" s="61"/>
      <c r="J82" t="e">
        <f ca="1">SUMIFS(
INDIRECT("'[S2 Subcon IPC Log.xlsx]Subcon IPC Log'!"&amp;"$O:$O"),
INDIRECT("'[S2 Subcon IPC Log.xlsx]Subcon IPC Log'!"&amp;"$C:$C"),
"KLN-SPP2-"&amp;_xlfn.XLOOKUP(C82,log_contracts!B:B,log_contracts!C:C)&amp;"-"&amp;TEXT(C82,"000"),
INDIRECT("'[S2 Subcon IPC Log.xlsx]Subcon IPC Log'!"&amp;"$D:$D"),
D82)</f>
        <v>#REF!</v>
      </c>
      <c r="K82" s="61" t="e">
        <f ca="1"/>
        <v>#REF!</v>
      </c>
    </row>
    <row r="83" spans="1:11" hidden="1" x14ac:dyDescent="0.25">
      <c r="A83">
        <v>82</v>
      </c>
      <c r="B83" t="str">
        <v>065-005</v>
      </c>
      <c r="C83">
        <v>65</v>
      </c>
      <c r="D83">
        <v>5</v>
      </c>
      <c r="E83" s="19" cm="1">
        <f t="array" ref="E83">_xlfn.XLOOKUP(B83,old_ipc_dates!F:F,old_ipc_dates!B:B,IF(D83=1,_xlfn.XLOOKUP(C83,log_contracts!B:B,log_contracts!D:D,,0),_xlfn.XLOOKUP(1,($C$18:C82=C83)*($D$18:D82=D83-1),$F$18:F82+1,,0)),0)</f>
        <v>45901</v>
      </c>
      <c r="F83" s="19">
        <f>_xlfn.XLOOKUP(B83,old_ipc_dates!F:F,old_ipc_dates!C:C,EOMONTH(E83,0),0)</f>
        <v>45930</v>
      </c>
      <c r="G83" t="str">
        <v>ETIBAR MAMMADOV</v>
      </c>
      <c r="H83" s="61" cm="1">
        <f t="array" ref="H83">SUM(_xlfn._xlws.FILTER(_xlfn._TRO_TRAILING(quantities!L:L),(_xlfn._TRO_TRAILING(quantities!D:D)=C83)*(_xlfn._TRO_TRAILING(quantities!E:E)=D83)))</f>
        <v>9803.4514285714286</v>
      </c>
      <c r="I83" s="61"/>
      <c r="J83" t="e">
        <f ca="1">SUMIFS(
INDIRECT("'[S2 Subcon IPC Log.xlsx]Subcon IPC Log'!"&amp;"$O:$O"),
INDIRECT("'[S2 Subcon IPC Log.xlsx]Subcon IPC Log'!"&amp;"$C:$C"),
"KLN-SPP2-"&amp;_xlfn.XLOOKUP(C83,log_contracts!B:B,log_contracts!C:C)&amp;"-"&amp;TEXT(C83,"000"),
INDIRECT("'[S2 Subcon IPC Log.xlsx]Subcon IPC Log'!"&amp;"$D:$D"),
D83)</f>
        <v>#REF!</v>
      </c>
      <c r="K83" s="61" t="e">
        <f ca="1"/>
        <v>#REF!</v>
      </c>
    </row>
    <row r="84" spans="1:11" hidden="1" x14ac:dyDescent="0.25">
      <c r="A84">
        <v>83</v>
      </c>
      <c r="B84" t="str">
        <v>085-005</v>
      </c>
      <c r="C84">
        <v>85</v>
      </c>
      <c r="D84">
        <v>5</v>
      </c>
      <c r="E84" s="19" cm="1">
        <f t="array" ref="E84">_xlfn.XLOOKUP(B84,old_ipc_dates!F:F,old_ipc_dates!B:B,IF(D84=1,_xlfn.XLOOKUP(C84,log_contracts!B:B,log_contracts!D:D,,0),_xlfn.XLOOKUP(1,($C$18:C83=C84)*($D$18:D83=D84-1),$F$18:F83+1,,0)),0)</f>
        <v>45931</v>
      </c>
      <c r="F84" s="19">
        <f>_xlfn.XLOOKUP(B84,old_ipc_dates!F:F,old_ipc_dates!C:C,EOMONTH(E84,0),0)</f>
        <v>45961</v>
      </c>
      <c r="G84" t="str">
        <v>BABEK ALBANDOV</v>
      </c>
      <c r="H84" s="61" cm="1">
        <f t="array" ref="H84">SUM(_xlfn._xlws.FILTER(_xlfn._TRO_TRAILING(quantities!L:L),(_xlfn._TRO_TRAILING(quantities!D:D)=C84)*(_xlfn._TRO_TRAILING(quantities!E:E)=D84)))</f>
        <v>13214.328</v>
      </c>
      <c r="I84" s="61"/>
      <c r="J84" t="e">
        <f ca="1">SUMIFS(
INDIRECT("'[S2 Subcon IPC Log.xlsx]Subcon IPC Log'!"&amp;"$O:$O"),
INDIRECT("'[S2 Subcon IPC Log.xlsx]Subcon IPC Log'!"&amp;"$C:$C"),
"KLN-SPP2-"&amp;_xlfn.XLOOKUP(C84,log_contracts!B:B,log_contracts!C:C)&amp;"-"&amp;TEXT(C84,"000"),
INDIRECT("'[S2 Subcon IPC Log.xlsx]Subcon IPC Log'!"&amp;"$D:$D"),
D84)</f>
        <v>#REF!</v>
      </c>
      <c r="K84" s="61" t="e">
        <f ca="1"/>
        <v>#REF!</v>
      </c>
    </row>
    <row r="85" spans="1:11" hidden="1" x14ac:dyDescent="0.25">
      <c r="A85">
        <v>84</v>
      </c>
      <c r="B85" t="str">
        <v>094-005</v>
      </c>
      <c r="C85">
        <v>94</v>
      </c>
      <c r="D85">
        <v>5</v>
      </c>
      <c r="E85" s="19" cm="1">
        <f t="array" ref="E85">_xlfn.XLOOKUP(B85,old_ipc_dates!F:F,old_ipc_dates!B:B,IF(D85=1,_xlfn.XLOOKUP(C85,log_contracts!B:B,log_contracts!D:D,,0),_xlfn.XLOOKUP(1,($C$18:C84=C85)*($D$18:D84=D85-1),$F$18:F84+1,,0)),0)</f>
        <v>45931</v>
      </c>
      <c r="F85" s="19">
        <f>_xlfn.XLOOKUP(B85,old_ipc_dates!F:F,old_ipc_dates!C:C,EOMONTH(E85,0),0)</f>
        <v>45961</v>
      </c>
      <c r="G85" t="str">
        <v>XANIM ABDULLAYEVA</v>
      </c>
      <c r="H85" s="61" cm="1">
        <f t="array" ref="H85">SUM(_xlfn._xlws.FILTER(_xlfn._TRO_TRAILING(quantities!L:L),(_xlfn._TRO_TRAILING(quantities!D:D)=C85)*(_xlfn._TRO_TRAILING(quantities!E:E)=D85)))</f>
        <v>3875</v>
      </c>
      <c r="I85" s="61"/>
      <c r="J85" t="e">
        <f ca="1">SUMIFS(
INDIRECT("'[S2 Subcon IPC Log.xlsx]Subcon IPC Log'!"&amp;"$O:$O"),
INDIRECT("'[S2 Subcon IPC Log.xlsx]Subcon IPC Log'!"&amp;"$C:$C"),
"KLN-SPP2-"&amp;_xlfn.XLOOKUP(C85,log_contracts!B:B,log_contracts!C:C)&amp;"-"&amp;TEXT(C85,"000"),
INDIRECT("'[S2 Subcon IPC Log.xlsx]Subcon IPC Log'!"&amp;"$D:$D"),
D85)</f>
        <v>#REF!</v>
      </c>
      <c r="K85" s="61" t="e">
        <f ca="1"/>
        <v>#REF!</v>
      </c>
    </row>
    <row r="86" spans="1:11" hidden="1" x14ac:dyDescent="0.25">
      <c r="A86">
        <v>85</v>
      </c>
      <c r="B86" t="str">
        <v>095-005</v>
      </c>
      <c r="C86">
        <v>95</v>
      </c>
      <c r="D86">
        <v>5</v>
      </c>
      <c r="E86" s="19" cm="1">
        <f t="array" ref="E86">_xlfn.XLOOKUP(B86,old_ipc_dates!F:F,old_ipc_dates!B:B,IF(D86=1,_xlfn.XLOOKUP(C86,log_contracts!B:B,log_contracts!D:D,,0),_xlfn.XLOOKUP(1,($C$18:C85=C86)*($D$18:D85=D86-1),$F$18:F85+1,,0)),0)</f>
        <v>45962</v>
      </c>
      <c r="F86" s="19">
        <f>_xlfn.XLOOKUP(B86,old_ipc_dates!F:F,old_ipc_dates!C:C,EOMONTH(E86,0),0)</f>
        <v>45991</v>
      </c>
      <c r="G86" t="str">
        <v>IBRAHIM XALILOV</v>
      </c>
      <c r="H86" s="61" cm="1">
        <f t="array" ref="H86">SUM(_xlfn._xlws.FILTER(_xlfn._TRO_TRAILING(quantities!L:L),(_xlfn._TRO_TRAILING(quantities!D:D)=C86)*(_xlfn._TRO_TRAILING(quantities!E:E)=D86)))</f>
        <v>6285.62</v>
      </c>
      <c r="I86" s="61"/>
      <c r="J86" t="e">
        <f ca="1">SUMIFS(
INDIRECT("'[S2 Subcon IPC Log.xlsx]Subcon IPC Log'!"&amp;"$O:$O"),
INDIRECT("'[S2 Subcon IPC Log.xlsx]Subcon IPC Log'!"&amp;"$C:$C"),
"KLN-SPP2-"&amp;_xlfn.XLOOKUP(C86,log_contracts!B:B,log_contracts!C:C)&amp;"-"&amp;TEXT(C86,"000"),
INDIRECT("'[S2 Subcon IPC Log.xlsx]Subcon IPC Log'!"&amp;"$D:$D"),
D86)</f>
        <v>#REF!</v>
      </c>
      <c r="K86" s="61" t="e">
        <f ca="1"/>
        <v>#REF!</v>
      </c>
    </row>
    <row r="87" spans="1:11" hidden="1" x14ac:dyDescent="0.25">
      <c r="A87">
        <v>86</v>
      </c>
      <c r="B87" t="str">
        <v>098-005</v>
      </c>
      <c r="C87">
        <v>98</v>
      </c>
      <c r="D87">
        <v>5</v>
      </c>
      <c r="E87" s="19" cm="1">
        <f t="array" ref="E87">_xlfn.XLOOKUP(B87,old_ipc_dates!F:F,old_ipc_dates!B:B,IF(D87=1,_xlfn.XLOOKUP(C87,log_contracts!B:B,log_contracts!D:D,,0),_xlfn.XLOOKUP(1,($C$18:C86=C87)*($D$18:D86=D87-1),$F$18:F86+1,,0)),0)</f>
        <v>45962</v>
      </c>
      <c r="F87" s="19">
        <f>_xlfn.XLOOKUP(B87,old_ipc_dates!F:F,old_ipc_dates!C:C,EOMONTH(E87,0),0)</f>
        <v>45991</v>
      </c>
      <c r="G87" t="str">
        <v>HACIAGA KERIMOV</v>
      </c>
      <c r="H87" s="61" cm="1">
        <f t="array" ref="H87">SUM(_xlfn._xlws.FILTER(_xlfn._TRO_TRAILING(quantities!L:L),(_xlfn._TRO_TRAILING(quantities!D:D)=C87)*(_xlfn._TRO_TRAILING(quantities!E:E)=D87)))</f>
        <v>2978.4920000000002</v>
      </c>
      <c r="I87" s="61"/>
      <c r="J87" t="e">
        <f ca="1">SUMIFS(
INDIRECT("'[S2 Subcon IPC Log.xlsx]Subcon IPC Log'!"&amp;"$O:$O"),
INDIRECT("'[S2 Subcon IPC Log.xlsx]Subcon IPC Log'!"&amp;"$C:$C"),
"KLN-SPP2-"&amp;_xlfn.XLOOKUP(C87,log_contracts!B:B,log_contracts!C:C)&amp;"-"&amp;TEXT(C87,"000"),
INDIRECT("'[S2 Subcon IPC Log.xlsx]Subcon IPC Log'!"&amp;"$D:$D"),
D87)</f>
        <v>#REF!</v>
      </c>
      <c r="K87" s="61" t="e">
        <f ca="1"/>
        <v>#REF!</v>
      </c>
    </row>
    <row r="88" spans="1:11" hidden="1" x14ac:dyDescent="0.25">
      <c r="A88">
        <v>87</v>
      </c>
      <c r="B88" t="str">
        <v>100-005</v>
      </c>
      <c r="C88">
        <v>100</v>
      </c>
      <c r="D88">
        <v>5</v>
      </c>
      <c r="E88" s="19" cm="1">
        <f t="array" ref="E88">_xlfn.XLOOKUP(B88,old_ipc_dates!F:F,old_ipc_dates!B:B,IF(D88=1,_xlfn.XLOOKUP(C88,log_contracts!B:B,log_contracts!D:D,,0),_xlfn.XLOOKUP(1,($C$18:C87=C88)*($D$18:D87=D88-1),$F$18:F87+1,,0)),0)</f>
        <v>45962</v>
      </c>
      <c r="F88" s="19">
        <f>_xlfn.XLOOKUP(B88,old_ipc_dates!F:F,old_ipc_dates!C:C,EOMONTH(E88,0),0)</f>
        <v>45991</v>
      </c>
      <c r="G88" t="str">
        <v>RUSLAN HUSEYNOV</v>
      </c>
      <c r="H88" s="61" cm="1">
        <f t="array" ref="H88">SUM(_xlfn._xlws.FILTER(_xlfn._TRO_TRAILING(quantities!L:L),(_xlfn._TRO_TRAILING(quantities!D:D)=C88)*(_xlfn._TRO_TRAILING(quantities!E:E)=D88)))</f>
        <v>5500</v>
      </c>
      <c r="I88" s="61"/>
      <c r="J88" t="e">
        <f ca="1">SUMIFS(
INDIRECT("'[S2 Subcon IPC Log.xlsx]Subcon IPC Log'!"&amp;"$O:$O"),
INDIRECT("'[S2 Subcon IPC Log.xlsx]Subcon IPC Log'!"&amp;"$C:$C"),
"KLN-SPP2-"&amp;_xlfn.XLOOKUP(C88,log_contracts!B:B,log_contracts!C:C)&amp;"-"&amp;TEXT(C88,"000"),
INDIRECT("'[S2 Subcon IPC Log.xlsx]Subcon IPC Log'!"&amp;"$D:$D"),
D88)</f>
        <v>#REF!</v>
      </c>
      <c r="K88" s="61" t="e">
        <f ca="1"/>
        <v>#REF!</v>
      </c>
    </row>
    <row r="89" spans="1:11" hidden="1" x14ac:dyDescent="0.25">
      <c r="A89">
        <v>88</v>
      </c>
      <c r="B89" t="str">
        <v>102-005</v>
      </c>
      <c r="C89">
        <v>102</v>
      </c>
      <c r="D89">
        <v>5</v>
      </c>
      <c r="E89" s="19" cm="1">
        <f t="array" ref="E89">_xlfn.XLOOKUP(B89,old_ipc_dates!F:F,old_ipc_dates!B:B,IF(D89=1,_xlfn.XLOOKUP(C89,log_contracts!B:B,log_contracts!D:D,,0),_xlfn.XLOOKUP(1,($C$18:C88=C89)*($D$18:D88=D89-1),$F$18:F88+1,,0)),0)</f>
        <v>45992</v>
      </c>
      <c r="F89" s="19">
        <f>_xlfn.XLOOKUP(B89,old_ipc_dates!F:F,old_ipc_dates!C:C,EOMONTH(E89,0),0)</f>
        <v>46022</v>
      </c>
      <c r="G89" t="str">
        <v>KONUL HUSEYNOVA</v>
      </c>
      <c r="H89" s="61" cm="1">
        <f t="array" ref="H89">SUM(_xlfn._xlws.FILTER(_xlfn._TRO_TRAILING(quantities!L:L),(_xlfn._TRO_TRAILING(quantities!D:D)=C89)*(_xlfn._TRO_TRAILING(quantities!E:E)=D89)))</f>
        <v>11187.5</v>
      </c>
      <c r="I89" s="61"/>
      <c r="J89" t="e">
        <f ca="1">SUMIFS(
INDIRECT("'[S2 Subcon IPC Log.xlsx]Subcon IPC Log'!"&amp;"$O:$O"),
INDIRECT("'[S2 Subcon IPC Log.xlsx]Subcon IPC Log'!"&amp;"$C:$C"),
"KLN-SPP2-"&amp;_xlfn.XLOOKUP(C89,log_contracts!B:B,log_contracts!C:C)&amp;"-"&amp;TEXT(C89,"000"),
INDIRECT("'[S2 Subcon IPC Log.xlsx]Subcon IPC Log'!"&amp;"$D:$D"),
D89)</f>
        <v>#REF!</v>
      </c>
      <c r="K89" s="61" t="e">
        <f ca="1"/>
        <v>#REF!</v>
      </c>
    </row>
    <row r="90" spans="1:11" hidden="1" x14ac:dyDescent="0.25">
      <c r="A90">
        <v>89</v>
      </c>
      <c r="B90" t="str">
        <v>110-005</v>
      </c>
      <c r="C90">
        <v>110</v>
      </c>
      <c r="D90">
        <v>5</v>
      </c>
      <c r="E90" s="19" cm="1">
        <f t="array" ref="E90">_xlfn.XLOOKUP(B90,old_ipc_dates!F:F,old_ipc_dates!B:B,IF(D90=1,_xlfn.XLOOKUP(C90,log_contracts!B:B,log_contracts!D:D,,0),_xlfn.XLOOKUP(1,($C$18:C89=C90)*($D$18:D89=D90-1),$F$18:F89+1,,0)),0)</f>
        <v>45992</v>
      </c>
      <c r="F90" s="19">
        <f>_xlfn.XLOOKUP(B90,old_ipc_dates!F:F,old_ipc_dates!C:C,EOMONTH(E90,0),0)</f>
        <v>46022</v>
      </c>
      <c r="G90" t="str">
        <v>MAMMAD QALANDARLI</v>
      </c>
      <c r="H90" s="61" cm="1">
        <f t="array" ref="H90">SUM(_xlfn._xlws.FILTER(_xlfn._TRO_TRAILING(quantities!L:L),(_xlfn._TRO_TRAILING(quantities!D:D)=C90)*(_xlfn._TRO_TRAILING(quantities!E:E)=D90)))</f>
        <v>5535.7142857142853</v>
      </c>
      <c r="I90" s="61"/>
      <c r="J90" t="e">
        <f ca="1">SUMIFS(
INDIRECT("'[S2 Subcon IPC Log.xlsx]Subcon IPC Log'!"&amp;"$O:$O"),
INDIRECT("'[S2 Subcon IPC Log.xlsx]Subcon IPC Log'!"&amp;"$C:$C"),
"KLN-SPP2-"&amp;_xlfn.XLOOKUP(C90,log_contracts!B:B,log_contracts!C:C)&amp;"-"&amp;TEXT(C90,"000"),
INDIRECT("'[S2 Subcon IPC Log.xlsx]Subcon IPC Log'!"&amp;"$D:$D"),
D90)</f>
        <v>#REF!</v>
      </c>
      <c r="K90" s="61" t="e">
        <f ca="1"/>
        <v>#REF!</v>
      </c>
    </row>
    <row r="91" spans="1:11" x14ac:dyDescent="0.25">
      <c r="A91">
        <v>90</v>
      </c>
      <c r="B91" t="str">
        <v>121-005</v>
      </c>
      <c r="C91">
        <v>121</v>
      </c>
      <c r="D91">
        <v>5</v>
      </c>
      <c r="E91" s="19" cm="1">
        <f t="array" ref="E91">_xlfn.XLOOKUP(B91,old_ipc_dates!F:F,old_ipc_dates!B:B,IF(D91=1,_xlfn.XLOOKUP(C91,log_contracts!B:B,log_contracts!D:D,,0),_xlfn.XLOOKUP(1,($C$18:C90=C91)*($D$18:D90=D91-1),$F$18:F90+1,,0)),0)</f>
        <v>46054</v>
      </c>
      <c r="F91" s="19">
        <f>_xlfn.XLOOKUP(B91,old_ipc_dates!F:F,old_ipc_dates!C:C,EOMONTH(E91,0),0)</f>
        <v>46081</v>
      </c>
      <c r="G91" t="str">
        <v>TEYMUR ABBASOV</v>
      </c>
      <c r="H91" s="61" cm="1">
        <f t="array" ref="H91">SUM(_xlfn._xlws.FILTER(_xlfn._TRO_TRAILING(quantities!L:L),(_xlfn._TRO_TRAILING(quantities!D:D)=C91)*(_xlfn._TRO_TRAILING(quantities!E:E)=D91)))</f>
        <v>3857.1</v>
      </c>
      <c r="I91" s="61"/>
      <c r="J91" t="e">
        <f ca="1">SUMIFS(
INDIRECT("'[S2 Subcon IPC Log.xlsx]Subcon IPC Log'!"&amp;"$O:$O"),
INDIRECT("'[S2 Subcon IPC Log.xlsx]Subcon IPC Log'!"&amp;"$C:$C"),
"KLN-SPP2-"&amp;_xlfn.XLOOKUP(C91,log_contracts!B:B,log_contracts!C:C)&amp;"-"&amp;TEXT(C91,"000"),
INDIRECT("'[S2 Subcon IPC Log.xlsx]Subcon IPC Log'!"&amp;"$D:$D"),
D91)</f>
        <v>#REF!</v>
      </c>
      <c r="K91" s="61" t="e">
        <f ca="1"/>
        <v>#REF!</v>
      </c>
    </row>
    <row r="92" spans="1:11" hidden="1" x14ac:dyDescent="0.25">
      <c r="A92">
        <v>91</v>
      </c>
      <c r="B92" t="str">
        <v>141-005</v>
      </c>
      <c r="C92">
        <v>141</v>
      </c>
      <c r="D92">
        <v>5</v>
      </c>
      <c r="E92" s="19" cm="1">
        <f t="array" ref="E92">_xlfn.XLOOKUP(B92,old_ipc_dates!F:F,old_ipc_dates!B:B,IF(D92=1,_xlfn.XLOOKUP(C92,log_contracts!B:B,log_contracts!D:D,,0),_xlfn.XLOOKUP(1,($C$18:C91=C92)*($D$18:D91=D92-1),$F$18:F91+1,,0)),0)</f>
        <v>45717</v>
      </c>
      <c r="F92" s="19">
        <f>_xlfn.XLOOKUP(B92,old_ipc_dates!F:F,old_ipc_dates!C:C,EOMONTH(E92,0),0)</f>
        <v>45747</v>
      </c>
      <c r="G92" t="str">
        <v>MIRELEM CABBROV</v>
      </c>
      <c r="H92" s="61" cm="1">
        <f t="array" ref="H92">SUM(_xlfn._xlws.FILTER(_xlfn._TRO_TRAILING(quantities!L:L),(_xlfn._TRO_TRAILING(quantities!D:D)=C92)*(_xlfn._TRO_TRAILING(quantities!E:E)=D92)))</f>
        <v>6407.1428571428569</v>
      </c>
      <c r="I92" s="61"/>
      <c r="J92" t="e">
        <f ca="1">SUMIFS(
INDIRECT("'[S2 Subcon IPC Log.xlsx]Subcon IPC Log'!"&amp;"$O:$O"),
INDIRECT("'[S2 Subcon IPC Log.xlsx]Subcon IPC Log'!"&amp;"$C:$C"),
"KLN-SPP2-"&amp;_xlfn.XLOOKUP(C92,log_contracts!B:B,log_contracts!C:C)&amp;"-"&amp;TEXT(C92,"000"),
INDIRECT("'[S2 Subcon IPC Log.xlsx]Subcon IPC Log'!"&amp;"$D:$D"),
D92)</f>
        <v>#REF!</v>
      </c>
      <c r="K92" s="61" t="e">
        <f ca="1"/>
        <v>#REF!</v>
      </c>
    </row>
    <row r="93" spans="1:11" hidden="1" x14ac:dyDescent="0.25">
      <c r="A93">
        <v>92</v>
      </c>
      <c r="B93" t="str">
        <v>031-006</v>
      </c>
      <c r="C93">
        <v>31</v>
      </c>
      <c r="D93">
        <v>6</v>
      </c>
      <c r="E93" s="19" cm="1">
        <f t="array" ref="E93">_xlfn.XLOOKUP(B93,old_ipc_dates!F:F,old_ipc_dates!B:B,IF(D93=1,_xlfn.XLOOKUP(C93,log_contracts!B:B,log_contracts!D:D,,0),_xlfn.XLOOKUP(1,($C$18:C92=C93)*($D$18:D92=D93-1),$F$18:F92+1,,0)),0)</f>
        <v>45839</v>
      </c>
      <c r="F93" s="19">
        <f>_xlfn.XLOOKUP(B93,old_ipc_dates!F:F,old_ipc_dates!C:C,EOMONTH(E93,0),0)</f>
        <v>45869</v>
      </c>
      <c r="G93" t="str">
        <v>NAR TRANSPORT SERVICES MMC</v>
      </c>
      <c r="H93" s="61" cm="1">
        <f t="array" ref="H93">SUM(_xlfn._xlws.FILTER(_xlfn._TRO_TRAILING(quantities!L:L),(_xlfn._TRO_TRAILING(quantities!D:D)=C93)*(_xlfn._TRO_TRAILING(quantities!E:E)=D93)))</f>
        <v>43814.93657142856</v>
      </c>
      <c r="I93" s="61"/>
      <c r="J93" t="e">
        <f ca="1">SUMIFS(
INDIRECT("'[S2 Subcon IPC Log.xlsx]Subcon IPC Log'!"&amp;"$O:$O"),
INDIRECT("'[S2 Subcon IPC Log.xlsx]Subcon IPC Log'!"&amp;"$C:$C"),
"KLN-SPP2-"&amp;_xlfn.XLOOKUP(C93,log_contracts!B:B,log_contracts!C:C)&amp;"-"&amp;TEXT(C93,"000"),
INDIRECT("'[S2 Subcon IPC Log.xlsx]Subcon IPC Log'!"&amp;"$D:$D"),
D93)</f>
        <v>#REF!</v>
      </c>
      <c r="K93" s="61" t="e">
        <f ca="1"/>
        <v>#REF!</v>
      </c>
    </row>
    <row r="94" spans="1:11" hidden="1" x14ac:dyDescent="0.25">
      <c r="A94">
        <v>93</v>
      </c>
      <c r="B94" t="str">
        <v>046-006</v>
      </c>
      <c r="C94">
        <v>46</v>
      </c>
      <c r="D94">
        <v>6</v>
      </c>
      <c r="E94" s="19" cm="1">
        <f t="array" ref="E94">_xlfn.XLOOKUP(B94,old_ipc_dates!F:F,old_ipc_dates!B:B,IF(D94=1,_xlfn.XLOOKUP(C94,log_contracts!B:B,log_contracts!D:D,,0),_xlfn.XLOOKUP(1,($C$18:C93=C94)*($D$18:D93=D94-1),$F$18:F93+1,,0)),0)</f>
        <v>45931</v>
      </c>
      <c r="F94" s="19">
        <f>_xlfn.XLOOKUP(B94,old_ipc_dates!F:F,old_ipc_dates!C:C,EOMONTH(E94,0),0)</f>
        <v>45961</v>
      </c>
      <c r="G94" t="str">
        <v>HARDCORE CONSTRUCTION AND EQUIPMENT</v>
      </c>
      <c r="H94" s="61" cm="1">
        <f t="array" ref="H94">SUM(_xlfn._xlws.FILTER(_xlfn._TRO_TRAILING(quantities!L:L),(_xlfn._TRO_TRAILING(quantities!D:D)=C94)*(_xlfn._TRO_TRAILING(quantities!E:E)=D94)))</f>
        <v>42446.436182857142</v>
      </c>
      <c r="I94" s="61"/>
      <c r="J94" t="e">
        <f ca="1">SUMIFS(
INDIRECT("'[S2 Subcon IPC Log.xlsx]Subcon IPC Log'!"&amp;"$O:$O"),
INDIRECT("'[S2 Subcon IPC Log.xlsx]Subcon IPC Log'!"&amp;"$C:$C"),
"KLN-SPP2-"&amp;_xlfn.XLOOKUP(C94,log_contracts!B:B,log_contracts!C:C)&amp;"-"&amp;TEXT(C94,"000"),
INDIRECT("'[S2 Subcon IPC Log.xlsx]Subcon IPC Log'!"&amp;"$D:$D"),
D94)</f>
        <v>#REF!</v>
      </c>
      <c r="K94" s="61" t="e">
        <f ca="1"/>
        <v>#REF!</v>
      </c>
    </row>
    <row r="95" spans="1:11" hidden="1" x14ac:dyDescent="0.25">
      <c r="A95">
        <v>94</v>
      </c>
      <c r="B95" t="str">
        <v>050-006</v>
      </c>
      <c r="C95">
        <v>50</v>
      </c>
      <c r="D95">
        <v>6</v>
      </c>
      <c r="E95" s="19" cm="1">
        <f t="array" ref="E95">_xlfn.XLOOKUP(B95,old_ipc_dates!F:F,old_ipc_dates!B:B,IF(D95=1,_xlfn.XLOOKUP(C95,log_contracts!B:B,log_contracts!D:D,,0),_xlfn.XLOOKUP(1,($C$18:C94=C95)*($D$18:D94=D95-1),$F$18:F94+1,,0)),0)</f>
        <v>45962</v>
      </c>
      <c r="F95" s="19">
        <f>_xlfn.XLOOKUP(B95,old_ipc_dates!F:F,old_ipc_dates!C:C,EOMONTH(E95,0),0)</f>
        <v>45991</v>
      </c>
      <c r="G95" t="str">
        <v>LOFT CONSTRUCTION</v>
      </c>
      <c r="H95" s="61" cm="1">
        <f t="array" ref="H95">SUM(_xlfn._xlws.FILTER(_xlfn._TRO_TRAILING(quantities!L:L),(_xlfn._TRO_TRAILING(quantities!D:D)=C95)*(_xlfn._TRO_TRAILING(quantities!E:E)=D95)))</f>
        <v>10000</v>
      </c>
      <c r="I95" s="61"/>
      <c r="J95" t="e">
        <f ca="1">SUMIFS(
INDIRECT("'[S2 Subcon IPC Log.xlsx]Subcon IPC Log'!"&amp;"$O:$O"),
INDIRECT("'[S2 Subcon IPC Log.xlsx]Subcon IPC Log'!"&amp;"$C:$C"),
"KLN-SPP2-"&amp;_xlfn.XLOOKUP(C95,log_contracts!B:B,log_contracts!C:C)&amp;"-"&amp;TEXT(C95,"000"),
INDIRECT("'[S2 Subcon IPC Log.xlsx]Subcon IPC Log'!"&amp;"$D:$D"),
D95)</f>
        <v>#REF!</v>
      </c>
      <c r="K95" s="61" t="e">
        <f ca="1"/>
        <v>#REF!</v>
      </c>
    </row>
    <row r="96" spans="1:11" hidden="1" x14ac:dyDescent="0.25">
      <c r="A96">
        <v>95</v>
      </c>
      <c r="B96" t="str">
        <v>051-006</v>
      </c>
      <c r="C96">
        <v>51</v>
      </c>
      <c r="D96">
        <v>6</v>
      </c>
      <c r="E96" s="19" cm="1">
        <f t="array" ref="E96">_xlfn.XLOOKUP(B96,old_ipc_dates!F:F,old_ipc_dates!B:B,IF(D96=1,_xlfn.XLOOKUP(C96,log_contracts!B:B,log_contracts!D:D,,0),_xlfn.XLOOKUP(1,($C$18:C95=C96)*($D$18:D95=D96-1),$F$18:F95+1,,0)),0)</f>
        <v>46023</v>
      </c>
      <c r="F96" s="19">
        <f>_xlfn.XLOOKUP(B96,old_ipc_dates!F:F,old_ipc_dates!C:C,EOMONTH(E96,0),0)</f>
        <v>46053</v>
      </c>
      <c r="G96" t="str">
        <v>INTERMAK GROUP MMC</v>
      </c>
      <c r="H96" s="61" cm="1">
        <f t="array" ref="H96">SUM(_xlfn._xlws.FILTER(_xlfn._TRO_TRAILING(quantities!L:L),(_xlfn._TRO_TRAILING(quantities!D:D)=C96)*(_xlfn._TRO_TRAILING(quantities!E:E)=D96)))</f>
        <v>8517.7285714285717</v>
      </c>
      <c r="I96" s="61"/>
      <c r="J96" t="e">
        <f ca="1">SUMIFS(
INDIRECT("'[S2 Subcon IPC Log.xlsx]Subcon IPC Log'!"&amp;"$O:$O"),
INDIRECT("'[S2 Subcon IPC Log.xlsx]Subcon IPC Log'!"&amp;"$C:$C"),
"KLN-SPP2-"&amp;_xlfn.XLOOKUP(C96,log_contracts!B:B,log_contracts!C:C)&amp;"-"&amp;TEXT(C96,"000"),
INDIRECT("'[S2 Subcon IPC Log.xlsx]Subcon IPC Log'!"&amp;"$D:$D"),
D96)</f>
        <v>#REF!</v>
      </c>
      <c r="K96" s="61" t="e">
        <f ca="1"/>
        <v>#REF!</v>
      </c>
    </row>
    <row r="97" spans="1:11" hidden="1" x14ac:dyDescent="0.25">
      <c r="A97">
        <v>96</v>
      </c>
      <c r="B97" t="str">
        <v>065-006</v>
      </c>
      <c r="C97">
        <v>65</v>
      </c>
      <c r="D97">
        <v>6</v>
      </c>
      <c r="E97" s="19" cm="1">
        <f t="array" ref="E97">_xlfn.XLOOKUP(B97,old_ipc_dates!F:F,old_ipc_dates!B:B,IF(D97=1,_xlfn.XLOOKUP(C97,log_contracts!B:B,log_contracts!D:D,,0),_xlfn.XLOOKUP(1,($C$18:C96=C97)*($D$18:D96=D97-1),$F$18:F96+1,,0)),0)</f>
        <v>45931</v>
      </c>
      <c r="F97" s="19">
        <f>_xlfn.XLOOKUP(B97,old_ipc_dates!F:F,old_ipc_dates!C:C,EOMONTH(E97,0),0)</f>
        <v>45961</v>
      </c>
      <c r="G97" t="str">
        <v>ETIBAR MAMMADOV</v>
      </c>
      <c r="H97" s="61" cm="1">
        <f t="array" ref="H97">SUM(_xlfn._xlws.FILTER(_xlfn._TRO_TRAILING(quantities!L:L),(_xlfn._TRO_TRAILING(quantities!D:D)=C97)*(_xlfn._TRO_TRAILING(quantities!E:E)=D97)))</f>
        <v>7410.59</v>
      </c>
      <c r="I97" s="61"/>
      <c r="J97" t="e">
        <f ca="1">SUMIFS(
INDIRECT("'[S2 Subcon IPC Log.xlsx]Subcon IPC Log'!"&amp;"$O:$O"),
INDIRECT("'[S2 Subcon IPC Log.xlsx]Subcon IPC Log'!"&amp;"$C:$C"),
"KLN-SPP2-"&amp;_xlfn.XLOOKUP(C97,log_contracts!B:B,log_contracts!C:C)&amp;"-"&amp;TEXT(C97,"000"),
INDIRECT("'[S2 Subcon IPC Log.xlsx]Subcon IPC Log'!"&amp;"$D:$D"),
D97)</f>
        <v>#REF!</v>
      </c>
      <c r="K97" s="61" t="e">
        <f ca="1"/>
        <v>#REF!</v>
      </c>
    </row>
    <row r="98" spans="1:11" hidden="1" x14ac:dyDescent="0.25">
      <c r="A98">
        <v>97</v>
      </c>
      <c r="B98" t="str">
        <v>085-006</v>
      </c>
      <c r="C98">
        <v>85</v>
      </c>
      <c r="D98">
        <v>6</v>
      </c>
      <c r="E98" s="19" cm="1">
        <f t="array" ref="E98">_xlfn.XLOOKUP(B98,old_ipc_dates!F:F,old_ipc_dates!B:B,IF(D98=1,_xlfn.XLOOKUP(C98,log_contracts!B:B,log_contracts!D:D,,0),_xlfn.XLOOKUP(1,($C$18:C97=C98)*($D$18:D97=D98-1),$F$18:F97+1,,0)),0)</f>
        <v>45962</v>
      </c>
      <c r="F98" s="19">
        <f>_xlfn.XLOOKUP(B98,old_ipc_dates!F:F,old_ipc_dates!C:C,EOMONTH(E98,0),0)</f>
        <v>45991</v>
      </c>
      <c r="G98" t="str">
        <v>BABEK ALBANDOV</v>
      </c>
      <c r="H98" s="61" cm="1">
        <f t="array" ref="H98">SUM(_xlfn._xlws.FILTER(_xlfn._TRO_TRAILING(quantities!L:L),(_xlfn._TRO_TRAILING(quantities!D:D)=C98)*(_xlfn._TRO_TRAILING(quantities!E:E)=D98)))</f>
        <v>15267.905999999999</v>
      </c>
      <c r="I98" s="61"/>
      <c r="J98" s="61" t="e">
        <f ca="1">SUMIFS(
INDIRECT("'[S2 Subcon IPC Log.xlsx]Subcon IPC Log'!"&amp;"$O:$O"),
INDIRECT("'[S2 Subcon IPC Log.xlsx]Subcon IPC Log'!"&amp;"$C:$C"),
"KLN-SPP2-"&amp;_xlfn.XLOOKUP(C98,log_contracts!B:B,log_contracts!C:C)&amp;"-"&amp;TEXT(C98,"000"),
INDIRECT("'[S2 Subcon IPC Log.xlsx]Subcon IPC Log'!"&amp;"$D:$D"),
D98)</f>
        <v>#REF!</v>
      </c>
      <c r="K98" s="61" t="e">
        <f ca="1"/>
        <v>#REF!</v>
      </c>
    </row>
    <row r="99" spans="1:11" hidden="1" x14ac:dyDescent="0.25">
      <c r="A99">
        <v>98</v>
      </c>
      <c r="B99" t="str">
        <v>095-006</v>
      </c>
      <c r="C99">
        <v>95</v>
      </c>
      <c r="D99">
        <v>6</v>
      </c>
      <c r="E99" s="19" cm="1">
        <f t="array" ref="E99">_xlfn.XLOOKUP(B99,old_ipc_dates!F:F,old_ipc_dates!B:B,IF(D99=1,_xlfn.XLOOKUP(C99,log_contracts!B:B,log_contracts!D:D,,0),_xlfn.XLOOKUP(1,($C$18:C98=C99)*($D$18:D98=D99-1),$F$18:F98+1,,0)),0)</f>
        <v>45992</v>
      </c>
      <c r="F99" s="19">
        <f>_xlfn.XLOOKUP(B99,old_ipc_dates!F:F,old_ipc_dates!C:C,EOMONTH(E99,0),0)</f>
        <v>46022</v>
      </c>
      <c r="G99" t="str">
        <v>IBRAHIM XALILOV</v>
      </c>
      <c r="H99" s="61" cm="1">
        <f t="array" ref="H99">SUM(_xlfn._xlws.FILTER(_xlfn._TRO_TRAILING(quantities!L:L),(_xlfn._TRO_TRAILING(quantities!D:D)=C99)*(_xlfn._TRO_TRAILING(quantities!E:E)=D99)))</f>
        <v>6571.33</v>
      </c>
      <c r="I99" s="61"/>
      <c r="J99" t="e">
        <f ca="1">SUMIFS(
INDIRECT("'[S2 Subcon IPC Log.xlsx]Subcon IPC Log'!"&amp;"$O:$O"),
INDIRECT("'[S2 Subcon IPC Log.xlsx]Subcon IPC Log'!"&amp;"$C:$C"),
"KLN-SPP2-"&amp;_xlfn.XLOOKUP(C99,log_contracts!B:B,log_contracts!C:C)&amp;"-"&amp;TEXT(C99,"000"),
INDIRECT("'[S2 Subcon IPC Log.xlsx]Subcon IPC Log'!"&amp;"$D:$D"),
D99)</f>
        <v>#REF!</v>
      </c>
      <c r="K99" s="61" t="e">
        <f ca="1"/>
        <v>#REF!</v>
      </c>
    </row>
    <row r="100" spans="1:11" hidden="1" x14ac:dyDescent="0.25">
      <c r="A100">
        <v>99</v>
      </c>
      <c r="B100" t="str">
        <v>098-006</v>
      </c>
      <c r="C100">
        <v>98</v>
      </c>
      <c r="D100">
        <v>6</v>
      </c>
      <c r="E100" s="19" cm="1">
        <f t="array" ref="E100">_xlfn.XLOOKUP(B100,old_ipc_dates!F:F,old_ipc_dates!B:B,IF(D100=1,_xlfn.XLOOKUP(C100,log_contracts!B:B,log_contracts!D:D,,0),_xlfn.XLOOKUP(1,($C$18:C99=C100)*($D$18:D99=D100-1),$F$18:F99+1,,0)),0)</f>
        <v>45992</v>
      </c>
      <c r="F100" s="19">
        <f>_xlfn.XLOOKUP(B100,old_ipc_dates!F:F,old_ipc_dates!C:C,EOMONTH(E100,0),0)</f>
        <v>46022</v>
      </c>
      <c r="G100" t="str">
        <v>HACIAGA KERIMOV</v>
      </c>
      <c r="H100" s="61" cm="1">
        <f t="array" ref="H100">SUM(_xlfn._xlws.FILTER(_xlfn._TRO_TRAILING(quantities!L:L),(_xlfn._TRO_TRAILING(quantities!D:D)=C100)*(_xlfn._TRO_TRAILING(quantities!E:E)=D100)))</f>
        <v>2817.78</v>
      </c>
      <c r="I100" s="61"/>
      <c r="J100" t="e">
        <f ca="1">SUMIFS(
INDIRECT("'[S2 Subcon IPC Log.xlsx]Subcon IPC Log'!"&amp;"$O:$O"),
INDIRECT("'[S2 Subcon IPC Log.xlsx]Subcon IPC Log'!"&amp;"$C:$C"),
"KLN-SPP2-"&amp;_xlfn.XLOOKUP(C100,log_contracts!B:B,log_contracts!C:C)&amp;"-"&amp;TEXT(C100,"000"),
INDIRECT("'[S2 Subcon IPC Log.xlsx]Subcon IPC Log'!"&amp;"$D:$D"),
D100)</f>
        <v>#REF!</v>
      </c>
      <c r="K100" s="61" t="e">
        <f ca="1"/>
        <v>#REF!</v>
      </c>
    </row>
    <row r="101" spans="1:11" hidden="1" x14ac:dyDescent="0.25">
      <c r="A101">
        <v>100</v>
      </c>
      <c r="B101" t="str">
        <v>100-006</v>
      </c>
      <c r="C101">
        <v>100</v>
      </c>
      <c r="D101">
        <v>6</v>
      </c>
      <c r="E101" s="19" cm="1">
        <f t="array" ref="E101">_xlfn.XLOOKUP(B101,old_ipc_dates!F:F,old_ipc_dates!B:B,IF(D101=1,_xlfn.XLOOKUP(C101,log_contracts!B:B,log_contracts!D:D,,0),_xlfn.XLOOKUP(1,($C$18:C100=C101)*($D$18:D100=D101-1),$F$18:F100+1,,0)),0)</f>
        <v>45992</v>
      </c>
      <c r="F101" s="19">
        <f>_xlfn.XLOOKUP(B101,old_ipc_dates!F:F,old_ipc_dates!C:C,EOMONTH(E101,0),0)</f>
        <v>46022</v>
      </c>
      <c r="G101" t="str">
        <v>RUSLAN HUSEYNOV</v>
      </c>
      <c r="H101" s="61" cm="1">
        <f t="array" ref="H101">SUM(_xlfn._xlws.FILTER(_xlfn._TRO_TRAILING(quantities!L:L),(_xlfn._TRO_TRAILING(quantities!D:D)=C101)*(_xlfn._TRO_TRAILING(quantities!E:E)=D101)))</f>
        <v>5696.4285714285706</v>
      </c>
      <c r="I101" s="61"/>
      <c r="J101" t="e">
        <f ca="1">SUMIFS(
INDIRECT("'[S2 Subcon IPC Log.xlsx]Subcon IPC Log'!"&amp;"$O:$O"),
INDIRECT("'[S2 Subcon IPC Log.xlsx]Subcon IPC Log'!"&amp;"$C:$C"),
"KLN-SPP2-"&amp;_xlfn.XLOOKUP(C101,log_contracts!B:B,log_contracts!C:C)&amp;"-"&amp;TEXT(C101,"000"),
INDIRECT("'[S2 Subcon IPC Log.xlsx]Subcon IPC Log'!"&amp;"$D:$D"),
D101)</f>
        <v>#REF!</v>
      </c>
      <c r="K101" s="61" t="e">
        <f ca="1"/>
        <v>#REF!</v>
      </c>
    </row>
    <row r="102" spans="1:11" hidden="1" x14ac:dyDescent="0.25">
      <c r="A102">
        <v>101</v>
      </c>
      <c r="B102" t="str">
        <v>102-006</v>
      </c>
      <c r="C102">
        <v>102</v>
      </c>
      <c r="D102">
        <v>6</v>
      </c>
      <c r="E102" s="19" cm="1">
        <f t="array" ref="E102">_xlfn.XLOOKUP(B102,old_ipc_dates!F:F,old_ipc_dates!B:B,IF(D102=1,_xlfn.XLOOKUP(C102,log_contracts!B:B,log_contracts!D:D,,0),_xlfn.XLOOKUP(1,($C$18:C101=C102)*($D$18:D101=D102-1),$F$18:F101+1,,0)),0)</f>
        <v>46023</v>
      </c>
      <c r="F102" s="19">
        <f>_xlfn.XLOOKUP(B102,old_ipc_dates!F:F,old_ipc_dates!C:C,EOMONTH(E102,0),0)</f>
        <v>46053</v>
      </c>
      <c r="G102" t="str">
        <v>KONUL HUSEYNOVA</v>
      </c>
      <c r="H102" s="61" cm="1">
        <f t="array" ref="H102">SUM(_xlfn._xlws.FILTER(_xlfn._TRO_TRAILING(quantities!L:L),(_xlfn._TRO_TRAILING(quantities!D:D)=C102)*(_xlfn._TRO_TRAILING(quantities!E:E)=D102)))</f>
        <v>10262.5</v>
      </c>
      <c r="I102" s="61"/>
      <c r="J102" t="e">
        <f ca="1">SUMIFS(
INDIRECT("'[S2 Subcon IPC Log.xlsx]Subcon IPC Log'!"&amp;"$O:$O"),
INDIRECT("'[S2 Subcon IPC Log.xlsx]Subcon IPC Log'!"&amp;"$C:$C"),
"KLN-SPP2-"&amp;_xlfn.XLOOKUP(C102,log_contracts!B:B,log_contracts!C:C)&amp;"-"&amp;TEXT(C102,"000"),
INDIRECT("'[S2 Subcon IPC Log.xlsx]Subcon IPC Log'!"&amp;"$D:$D"),
D102)</f>
        <v>#REF!</v>
      </c>
      <c r="K102" s="61" t="e">
        <f ca="1"/>
        <v>#REF!</v>
      </c>
    </row>
    <row r="103" spans="1:11" hidden="1" x14ac:dyDescent="0.25">
      <c r="A103">
        <v>102</v>
      </c>
      <c r="B103" t="str">
        <v>110-006</v>
      </c>
      <c r="C103">
        <v>110</v>
      </c>
      <c r="D103">
        <v>6</v>
      </c>
      <c r="E103" s="19" cm="1">
        <f t="array" ref="E103">_xlfn.XLOOKUP(B103,old_ipc_dates!F:F,old_ipc_dates!B:B,IF(D103=1,_xlfn.XLOOKUP(C103,log_contracts!B:B,log_contracts!D:D,,0),_xlfn.XLOOKUP(1,($C$18:C102=C103)*($D$18:D102=D103-1),$F$18:F102+1,,0)),0)</f>
        <v>46023</v>
      </c>
      <c r="F103" s="19">
        <f>_xlfn.XLOOKUP(B103,old_ipc_dates!F:F,old_ipc_dates!C:C,EOMONTH(E103,0),0)</f>
        <v>46053</v>
      </c>
      <c r="G103" t="str">
        <v>MAMMAD QALANDARLI</v>
      </c>
      <c r="H103" s="61" cm="1">
        <f t="array" ref="H103">SUM(_xlfn._xlws.FILTER(_xlfn._TRO_TRAILING(quantities!L:L),(_xlfn._TRO_TRAILING(quantities!D:D)=C103)*(_xlfn._TRO_TRAILING(quantities!E:E)=D103)))</f>
        <v>6200</v>
      </c>
      <c r="I103" s="61"/>
      <c r="J103" t="e">
        <f ca="1">SUMIFS(
INDIRECT("'[S2 Subcon IPC Log.xlsx]Subcon IPC Log'!"&amp;"$O:$O"),
INDIRECT("'[S2 Subcon IPC Log.xlsx]Subcon IPC Log'!"&amp;"$C:$C"),
"KLN-SPP2-"&amp;_xlfn.XLOOKUP(C103,log_contracts!B:B,log_contracts!C:C)&amp;"-"&amp;TEXT(C103,"000"),
INDIRECT("'[S2 Subcon IPC Log.xlsx]Subcon IPC Log'!"&amp;"$D:$D"),
D103)</f>
        <v>#REF!</v>
      </c>
      <c r="K103" s="61" t="e">
        <f ca="1"/>
        <v>#REF!</v>
      </c>
    </row>
    <row r="104" spans="1:11" x14ac:dyDescent="0.25">
      <c r="A104">
        <v>103</v>
      </c>
      <c r="B104" t="str">
        <v>121-006</v>
      </c>
      <c r="C104">
        <v>121</v>
      </c>
      <c r="D104">
        <v>6</v>
      </c>
      <c r="E104" s="19" cm="1">
        <f t="array" ref="E104">_xlfn.XLOOKUP(B104,old_ipc_dates!F:F,old_ipc_dates!B:B,IF(D104=1,_xlfn.XLOOKUP(C104,log_contracts!B:B,log_contracts!D:D,,0),_xlfn.XLOOKUP(1,($C$18:C103=C104)*($D$18:D103=D104-1),$F$18:F103+1,,0)),0)</f>
        <v>46082</v>
      </c>
      <c r="F104" s="19">
        <f>_xlfn.XLOOKUP(B104,old_ipc_dates!F:F,old_ipc_dates!C:C,EOMONTH(E104,0),0)</f>
        <v>46112</v>
      </c>
      <c r="G104" t="str">
        <v>TEYMUR ABBASOV</v>
      </c>
      <c r="H104" s="61" cm="1">
        <f t="array" ref="H104">SUM(_xlfn._xlws.FILTER(_xlfn._TRO_TRAILING(quantities!L:L),(_xlfn._TRO_TRAILING(quantities!D:D)=C104)*(_xlfn._TRO_TRAILING(quantities!E:E)=D104)))</f>
        <v>3342.8199999999997</v>
      </c>
      <c r="I104" s="61"/>
      <c r="J104" t="e">
        <f ca="1">SUMIFS(
INDIRECT("'[S2 Subcon IPC Log.xlsx]Subcon IPC Log'!"&amp;"$O:$O"),
INDIRECT("'[S2 Subcon IPC Log.xlsx]Subcon IPC Log'!"&amp;"$C:$C"),
"KLN-SPP2-"&amp;_xlfn.XLOOKUP(C104,log_contracts!B:B,log_contracts!C:C)&amp;"-"&amp;TEXT(C104,"000"),
INDIRECT("'[S2 Subcon IPC Log.xlsx]Subcon IPC Log'!"&amp;"$D:$D"),
D104)</f>
        <v>#REF!</v>
      </c>
      <c r="K104" s="61" t="e">
        <f ca="1"/>
        <v>#REF!</v>
      </c>
    </row>
    <row r="105" spans="1:11" hidden="1" x14ac:dyDescent="0.25">
      <c r="A105">
        <v>104</v>
      </c>
      <c r="B105" t="str">
        <v>031-007</v>
      </c>
      <c r="C105">
        <v>31</v>
      </c>
      <c r="D105">
        <v>7</v>
      </c>
      <c r="E105" s="19" cm="1">
        <f t="array" ref="E105">_xlfn.XLOOKUP(B105,old_ipc_dates!F:F,old_ipc_dates!B:B,IF(D105=1,_xlfn.XLOOKUP(C105,log_contracts!B:B,log_contracts!D:D,,0),_xlfn.XLOOKUP(1,($C$18:C104=C105)*($D$18:D104=D105-1),$F$18:F104+1,,0)),0)</f>
        <v>45870</v>
      </c>
      <c r="F105" s="19">
        <f>_xlfn.XLOOKUP(B105,old_ipc_dates!F:F,old_ipc_dates!C:C,EOMONTH(E105,0),0)</f>
        <v>45900</v>
      </c>
      <c r="G105" t="str">
        <v>NAR TRANSPORT SERVICES MMC</v>
      </c>
      <c r="H105" s="61" cm="1">
        <f t="array" ref="H105">SUM(_xlfn._xlws.FILTER(_xlfn._TRO_TRAILING(quantities!L:L),(_xlfn._TRO_TRAILING(quantities!D:D)=C105)*(_xlfn._TRO_TRAILING(quantities!E:E)=D105)))</f>
        <v>54263.36514879523</v>
      </c>
      <c r="I105" s="61"/>
      <c r="J105" t="e">
        <f ca="1">SUMIFS(
INDIRECT("'[S2 Subcon IPC Log.xlsx]Subcon IPC Log'!"&amp;"$O:$O"),
INDIRECT("'[S2 Subcon IPC Log.xlsx]Subcon IPC Log'!"&amp;"$C:$C"),
"KLN-SPP2-"&amp;_xlfn.XLOOKUP(C105,log_contracts!B:B,log_contracts!C:C)&amp;"-"&amp;TEXT(C105,"000"),
INDIRECT("'[S2 Subcon IPC Log.xlsx]Subcon IPC Log'!"&amp;"$D:$D"),
D105)</f>
        <v>#REF!</v>
      </c>
      <c r="K105" s="61" t="e">
        <f ca="1"/>
        <v>#REF!</v>
      </c>
    </row>
    <row r="106" spans="1:11" hidden="1" x14ac:dyDescent="0.25">
      <c r="A106">
        <v>105</v>
      </c>
      <c r="B106" t="str">
        <v>046-007</v>
      </c>
      <c r="C106">
        <v>46</v>
      </c>
      <c r="D106">
        <v>7</v>
      </c>
      <c r="E106" s="19" cm="1">
        <f t="array" ref="E106">_xlfn.XLOOKUP(B106,old_ipc_dates!F:F,old_ipc_dates!B:B,IF(D106=1,_xlfn.XLOOKUP(C106,log_contracts!B:B,log_contracts!D:D,,0),_xlfn.XLOOKUP(1,($C$18:C105=C106)*($D$18:D105=D106-1),$F$18:F105+1,,0)),0)</f>
        <v>45962</v>
      </c>
      <c r="F106" s="19">
        <f>_xlfn.XLOOKUP(B106,old_ipc_dates!F:F,old_ipc_dates!C:C,EOMONTH(E106,0),0)</f>
        <v>45991</v>
      </c>
      <c r="G106" t="str">
        <v>HARDCORE CONSTRUCTION AND EQUIPMENT</v>
      </c>
      <c r="H106" s="61" cm="1">
        <f t="array" ref="H106">SUM(_xlfn._xlws.FILTER(_xlfn._TRO_TRAILING(quantities!L:L),(_xlfn._TRO_TRAILING(quantities!D:D)=C106)*(_xlfn._TRO_TRAILING(quantities!E:E)=D106)))</f>
        <v>14482.142857142857</v>
      </c>
      <c r="I106" s="61"/>
      <c r="J106" t="e">
        <f ca="1">SUMIFS(
INDIRECT("'[S2 Subcon IPC Log.xlsx]Subcon IPC Log'!"&amp;"$O:$O"),
INDIRECT("'[S2 Subcon IPC Log.xlsx]Subcon IPC Log'!"&amp;"$C:$C"),
"KLN-SPP2-"&amp;_xlfn.XLOOKUP(C106,log_contracts!B:B,log_contracts!C:C)&amp;"-"&amp;TEXT(C106,"000"),
INDIRECT("'[S2 Subcon IPC Log.xlsx]Subcon IPC Log'!"&amp;"$D:$D"),
D106)</f>
        <v>#REF!</v>
      </c>
      <c r="K106" s="61" t="e">
        <f ca="1"/>
        <v>#REF!</v>
      </c>
    </row>
    <row r="107" spans="1:11" hidden="1" x14ac:dyDescent="0.25">
      <c r="A107">
        <v>106</v>
      </c>
      <c r="B107" t="str">
        <v>050-007</v>
      </c>
      <c r="C107">
        <v>50</v>
      </c>
      <c r="D107">
        <v>7</v>
      </c>
      <c r="E107" s="19" cm="1">
        <f t="array" ref="E107">_xlfn.XLOOKUP(B107,old_ipc_dates!F:F,old_ipc_dates!B:B,IF(D107=1,_xlfn.XLOOKUP(C107,log_contracts!B:B,log_contracts!D:D,,0),_xlfn.XLOOKUP(1,($C$18:C106=C107)*($D$18:D106=D107-1),$F$18:F106+1,,0)),0)</f>
        <v>45992</v>
      </c>
      <c r="F107" s="19">
        <f>_xlfn.XLOOKUP(B107,old_ipc_dates!F:F,old_ipc_dates!C:C,EOMONTH(E107,0),0)</f>
        <v>46022</v>
      </c>
      <c r="G107" t="str">
        <v>LOFT CONSTRUCTION</v>
      </c>
      <c r="H107" s="61" cm="1">
        <f t="array" ref="H107">SUM(_xlfn._xlws.FILTER(_xlfn._TRO_TRAILING(quantities!L:L),(_xlfn._TRO_TRAILING(quantities!D:D)=C107)*(_xlfn._TRO_TRAILING(quantities!E:E)=D107)))</f>
        <v>10000</v>
      </c>
      <c r="I107" s="61"/>
      <c r="J107" t="e">
        <f ca="1">SUMIFS(
INDIRECT("'[S2 Subcon IPC Log.xlsx]Subcon IPC Log'!"&amp;"$O:$O"),
INDIRECT("'[S2 Subcon IPC Log.xlsx]Subcon IPC Log'!"&amp;"$C:$C"),
"KLN-SPP2-"&amp;_xlfn.XLOOKUP(C107,log_contracts!B:B,log_contracts!C:C)&amp;"-"&amp;TEXT(C107,"000"),
INDIRECT("'[S2 Subcon IPC Log.xlsx]Subcon IPC Log'!"&amp;"$D:$D"),
D107)</f>
        <v>#REF!</v>
      </c>
      <c r="K107" s="61" t="e">
        <f ca="1"/>
        <v>#REF!</v>
      </c>
    </row>
    <row r="108" spans="1:11" hidden="1" x14ac:dyDescent="0.25">
      <c r="A108">
        <v>107</v>
      </c>
      <c r="B108" t="str">
        <v>051-007</v>
      </c>
      <c r="C108">
        <v>51</v>
      </c>
      <c r="D108">
        <v>7</v>
      </c>
      <c r="E108" s="19" cm="1">
        <f t="array" ref="E108">_xlfn.XLOOKUP(B108,old_ipc_dates!F:F,old_ipc_dates!B:B,IF(D108=1,_xlfn.XLOOKUP(C108,log_contracts!B:B,log_contracts!D:D,,0),_xlfn.XLOOKUP(1,($C$18:C107=C108)*($D$18:D107=D108-1),$F$18:F107+1,,0)),0)</f>
        <v>46054</v>
      </c>
      <c r="F108" s="19">
        <f>_xlfn.XLOOKUP(B108,old_ipc_dates!F:F,old_ipc_dates!C:C,EOMONTH(E108,0),0)</f>
        <v>46081</v>
      </c>
      <c r="G108" t="str">
        <v>INTERMAK GROUP MMC</v>
      </c>
      <c r="H108" s="61" cm="1">
        <f t="array" ref="H108">SUM(_xlfn._xlws.FILTER(_xlfn._TRO_TRAILING(quantities!L:L),(_xlfn._TRO_TRAILING(quantities!D:D)=C108)*(_xlfn._TRO_TRAILING(quantities!E:E)=D108)))</f>
        <v>13615.583999999999</v>
      </c>
      <c r="I108" s="61"/>
      <c r="J108" t="e">
        <f ca="1">SUMIFS(
INDIRECT("'[S2 Subcon IPC Log.xlsx]Subcon IPC Log'!"&amp;"$O:$O"),
INDIRECT("'[S2 Subcon IPC Log.xlsx]Subcon IPC Log'!"&amp;"$C:$C"),
"KLN-SPP2-"&amp;_xlfn.XLOOKUP(C108,log_contracts!B:B,log_contracts!C:C)&amp;"-"&amp;TEXT(C108,"000"),
INDIRECT("'[S2 Subcon IPC Log.xlsx]Subcon IPC Log'!"&amp;"$D:$D"),
D108)</f>
        <v>#REF!</v>
      </c>
      <c r="K108" s="61" t="e">
        <f ca="1"/>
        <v>#REF!</v>
      </c>
    </row>
    <row r="109" spans="1:11" hidden="1" x14ac:dyDescent="0.25">
      <c r="A109">
        <v>108</v>
      </c>
      <c r="B109" t="str">
        <v>065-007</v>
      </c>
      <c r="C109">
        <v>65</v>
      </c>
      <c r="D109">
        <v>7</v>
      </c>
      <c r="E109" s="19" cm="1">
        <f t="array" ref="E109">_xlfn.XLOOKUP(B109,old_ipc_dates!F:F,old_ipc_dates!B:B,IF(D109=1,_xlfn.XLOOKUP(C109,log_contracts!B:B,log_contracts!D:D,,0),_xlfn.XLOOKUP(1,($C$18:C108=C109)*($D$18:D108=D109-1),$F$18:F108+1,,0)),0)</f>
        <v>45962</v>
      </c>
      <c r="F109" s="19">
        <f>_xlfn.XLOOKUP(B109,old_ipc_dates!F:F,old_ipc_dates!C:C,EOMONTH(E109,0),0)</f>
        <v>45991</v>
      </c>
      <c r="G109" t="str">
        <v>ETIBAR MAMMADOV</v>
      </c>
      <c r="H109" s="61" cm="1">
        <f t="array" ref="H109">SUM(_xlfn._xlws.FILTER(_xlfn._TRO_TRAILING(quantities!L:L),(_xlfn._TRO_TRAILING(quantities!D:D)=C109)*(_xlfn._TRO_TRAILING(quantities!E:E)=D109)))</f>
        <v>9803.4514285714286</v>
      </c>
      <c r="I109" s="61"/>
      <c r="J109" t="e">
        <f ca="1">SUMIFS(
INDIRECT("'[S2 Subcon IPC Log.xlsx]Subcon IPC Log'!"&amp;"$O:$O"),
INDIRECT("'[S2 Subcon IPC Log.xlsx]Subcon IPC Log'!"&amp;"$C:$C"),
"KLN-SPP2-"&amp;_xlfn.XLOOKUP(C109,log_contracts!B:B,log_contracts!C:C)&amp;"-"&amp;TEXT(C109,"000"),
INDIRECT("'[S2 Subcon IPC Log.xlsx]Subcon IPC Log'!"&amp;"$D:$D"),
D109)</f>
        <v>#REF!</v>
      </c>
      <c r="K109" s="61" t="e">
        <f ca="1"/>
        <v>#REF!</v>
      </c>
    </row>
    <row r="110" spans="1:11" hidden="1" x14ac:dyDescent="0.25">
      <c r="A110">
        <v>109</v>
      </c>
      <c r="B110" t="str">
        <v>085-007</v>
      </c>
      <c r="C110">
        <v>85</v>
      </c>
      <c r="D110">
        <v>7</v>
      </c>
      <c r="E110" s="19" cm="1">
        <f t="array" ref="E110">_xlfn.XLOOKUP(B110,old_ipc_dates!F:F,old_ipc_dates!B:B,IF(D110=1,_xlfn.XLOOKUP(C110,log_contracts!B:B,log_contracts!D:D,,0),_xlfn.XLOOKUP(1,($C$18:C109=C110)*($D$18:D109=D110-1),$F$18:F109+1,,0)),0)</f>
        <v>45992</v>
      </c>
      <c r="F110" s="19">
        <f>_xlfn.XLOOKUP(B110,old_ipc_dates!F:F,old_ipc_dates!C:C,EOMONTH(E110,0),0)</f>
        <v>46022</v>
      </c>
      <c r="G110" t="str">
        <v>BABEK ALBANDOV</v>
      </c>
      <c r="H110" s="61" cm="1">
        <f t="array" ref="H110">SUM(_xlfn._xlws.FILTER(_xlfn._TRO_TRAILING(quantities!L:L),(_xlfn._TRO_TRAILING(quantities!D:D)=C110)*(_xlfn._TRO_TRAILING(quantities!E:E)=D110)))</f>
        <v>14553.618</v>
      </c>
      <c r="I110" s="61"/>
      <c r="J110" t="e">
        <f ca="1">SUMIFS(
INDIRECT("'[S2 Subcon IPC Log.xlsx]Subcon IPC Log'!"&amp;"$O:$O"),
INDIRECT("'[S2 Subcon IPC Log.xlsx]Subcon IPC Log'!"&amp;"$C:$C"),
"KLN-SPP2-"&amp;_xlfn.XLOOKUP(C110,log_contracts!B:B,log_contracts!C:C)&amp;"-"&amp;TEXT(C110,"000"),
INDIRECT("'[S2 Subcon IPC Log.xlsx]Subcon IPC Log'!"&amp;"$D:$D"),
D110)</f>
        <v>#REF!</v>
      </c>
      <c r="K110" s="61" t="e">
        <f ca="1"/>
        <v>#REF!</v>
      </c>
    </row>
    <row r="111" spans="1:11" hidden="1" x14ac:dyDescent="0.25">
      <c r="A111">
        <v>110</v>
      </c>
      <c r="B111" t="str">
        <v>095-007</v>
      </c>
      <c r="C111">
        <v>95</v>
      </c>
      <c r="D111">
        <v>7</v>
      </c>
      <c r="E111" s="19" cm="1">
        <f t="array" ref="E111">_xlfn.XLOOKUP(B111,old_ipc_dates!F:F,old_ipc_dates!B:B,IF(D111=1,_xlfn.XLOOKUP(C111,log_contracts!B:B,log_contracts!D:D,,0),_xlfn.XLOOKUP(1,($C$18:C110=C111)*($D$18:D110=D111-1),$F$18:F110+1,,0)),0)</f>
        <v>46023</v>
      </c>
      <c r="F111" s="19">
        <f>_xlfn.XLOOKUP(B111,old_ipc_dates!F:F,old_ipc_dates!C:C,EOMONTH(E111,0),0)</f>
        <v>46053</v>
      </c>
      <c r="G111" t="str">
        <v>IBRAHIM XALILOV</v>
      </c>
      <c r="H111" s="61" cm="1">
        <f t="array" ref="H111">SUM(_xlfn._xlws.FILTER(_xlfn._TRO_TRAILING(quantities!L:L),(_xlfn._TRO_TRAILING(quantities!D:D)=C111)*(_xlfn._TRO_TRAILING(quantities!E:E)=D111)))</f>
        <v>4457.076</v>
      </c>
      <c r="I111" s="61"/>
      <c r="J111" t="e">
        <f ca="1">SUMIFS(
INDIRECT("'[S2 Subcon IPC Log.xlsx]Subcon IPC Log'!"&amp;"$O:$O"),
INDIRECT("'[S2 Subcon IPC Log.xlsx]Subcon IPC Log'!"&amp;"$C:$C"),
"KLN-SPP2-"&amp;_xlfn.XLOOKUP(C111,log_contracts!B:B,log_contracts!C:C)&amp;"-"&amp;TEXT(C111,"000"),
INDIRECT("'[S2 Subcon IPC Log.xlsx]Subcon IPC Log'!"&amp;"$D:$D"),
D111)</f>
        <v>#REF!</v>
      </c>
      <c r="K111" s="61" t="e">
        <f ca="1"/>
        <v>#REF!</v>
      </c>
    </row>
    <row r="112" spans="1:11" hidden="1" x14ac:dyDescent="0.25">
      <c r="A112">
        <v>111</v>
      </c>
      <c r="B112" t="str">
        <v>098-007</v>
      </c>
      <c r="C112">
        <v>98</v>
      </c>
      <c r="D112">
        <v>7</v>
      </c>
      <c r="E112" s="19" cm="1">
        <f t="array" ref="E112">_xlfn.XLOOKUP(B112,old_ipc_dates!F:F,old_ipc_dates!B:B,IF(D112=1,_xlfn.XLOOKUP(C112,log_contracts!B:B,log_contracts!D:D,,0),_xlfn.XLOOKUP(1,($C$18:C111=C112)*($D$18:D111=D112-1),$F$18:F111+1,,0)),0)</f>
        <v>46023</v>
      </c>
      <c r="F112" s="19">
        <f>_xlfn.XLOOKUP(B112,old_ipc_dates!F:F,old_ipc_dates!C:C,EOMONTH(E112,0),0)</f>
        <v>46053</v>
      </c>
      <c r="G112" t="str">
        <v>HACIAGA KERIMOV</v>
      </c>
      <c r="H112" s="61" cm="1">
        <f t="array" ref="H112">SUM(_xlfn._xlws.FILTER(_xlfn._TRO_TRAILING(quantities!L:L),(_xlfn._TRO_TRAILING(quantities!D:D)=C112)*(_xlfn._TRO_TRAILING(quantities!E:E)=D112)))</f>
        <v>3224.9119999999998</v>
      </c>
      <c r="I112" s="61"/>
      <c r="J112" t="e">
        <f ca="1">SUMIFS(
INDIRECT("'[S2 Subcon IPC Log.xlsx]Subcon IPC Log'!"&amp;"$O:$O"),
INDIRECT("'[S2 Subcon IPC Log.xlsx]Subcon IPC Log'!"&amp;"$C:$C"),
"KLN-SPP2-"&amp;_xlfn.XLOOKUP(C112,log_contracts!B:B,log_contracts!C:C)&amp;"-"&amp;TEXT(C112,"000"),
INDIRECT("'[S2 Subcon IPC Log.xlsx]Subcon IPC Log'!"&amp;"$D:$D"),
D112)</f>
        <v>#REF!</v>
      </c>
      <c r="K112" s="61" t="e">
        <f ca="1"/>
        <v>#REF!</v>
      </c>
    </row>
    <row r="113" spans="1:11" hidden="1" x14ac:dyDescent="0.25">
      <c r="A113">
        <v>112</v>
      </c>
      <c r="B113" t="str">
        <v>100-007</v>
      </c>
      <c r="C113">
        <v>100</v>
      </c>
      <c r="D113">
        <v>7</v>
      </c>
      <c r="E113" s="19" cm="1">
        <f t="array" ref="E113">_xlfn.XLOOKUP(B113,old_ipc_dates!F:F,old_ipc_dates!B:B,IF(D113=1,_xlfn.XLOOKUP(C113,log_contracts!B:B,log_contracts!D:D,,0),_xlfn.XLOOKUP(1,($C$18:C112=C113)*($D$18:D112=D113-1),$F$18:F112+1,,0)),0)</f>
        <v>46023</v>
      </c>
      <c r="F113" s="19">
        <f>_xlfn.XLOOKUP(B113,old_ipc_dates!F:F,old_ipc_dates!C:C,EOMONTH(E113,0),0)</f>
        <v>46053</v>
      </c>
      <c r="G113" t="str">
        <v>RUSLAN HUSEYNOV</v>
      </c>
      <c r="H113" s="61" cm="1">
        <f t="array" ref="H113">SUM(_xlfn._xlws.FILTER(_xlfn._TRO_TRAILING(quantities!L:L),(_xlfn._TRO_TRAILING(quantities!D:D)=C113)*(_xlfn._TRO_TRAILING(quantities!E:E)=D113)))</f>
        <v>5696.4285714285706</v>
      </c>
      <c r="I113" s="61"/>
      <c r="J113" t="e">
        <f ca="1">SUMIFS(
INDIRECT("'[S2 Subcon IPC Log.xlsx]Subcon IPC Log'!"&amp;"$O:$O"),
INDIRECT("'[S2 Subcon IPC Log.xlsx]Subcon IPC Log'!"&amp;"$C:$C"),
"KLN-SPP2-"&amp;_xlfn.XLOOKUP(C113,log_contracts!B:B,log_contracts!C:C)&amp;"-"&amp;TEXT(C113,"000"),
INDIRECT("'[S2 Subcon IPC Log.xlsx]Subcon IPC Log'!"&amp;"$D:$D"),
D113)</f>
        <v>#REF!</v>
      </c>
      <c r="K113" s="61" t="e">
        <f ca="1"/>
        <v>#REF!</v>
      </c>
    </row>
    <row r="114" spans="1:11" hidden="1" x14ac:dyDescent="0.25">
      <c r="A114">
        <v>113</v>
      </c>
      <c r="B114" t="str">
        <v>102-007</v>
      </c>
      <c r="C114">
        <v>102</v>
      </c>
      <c r="D114">
        <v>7</v>
      </c>
      <c r="E114" s="19" cm="1">
        <f t="array" ref="E114">_xlfn.XLOOKUP(B114,old_ipc_dates!F:F,old_ipc_dates!B:B,IF(D114=1,_xlfn.XLOOKUP(C114,log_contracts!B:B,log_contracts!D:D,,0),_xlfn.XLOOKUP(1,($C$18:C113=C114)*($D$18:D113=D114-1),$F$18:F113+1,,0)),0)</f>
        <v>46054</v>
      </c>
      <c r="F114" s="19">
        <f>_xlfn.XLOOKUP(B114,old_ipc_dates!F:F,old_ipc_dates!C:C,EOMONTH(E114,0),0)</f>
        <v>46081</v>
      </c>
      <c r="G114" t="str">
        <v>KONUL HUSEYNOVA</v>
      </c>
      <c r="H114" s="61" cm="1">
        <f t="array" ref="H114">SUM(_xlfn._xlws.FILTER(_xlfn._TRO_TRAILING(quantities!L:L),(_xlfn._TRO_TRAILING(quantities!D:D)=C114)*(_xlfn._TRO_TRAILING(quantities!E:E)=D114)))</f>
        <v>9937.5</v>
      </c>
      <c r="I114" s="61"/>
      <c r="J114" t="e">
        <f ca="1">SUMIFS(
INDIRECT("'[S2 Subcon IPC Log.xlsx]Subcon IPC Log'!"&amp;"$O:$O"),
INDIRECT("'[S2 Subcon IPC Log.xlsx]Subcon IPC Log'!"&amp;"$C:$C"),
"KLN-SPP2-"&amp;_xlfn.XLOOKUP(C114,log_contracts!B:B,log_contracts!C:C)&amp;"-"&amp;TEXT(C114,"000"),
INDIRECT("'[S2 Subcon IPC Log.xlsx]Subcon IPC Log'!"&amp;"$D:$D"),
D114)</f>
        <v>#REF!</v>
      </c>
      <c r="K114" s="61" t="e">
        <f ca="1"/>
        <v>#REF!</v>
      </c>
    </row>
    <row r="115" spans="1:11" hidden="1" x14ac:dyDescent="0.25">
      <c r="A115">
        <v>114</v>
      </c>
      <c r="B115" t="str">
        <v>110-007</v>
      </c>
      <c r="C115">
        <v>110</v>
      </c>
      <c r="D115">
        <v>7</v>
      </c>
      <c r="E115" s="19" cm="1">
        <f t="array" ref="E115">_xlfn.XLOOKUP(B115,old_ipc_dates!F:F,old_ipc_dates!B:B,IF(D115=1,_xlfn.XLOOKUP(C115,log_contracts!B:B,log_contracts!D:D,,0),_xlfn.XLOOKUP(1,($C$18:C114=C115)*($D$18:D114=D115-1),$F$18:F114+1,,0)),0)</f>
        <v>46054</v>
      </c>
      <c r="F115" s="19">
        <f>_xlfn.XLOOKUP(B115,old_ipc_dates!F:F,old_ipc_dates!C:C,EOMONTH(E115,0),0)</f>
        <v>46081</v>
      </c>
      <c r="G115" t="str">
        <v>MAMMAD QALANDARLI</v>
      </c>
      <c r="H115" s="61" cm="1">
        <f t="array" ref="H115">SUM(_xlfn._xlws.FILTER(_xlfn._TRO_TRAILING(quantities!L:L),(_xlfn._TRO_TRAILING(quantities!D:D)=C115)*(_xlfn._TRO_TRAILING(quantities!E:E)=D115)))</f>
        <v>2126.2857142857142</v>
      </c>
      <c r="I115" s="61"/>
      <c r="J115" t="e">
        <f ca="1">SUMIFS(
INDIRECT("'[S2 Subcon IPC Log.xlsx]Subcon IPC Log'!"&amp;"$O:$O"),
INDIRECT("'[S2 Subcon IPC Log.xlsx]Subcon IPC Log'!"&amp;"$C:$C"),
"KLN-SPP2-"&amp;_xlfn.XLOOKUP(C115,log_contracts!B:B,log_contracts!C:C)&amp;"-"&amp;TEXT(C115,"000"),
INDIRECT("'[S2 Subcon IPC Log.xlsx]Subcon IPC Log'!"&amp;"$D:$D"),
D115)</f>
        <v>#REF!</v>
      </c>
      <c r="K115" s="61" t="e">
        <f ca="1"/>
        <v>#REF!</v>
      </c>
    </row>
    <row r="116" spans="1:11" hidden="1" x14ac:dyDescent="0.25">
      <c r="A116">
        <v>115</v>
      </c>
      <c r="B116" t="str">
        <v>031-008</v>
      </c>
      <c r="C116">
        <v>31</v>
      </c>
      <c r="D116">
        <v>8</v>
      </c>
      <c r="E116" s="19" cm="1">
        <f t="array" ref="E116">_xlfn.XLOOKUP(B116,old_ipc_dates!F:F,old_ipc_dates!B:B,IF(D116=1,_xlfn.XLOOKUP(C116,log_contracts!B:B,log_contracts!D:D,,0),_xlfn.XLOOKUP(1,($C$18:C115=C116)*($D$18:D115=D116-1),$F$18:F115+1,,0)),0)</f>
        <v>45901</v>
      </c>
      <c r="F116" s="19">
        <f>_xlfn.XLOOKUP(B116,old_ipc_dates!F:F,old_ipc_dates!C:C,EOMONTH(E116,0),0)</f>
        <v>45930</v>
      </c>
      <c r="G116" t="str">
        <v>NAR TRANSPORT SERVICES MMC</v>
      </c>
      <c r="H116" s="61" cm="1">
        <f t="array" ref="H116">SUM(_xlfn._xlws.FILTER(_xlfn._TRO_TRAILING(quantities!L:L),(_xlfn._TRO_TRAILING(quantities!D:D)=C116)*(_xlfn._TRO_TRAILING(quantities!E:E)=D116)))</f>
        <v>60743.452428571429</v>
      </c>
      <c r="I116" s="61"/>
      <c r="J116" t="e">
        <f ca="1">SUMIFS(
INDIRECT("'[S2 Subcon IPC Log.xlsx]Subcon IPC Log'!"&amp;"$O:$O"),
INDIRECT("'[S2 Subcon IPC Log.xlsx]Subcon IPC Log'!"&amp;"$C:$C"),
"KLN-SPP2-"&amp;_xlfn.XLOOKUP(C116,log_contracts!B:B,log_contracts!C:C)&amp;"-"&amp;TEXT(C116,"000"),
INDIRECT("'[S2 Subcon IPC Log.xlsx]Subcon IPC Log'!"&amp;"$D:$D"),
D116)</f>
        <v>#REF!</v>
      </c>
      <c r="K116" s="61" t="e">
        <f ca="1"/>
        <v>#REF!</v>
      </c>
    </row>
    <row r="117" spans="1:11" hidden="1" x14ac:dyDescent="0.25">
      <c r="A117">
        <v>116</v>
      </c>
      <c r="B117" t="str">
        <v>046-008</v>
      </c>
      <c r="C117">
        <v>46</v>
      </c>
      <c r="D117">
        <v>8</v>
      </c>
      <c r="E117" s="19" cm="1">
        <f t="array" ref="E117">_xlfn.XLOOKUP(B117,old_ipc_dates!F:F,old_ipc_dates!B:B,IF(D117=1,_xlfn.XLOOKUP(C117,log_contracts!B:B,log_contracts!D:D,,0),_xlfn.XLOOKUP(1,($C$18:C116=C117)*($D$18:D116=D117-1),$F$18:F116+1,,0)),0)</f>
        <v>45992</v>
      </c>
      <c r="F117" s="19">
        <f>_xlfn.XLOOKUP(B117,old_ipc_dates!F:F,old_ipc_dates!C:C,EOMONTH(E117,0),0)</f>
        <v>46022</v>
      </c>
      <c r="G117" t="str">
        <v>HARDCORE CONSTRUCTION AND EQUIPMENT</v>
      </c>
      <c r="H117" s="61" cm="1">
        <f t="array" ref="H117">SUM(_xlfn._xlws.FILTER(_xlfn._TRO_TRAILING(quantities!L:L),(_xlfn._TRO_TRAILING(quantities!D:D)=C117)*(_xlfn._TRO_TRAILING(quantities!E:E)=D117)))</f>
        <v>1928.5714285714284</v>
      </c>
      <c r="I117" s="61"/>
      <c r="J117" s="61" t="e">
        <f ca="1">SUMIFS(
INDIRECT("'[S2 Subcon IPC Log.xlsx]Subcon IPC Log'!"&amp;"$O:$O"),
INDIRECT("'[S2 Subcon IPC Log.xlsx]Subcon IPC Log'!"&amp;"$C:$C"),
"KLN-SPP2-"&amp;_xlfn.XLOOKUP(C117,log_contracts!B:B,log_contracts!C:C)&amp;"-"&amp;TEXT(C117,"000"),
INDIRECT("'[S2 Subcon IPC Log.xlsx]Subcon IPC Log'!"&amp;"$D:$D"),
D117)</f>
        <v>#REF!</v>
      </c>
      <c r="K117" s="61" t="e">
        <f ca="1"/>
        <v>#REF!</v>
      </c>
    </row>
    <row r="118" spans="1:11" hidden="1" x14ac:dyDescent="0.25">
      <c r="A118">
        <v>117</v>
      </c>
      <c r="B118" t="str">
        <v>050-008</v>
      </c>
      <c r="C118">
        <v>50</v>
      </c>
      <c r="D118">
        <v>8</v>
      </c>
      <c r="E118" s="19" cm="1">
        <f t="array" ref="E118">_xlfn.XLOOKUP(B118,old_ipc_dates!F:F,old_ipc_dates!B:B,IF(D118=1,_xlfn.XLOOKUP(C118,log_contracts!B:B,log_contracts!D:D,,0),_xlfn.XLOOKUP(1,($C$18:C117=C118)*($D$18:D117=D118-1),$F$18:F117+1,,0)),0)</f>
        <v>46023</v>
      </c>
      <c r="F118" s="19">
        <f>_xlfn.XLOOKUP(B118,old_ipc_dates!F:F,old_ipc_dates!C:C,EOMONTH(E118,0),0)</f>
        <v>46053</v>
      </c>
      <c r="G118" t="str">
        <v>LOFT CONSTRUCTION</v>
      </c>
      <c r="H118" s="61" cm="1">
        <f t="array" ref="H118">SUM(_xlfn._xlws.FILTER(_xlfn._TRO_TRAILING(quantities!L:L),(_xlfn._TRO_TRAILING(quantities!D:D)=C118)*(_xlfn._TRO_TRAILING(quantities!E:E)=D118)))</f>
        <v>10357.142857142859</v>
      </c>
      <c r="I118" s="61"/>
      <c r="J118" t="e">
        <f ca="1">SUMIFS(
INDIRECT("'[S2 Subcon IPC Log.xlsx]Subcon IPC Log'!"&amp;"$O:$O"),
INDIRECT("'[S2 Subcon IPC Log.xlsx]Subcon IPC Log'!"&amp;"$C:$C"),
"KLN-SPP2-"&amp;_xlfn.XLOOKUP(C118,log_contracts!B:B,log_contracts!C:C)&amp;"-"&amp;TEXT(C118,"000"),
INDIRECT("'[S2 Subcon IPC Log.xlsx]Subcon IPC Log'!"&amp;"$D:$D"),
D118)</f>
        <v>#REF!</v>
      </c>
      <c r="K118" s="61" t="e">
        <f ca="1"/>
        <v>#REF!</v>
      </c>
    </row>
    <row r="119" spans="1:11" hidden="1" x14ac:dyDescent="0.25">
      <c r="A119">
        <v>118</v>
      </c>
      <c r="B119" t="str">
        <v>051-008</v>
      </c>
      <c r="C119">
        <v>51</v>
      </c>
      <c r="D119">
        <v>8</v>
      </c>
      <c r="E119" s="19" cm="1">
        <f t="array" ref="E119">_xlfn.XLOOKUP(B119,old_ipc_dates!F:F,old_ipc_dates!B:B,IF(D119=1,_xlfn.XLOOKUP(C119,log_contracts!B:B,log_contracts!D:D,,0),_xlfn.XLOOKUP(1,($C$18:C118=C119)*($D$18:D118=D119-1),$F$18:F118+1,,0)),0)</f>
        <v>46082</v>
      </c>
      <c r="F119" s="19">
        <f>_xlfn.XLOOKUP(B119,old_ipc_dates!F:F,old_ipc_dates!C:C,EOMONTH(E119,0),0)</f>
        <v>46112</v>
      </c>
      <c r="G119" t="str">
        <v>INTERMAK GROUP MMC</v>
      </c>
      <c r="H119" s="61" cm="1">
        <f t="array" ref="H119">SUM(_xlfn._xlws.FILTER(_xlfn._TRO_TRAILING(quantities!L:L),(_xlfn._TRO_TRAILING(quantities!D:D)=C119)*(_xlfn._TRO_TRAILING(quantities!E:E)=D119)))</f>
        <v>13106.672999999999</v>
      </c>
      <c r="I119" s="61"/>
      <c r="J119" t="e">
        <f ca="1">SUMIFS(
INDIRECT("'[S2 Subcon IPC Log.xlsx]Subcon IPC Log'!"&amp;"$O:$O"),
INDIRECT("'[S2 Subcon IPC Log.xlsx]Subcon IPC Log'!"&amp;"$C:$C"),
"KLN-SPP2-"&amp;_xlfn.XLOOKUP(C119,log_contracts!B:B,log_contracts!C:C)&amp;"-"&amp;TEXT(C119,"000"),
INDIRECT("'[S2 Subcon IPC Log.xlsx]Subcon IPC Log'!"&amp;"$D:$D"),
D119)</f>
        <v>#REF!</v>
      </c>
      <c r="K119" s="61" t="e">
        <f ca="1"/>
        <v>#REF!</v>
      </c>
    </row>
    <row r="120" spans="1:11" hidden="1" x14ac:dyDescent="0.25">
      <c r="A120">
        <v>119</v>
      </c>
      <c r="B120" t="str">
        <v>065-008</v>
      </c>
      <c r="C120">
        <v>65</v>
      </c>
      <c r="D120">
        <v>8</v>
      </c>
      <c r="E120" s="19" cm="1">
        <f t="array" ref="E120">_xlfn.XLOOKUP(B120,old_ipc_dates!F:F,old_ipc_dates!B:B,IF(D120=1,_xlfn.XLOOKUP(C120,log_contracts!B:B,log_contracts!D:D,,0),_xlfn.XLOOKUP(1,($C$18:C119=C120)*($D$18:D119=D120-1),$F$18:F119+1,,0)),0)</f>
        <v>45992</v>
      </c>
      <c r="F120" s="19">
        <f>_xlfn.XLOOKUP(B120,old_ipc_dates!F:F,old_ipc_dates!C:C,EOMONTH(E120,0),0)</f>
        <v>46022</v>
      </c>
      <c r="G120" t="str">
        <v>ETIBAR MAMMADOV</v>
      </c>
      <c r="H120" s="61" cm="1">
        <f t="array" ref="H120">SUM(_xlfn._xlws.FILTER(_xlfn._TRO_TRAILING(quantities!L:L),(_xlfn._TRO_TRAILING(quantities!D:D)=C120)*(_xlfn._TRO_TRAILING(quantities!E:E)=D120)))</f>
        <v>9607.0228571428561</v>
      </c>
      <c r="I120" s="61"/>
      <c r="J120" t="e">
        <f ca="1">SUMIFS(
INDIRECT("'[S2 Subcon IPC Log.xlsx]Subcon IPC Log'!"&amp;"$O:$O"),
INDIRECT("'[S2 Subcon IPC Log.xlsx]Subcon IPC Log'!"&amp;"$C:$C"),
"KLN-SPP2-"&amp;_xlfn.XLOOKUP(C120,log_contracts!B:B,log_contracts!C:C)&amp;"-"&amp;TEXT(C120,"000"),
INDIRECT("'[S2 Subcon IPC Log.xlsx]Subcon IPC Log'!"&amp;"$D:$D"),
D120)</f>
        <v>#REF!</v>
      </c>
      <c r="K120" s="61" t="e">
        <f ca="1"/>
        <v>#REF!</v>
      </c>
    </row>
    <row r="121" spans="1:11" hidden="1" x14ac:dyDescent="0.25">
      <c r="A121">
        <v>120</v>
      </c>
      <c r="B121" t="str">
        <v>085-008</v>
      </c>
      <c r="C121">
        <v>85</v>
      </c>
      <c r="D121">
        <v>8</v>
      </c>
      <c r="E121" s="19" cm="1">
        <f t="array" ref="E121">_xlfn.XLOOKUP(B121,old_ipc_dates!F:F,old_ipc_dates!B:B,IF(D121=1,_xlfn.XLOOKUP(C121,log_contracts!B:B,log_contracts!D:D,,0),_xlfn.XLOOKUP(1,($C$18:C120=C121)*($D$18:D120=D121-1),$F$18:F120+1,,0)),0)</f>
        <v>46023</v>
      </c>
      <c r="F121" s="19">
        <f>_xlfn.XLOOKUP(B121,old_ipc_dates!F:F,old_ipc_dates!C:C,EOMONTH(E121,0),0)</f>
        <v>46053</v>
      </c>
      <c r="G121" t="str">
        <v>BABEK ALBANDOV</v>
      </c>
      <c r="H121" s="61" cm="1">
        <f t="array" ref="H121">SUM(_xlfn._xlws.FILTER(_xlfn._TRO_TRAILING(quantities!L:L),(_xlfn._TRO_TRAILING(quantities!D:D)=C121)*(_xlfn._TRO_TRAILING(quantities!E:E)=D121)))</f>
        <v>15803.621999999999</v>
      </c>
      <c r="I121" s="61"/>
      <c r="J121" t="e">
        <f ca="1">SUMIFS(
INDIRECT("'[S2 Subcon IPC Log.xlsx]Subcon IPC Log'!"&amp;"$O:$O"),
INDIRECT("'[S2 Subcon IPC Log.xlsx]Subcon IPC Log'!"&amp;"$C:$C"),
"KLN-SPP2-"&amp;_xlfn.XLOOKUP(C121,log_contracts!B:B,log_contracts!C:C)&amp;"-"&amp;TEXT(C121,"000"),
INDIRECT("'[S2 Subcon IPC Log.xlsx]Subcon IPC Log'!"&amp;"$D:$D"),
D121)</f>
        <v>#REF!</v>
      </c>
      <c r="K121" s="61" t="e">
        <f ca="1"/>
        <v>#REF!</v>
      </c>
    </row>
    <row r="122" spans="1:11" hidden="1" x14ac:dyDescent="0.25">
      <c r="A122">
        <v>121</v>
      </c>
      <c r="B122" t="str">
        <v>095-008</v>
      </c>
      <c r="C122">
        <v>95</v>
      </c>
      <c r="D122">
        <v>8</v>
      </c>
      <c r="E122" s="19" cm="1">
        <f t="array" ref="E122">_xlfn.XLOOKUP(B122,old_ipc_dates!F:F,old_ipc_dates!B:B,IF(D122=1,_xlfn.XLOOKUP(C122,log_contracts!B:B,log_contracts!D:D,,0),_xlfn.XLOOKUP(1,($C$18:C121=C122)*($D$18:D121=D122-1),$F$18:F121+1,,0)),0)</f>
        <v>46054</v>
      </c>
      <c r="F122" s="19">
        <f>_xlfn.XLOOKUP(B122,old_ipc_dates!F:F,old_ipc_dates!C:C,EOMONTH(E122,0),0)</f>
        <v>46081</v>
      </c>
      <c r="G122" t="str">
        <v>IBRAHIM XALILOV</v>
      </c>
      <c r="H122" s="61" cm="1">
        <f t="array" ref="H122">SUM(_xlfn._xlws.FILTER(_xlfn._TRO_TRAILING(quantities!L:L),(_xlfn._TRO_TRAILING(quantities!D:D)=C122)*(_xlfn._TRO_TRAILING(quantities!E:E)=D122)))</f>
        <v>7714.1699999999992</v>
      </c>
      <c r="I122" s="61"/>
      <c r="J122" t="e">
        <f ca="1">SUMIFS(
INDIRECT("'[S2 Subcon IPC Log.xlsx]Subcon IPC Log'!"&amp;"$O:$O"),
INDIRECT("'[S2 Subcon IPC Log.xlsx]Subcon IPC Log'!"&amp;"$C:$C"),
"KLN-SPP2-"&amp;_xlfn.XLOOKUP(C122,log_contracts!B:B,log_contracts!C:C)&amp;"-"&amp;TEXT(C122,"000"),
INDIRECT("'[S2 Subcon IPC Log.xlsx]Subcon IPC Log'!"&amp;"$D:$D"),
D122)</f>
        <v>#REF!</v>
      </c>
      <c r="K122" s="61" t="e">
        <f ca="1"/>
        <v>#REF!</v>
      </c>
    </row>
    <row r="123" spans="1:11" hidden="1" x14ac:dyDescent="0.25">
      <c r="A123">
        <v>122</v>
      </c>
      <c r="B123" t="str">
        <v>098-008</v>
      </c>
      <c r="C123">
        <v>98</v>
      </c>
      <c r="D123">
        <v>8</v>
      </c>
      <c r="E123" s="19" cm="1">
        <f t="array" ref="E123">_xlfn.XLOOKUP(B123,old_ipc_dates!F:F,old_ipc_dates!B:B,IF(D123=1,_xlfn.XLOOKUP(C123,log_contracts!B:B,log_contracts!D:D,,0),_xlfn.XLOOKUP(1,($C$18:C122=C123)*($D$18:D122=D123-1),$F$18:F122+1,,0)),0)</f>
        <v>46054</v>
      </c>
      <c r="F123" s="19">
        <f>_xlfn.XLOOKUP(B123,old_ipc_dates!F:F,old_ipc_dates!C:C,EOMONTH(E123,0),0)</f>
        <v>46081</v>
      </c>
      <c r="G123" t="str">
        <v>HACIAGA KERIMOV</v>
      </c>
      <c r="H123" s="61" cm="1">
        <f t="array" ref="H123">SUM(_xlfn._xlws.FILTER(_xlfn._TRO_TRAILING(quantities!L:L),(_xlfn._TRO_TRAILING(quantities!D:D)=C123)*(_xlfn._TRO_TRAILING(quantities!E:E)=D123)))</f>
        <v>3057.06</v>
      </c>
      <c r="I123" s="61"/>
      <c r="J123" t="e">
        <f ca="1">SUMIFS(
INDIRECT("'[S2 Subcon IPC Log.xlsx]Subcon IPC Log'!"&amp;"$O:$O"),
INDIRECT("'[S2 Subcon IPC Log.xlsx]Subcon IPC Log'!"&amp;"$C:$C"),
"KLN-SPP2-"&amp;_xlfn.XLOOKUP(C123,log_contracts!B:B,log_contracts!C:C)&amp;"-"&amp;TEXT(C123,"000"),
INDIRECT("'[S2 Subcon IPC Log.xlsx]Subcon IPC Log'!"&amp;"$D:$D"),
D123)</f>
        <v>#REF!</v>
      </c>
      <c r="K123" s="61" t="e">
        <f ca="1"/>
        <v>#REF!</v>
      </c>
    </row>
    <row r="124" spans="1:11" hidden="1" x14ac:dyDescent="0.25">
      <c r="A124">
        <v>123</v>
      </c>
      <c r="B124" t="str">
        <v>100-008</v>
      </c>
      <c r="C124">
        <v>100</v>
      </c>
      <c r="D124">
        <v>8</v>
      </c>
      <c r="E124" s="19" cm="1">
        <f t="array" ref="E124">_xlfn.XLOOKUP(B124,old_ipc_dates!F:F,old_ipc_dates!B:B,IF(D124=1,_xlfn.XLOOKUP(C124,log_contracts!B:B,log_contracts!D:D,,0),_xlfn.XLOOKUP(1,($C$18:C123=C124)*($D$18:D123=D124-1),$F$18:F123+1,,0)),0)</f>
        <v>46054</v>
      </c>
      <c r="F124" s="19">
        <f>_xlfn.XLOOKUP(B124,old_ipc_dates!F:F,old_ipc_dates!C:C,EOMONTH(E124,0),0)</f>
        <v>46081</v>
      </c>
      <c r="G124" t="str">
        <v>RUSLAN HUSEYNOV</v>
      </c>
      <c r="H124" s="61" cm="1">
        <f t="array" ref="H124">SUM(_xlfn._xlws.FILTER(_xlfn._TRO_TRAILING(quantities!L:L),(_xlfn._TRO_TRAILING(quantities!D:D)=C124)*(_xlfn._TRO_TRAILING(quantities!E:E)=D124)))</f>
        <v>5499.9603214285708</v>
      </c>
      <c r="I124" s="61"/>
      <c r="J124" t="e">
        <f ca="1">SUMIFS(
INDIRECT("'[S2 Subcon IPC Log.xlsx]Subcon IPC Log'!"&amp;"$O:$O"),
INDIRECT("'[S2 Subcon IPC Log.xlsx]Subcon IPC Log'!"&amp;"$C:$C"),
"KLN-SPP2-"&amp;_xlfn.XLOOKUP(C124,log_contracts!B:B,log_contracts!C:C)&amp;"-"&amp;TEXT(C124,"000"),
INDIRECT("'[S2 Subcon IPC Log.xlsx]Subcon IPC Log'!"&amp;"$D:$D"),
D124)</f>
        <v>#REF!</v>
      </c>
      <c r="K124" s="61" t="e">
        <f ca="1"/>
        <v>#REF!</v>
      </c>
    </row>
    <row r="125" spans="1:11" hidden="1" x14ac:dyDescent="0.25">
      <c r="A125">
        <v>124</v>
      </c>
      <c r="B125" t="str">
        <v>102-008</v>
      </c>
      <c r="C125">
        <v>102</v>
      </c>
      <c r="D125">
        <v>8</v>
      </c>
      <c r="E125" s="19" cm="1">
        <f t="array" ref="E125">_xlfn.XLOOKUP(B125,old_ipc_dates!F:F,old_ipc_dates!B:B,IF(D125=1,_xlfn.XLOOKUP(C125,log_contracts!B:B,log_contracts!D:D,,0),_xlfn.XLOOKUP(1,($C$18:C124=C125)*($D$18:D124=D125-1),$F$18:F124+1,,0)),0)</f>
        <v>46082</v>
      </c>
      <c r="F125" s="19">
        <f>_xlfn.XLOOKUP(B125,old_ipc_dates!F:F,old_ipc_dates!C:C,EOMONTH(E125,0),0)</f>
        <v>46112</v>
      </c>
      <c r="G125" t="str">
        <v>KONUL HUSEYNOVA</v>
      </c>
      <c r="H125" s="61" cm="1">
        <f t="array" ref="H125">SUM(_xlfn._xlws.FILTER(_xlfn._TRO_TRAILING(quantities!L:L),(_xlfn._TRO_TRAILING(quantities!D:D)=C125)*(_xlfn._TRO_TRAILING(quantities!E:E)=D125)))</f>
        <v>10075</v>
      </c>
      <c r="I125" s="61"/>
      <c r="J125" t="e">
        <f ca="1">SUMIFS(
INDIRECT("'[S2 Subcon IPC Log.xlsx]Subcon IPC Log'!"&amp;"$O:$O"),
INDIRECT("'[S2 Subcon IPC Log.xlsx]Subcon IPC Log'!"&amp;"$C:$C"),
"KLN-SPP2-"&amp;_xlfn.XLOOKUP(C125,log_contracts!B:B,log_contracts!C:C)&amp;"-"&amp;TEXT(C125,"000"),
INDIRECT("'[S2 Subcon IPC Log.xlsx]Subcon IPC Log'!"&amp;"$D:$D"),
D125)</f>
        <v>#REF!</v>
      </c>
      <c r="K125" s="61" t="e">
        <f ca="1"/>
        <v>#REF!</v>
      </c>
    </row>
    <row r="126" spans="1:11" hidden="1" x14ac:dyDescent="0.25">
      <c r="A126">
        <v>125</v>
      </c>
      <c r="B126" t="str">
        <v>031-009</v>
      </c>
      <c r="C126">
        <v>31</v>
      </c>
      <c r="D126">
        <v>9</v>
      </c>
      <c r="E126" s="19" cm="1">
        <f t="array" ref="E126">_xlfn.XLOOKUP(B126,old_ipc_dates!F:F,old_ipc_dates!B:B,IF(D126=1,_xlfn.XLOOKUP(C126,log_contracts!B:B,log_contracts!D:D,,0),_xlfn.XLOOKUP(1,($C$18:C125=C126)*($D$18:D125=D126-1),$F$18:F125+1,,0)),0)</f>
        <v>45931</v>
      </c>
      <c r="F126" s="19">
        <f>_xlfn.XLOOKUP(B126,old_ipc_dates!F:F,old_ipc_dates!C:C,EOMONTH(E126,0),0)</f>
        <v>45961</v>
      </c>
      <c r="G126" t="str">
        <v>NAR TRANSPORT SERVICES MMC</v>
      </c>
      <c r="H126" s="61" cm="1">
        <f t="array" ref="H126">SUM(_xlfn._xlws.FILTER(_xlfn._TRO_TRAILING(quantities!L:L),(_xlfn._TRO_TRAILING(quantities!D:D)=C126)*(_xlfn._TRO_TRAILING(quantities!E:E)=D126)))</f>
        <v>72371.811928499999</v>
      </c>
      <c r="I126" s="61"/>
      <c r="J126" t="e">
        <f ca="1">SUMIFS(
INDIRECT("'[S2 Subcon IPC Log.xlsx]Subcon IPC Log'!"&amp;"$O:$O"),
INDIRECT("'[S2 Subcon IPC Log.xlsx]Subcon IPC Log'!"&amp;"$C:$C"),
"KLN-SPP2-"&amp;_xlfn.XLOOKUP(C126,log_contracts!B:B,log_contracts!C:C)&amp;"-"&amp;TEXT(C126,"000"),
INDIRECT("'[S2 Subcon IPC Log.xlsx]Subcon IPC Log'!"&amp;"$D:$D"),
D126)</f>
        <v>#REF!</v>
      </c>
      <c r="K126" s="61" t="e">
        <f ca="1"/>
        <v>#REF!</v>
      </c>
    </row>
    <row r="127" spans="1:11" hidden="1" x14ac:dyDescent="0.25">
      <c r="A127">
        <v>126</v>
      </c>
      <c r="B127" t="str">
        <v>050-009</v>
      </c>
      <c r="C127">
        <v>50</v>
      </c>
      <c r="D127">
        <v>9</v>
      </c>
      <c r="E127" s="19" cm="1">
        <f t="array" ref="E127">_xlfn.XLOOKUP(B127,old_ipc_dates!F:F,old_ipc_dates!B:B,IF(D127=1,_xlfn.XLOOKUP(C127,log_contracts!B:B,log_contracts!D:D,,0),_xlfn.XLOOKUP(1,($C$18:C126=C127)*($D$18:D126=D127-1),$F$18:F126+1,,0)),0)</f>
        <v>46054</v>
      </c>
      <c r="F127" s="19">
        <f>_xlfn.XLOOKUP(B127,old_ipc_dates!F:F,old_ipc_dates!C:C,EOMONTH(E127,0),0)</f>
        <v>46081</v>
      </c>
      <c r="G127" t="str">
        <v>LOFT CONSTRUCTION</v>
      </c>
      <c r="H127" s="61" cm="1">
        <f t="array" ref="H127">SUM(_xlfn._xlws.FILTER(_xlfn._TRO_TRAILING(quantities!L:L),(_xlfn._TRO_TRAILING(quantities!D:D)=C127)*(_xlfn._TRO_TRAILING(quantities!E:E)=D127)))</f>
        <v>10000</v>
      </c>
      <c r="I127" s="61"/>
      <c r="J127" t="e">
        <f ca="1">SUMIFS(
INDIRECT("'[S2 Subcon IPC Log.xlsx]Subcon IPC Log'!"&amp;"$O:$O"),
INDIRECT("'[S2 Subcon IPC Log.xlsx]Subcon IPC Log'!"&amp;"$C:$C"),
"KLN-SPP2-"&amp;_xlfn.XLOOKUP(C127,log_contracts!B:B,log_contracts!C:C)&amp;"-"&amp;TEXT(C127,"000"),
INDIRECT("'[S2 Subcon IPC Log.xlsx]Subcon IPC Log'!"&amp;"$D:$D"),
D127)</f>
        <v>#REF!</v>
      </c>
      <c r="K127" s="61" t="e">
        <f ca="1"/>
        <v>#REF!</v>
      </c>
    </row>
    <row r="128" spans="1:11" hidden="1" x14ac:dyDescent="0.25">
      <c r="A128">
        <v>127</v>
      </c>
      <c r="B128" t="str">
        <v>065-009</v>
      </c>
      <c r="C128">
        <v>65</v>
      </c>
      <c r="D128">
        <v>9</v>
      </c>
      <c r="E128" s="19" cm="1">
        <f t="array" ref="E128">_xlfn.XLOOKUP(B128,old_ipc_dates!F:F,old_ipc_dates!B:B,IF(D128=1,_xlfn.XLOOKUP(C128,log_contracts!B:B,log_contracts!D:D,,0),_xlfn.XLOOKUP(1,($C$18:C127=C128)*($D$18:D127=D128-1),$F$18:F127+1,,0)),0)</f>
        <v>46023</v>
      </c>
      <c r="F128" s="19">
        <f>_xlfn.XLOOKUP(B128,old_ipc_dates!F:F,old_ipc_dates!C:C,EOMONTH(E128,0),0)</f>
        <v>46053</v>
      </c>
      <c r="G128" t="str">
        <v>ETIBAR MAMMADOV</v>
      </c>
      <c r="H128" s="61" cm="1">
        <f t="array" ref="H128">SUM(_xlfn._xlws.FILTER(_xlfn._TRO_TRAILING(quantities!L:L),(_xlfn._TRO_TRAILING(quantities!D:D)=C128)*(_xlfn._TRO_TRAILING(quantities!E:E)=D128)))</f>
        <v>6196.3942857142856</v>
      </c>
      <c r="I128" s="61"/>
      <c r="J128" t="e">
        <f ca="1">SUMIFS(
INDIRECT("'[S2 Subcon IPC Log.xlsx]Subcon IPC Log'!"&amp;"$O:$O"),
INDIRECT("'[S2 Subcon IPC Log.xlsx]Subcon IPC Log'!"&amp;"$C:$C"),
"KLN-SPP2-"&amp;_xlfn.XLOOKUP(C128,log_contracts!B:B,log_contracts!C:C)&amp;"-"&amp;TEXT(C128,"000"),
INDIRECT("'[S2 Subcon IPC Log.xlsx]Subcon IPC Log'!"&amp;"$D:$D"),
D128)</f>
        <v>#REF!</v>
      </c>
      <c r="K128" s="61" t="e">
        <f ca="1"/>
        <v>#REF!</v>
      </c>
    </row>
    <row r="129" spans="1:11" hidden="1" x14ac:dyDescent="0.25">
      <c r="A129">
        <v>128</v>
      </c>
      <c r="B129" t="str">
        <v>085-009</v>
      </c>
      <c r="C129">
        <v>85</v>
      </c>
      <c r="D129">
        <v>9</v>
      </c>
      <c r="E129" s="19" cm="1">
        <f t="array" ref="E129">_xlfn.XLOOKUP(B129,old_ipc_dates!F:F,old_ipc_dates!B:B,IF(D129=1,_xlfn.XLOOKUP(C129,log_contracts!B:B,log_contracts!D:D,,0),_xlfn.XLOOKUP(1,($C$18:C128=C129)*($D$18:D128=D129-1),$F$18:F128+1,,0)),0)</f>
        <v>46054</v>
      </c>
      <c r="F129" s="19">
        <f>_xlfn.XLOOKUP(B129,old_ipc_dates!F:F,old_ipc_dates!C:C,EOMONTH(E129,0),0)</f>
        <v>46081</v>
      </c>
      <c r="G129" t="str">
        <v>BABEK ALBANDOV</v>
      </c>
      <c r="H129" s="61" cm="1">
        <f t="array" ref="H129">SUM(_xlfn._xlws.FILTER(_xlfn._TRO_TRAILING(quantities!L:L),(_xlfn._TRO_TRAILING(quantities!D:D)=C129)*(_xlfn._TRO_TRAILING(quantities!E:E)=D129)))</f>
        <v>13946.428571428569</v>
      </c>
      <c r="I129" s="61"/>
      <c r="J129" t="e">
        <f ca="1">SUMIFS(
INDIRECT("'[S2 Subcon IPC Log.xlsx]Subcon IPC Log'!"&amp;"$O:$O"),
INDIRECT("'[S2 Subcon IPC Log.xlsx]Subcon IPC Log'!"&amp;"$C:$C"),
"KLN-SPP2-"&amp;_xlfn.XLOOKUP(C129,log_contracts!B:B,log_contracts!C:C)&amp;"-"&amp;TEXT(C129,"000"),
INDIRECT("'[S2 Subcon IPC Log.xlsx]Subcon IPC Log'!"&amp;"$D:$D"),
D129)</f>
        <v>#REF!</v>
      </c>
      <c r="K129" s="61" t="e">
        <f ca="1"/>
        <v>#REF!</v>
      </c>
    </row>
    <row r="130" spans="1:11" hidden="1" x14ac:dyDescent="0.25">
      <c r="A130">
        <v>129</v>
      </c>
      <c r="B130" t="str">
        <v>095-009</v>
      </c>
      <c r="C130">
        <v>95</v>
      </c>
      <c r="D130">
        <v>9</v>
      </c>
      <c r="E130" s="19" cm="1">
        <f t="array" ref="E130">_xlfn.XLOOKUP(B130,old_ipc_dates!F:F,old_ipc_dates!B:B,IF(D130=1,_xlfn.XLOOKUP(C130,log_contracts!B:B,log_contracts!D:D,,0),_xlfn.XLOOKUP(1,($C$18:C129=C130)*($D$18:D129=D130-1),$F$18:F129+1,,0)),0)</f>
        <v>46082</v>
      </c>
      <c r="F130" s="19">
        <f>_xlfn.XLOOKUP(B130,old_ipc_dates!F:F,old_ipc_dates!C:C,EOMONTH(E130,0),0)</f>
        <v>46112</v>
      </c>
      <c r="G130" t="str">
        <v>IBRAHIM XALILOV</v>
      </c>
      <c r="H130" s="61" cm="1">
        <f t="array" ref="H130">SUM(_xlfn._xlws.FILTER(_xlfn._TRO_TRAILING(quantities!L:L),(_xlfn._TRO_TRAILING(quantities!D:D)=C130)*(_xlfn._TRO_TRAILING(quantities!E:E)=D130)))</f>
        <v>8085.5929999999989</v>
      </c>
      <c r="I130" s="61"/>
      <c r="J130" t="e">
        <f ca="1">SUMIFS(
INDIRECT("'[S2 Subcon IPC Log.xlsx]Subcon IPC Log'!"&amp;"$O:$O"),
INDIRECT("'[S2 Subcon IPC Log.xlsx]Subcon IPC Log'!"&amp;"$C:$C"),
"KLN-SPP2-"&amp;_xlfn.XLOOKUP(C130,log_contracts!B:B,log_contracts!C:C)&amp;"-"&amp;TEXT(C130,"000"),
INDIRECT("'[S2 Subcon IPC Log.xlsx]Subcon IPC Log'!"&amp;"$D:$D"),
D130)</f>
        <v>#REF!</v>
      </c>
      <c r="K130" s="61" t="e">
        <f ca="1"/>
        <v>#REF!</v>
      </c>
    </row>
    <row r="131" spans="1:11" hidden="1" x14ac:dyDescent="0.25">
      <c r="A131">
        <v>130</v>
      </c>
      <c r="B131" t="str">
        <v>098-009</v>
      </c>
      <c r="C131">
        <v>98</v>
      </c>
      <c r="D131">
        <v>9</v>
      </c>
      <c r="E131" s="19" cm="1">
        <f t="array" ref="E131">_xlfn.XLOOKUP(B131,old_ipc_dates!F:F,old_ipc_dates!B:B,IF(D131=1,_xlfn.XLOOKUP(C131,log_contracts!B:B,log_contracts!D:D,,0),_xlfn.XLOOKUP(1,($C$18:C130=C131)*($D$18:D130=D131-1),$F$18:F130+1,,0)),0)</f>
        <v>46082</v>
      </c>
      <c r="F131" s="19">
        <f>_xlfn.XLOOKUP(B131,old_ipc_dates!F:F,old_ipc_dates!C:C,EOMONTH(E131,0),0)</f>
        <v>46112</v>
      </c>
      <c r="G131" t="str">
        <v>HACIAGA KERIMOV</v>
      </c>
      <c r="H131" s="61" cm="1">
        <f t="array" ref="H131">SUM(_xlfn._xlws.FILTER(_xlfn._TRO_TRAILING(quantities!L:L),(_xlfn._TRO_TRAILING(quantities!D:D)=C131)*(_xlfn._TRO_TRAILING(quantities!E:E)=D131)))</f>
        <v>2735.64</v>
      </c>
      <c r="I131" s="61"/>
      <c r="J131" t="e">
        <f ca="1">SUMIFS(
INDIRECT("'[S2 Subcon IPC Log.xlsx]Subcon IPC Log'!"&amp;"$O:$O"),
INDIRECT("'[S2 Subcon IPC Log.xlsx]Subcon IPC Log'!"&amp;"$C:$C"),
"KLN-SPP2-"&amp;_xlfn.XLOOKUP(C131,log_contracts!B:B,log_contracts!C:C)&amp;"-"&amp;TEXT(C131,"000"),
INDIRECT("'[S2 Subcon IPC Log.xlsx]Subcon IPC Log'!"&amp;"$D:$D"),
D131)</f>
        <v>#REF!</v>
      </c>
      <c r="K131" s="61" t="e">
        <f ca="1"/>
        <v>#REF!</v>
      </c>
    </row>
    <row r="132" spans="1:11" hidden="1" x14ac:dyDescent="0.25">
      <c r="A132">
        <v>131</v>
      </c>
      <c r="B132" t="str">
        <v>100-009</v>
      </c>
      <c r="C132">
        <v>100</v>
      </c>
      <c r="D132">
        <v>9</v>
      </c>
      <c r="E132" s="19" cm="1">
        <f t="array" ref="E132">_xlfn.XLOOKUP(B132,old_ipc_dates!F:F,old_ipc_dates!B:B,IF(D132=1,_xlfn.XLOOKUP(C132,log_contracts!B:B,log_contracts!D:D,,0),_xlfn.XLOOKUP(1,($C$18:C131=C132)*($D$18:D131=D132-1),$F$18:F131+1,,0)),0)</f>
        <v>46082</v>
      </c>
      <c r="F132" s="19">
        <f>_xlfn.XLOOKUP(B132,old_ipc_dates!F:F,old_ipc_dates!C:C,EOMONTH(E132,0),0)</f>
        <v>46112</v>
      </c>
      <c r="G132" t="str">
        <v>RUSLAN HUSEYNOV</v>
      </c>
      <c r="H132" s="61" cm="1">
        <f t="array" ref="H132">SUM(_xlfn._xlws.FILTER(_xlfn._TRO_TRAILING(quantities!L:L),(_xlfn._TRO_TRAILING(quantities!D:D)=C132)*(_xlfn._TRO_TRAILING(quantities!E:E)=D132)))</f>
        <v>10410.714285714286</v>
      </c>
      <c r="I132" s="61"/>
      <c r="J132" t="e">
        <f ca="1">SUMIFS(
INDIRECT("'[S2 Subcon IPC Log.xlsx]Subcon IPC Log'!"&amp;"$O:$O"),
INDIRECT("'[S2 Subcon IPC Log.xlsx]Subcon IPC Log'!"&amp;"$C:$C"),
"KLN-SPP2-"&amp;_xlfn.XLOOKUP(C132,log_contracts!B:B,log_contracts!C:C)&amp;"-"&amp;TEXT(C132,"000"),
INDIRECT("'[S2 Subcon IPC Log.xlsx]Subcon IPC Log'!"&amp;"$D:$D"),
D132)</f>
        <v>#REF!</v>
      </c>
      <c r="K132" s="61" t="e">
        <f ca="1"/>
        <v>#REF!</v>
      </c>
    </row>
    <row r="133" spans="1:11" hidden="1" x14ac:dyDescent="0.25">
      <c r="A133">
        <v>132</v>
      </c>
      <c r="B133" t="str">
        <v>031-010</v>
      </c>
      <c r="C133">
        <v>31</v>
      </c>
      <c r="D133">
        <v>10</v>
      </c>
      <c r="E133" s="19" cm="1">
        <f t="array" ref="E133">_xlfn.XLOOKUP(B133,old_ipc_dates!F:F,old_ipc_dates!B:B,IF(D133=1,_xlfn.XLOOKUP(C133,log_contracts!B:B,log_contracts!D:D,,0),_xlfn.XLOOKUP(1,($C$18:C132=C133)*($D$18:D132=D133-1),$F$18:F132+1,,0)),0)</f>
        <v>45962</v>
      </c>
      <c r="F133" s="19">
        <f>_xlfn.XLOOKUP(B133,old_ipc_dates!F:F,old_ipc_dates!C:C,EOMONTH(E133,0),0)</f>
        <v>45991</v>
      </c>
      <c r="G133" t="str">
        <v>NAR TRANSPORT SERVICES MMC</v>
      </c>
      <c r="H133" s="61" cm="1">
        <f t="array" ref="H133">SUM(_xlfn._xlws.FILTER(_xlfn._TRO_TRAILING(quantities!L:L),(_xlfn._TRO_TRAILING(quantities!D:D)=C133)*(_xlfn._TRO_TRAILING(quantities!E:E)=D133)))</f>
        <v>73497.91353369999</v>
      </c>
      <c r="I133" s="61"/>
      <c r="J133" t="e">
        <f ca="1">SUMIFS(
INDIRECT("'[S2 Subcon IPC Log.xlsx]Subcon IPC Log'!"&amp;"$O:$O"),
INDIRECT("'[S2 Subcon IPC Log.xlsx]Subcon IPC Log'!"&amp;"$C:$C"),
"KLN-SPP2-"&amp;_xlfn.XLOOKUP(C133,log_contracts!B:B,log_contracts!C:C)&amp;"-"&amp;TEXT(C133,"000"),
INDIRECT("'[S2 Subcon IPC Log.xlsx]Subcon IPC Log'!"&amp;"$D:$D"),
D133)</f>
        <v>#REF!</v>
      </c>
      <c r="K133" s="61" t="e">
        <f ca="1"/>
        <v>#REF!</v>
      </c>
    </row>
    <row r="134" spans="1:11" hidden="1" x14ac:dyDescent="0.25">
      <c r="A134">
        <v>133</v>
      </c>
      <c r="B134" t="str">
        <v>050-010</v>
      </c>
      <c r="C134">
        <v>50</v>
      </c>
      <c r="D134">
        <v>10</v>
      </c>
      <c r="E134" s="19" cm="1">
        <f t="array" ref="E134">_xlfn.XLOOKUP(B134,old_ipc_dates!F:F,old_ipc_dates!B:B,IF(D134=1,_xlfn.XLOOKUP(C134,log_contracts!B:B,log_contracts!D:D,,0),_xlfn.XLOOKUP(1,($C$18:C133=C134)*($D$18:D133=D134-1),$F$18:F133+1,,0)),0)</f>
        <v>46082</v>
      </c>
      <c r="F134" s="19">
        <f>_xlfn.XLOOKUP(B134,old_ipc_dates!F:F,old_ipc_dates!C:C,EOMONTH(E134,0),0)</f>
        <v>46112</v>
      </c>
      <c r="G134" t="str">
        <v>LOFT CONSTRUCTION</v>
      </c>
      <c r="H134" s="61" cm="1">
        <f t="array" ref="H134">SUM(_xlfn._xlws.FILTER(_xlfn._TRO_TRAILING(quantities!L:L),(_xlfn._TRO_TRAILING(quantities!D:D)=C134)*(_xlfn._TRO_TRAILING(quantities!E:E)=D134)))</f>
        <v>5000</v>
      </c>
      <c r="I134" s="61"/>
      <c r="J134" t="e">
        <f ca="1">SUMIFS(
INDIRECT("'[S2 Subcon IPC Log.xlsx]Subcon IPC Log'!"&amp;"$O:$O"),
INDIRECT("'[S2 Subcon IPC Log.xlsx]Subcon IPC Log'!"&amp;"$C:$C"),
"KLN-SPP2-"&amp;_xlfn.XLOOKUP(C134,log_contracts!B:B,log_contracts!C:C)&amp;"-"&amp;TEXT(C134,"000"),
INDIRECT("'[S2 Subcon IPC Log.xlsx]Subcon IPC Log'!"&amp;"$D:$D"),
D134)</f>
        <v>#REF!</v>
      </c>
      <c r="K134" s="61" t="e">
        <f ca="1"/>
        <v>#REF!</v>
      </c>
    </row>
    <row r="135" spans="1:11" hidden="1" x14ac:dyDescent="0.25">
      <c r="A135">
        <v>134</v>
      </c>
      <c r="B135" t="str">
        <v>065-010</v>
      </c>
      <c r="C135">
        <v>65</v>
      </c>
      <c r="D135">
        <v>10</v>
      </c>
      <c r="E135" s="19" cm="1">
        <f t="array" ref="E135">_xlfn.XLOOKUP(B135,old_ipc_dates!F:F,old_ipc_dates!B:B,IF(D135=1,_xlfn.XLOOKUP(C135,log_contracts!B:B,log_contracts!D:D,,0),_xlfn.XLOOKUP(1,($C$18:C134=C135)*($D$18:D134=D135-1),$F$18:F134+1,,0)),0)</f>
        <v>46054</v>
      </c>
      <c r="F135" s="19">
        <f>_xlfn.XLOOKUP(B135,old_ipc_dates!F:F,old_ipc_dates!C:C,EOMONTH(E135,0),0)</f>
        <v>46081</v>
      </c>
      <c r="G135" t="str">
        <v>ETIBAR MAMMADOV</v>
      </c>
      <c r="H135" s="61" cm="1">
        <f t="array" ref="H135">SUM(_xlfn._xlws.FILTER(_xlfn._TRO_TRAILING(quantities!L:L),(_xlfn._TRO_TRAILING(quantities!D:D)=C135)*(_xlfn._TRO_TRAILING(quantities!E:E)=D135)))</f>
        <v>5500</v>
      </c>
      <c r="I135" s="61"/>
      <c r="J135" t="e">
        <f ca="1">SUMIFS(
INDIRECT("'[S2 Subcon IPC Log.xlsx]Subcon IPC Log'!"&amp;"$O:$O"),
INDIRECT("'[S2 Subcon IPC Log.xlsx]Subcon IPC Log'!"&amp;"$C:$C"),
"KLN-SPP2-"&amp;_xlfn.XLOOKUP(C135,log_contracts!B:B,log_contracts!C:C)&amp;"-"&amp;TEXT(C135,"000"),
INDIRECT("'[S2 Subcon IPC Log.xlsx]Subcon IPC Log'!"&amp;"$D:$D"),
D135)</f>
        <v>#REF!</v>
      </c>
      <c r="K135" s="61" t="e">
        <f ca="1"/>
        <v>#REF!</v>
      </c>
    </row>
    <row r="136" spans="1:11" hidden="1" x14ac:dyDescent="0.25">
      <c r="A136">
        <v>135</v>
      </c>
      <c r="B136" t="str">
        <v>085-010</v>
      </c>
      <c r="C136">
        <v>85</v>
      </c>
      <c r="D136">
        <v>10</v>
      </c>
      <c r="E136" s="19" cm="1">
        <f t="array" ref="E136">_xlfn.XLOOKUP(B136,old_ipc_dates!F:F,old_ipc_dates!B:B,IF(D136=1,_xlfn.XLOOKUP(C136,log_contracts!B:B,log_contracts!D:D,,0),_xlfn.XLOOKUP(1,($C$18:C135=C136)*($D$18:D135=D136-1),$F$18:F135+1,,0)),0)</f>
        <v>46082</v>
      </c>
      <c r="F136" s="19">
        <f>_xlfn.XLOOKUP(B136,old_ipc_dates!F:F,old_ipc_dates!C:C,EOMONTH(E136,0),0)</f>
        <v>46112</v>
      </c>
      <c r="G136" t="str">
        <v>BABEK ALBANDOV</v>
      </c>
      <c r="H136" s="61" cm="1">
        <f t="array" ref="H136">SUM(_xlfn._xlws.FILTER(_xlfn._TRO_TRAILING(quantities!L:L),(_xlfn._TRO_TRAILING(quantities!D:D)=C136)*(_xlfn._TRO_TRAILING(quantities!E:E)=D136)))</f>
        <v>16264.285714285714</v>
      </c>
      <c r="I136" s="61"/>
      <c r="J136" s="61" t="e">
        <f ca="1">SUMIFS(
INDIRECT("'[S2 Subcon IPC Log.xlsx]Subcon IPC Log'!"&amp;"$O:$O"),
INDIRECT("'[S2 Subcon IPC Log.xlsx]Subcon IPC Log'!"&amp;"$C:$C"),
"KLN-SPP2-"&amp;_xlfn.XLOOKUP(C136,log_contracts!B:B,log_contracts!C:C)&amp;"-"&amp;TEXT(C136,"000"),
INDIRECT("'[S2 Subcon IPC Log.xlsx]Subcon IPC Log'!"&amp;"$D:$D"),
D136)</f>
        <v>#REF!</v>
      </c>
      <c r="K136" s="61" t="e">
        <f ca="1"/>
        <v>#REF!</v>
      </c>
    </row>
    <row r="137" spans="1:11" hidden="1" x14ac:dyDescent="0.25">
      <c r="A137">
        <v>136</v>
      </c>
      <c r="B137" t="str">
        <v>031-011</v>
      </c>
      <c r="C137">
        <v>31</v>
      </c>
      <c r="D137">
        <v>11</v>
      </c>
      <c r="E137" s="19" cm="1">
        <f t="array" ref="E137">_xlfn.XLOOKUP(B137,old_ipc_dates!F:F,old_ipc_dates!B:B,IF(D137=1,_xlfn.XLOOKUP(C137,log_contracts!B:B,log_contracts!D:D,,0),_xlfn.XLOOKUP(1,($C$18:C136=C137)*($D$18:D136=D137-1),$F$18:F136+1,,0)),0)</f>
        <v>45992</v>
      </c>
      <c r="F137" s="19">
        <f>_xlfn.XLOOKUP(B137,old_ipc_dates!F:F,old_ipc_dates!C:C,EOMONTH(E137,0),0)</f>
        <v>46022</v>
      </c>
      <c r="G137" t="str">
        <v>NAR TRANSPORT SERVICES MMC</v>
      </c>
      <c r="H137" s="61" cm="1">
        <f t="array" ref="H137">SUM(_xlfn._xlws.FILTER(_xlfn._TRO_TRAILING(quantities!L:L),(_xlfn._TRO_TRAILING(quantities!D:D)=C137)*(_xlfn._TRO_TRAILING(quantities!E:E)=D137)))</f>
        <v>85332.03357142859</v>
      </c>
      <c r="I137" s="61"/>
      <c r="J137" t="e">
        <f ca="1">SUMIFS(
INDIRECT("'[S2 Subcon IPC Log.xlsx]Subcon IPC Log'!"&amp;"$O:$O"),
INDIRECT("'[S2 Subcon IPC Log.xlsx]Subcon IPC Log'!"&amp;"$C:$C"),
"KLN-SPP2-"&amp;_xlfn.XLOOKUP(C137,log_contracts!B:B,log_contracts!C:C)&amp;"-"&amp;TEXT(C137,"000"),
INDIRECT("'[S2 Subcon IPC Log.xlsx]Subcon IPC Log'!"&amp;"$D:$D"),
D137)</f>
        <v>#REF!</v>
      </c>
      <c r="K137" s="61" t="e">
        <f ca="1"/>
        <v>#REF!</v>
      </c>
    </row>
    <row r="138" spans="1:11" hidden="1" x14ac:dyDescent="0.25">
      <c r="A138">
        <v>137</v>
      </c>
      <c r="B138" t="str">
        <v>065-011</v>
      </c>
      <c r="C138">
        <v>65</v>
      </c>
      <c r="D138">
        <v>11</v>
      </c>
      <c r="E138" s="19" cm="1">
        <f t="array" ref="E138">_xlfn.XLOOKUP(B138,old_ipc_dates!F:F,old_ipc_dates!B:B,IF(D138=1,_xlfn.XLOOKUP(C138,log_contracts!B:B,log_contracts!D:D,,0),_xlfn.XLOOKUP(1,($C$18:C137=C138)*($D$18:D137=D138-1),$F$18:F137+1,,0)),0)</f>
        <v>46082</v>
      </c>
      <c r="F138" s="19">
        <f>_xlfn.XLOOKUP(B138,old_ipc_dates!F:F,old_ipc_dates!C:C,EOMONTH(E138,0),0)</f>
        <v>46112</v>
      </c>
      <c r="G138" t="str">
        <v>ETIBAR MAMMADOV</v>
      </c>
      <c r="H138" s="61" cm="1">
        <f t="array" ref="H138">SUM(_xlfn._xlws.FILTER(_xlfn._TRO_TRAILING(quantities!L:L),(_xlfn._TRO_TRAILING(quantities!D:D)=C138)*(_xlfn._TRO_TRAILING(quantities!E:E)=D138)))</f>
        <v>5303.5714285714284</v>
      </c>
      <c r="I138" s="61"/>
      <c r="J138" t="e">
        <f ca="1">SUMIFS(
INDIRECT("'[S2 Subcon IPC Log.xlsx]Subcon IPC Log'!"&amp;"$O:$O"),
INDIRECT("'[S2 Subcon IPC Log.xlsx]Subcon IPC Log'!"&amp;"$C:$C"),
"KLN-SPP2-"&amp;_xlfn.XLOOKUP(C138,log_contracts!B:B,log_contracts!C:C)&amp;"-"&amp;TEXT(C138,"000"),
INDIRECT("'[S2 Subcon IPC Log.xlsx]Subcon IPC Log'!"&amp;"$D:$D"),
D138)</f>
        <v>#REF!</v>
      </c>
      <c r="K138" s="61" t="e">
        <f ca="1"/>
        <v>#REF!</v>
      </c>
    </row>
    <row r="139" spans="1:11" hidden="1" x14ac:dyDescent="0.25">
      <c r="A139">
        <v>138</v>
      </c>
      <c r="B139" t="str">
        <v>031-012</v>
      </c>
      <c r="C139">
        <v>31</v>
      </c>
      <c r="D139">
        <v>12</v>
      </c>
      <c r="E139" s="19" cm="1">
        <f t="array" ref="E139">_xlfn.XLOOKUP(B139,old_ipc_dates!F:F,old_ipc_dates!B:B,IF(D139=1,_xlfn.XLOOKUP(C139,log_contracts!B:B,log_contracts!D:D,,0),_xlfn.XLOOKUP(1,($C$18:C138=C139)*($D$18:D138=D139-1),$F$18:F138+1,,0)),0)</f>
        <v>46023</v>
      </c>
      <c r="F139" s="19">
        <f>_xlfn.XLOOKUP(B139,old_ipc_dates!F:F,old_ipc_dates!C:C,EOMONTH(E139,0),0)</f>
        <v>46053</v>
      </c>
      <c r="G139" t="str">
        <v>NAR TRANSPORT SERVICES MMC</v>
      </c>
      <c r="H139" s="61" cm="1">
        <f t="array" ref="H139">SUM(_xlfn._xlws.FILTER(_xlfn._TRO_TRAILING(quantities!L:L),(_xlfn._TRO_TRAILING(quantities!D:D)=C139)*(_xlfn._TRO_TRAILING(quantities!E:E)=D139)))</f>
        <v>85717.983761933952</v>
      </c>
      <c r="I139" s="61"/>
      <c r="J139" t="e">
        <f ca="1">SUMIFS(
INDIRECT("'[S2 Subcon IPC Log.xlsx]Subcon IPC Log'!"&amp;"$O:$O"),
INDIRECT("'[S2 Subcon IPC Log.xlsx]Subcon IPC Log'!"&amp;"$C:$C"),
"KLN-SPP2-"&amp;_xlfn.XLOOKUP(C139,log_contracts!B:B,log_contracts!C:C)&amp;"-"&amp;TEXT(C139,"000"),
INDIRECT("'[S2 Subcon IPC Log.xlsx]Subcon IPC Log'!"&amp;"$D:$D"),
D139)</f>
        <v>#REF!</v>
      </c>
      <c r="K139" s="61" t="e">
        <f ca="1"/>
        <v>#REF!</v>
      </c>
    </row>
    <row r="140" spans="1:11" hidden="1" x14ac:dyDescent="0.25">
      <c r="A140">
        <v>139</v>
      </c>
      <c r="B140" t="str">
        <v>031-013</v>
      </c>
      <c r="C140">
        <v>31</v>
      </c>
      <c r="D140">
        <v>13</v>
      </c>
      <c r="E140" s="19" cm="1">
        <f t="array" ref="E140">_xlfn.XLOOKUP(B140,old_ipc_dates!F:F,old_ipc_dates!B:B,IF(D140=1,_xlfn.XLOOKUP(C140,log_contracts!B:B,log_contracts!D:D,,0),_xlfn.XLOOKUP(1,($C$18:C139=C140)*($D$18:D139=D140-1),$F$18:F139+1,,0)),0)</f>
        <v>46054</v>
      </c>
      <c r="F140" s="19">
        <f>_xlfn.XLOOKUP(B140,old_ipc_dates!F:F,old_ipc_dates!C:C,EOMONTH(E140,0),0)</f>
        <v>46081</v>
      </c>
      <c r="G140" t="str">
        <v>NAR TRANSPORT SERVICES MMC</v>
      </c>
      <c r="H140" s="61" cm="1">
        <f t="array" ref="H140">SUM(_xlfn._xlws.FILTER(_xlfn._TRO_TRAILING(quantities!L:L),(_xlfn._TRO_TRAILING(quantities!D:D)=C140)*(_xlfn._TRO_TRAILING(quantities!E:E)=D140)))</f>
        <v>99902.461000007082</v>
      </c>
      <c r="I140" s="61"/>
      <c r="J140" t="e">
        <f ca="1">SUMIFS(
INDIRECT("'[S2 Subcon IPC Log.xlsx]Subcon IPC Log'!"&amp;"$O:$O"),
INDIRECT("'[S2 Subcon IPC Log.xlsx]Subcon IPC Log'!"&amp;"$C:$C"),
"KLN-SPP2-"&amp;_xlfn.XLOOKUP(C140,log_contracts!B:B,log_contracts!C:C)&amp;"-"&amp;TEXT(C140,"000"),
INDIRECT("'[S2 Subcon IPC Log.xlsx]Subcon IPC Log'!"&amp;"$D:$D"),
D140)</f>
        <v>#REF!</v>
      </c>
      <c r="K140" s="61" t="e">
        <f ca="1"/>
        <v>#REF!</v>
      </c>
    </row>
    <row r="141" spans="1:11" hidden="1" x14ac:dyDescent="0.25">
      <c r="A141">
        <v>140</v>
      </c>
      <c r="B141" t="str">
        <v>031-014</v>
      </c>
      <c r="C141">
        <v>31</v>
      </c>
      <c r="D141">
        <v>14</v>
      </c>
      <c r="E141" s="19" cm="1">
        <f t="array" ref="E141">_xlfn.XLOOKUP(B141,old_ipc_dates!F:F,old_ipc_dates!B:B,IF(D141=1,_xlfn.XLOOKUP(C141,log_contracts!B:B,log_contracts!D:D,,0),_xlfn.XLOOKUP(1,($C$18:C140=C141)*($D$18:D140=D141-1),$F$18:F140+1,,0)),0)</f>
        <v>46082</v>
      </c>
      <c r="F141" s="19">
        <f>_xlfn.XLOOKUP(B141,old_ipc_dates!F:F,old_ipc_dates!C:C,EOMONTH(E141,0),0)</f>
        <v>46112</v>
      </c>
      <c r="G141" t="str">
        <v>NAR TRANSPORT SERVICES MMC</v>
      </c>
      <c r="H141" s="61" cm="1">
        <f t="array" ref="H141">SUM(_xlfn._xlws.FILTER(_xlfn._TRO_TRAILING(quantities!L:L),(_xlfn._TRO_TRAILING(quantities!D:D)=C141)*(_xlfn._TRO_TRAILING(quantities!E:E)=D141)))</f>
        <v>4901.7857142857147</v>
      </c>
      <c r="I141" s="61"/>
      <c r="J141" t="e">
        <f ca="1">SUMIFS(
INDIRECT("'[S2 Subcon IPC Log.xlsx]Subcon IPC Log'!"&amp;"$O:$O"),
INDIRECT("'[S2 Subcon IPC Log.xlsx]Subcon IPC Log'!"&amp;"$C:$C"),
"KLN-SPP2-"&amp;_xlfn.XLOOKUP(C141,log_contracts!B:B,log_contracts!C:C)&amp;"-"&amp;TEXT(C141,"000"),
INDIRECT("'[S2 Subcon IPC Log.xlsx]Subcon IPC Log'!"&amp;"$D:$D"),
D141)</f>
        <v>#REF!</v>
      </c>
      <c r="K141" s="61" t="e">
        <f ca="1"/>
        <v>#REF!</v>
      </c>
    </row>
    <row r="142" spans="1:11" hidden="1" x14ac:dyDescent="0.25">
      <c r="A142">
        <v>141</v>
      </c>
      <c r="B142" t="str">
        <v>011-001</v>
      </c>
      <c r="C142">
        <v>11</v>
      </c>
      <c r="D142">
        <v>1</v>
      </c>
      <c r="E142" s="19" cm="1">
        <f t="array" ref="E142">_xlfn.XLOOKUP(B142,old_ipc_dates!F:F,old_ipc_dates!B:B,IF(D142=1,_xlfn.XLOOKUP(C142,log_contracts!B:B,log_contracts!D:D,,0),_xlfn.XLOOKUP(1,($C$18:C141=C142)*($D$18:D141=D142-1),$F$18:F141+1,,0)),0)</f>
        <v>45646</v>
      </c>
      <c r="F142" s="19">
        <f>_xlfn.XLOOKUP(B142,old_ipc_dates!F:F,old_ipc_dates!C:C,EOMONTH(E142,0),0)</f>
        <v>45322</v>
      </c>
      <c r="G142" t="str">
        <v>CASPIAN ENGINEERING SOLUTIONS MMC</v>
      </c>
      <c r="H142" s="61" cm="1">
        <f t="array" ref="H142">SUM(_xlfn._xlws.FILTER(_xlfn._TRO_TRAILING(quantities!L:L),(_xlfn._TRO_TRAILING(quantities!D:D)=C142)*(_xlfn._TRO_TRAILING(quantities!E:E)=D142)))</f>
        <v>8300</v>
      </c>
      <c r="I142" s="61"/>
      <c r="J142" t="e">
        <f ca="1">SUMIFS(
INDIRECT("'[S2 Subcon IPC Log.xlsx]Subcon IPC Log'!"&amp;"$O:$O"),
INDIRECT("'[S2 Subcon IPC Log.xlsx]Subcon IPC Log'!"&amp;"$C:$C"),
"KLN-SPP2-"&amp;_xlfn.XLOOKUP(C142,log_contracts!B:B,log_contracts!C:C)&amp;"-"&amp;TEXT(C142,"000"),
INDIRECT("'[S2 Subcon IPC Log.xlsx]Subcon IPC Log'!"&amp;"$D:$D"),
D142)</f>
        <v>#REF!</v>
      </c>
      <c r="K142" s="61" t="e">
        <f ca="1"/>
        <v>#REF!</v>
      </c>
    </row>
    <row r="143" spans="1:11" hidden="1" x14ac:dyDescent="0.25">
      <c r="A143">
        <v>142</v>
      </c>
      <c r="B143" t="str">
        <v>011-002</v>
      </c>
      <c r="C143">
        <v>11</v>
      </c>
      <c r="D143">
        <v>2</v>
      </c>
      <c r="E143" s="19" cm="1">
        <f t="array" ref="E143">_xlfn.XLOOKUP(B143,old_ipc_dates!F:F,old_ipc_dates!B:B,IF(D143=1,_xlfn.XLOOKUP(C143,log_contracts!B:B,log_contracts!D:D,,0),_xlfn.XLOOKUP(1,($C$18:C142=C143)*($D$18:D142=D143-1),$F$18:F142+1,,0)),0)</f>
        <v>45689</v>
      </c>
      <c r="F143" s="19">
        <f>_xlfn.XLOOKUP(B143,old_ipc_dates!F:F,old_ipc_dates!C:C,EOMONTH(E143,0),0)</f>
        <v>45716</v>
      </c>
      <c r="G143" t="str">
        <v>CASPIAN ENGINEERING SOLUTIONS MMC</v>
      </c>
      <c r="H143" s="61" cm="1">
        <f t="array" ref="H143">SUM(_xlfn._xlws.FILTER(_xlfn._TRO_TRAILING(quantities!L:L),(_xlfn._TRO_TRAILING(quantities!D:D)=C143)*(_xlfn._TRO_TRAILING(quantities!E:E)=D143)))</f>
        <v>8760</v>
      </c>
      <c r="I143" s="61"/>
      <c r="J143" t="e">
        <f ca="1">SUMIFS(
INDIRECT("'[S2 Subcon IPC Log.xlsx]Subcon IPC Log'!"&amp;"$O:$O"),
INDIRECT("'[S2 Subcon IPC Log.xlsx]Subcon IPC Log'!"&amp;"$C:$C"),
"KLN-SPP2-"&amp;_xlfn.XLOOKUP(C143,log_contracts!B:B,log_contracts!C:C)&amp;"-"&amp;TEXT(C143,"000"),
INDIRECT("'[S2 Subcon IPC Log.xlsx]Subcon IPC Log'!"&amp;"$D:$D"),
D143)</f>
        <v>#REF!</v>
      </c>
      <c r="K143" s="61" t="e">
        <f ca="1"/>
        <v>#REF!</v>
      </c>
    </row>
    <row r="144" spans="1:11" hidden="1" x14ac:dyDescent="0.25">
      <c r="A144">
        <v>143</v>
      </c>
      <c r="B144" t="str">
        <v>011-003</v>
      </c>
      <c r="C144">
        <v>11</v>
      </c>
      <c r="D144">
        <v>3</v>
      </c>
      <c r="E144" s="19" cm="1">
        <f t="array" ref="E144">_xlfn.XLOOKUP(B144,old_ipc_dates!F:F,old_ipc_dates!B:B,IF(D144=1,_xlfn.XLOOKUP(C144,log_contracts!B:B,log_contracts!D:D,,0),_xlfn.XLOOKUP(1,($C$18:C143=C144)*($D$18:D143=D144-1),$F$18:F143+1,,0)),0)</f>
        <v>45717</v>
      </c>
      <c r="F144" s="19">
        <f>_xlfn.XLOOKUP(B144,old_ipc_dates!F:F,old_ipc_dates!C:C,EOMONTH(E144,0),0)</f>
        <v>45747</v>
      </c>
      <c r="G144" t="str">
        <v>CASPIAN ENGINEERING SOLUTIONS MMC</v>
      </c>
      <c r="H144" s="61" cm="1">
        <f t="array" ref="H144">SUM(_xlfn._xlws.FILTER(_xlfn._TRO_TRAILING(quantities!L:L),(_xlfn._TRO_TRAILING(quantities!D:D)=C144)*(_xlfn._TRO_TRAILING(quantities!E:E)=D144)))</f>
        <v>10940</v>
      </c>
      <c r="I144" s="61"/>
      <c r="J144" t="e">
        <f ca="1">SUMIFS(
INDIRECT("'[S2 Subcon IPC Log.xlsx]Subcon IPC Log'!"&amp;"$O:$O"),
INDIRECT("'[S2 Subcon IPC Log.xlsx]Subcon IPC Log'!"&amp;"$C:$C"),
"KLN-SPP2-"&amp;_xlfn.XLOOKUP(C144,log_contracts!B:B,log_contracts!C:C)&amp;"-"&amp;TEXT(C144,"000"),
INDIRECT("'[S2 Subcon IPC Log.xlsx]Subcon IPC Log'!"&amp;"$D:$D"),
D144)</f>
        <v>#REF!</v>
      </c>
      <c r="K144" s="61" t="e">
        <f ca="1"/>
        <v>#REF!</v>
      </c>
    </row>
    <row r="145" spans="1:11" hidden="1" x14ac:dyDescent="0.25">
      <c r="A145">
        <v>144</v>
      </c>
      <c r="B145" t="str">
        <v>011-004</v>
      </c>
      <c r="C145">
        <v>11</v>
      </c>
      <c r="D145">
        <v>4</v>
      </c>
      <c r="E145" s="19" cm="1">
        <f t="array" ref="E145">_xlfn.XLOOKUP(B145,old_ipc_dates!F:F,old_ipc_dates!B:B,IF(D145=1,_xlfn.XLOOKUP(C145,log_contracts!B:B,log_contracts!D:D,,0),_xlfn.XLOOKUP(1,($C$18:C144=C145)*($D$18:D144=D145-1),$F$18:F144+1,,0)),0)</f>
        <v>45748</v>
      </c>
      <c r="F145" s="19">
        <f>_xlfn.XLOOKUP(B145,old_ipc_dates!F:F,old_ipc_dates!C:C,EOMONTH(E145,0),0)</f>
        <v>45777</v>
      </c>
      <c r="G145" t="str">
        <v>CASPIAN ENGINEERING SOLUTIONS MMC</v>
      </c>
      <c r="H145" s="61" cm="1">
        <f t="array" ref="H145">SUM(_xlfn._xlws.FILTER(_xlfn._TRO_TRAILING(quantities!L:L),(_xlfn._TRO_TRAILING(quantities!D:D)=C145)*(_xlfn._TRO_TRAILING(quantities!E:E)=D145)))</f>
        <v>7500</v>
      </c>
      <c r="I145" s="61"/>
      <c r="J145" t="e">
        <f ca="1">SUMIFS(
INDIRECT("'[S2 Subcon IPC Log.xlsx]Subcon IPC Log'!"&amp;"$O:$O"),
INDIRECT("'[S2 Subcon IPC Log.xlsx]Subcon IPC Log'!"&amp;"$C:$C"),
"KLN-SPP2-"&amp;_xlfn.XLOOKUP(C145,log_contracts!B:B,log_contracts!C:C)&amp;"-"&amp;TEXT(C145,"000"),
INDIRECT("'[S2 Subcon IPC Log.xlsx]Subcon IPC Log'!"&amp;"$D:$D"),
D145)</f>
        <v>#REF!</v>
      </c>
      <c r="K145" s="61" t="e">
        <f ca="1"/>
        <v>#REF!</v>
      </c>
    </row>
    <row r="146" spans="1:11" hidden="1" x14ac:dyDescent="0.25">
      <c r="A146">
        <v>145</v>
      </c>
      <c r="B146" t="str">
        <v>011-005</v>
      </c>
      <c r="C146">
        <v>11</v>
      </c>
      <c r="D146">
        <v>5</v>
      </c>
      <c r="E146" s="19" cm="1">
        <f t="array" ref="E146">_xlfn.XLOOKUP(B146,old_ipc_dates!F:F,old_ipc_dates!B:B,IF(D146=1,_xlfn.XLOOKUP(C146,log_contracts!B:B,log_contracts!D:D,,0),_xlfn.XLOOKUP(1,($C$18:C145=C146)*($D$18:D145=D146-1),$F$18:F145+1,,0)),0)</f>
        <v>45778</v>
      </c>
      <c r="F146" s="19">
        <f>_xlfn.XLOOKUP(B146,old_ipc_dates!F:F,old_ipc_dates!C:C,EOMONTH(E146,0),0)</f>
        <v>45808</v>
      </c>
      <c r="G146" t="str">
        <v>CASPIAN ENGINEERING SOLUTIONS MMC</v>
      </c>
      <c r="H146" s="61" cm="1">
        <f t="array" ref="H146">SUM(_xlfn._xlws.FILTER(_xlfn._TRO_TRAILING(quantities!L:L),(_xlfn._TRO_TRAILING(quantities!D:D)=C146)*(_xlfn._TRO_TRAILING(quantities!E:E)=D146)))</f>
        <v>10014</v>
      </c>
      <c r="I146" s="61"/>
      <c r="J146" t="e">
        <f ca="1">SUMIFS(
INDIRECT("'[S2 Subcon IPC Log.xlsx]Subcon IPC Log'!"&amp;"$O:$O"),
INDIRECT("'[S2 Subcon IPC Log.xlsx]Subcon IPC Log'!"&amp;"$C:$C"),
"KLN-SPP2-"&amp;_xlfn.XLOOKUP(C146,log_contracts!B:B,log_contracts!C:C)&amp;"-"&amp;TEXT(C146,"000"),
INDIRECT("'[S2 Subcon IPC Log.xlsx]Subcon IPC Log'!"&amp;"$D:$D"),
D146)</f>
        <v>#REF!</v>
      </c>
      <c r="K146" s="61" t="e">
        <f ca="1"/>
        <v>#REF!</v>
      </c>
    </row>
    <row r="147" spans="1:11" hidden="1" x14ac:dyDescent="0.25">
      <c r="A147">
        <v>146</v>
      </c>
      <c r="B147" t="str">
        <v>011-006</v>
      </c>
      <c r="C147">
        <v>11</v>
      </c>
      <c r="D147">
        <v>6</v>
      </c>
      <c r="E147" s="19" cm="1">
        <f t="array" ref="E147">_xlfn.XLOOKUP(B147,old_ipc_dates!F:F,old_ipc_dates!B:B,IF(D147=1,_xlfn.XLOOKUP(C147,log_contracts!B:B,log_contracts!D:D,,0),_xlfn.XLOOKUP(1,($C$18:C146=C147)*($D$18:D146=D147-1),$F$18:F146+1,,0)),0)</f>
        <v>45809</v>
      </c>
      <c r="F147" s="19">
        <f>_xlfn.XLOOKUP(B147,old_ipc_dates!F:F,old_ipc_dates!C:C,EOMONTH(E147,0),0)</f>
        <v>45838</v>
      </c>
      <c r="G147" t="str">
        <v>CASPIAN ENGINEERING SOLUTIONS MMC</v>
      </c>
      <c r="H147" s="61" cm="1">
        <f t="array" ref="H147">SUM(_xlfn._xlws.FILTER(_xlfn._TRO_TRAILING(quantities!L:L),(_xlfn._TRO_TRAILING(quantities!D:D)=C147)*(_xlfn._TRO_TRAILING(quantities!E:E)=D147)))</f>
        <v>9245</v>
      </c>
      <c r="I147" s="61"/>
      <c r="J147" t="e">
        <f ca="1">SUMIFS(
INDIRECT("'[S2 Subcon IPC Log.xlsx]Subcon IPC Log'!"&amp;"$O:$O"),
INDIRECT("'[S2 Subcon IPC Log.xlsx]Subcon IPC Log'!"&amp;"$C:$C"),
"KLN-SPP2-"&amp;_xlfn.XLOOKUP(C147,log_contracts!B:B,log_contracts!C:C)&amp;"-"&amp;TEXT(C147,"000"),
INDIRECT("'[S2 Subcon IPC Log.xlsx]Subcon IPC Log'!"&amp;"$D:$D"),
D147)</f>
        <v>#REF!</v>
      </c>
      <c r="K147" s="61" t="e">
        <f ca="1"/>
        <v>#REF!</v>
      </c>
    </row>
    <row r="148" spans="1:11" hidden="1" x14ac:dyDescent="0.25">
      <c r="A148">
        <v>147</v>
      </c>
      <c r="B148" t="str">
        <v>011-007</v>
      </c>
      <c r="C148">
        <v>11</v>
      </c>
      <c r="D148">
        <v>7</v>
      </c>
      <c r="E148" s="19" cm="1">
        <f t="array" ref="E148">_xlfn.XLOOKUP(B148,old_ipc_dates!F:F,old_ipc_dates!B:B,IF(D148=1,_xlfn.XLOOKUP(C148,log_contracts!B:B,log_contracts!D:D,,0),_xlfn.XLOOKUP(1,($C$18:C147=C148)*($D$18:D147=D148-1),$F$18:F147+1,,0)),0)</f>
        <v>45839</v>
      </c>
      <c r="F148" s="19">
        <f>_xlfn.XLOOKUP(B148,old_ipc_dates!F:F,old_ipc_dates!C:C,EOMONTH(E148,0),0)</f>
        <v>45869</v>
      </c>
      <c r="G148" t="str">
        <v>CASPIAN ENGINEERING SOLUTIONS MMC</v>
      </c>
      <c r="H148" s="61" cm="1">
        <f t="array" ref="H148">SUM(_xlfn._xlws.FILTER(_xlfn._TRO_TRAILING(quantities!L:L),(_xlfn._TRO_TRAILING(quantities!D:D)=C148)*(_xlfn._TRO_TRAILING(quantities!E:E)=D148)))</f>
        <v>13000</v>
      </c>
      <c r="I148" s="61"/>
      <c r="J148" t="e">
        <f ca="1">SUMIFS(
INDIRECT("'[S2 Subcon IPC Log.xlsx]Subcon IPC Log'!"&amp;"$O:$O"),
INDIRECT("'[S2 Subcon IPC Log.xlsx]Subcon IPC Log'!"&amp;"$C:$C"),
"KLN-SPP2-"&amp;_xlfn.XLOOKUP(C148,log_contracts!B:B,log_contracts!C:C)&amp;"-"&amp;TEXT(C148,"000"),
INDIRECT("'[S2 Subcon IPC Log.xlsx]Subcon IPC Log'!"&amp;"$D:$D"),
D148)</f>
        <v>#REF!</v>
      </c>
      <c r="K148" s="61" t="e">
        <f ca="1"/>
        <v>#REF!</v>
      </c>
    </row>
    <row r="149" spans="1:11" hidden="1" x14ac:dyDescent="0.25">
      <c r="A149">
        <v>148</v>
      </c>
      <c r="B149" t="str">
        <v>011-008</v>
      </c>
      <c r="C149">
        <v>11</v>
      </c>
      <c r="D149">
        <v>8</v>
      </c>
      <c r="E149" s="19" cm="1">
        <f t="array" ref="E149">_xlfn.XLOOKUP(B149,old_ipc_dates!F:F,old_ipc_dates!B:B,IF(D149=1,_xlfn.XLOOKUP(C149,log_contracts!B:B,log_contracts!D:D,,0),_xlfn.XLOOKUP(1,($C$18:C148=C149)*($D$18:D148=D149-1),$F$18:F148+1,,0)),0)</f>
        <v>45870</v>
      </c>
      <c r="F149" s="19">
        <f>_xlfn.XLOOKUP(B149,old_ipc_dates!F:F,old_ipc_dates!C:C,EOMONTH(E149,0),0)</f>
        <v>45900</v>
      </c>
      <c r="G149" t="str">
        <v>CASPIAN ENGINEERING SOLUTIONS MMC</v>
      </c>
      <c r="H149" s="61" cm="1">
        <f t="array" ref="H149">SUM(_xlfn._xlws.FILTER(_xlfn._TRO_TRAILING(quantities!L:L),(_xlfn._TRO_TRAILING(quantities!D:D)=C149)*(_xlfn._TRO_TRAILING(quantities!E:E)=D149)))</f>
        <v>16000</v>
      </c>
      <c r="I149" s="61"/>
      <c r="J149" t="e">
        <f ca="1">SUMIFS(
INDIRECT("'[S2 Subcon IPC Log.xlsx]Subcon IPC Log'!"&amp;"$O:$O"),
INDIRECT("'[S2 Subcon IPC Log.xlsx]Subcon IPC Log'!"&amp;"$C:$C"),
"KLN-SPP2-"&amp;_xlfn.XLOOKUP(C149,log_contracts!B:B,log_contracts!C:C)&amp;"-"&amp;TEXT(C149,"000"),
INDIRECT("'[S2 Subcon IPC Log.xlsx]Subcon IPC Log'!"&amp;"$D:$D"),
D149)</f>
        <v>#REF!</v>
      </c>
      <c r="K149" s="61" t="e">
        <f ca="1"/>
        <v>#REF!</v>
      </c>
    </row>
    <row r="150" spans="1:11" hidden="1" x14ac:dyDescent="0.25">
      <c r="A150">
        <v>149</v>
      </c>
      <c r="B150" t="str">
        <v>011-009</v>
      </c>
      <c r="C150">
        <v>11</v>
      </c>
      <c r="D150">
        <v>9</v>
      </c>
      <c r="E150" s="19" cm="1">
        <f t="array" ref="E150">_xlfn.XLOOKUP(B150,old_ipc_dates!F:F,old_ipc_dates!B:B,IF(D150=1,_xlfn.XLOOKUP(C150,log_contracts!B:B,log_contracts!D:D,,0),_xlfn.XLOOKUP(1,($C$18:C149=C150)*($D$18:D149=D150-1),$F$18:F149+1,,0)),0)</f>
        <v>45901</v>
      </c>
      <c r="F150" s="19">
        <f>_xlfn.XLOOKUP(B150,old_ipc_dates!F:F,old_ipc_dates!C:C,EOMONTH(E150,0),0)</f>
        <v>45930</v>
      </c>
      <c r="G150" t="str">
        <v>CASPIAN ENGINEERING SOLUTIONS MMC</v>
      </c>
      <c r="H150" s="61" cm="1">
        <f t="array" ref="H150">SUM(_xlfn._xlws.FILTER(_xlfn._TRO_TRAILING(quantities!L:L),(_xlfn._TRO_TRAILING(quantities!D:D)=C150)*(_xlfn._TRO_TRAILING(quantities!E:E)=D150)))</f>
        <v>13000</v>
      </c>
      <c r="J150" t="e">
        <f ca="1">SUMIFS(
INDIRECT("'[S2 Subcon IPC Log.xlsx]Subcon IPC Log'!"&amp;"$O:$O"),
INDIRECT("'[S2 Subcon IPC Log.xlsx]Subcon IPC Log'!"&amp;"$C:$C"),
"KLN-SPP2-"&amp;_xlfn.XLOOKUP(C150,log_contracts!B:B,log_contracts!C:C)&amp;"-"&amp;TEXT(C150,"000"),
INDIRECT("'[S2 Subcon IPC Log.xlsx]Subcon IPC Log'!"&amp;"$D:$D"),
D150)</f>
        <v>#REF!</v>
      </c>
      <c r="K150" s="61" t="e">
        <f ca="1"/>
        <v>#REF!</v>
      </c>
    </row>
    <row r="151" spans="1:11" hidden="1" x14ac:dyDescent="0.25">
      <c r="A151">
        <v>150</v>
      </c>
      <c r="B151" t="str">
        <v>011-010</v>
      </c>
      <c r="C151">
        <v>11</v>
      </c>
      <c r="D151">
        <v>10</v>
      </c>
      <c r="E151" s="19" cm="1">
        <f t="array" ref="E151">_xlfn.XLOOKUP(B151,old_ipc_dates!F:F,old_ipc_dates!B:B,IF(D151=1,_xlfn.XLOOKUP(C151,log_contracts!B:B,log_contracts!D:D,,0),_xlfn.XLOOKUP(1,($C$18:C150=C151)*($D$18:D150=D151-1),$F$18:F150+1,,0)),0)</f>
        <v>45931</v>
      </c>
      <c r="F151" s="19">
        <f>_xlfn.XLOOKUP(B151,old_ipc_dates!F:F,old_ipc_dates!C:C,EOMONTH(E151,0),0)</f>
        <v>45961</v>
      </c>
      <c r="G151" t="str">
        <v>CASPIAN ENGINEERING SOLUTIONS MMC</v>
      </c>
      <c r="H151" s="61" cm="1">
        <f t="array" ref="H151">SUM(_xlfn._xlws.FILTER(_xlfn._TRO_TRAILING(quantities!L:L),(_xlfn._TRO_TRAILING(quantities!D:D)=C151)*(_xlfn._TRO_TRAILING(quantities!E:E)=D151)))</f>
        <v>15800</v>
      </c>
      <c r="J151" t="e">
        <f ca="1">SUMIFS(
INDIRECT("'[S2 Subcon IPC Log.xlsx]Subcon IPC Log'!"&amp;"$O:$O"),
INDIRECT("'[S2 Subcon IPC Log.xlsx]Subcon IPC Log'!"&amp;"$C:$C"),
"KLN-SPP2-"&amp;_xlfn.XLOOKUP(C151,log_contracts!B:B,log_contracts!C:C)&amp;"-"&amp;TEXT(C151,"000"),
INDIRECT("'[S2 Subcon IPC Log.xlsx]Subcon IPC Log'!"&amp;"$D:$D"),
D151)</f>
        <v>#REF!</v>
      </c>
      <c r="K151" s="61" t="e">
        <f ca="1"/>
        <v>#REF!</v>
      </c>
    </row>
    <row r="152" spans="1:11" hidden="1" x14ac:dyDescent="0.25">
      <c r="A152">
        <v>151</v>
      </c>
      <c r="B152" t="str">
        <v>011-011</v>
      </c>
      <c r="C152">
        <v>11</v>
      </c>
      <c r="D152">
        <v>11</v>
      </c>
      <c r="E152" s="19" cm="1">
        <f t="array" ref="E152">_xlfn.XLOOKUP(B152,old_ipc_dates!F:F,old_ipc_dates!B:B,IF(D152=1,_xlfn.XLOOKUP(C152,log_contracts!B:B,log_contracts!D:D,,0),_xlfn.XLOOKUP(1,($C$18:C151=C152)*($D$18:D151=D152-1),$F$18:F151+1,,0)),0)</f>
        <v>45962</v>
      </c>
      <c r="F152" s="19">
        <f>_xlfn.XLOOKUP(B152,old_ipc_dates!F:F,old_ipc_dates!C:C,EOMONTH(E152,0),0)</f>
        <v>45991</v>
      </c>
      <c r="G152" t="str">
        <v>CASPIAN ENGINEERING SOLUTIONS MMC</v>
      </c>
      <c r="H152" s="61" cm="1">
        <f t="array" ref="H152">SUM(_xlfn._xlws.FILTER(_xlfn._TRO_TRAILING(quantities!L:L),(_xlfn._TRO_TRAILING(quantities!D:D)=C152)*(_xlfn._TRO_TRAILING(quantities!E:E)=D152)))</f>
        <v>9286.7272727272793</v>
      </c>
      <c r="J152" t="e">
        <f ca="1">SUMIFS(
INDIRECT("'[S2 Subcon IPC Log.xlsx]Subcon IPC Log'!"&amp;"$O:$O"),
INDIRECT("'[S2 Subcon IPC Log.xlsx]Subcon IPC Log'!"&amp;"$C:$C"),
"KLN-SPP2-"&amp;_xlfn.XLOOKUP(C152,log_contracts!B:B,log_contracts!C:C)&amp;"-"&amp;TEXT(C152,"000"),
INDIRECT("'[S2 Subcon IPC Log.xlsx]Subcon IPC Log'!"&amp;"$D:$D"),
D152)</f>
        <v>#REF!</v>
      </c>
      <c r="K152" s="61" t="e">
        <f ca="1"/>
        <v>#REF!</v>
      </c>
    </row>
    <row r="153" spans="1:11" hidden="1" x14ac:dyDescent="0.25">
      <c r="A153">
        <v>152</v>
      </c>
      <c r="B153" t="str">
        <v>014-001</v>
      </c>
      <c r="C153">
        <v>14</v>
      </c>
      <c r="D153">
        <v>1</v>
      </c>
      <c r="E153" s="19" cm="1">
        <f t="array" ref="E153">_xlfn.XLOOKUP(B153,old_ipc_dates!F:F,old_ipc_dates!B:B,IF(D153=1,_xlfn.XLOOKUP(C153,log_contracts!B:B,log_contracts!D:D,,0),_xlfn.XLOOKUP(1,($C$18:C152=C153)*($D$18:D152=D153-1),$F$18:F152+1,,0)),0)</f>
        <v>45652</v>
      </c>
      <c r="F153" s="19">
        <f>_xlfn.XLOOKUP(B153,old_ipc_dates!F:F,old_ipc_dates!C:C,EOMONTH(E153,0),0)</f>
        <v>45688</v>
      </c>
      <c r="G153" t="str">
        <v>HİLAL LTD</v>
      </c>
      <c r="H153" s="61" cm="1">
        <f t="array" ref="H153">SUM(_xlfn._xlws.FILTER(_xlfn._TRO_TRAILING(quantities!L:L),(_xlfn._TRO_TRAILING(quantities!D:D)=C153)*(_xlfn._TRO_TRAILING(quantities!E:E)=D153)))</f>
        <v>6658.833333333333</v>
      </c>
      <c r="J153" t="e">
        <f ca="1">SUMIFS(
INDIRECT("'[S2 Subcon IPC Log.xlsx]Subcon IPC Log'!"&amp;"$O:$O"),
INDIRECT("'[S2 Subcon IPC Log.xlsx]Subcon IPC Log'!"&amp;"$C:$C"),
"KLN-SPP2-"&amp;_xlfn.XLOOKUP(C153,log_contracts!B:B,log_contracts!C:C)&amp;"-"&amp;TEXT(C153,"000"),
INDIRECT("'[S2 Subcon IPC Log.xlsx]Subcon IPC Log'!"&amp;"$D:$D"),
D153)</f>
        <v>#REF!</v>
      </c>
      <c r="K153" s="61" t="e">
        <f ca="1"/>
        <v>#REF!</v>
      </c>
    </row>
    <row r="154" spans="1:11" hidden="1" x14ac:dyDescent="0.25">
      <c r="A154">
        <v>153</v>
      </c>
      <c r="B154" t="str">
        <v>014-002</v>
      </c>
      <c r="C154">
        <v>14</v>
      </c>
      <c r="D154">
        <v>2</v>
      </c>
      <c r="E154" s="19" cm="1">
        <f t="array" ref="E154">_xlfn.XLOOKUP(B154,old_ipc_dates!F:F,old_ipc_dates!B:B,IF(D154=1,_xlfn.XLOOKUP(C154,log_contracts!B:B,log_contracts!D:D,,0),_xlfn.XLOOKUP(1,($C$18:C153=C154)*($D$18:D153=D154-1),$F$18:F153+1,,0)),0)</f>
        <v>45689</v>
      </c>
      <c r="F154" s="19">
        <f>_xlfn.XLOOKUP(B154,old_ipc_dates!F:F,old_ipc_dates!C:C,EOMONTH(E154,0),0)</f>
        <v>45716</v>
      </c>
      <c r="G154" t="str">
        <v>HİLAL LTD</v>
      </c>
      <c r="H154" s="61" cm="1">
        <f t="array" ref="H154">SUM(_xlfn._xlws.FILTER(_xlfn._TRO_TRAILING(quantities!L:L),(_xlfn._TRO_TRAILING(quantities!D:D)=C154)*(_xlfn._TRO_TRAILING(quantities!E:E)=D154)))</f>
        <v>6106.0000000000009</v>
      </c>
      <c r="J154" t="e">
        <f ca="1">SUMIFS(
INDIRECT("'[S2 Subcon IPC Log.xlsx]Subcon IPC Log'!"&amp;"$O:$O"),
INDIRECT("'[S2 Subcon IPC Log.xlsx]Subcon IPC Log'!"&amp;"$C:$C"),
"KLN-SPP2-"&amp;_xlfn.XLOOKUP(C154,log_contracts!B:B,log_contracts!C:C)&amp;"-"&amp;TEXT(C154,"000"),
INDIRECT("'[S2 Subcon IPC Log.xlsx]Subcon IPC Log'!"&amp;"$D:$D"),
D154)</f>
        <v>#REF!</v>
      </c>
      <c r="K154" s="61" t="e">
        <f ca="1"/>
        <v>#REF!</v>
      </c>
    </row>
    <row r="155" spans="1:11" hidden="1" x14ac:dyDescent="0.25">
      <c r="A155">
        <v>154</v>
      </c>
      <c r="B155" t="str">
        <v>014-003</v>
      </c>
      <c r="C155">
        <v>14</v>
      </c>
      <c r="D155">
        <v>3</v>
      </c>
      <c r="E155" s="19" cm="1">
        <f t="array" ref="E155">_xlfn.XLOOKUP(B155,old_ipc_dates!F:F,old_ipc_dates!B:B,IF(D155=1,_xlfn.XLOOKUP(C155,log_contracts!B:B,log_contracts!D:D,,0),_xlfn.XLOOKUP(1,($C$18:C154=C155)*($D$18:D154=D155-1),$F$18:F154+1,,0)),0)</f>
        <v>45717</v>
      </c>
      <c r="F155" s="19">
        <f>_xlfn.XLOOKUP(B155,old_ipc_dates!F:F,old_ipc_dates!C:C,EOMONTH(E155,0),0)</f>
        <v>45747</v>
      </c>
      <c r="G155" t="str">
        <v>HİLAL LTD</v>
      </c>
      <c r="H155" s="61" cm="1">
        <f t="array" ref="H155">SUM(_xlfn._xlws.FILTER(_xlfn._TRO_TRAILING(quantities!L:L),(_xlfn._TRO_TRAILING(quantities!D:D)=C155)*(_xlfn._TRO_TRAILING(quantities!E:E)=D155)))</f>
        <v>10223.5</v>
      </c>
      <c r="J155" t="e">
        <f ca="1">SUMIFS(
INDIRECT("'[S2 Subcon IPC Log.xlsx]Subcon IPC Log'!"&amp;"$O:$O"),
INDIRECT("'[S2 Subcon IPC Log.xlsx]Subcon IPC Log'!"&amp;"$C:$C"),
"KLN-SPP2-"&amp;_xlfn.XLOOKUP(C155,log_contracts!B:B,log_contracts!C:C)&amp;"-"&amp;TEXT(C155,"000"),
INDIRECT("'[S2 Subcon IPC Log.xlsx]Subcon IPC Log'!"&amp;"$D:$D"),
D155)</f>
        <v>#REF!</v>
      </c>
      <c r="K155" s="61" t="e">
        <f ca="1"/>
        <v>#REF!</v>
      </c>
    </row>
    <row r="156" spans="1:11" hidden="1" x14ac:dyDescent="0.25">
      <c r="A156">
        <v>155</v>
      </c>
      <c r="B156" t="str">
        <v>014-004</v>
      </c>
      <c r="C156">
        <v>14</v>
      </c>
      <c r="D156">
        <v>4</v>
      </c>
      <c r="E156" s="19" cm="1">
        <f t="array" ref="E156">_xlfn.XLOOKUP(B156,old_ipc_dates!F:F,old_ipc_dates!B:B,IF(D156=1,_xlfn.XLOOKUP(C156,log_contracts!B:B,log_contracts!D:D,,0),_xlfn.XLOOKUP(1,($C$18:C155=C156)*($D$18:D155=D156-1),$F$18:F155+1,,0)),0)</f>
        <v>45748</v>
      </c>
      <c r="F156" s="19">
        <f>_xlfn.XLOOKUP(B156,old_ipc_dates!F:F,old_ipc_dates!C:C,EOMONTH(E156,0),0)</f>
        <v>45777</v>
      </c>
      <c r="G156" t="str">
        <v>HİLAL LTD</v>
      </c>
      <c r="H156" s="61" cm="1">
        <f t="array" ref="H156">SUM(_xlfn._xlws.FILTER(_xlfn._TRO_TRAILING(quantities!L:L),(_xlfn._TRO_TRAILING(quantities!D:D)=C156)*(_xlfn._TRO_TRAILING(quantities!E:E)=D156)))</f>
        <v>14336</v>
      </c>
      <c r="J156" t="e">
        <f ca="1">SUMIFS(
INDIRECT("'[S2 Subcon IPC Log.xlsx]Subcon IPC Log'!"&amp;"$O:$O"),
INDIRECT("'[S2 Subcon IPC Log.xlsx]Subcon IPC Log'!"&amp;"$C:$C"),
"KLN-SPP2-"&amp;_xlfn.XLOOKUP(C156,log_contracts!B:B,log_contracts!C:C)&amp;"-"&amp;TEXT(C156,"000"),
INDIRECT("'[S2 Subcon IPC Log.xlsx]Subcon IPC Log'!"&amp;"$D:$D"),
D156)</f>
        <v>#REF!</v>
      </c>
      <c r="K156" s="61" t="e">
        <f ca="1"/>
        <v>#REF!</v>
      </c>
    </row>
    <row r="157" spans="1:11" hidden="1" x14ac:dyDescent="0.25">
      <c r="A157">
        <v>156</v>
      </c>
      <c r="B157" t="str">
        <v>014-005</v>
      </c>
      <c r="C157">
        <v>14</v>
      </c>
      <c r="D157">
        <v>5</v>
      </c>
      <c r="E157" s="19" cm="1">
        <f t="array" ref="E157">_xlfn.XLOOKUP(B157,old_ipc_dates!F:F,old_ipc_dates!B:B,IF(D157=1,_xlfn.XLOOKUP(C157,log_contracts!B:B,log_contracts!D:D,,0),_xlfn.XLOOKUP(1,($C$18:C156=C157)*($D$18:D156=D157-1),$F$18:F156+1,,0)),0)</f>
        <v>45870</v>
      </c>
      <c r="F157" s="19">
        <f>_xlfn.XLOOKUP(B157,old_ipc_dates!F:F,old_ipc_dates!C:C,EOMONTH(E157,0),0)</f>
        <v>45900</v>
      </c>
      <c r="G157" t="str">
        <v>HİLAL LTD</v>
      </c>
      <c r="H157" s="61" cm="1">
        <f t="array" ref="H157">SUM(_xlfn._xlws.FILTER(_xlfn._TRO_TRAILING(quantities!L:L),(_xlfn._TRO_TRAILING(quantities!D:D)=C157)*(_xlfn._TRO_TRAILING(quantities!E:E)=D157)))</f>
        <v>2909</v>
      </c>
      <c r="J157" t="e">
        <f ca="1">SUMIFS(
INDIRECT("'[S2 Subcon IPC Log.xlsx]Subcon IPC Log'!"&amp;"$O:$O"),
INDIRECT("'[S2 Subcon IPC Log.xlsx]Subcon IPC Log'!"&amp;"$C:$C"),
"KLN-SPP2-"&amp;_xlfn.XLOOKUP(C157,log_contracts!B:B,log_contracts!C:C)&amp;"-"&amp;TEXT(C157,"000"),
INDIRECT("'[S2 Subcon IPC Log.xlsx]Subcon IPC Log'!"&amp;"$D:$D"),
D157)</f>
        <v>#REF!</v>
      </c>
      <c r="K157" s="61" t="e">
        <f ca="1"/>
        <v>#REF!</v>
      </c>
    </row>
    <row r="158" spans="1:11" hidden="1" x14ac:dyDescent="0.25">
      <c r="A158">
        <v>157</v>
      </c>
      <c r="B158" t="str">
        <v>014-006</v>
      </c>
      <c r="C158">
        <v>14</v>
      </c>
      <c r="D158">
        <v>6</v>
      </c>
      <c r="E158" s="19" cm="1">
        <f t="array" ref="E158">_xlfn.XLOOKUP(B158,old_ipc_dates!F:F,old_ipc_dates!B:B,IF(D158=1,_xlfn.XLOOKUP(C158,log_contracts!B:B,log_contracts!D:D,,0),_xlfn.XLOOKUP(1,($C$18:C157=C158)*($D$18:D157=D158-1),$F$18:F157+1,,0)),0)</f>
        <v>45901</v>
      </c>
      <c r="F158" s="19">
        <f>_xlfn.XLOOKUP(B158,old_ipc_dates!F:F,old_ipc_dates!C:C,EOMONTH(E158,0),0)</f>
        <v>45930</v>
      </c>
      <c r="G158" t="str">
        <v>HİLAL LTD</v>
      </c>
      <c r="H158" s="61" cm="1">
        <f t="array" ref="H158">SUM(_xlfn._xlws.FILTER(_xlfn._TRO_TRAILING(quantities!L:L),(_xlfn._TRO_TRAILING(quantities!D:D)=C158)*(_xlfn._TRO_TRAILING(quantities!E:E)=D158)))</f>
        <v>4619.5</v>
      </c>
      <c r="J158" t="e">
        <f ca="1">SUMIFS(
INDIRECT("'[S2 Subcon IPC Log.xlsx]Subcon IPC Log'!"&amp;"$O:$O"),
INDIRECT("'[S2 Subcon IPC Log.xlsx]Subcon IPC Log'!"&amp;"$C:$C"),
"KLN-SPP2-"&amp;_xlfn.XLOOKUP(C158,log_contracts!B:B,log_contracts!C:C)&amp;"-"&amp;TEXT(C158,"000"),
INDIRECT("'[S2 Subcon IPC Log.xlsx]Subcon IPC Log'!"&amp;"$D:$D"),
D158)</f>
        <v>#REF!</v>
      </c>
      <c r="K158" s="61" t="e">
        <f ca="1"/>
        <v>#REF!</v>
      </c>
    </row>
    <row r="159" spans="1:11" hidden="1" x14ac:dyDescent="0.25">
      <c r="A159">
        <v>158</v>
      </c>
      <c r="B159" t="str">
        <v>014-007</v>
      </c>
      <c r="C159">
        <v>14</v>
      </c>
      <c r="D159">
        <v>7</v>
      </c>
      <c r="E159" s="19" cm="1">
        <f t="array" ref="E159">_xlfn.XLOOKUP(B159,old_ipc_dates!F:F,old_ipc_dates!B:B,IF(D159=1,_xlfn.XLOOKUP(C159,log_contracts!B:B,log_contracts!D:D,,0),_xlfn.XLOOKUP(1,($C$18:C158=C159)*($D$18:D158=D159-1),$F$18:F158+1,,0)),0)</f>
        <v>45931</v>
      </c>
      <c r="F159" s="19">
        <f>_xlfn.XLOOKUP(B159,old_ipc_dates!F:F,old_ipc_dates!C:C,EOMONTH(E159,0),0)</f>
        <v>45961</v>
      </c>
      <c r="G159" t="str">
        <v>HİLAL LTD</v>
      </c>
      <c r="H159" s="61" cm="1">
        <f t="array" ref="H159">SUM(_xlfn._xlws.FILTER(_xlfn._TRO_TRAILING(quantities!L:L),(_xlfn._TRO_TRAILING(quantities!D:D)=C159)*(_xlfn._TRO_TRAILING(quantities!E:E)=D159)))</f>
        <v>4000</v>
      </c>
      <c r="J159" t="e">
        <f ca="1">SUMIFS(
INDIRECT("'[S2 Subcon IPC Log.xlsx]Subcon IPC Log'!"&amp;"$O:$O"),
INDIRECT("'[S2 Subcon IPC Log.xlsx]Subcon IPC Log'!"&amp;"$C:$C"),
"KLN-SPP2-"&amp;_xlfn.XLOOKUP(C159,log_contracts!B:B,log_contracts!C:C)&amp;"-"&amp;TEXT(C159,"000"),
INDIRECT("'[S2 Subcon IPC Log.xlsx]Subcon IPC Log'!"&amp;"$D:$D"),
D159)</f>
        <v>#REF!</v>
      </c>
      <c r="K159" s="61" t="e">
        <f ca="1"/>
        <v>#REF!</v>
      </c>
    </row>
    <row r="160" spans="1:11" hidden="1" x14ac:dyDescent="0.25">
      <c r="A160">
        <v>159</v>
      </c>
      <c r="B160" t="str">
        <v>014-008</v>
      </c>
      <c r="C160">
        <v>14</v>
      </c>
      <c r="D160">
        <v>8</v>
      </c>
      <c r="E160" s="19" cm="1">
        <f t="array" ref="E160">_xlfn.XLOOKUP(B160,old_ipc_dates!F:F,old_ipc_dates!B:B,IF(D160=1,_xlfn.XLOOKUP(C160,log_contracts!B:B,log_contracts!D:D,,0),_xlfn.XLOOKUP(1,($C$18:C159=C160)*($D$18:D159=D160-1),$F$18:F159+1,,0)),0)</f>
        <v>45962</v>
      </c>
      <c r="F160" s="19">
        <f>_xlfn.XLOOKUP(B160,old_ipc_dates!F:F,old_ipc_dates!C:C,EOMONTH(E160,0),0)</f>
        <v>45991</v>
      </c>
      <c r="G160" t="str">
        <v>HİLAL LTD</v>
      </c>
      <c r="H160" s="61" cm="1">
        <f t="array" ref="H160">SUM(_xlfn._xlws.FILTER(_xlfn._TRO_TRAILING(quantities!L:L),(_xlfn._TRO_TRAILING(quantities!D:D)=C160)*(_xlfn._TRO_TRAILING(quantities!E:E)=D160)))</f>
        <v>4693</v>
      </c>
      <c r="J160" t="e">
        <f ca="1">SUMIFS(
INDIRECT("'[S2 Subcon IPC Log.xlsx]Subcon IPC Log'!"&amp;"$O:$O"),
INDIRECT("'[S2 Subcon IPC Log.xlsx]Subcon IPC Log'!"&amp;"$C:$C"),
"KLN-SPP2-"&amp;_xlfn.XLOOKUP(C160,log_contracts!B:B,log_contracts!C:C)&amp;"-"&amp;TEXT(C160,"000"),
INDIRECT("'[S2 Subcon IPC Log.xlsx]Subcon IPC Log'!"&amp;"$D:$D"),
D160)</f>
        <v>#REF!</v>
      </c>
      <c r="K160" s="61" t="e">
        <f ca="1"/>
        <v>#REF!</v>
      </c>
    </row>
    <row r="161" spans="1:11" hidden="1" x14ac:dyDescent="0.25">
      <c r="A161">
        <v>160</v>
      </c>
      <c r="B161" t="str">
        <v>030-003</v>
      </c>
      <c r="C161">
        <v>30</v>
      </c>
      <c r="D161">
        <v>3</v>
      </c>
      <c r="E161" s="19" cm="1">
        <f t="array" ref="E161">_xlfn.XLOOKUP(B161,old_ipc_dates!F:F,old_ipc_dates!B:B,IF(D161=1,_xlfn.XLOOKUP(C161,log_contracts!B:B,log_contracts!D:D,,0),_xlfn.XLOOKUP(1,($C$18:C160=C161)*($D$18:D160=D161-1),$F$18:F160+1,,0)),0)</f>
        <v>45717</v>
      </c>
      <c r="F161" s="19">
        <f>_xlfn.XLOOKUP(B161,old_ipc_dates!F:F,old_ipc_dates!C:C,EOMONTH(E161,0),0)</f>
        <v>45747</v>
      </c>
      <c r="G161" t="str">
        <v>NAR TRANSPORT SERVICES MMC</v>
      </c>
      <c r="H161" s="61" cm="1">
        <f t="array" ref="H161">SUM(_xlfn._xlws.FILTER(_xlfn._TRO_TRAILING(quantities!L:L),(_xlfn._TRO_TRAILING(quantities!D:D)=C161)*(_xlfn._TRO_TRAILING(quantities!E:E)=D161)))</f>
        <v>11000</v>
      </c>
      <c r="J161" t="e">
        <f ca="1">SUMIFS(
INDIRECT("'[S2 Subcon IPC Log.xlsx]Subcon IPC Log'!"&amp;"$O:$O"),
INDIRECT("'[S2 Subcon IPC Log.xlsx]Subcon IPC Log'!"&amp;"$C:$C"),
"KLN-SPP2-"&amp;_xlfn.XLOOKUP(C161,log_contracts!B:B,log_contracts!C:C)&amp;"-"&amp;TEXT(C161,"000"),
INDIRECT("'[S2 Subcon IPC Log.xlsx]Subcon IPC Log'!"&amp;"$D:$D"),
D161)</f>
        <v>#REF!</v>
      </c>
      <c r="K161" s="61" t="e">
        <f ca="1"/>
        <v>#REF!</v>
      </c>
    </row>
    <row r="162" spans="1:11" hidden="1" x14ac:dyDescent="0.25">
      <c r="A162">
        <v>161</v>
      </c>
      <c r="B162" t="str">
        <v>030-004</v>
      </c>
      <c r="C162">
        <v>30</v>
      </c>
      <c r="D162">
        <v>4</v>
      </c>
      <c r="E162" s="19" cm="1">
        <f t="array" ref="E162">_xlfn.XLOOKUP(B162,old_ipc_dates!F:F,old_ipc_dates!B:B,IF(D162=1,_xlfn.XLOOKUP(C162,log_contracts!B:B,log_contracts!D:D,,0),_xlfn.XLOOKUP(1,($C$18:C161=C162)*($D$18:D161=D162-1),$F$18:F161+1,,0)),0)</f>
        <v>45748</v>
      </c>
      <c r="F162" s="19">
        <f>_xlfn.XLOOKUP(B162,old_ipc_dates!F:F,old_ipc_dates!C:C,EOMONTH(E162,0),0)</f>
        <v>45777</v>
      </c>
      <c r="G162" t="str">
        <v>NAR TRANSPORT SERVICES MMC</v>
      </c>
      <c r="H162" s="61" cm="1">
        <f t="array" ref="H162">SUM(_xlfn._xlws.FILTER(_xlfn._TRO_TRAILING(quantities!L:L),(_xlfn._TRO_TRAILING(quantities!D:D)=C162)*(_xlfn._TRO_TRAILING(quantities!E:E)=D162)))</f>
        <v>11000</v>
      </c>
      <c r="J162" t="e">
        <f ca="1">SUMIFS(
INDIRECT("'[S2 Subcon IPC Log.xlsx]Subcon IPC Log'!"&amp;"$O:$O"),
INDIRECT("'[S2 Subcon IPC Log.xlsx]Subcon IPC Log'!"&amp;"$C:$C"),
"KLN-SPP2-"&amp;_xlfn.XLOOKUP(C162,log_contracts!B:B,log_contracts!C:C)&amp;"-"&amp;TEXT(C162,"000"),
INDIRECT("'[S2 Subcon IPC Log.xlsx]Subcon IPC Log'!"&amp;"$D:$D"),
D162)</f>
        <v>#REF!</v>
      </c>
      <c r="K162" s="61" t="e">
        <f ca="1"/>
        <v>#REF!</v>
      </c>
    </row>
    <row r="163" spans="1:11" hidden="1" x14ac:dyDescent="0.25">
      <c r="A163">
        <v>162</v>
      </c>
      <c r="B163" t="str">
        <v>030-005</v>
      </c>
      <c r="C163">
        <v>30</v>
      </c>
      <c r="D163">
        <v>5</v>
      </c>
      <c r="E163" s="19" cm="1">
        <f t="array" ref="E163">_xlfn.XLOOKUP(B163,old_ipc_dates!F:F,old_ipc_dates!B:B,IF(D163=1,_xlfn.XLOOKUP(C163,log_contracts!B:B,log_contracts!D:D,,0),_xlfn.XLOOKUP(1,($C$18:C162=C163)*($D$18:D162=D163-1),$F$18:F162+1,,0)),0)</f>
        <v>45778</v>
      </c>
      <c r="F163" s="19">
        <f>_xlfn.XLOOKUP(B163,old_ipc_dates!F:F,old_ipc_dates!C:C,EOMONTH(E163,0),0)</f>
        <v>45808</v>
      </c>
      <c r="G163" t="str">
        <v>NAR TRANSPORT SERVICES MMC</v>
      </c>
      <c r="H163" s="61" cm="1">
        <f t="array" ref="H163">SUM(_xlfn._xlws.FILTER(_xlfn._TRO_TRAILING(quantities!L:L),(_xlfn._TRO_TRAILING(quantities!D:D)=C163)*(_xlfn._TRO_TRAILING(quantities!E:E)=D163)))</f>
        <v>5500</v>
      </c>
      <c r="J163" t="e">
        <f ca="1">SUMIFS(
INDIRECT("'[S2 Subcon IPC Log.xlsx]Subcon IPC Log'!"&amp;"$O:$O"),
INDIRECT("'[S2 Subcon IPC Log.xlsx]Subcon IPC Log'!"&amp;"$C:$C"),
"KLN-SPP2-"&amp;_xlfn.XLOOKUP(C163,log_contracts!B:B,log_contracts!C:C)&amp;"-"&amp;TEXT(C163,"000"),
INDIRECT("'[S2 Subcon IPC Log.xlsx]Subcon IPC Log'!"&amp;"$D:$D"),
D163)</f>
        <v>#REF!</v>
      </c>
      <c r="K163" s="61" t="e">
        <f ca="1"/>
        <v>#REF!</v>
      </c>
    </row>
    <row r="164" spans="1:11" hidden="1" x14ac:dyDescent="0.25">
      <c r="A164">
        <v>163</v>
      </c>
      <c r="B164" t="str">
        <v>030-006</v>
      </c>
      <c r="C164">
        <v>30</v>
      </c>
      <c r="D164">
        <v>6</v>
      </c>
      <c r="E164" s="19" cm="1">
        <f t="array" ref="E164">_xlfn.XLOOKUP(B164,old_ipc_dates!F:F,old_ipc_dates!B:B,IF(D164=1,_xlfn.XLOOKUP(C164,log_contracts!B:B,log_contracts!D:D,,0),_xlfn.XLOOKUP(1,($C$18:C163=C164)*($D$18:D163=D164-1),$F$18:F163+1,,0)),0)</f>
        <v>45809</v>
      </c>
      <c r="F164" s="19">
        <f>_xlfn.XLOOKUP(B164,old_ipc_dates!F:F,old_ipc_dates!C:C,EOMONTH(E164,0),0)</f>
        <v>45838</v>
      </c>
      <c r="G164" t="str">
        <v>NAR TRANSPORT SERVICES MMC</v>
      </c>
      <c r="H164" s="61" cm="1">
        <f t="array" ref="H164">SUM(_xlfn._xlws.FILTER(_xlfn._TRO_TRAILING(quantities!L:L),(_xlfn._TRO_TRAILING(quantities!D:D)=C164)*(_xlfn._TRO_TRAILING(quantities!E:E)=D164)))</f>
        <v>5500</v>
      </c>
      <c r="J164" t="e">
        <f ca="1">SUMIFS(
INDIRECT("'[S2 Subcon IPC Log.xlsx]Subcon IPC Log'!"&amp;"$O:$O"),
INDIRECT("'[S2 Subcon IPC Log.xlsx]Subcon IPC Log'!"&amp;"$C:$C"),
"KLN-SPP2-"&amp;_xlfn.XLOOKUP(C164,log_contracts!B:B,log_contracts!C:C)&amp;"-"&amp;TEXT(C164,"000"),
INDIRECT("'[S2 Subcon IPC Log.xlsx]Subcon IPC Log'!"&amp;"$D:$D"),
D164)</f>
        <v>#REF!</v>
      </c>
      <c r="K164" s="61" t="e">
        <f ca="1"/>
        <v>#REF!</v>
      </c>
    </row>
    <row r="165" spans="1:11" hidden="1" x14ac:dyDescent="0.25">
      <c r="A165">
        <v>164</v>
      </c>
      <c r="B165" t="str">
        <v>030-007</v>
      </c>
      <c r="C165">
        <v>30</v>
      </c>
      <c r="D165">
        <v>7</v>
      </c>
      <c r="E165" s="19" cm="1">
        <f t="array" ref="E165">_xlfn.XLOOKUP(B165,old_ipc_dates!F:F,old_ipc_dates!B:B,IF(D165=1,_xlfn.XLOOKUP(C165,log_contracts!B:B,log_contracts!D:D,,0),_xlfn.XLOOKUP(1,($C$18:C164=C165)*($D$18:D164=D165-1),$F$18:F164+1,,0)),0)</f>
        <v>45839</v>
      </c>
      <c r="F165" s="19">
        <f>_xlfn.XLOOKUP(B165,old_ipc_dates!F:F,old_ipc_dates!C:C,EOMONTH(E165,0),0)</f>
        <v>45869</v>
      </c>
      <c r="G165" t="str">
        <v>NAR TRANSPORT SERVICES MMC</v>
      </c>
      <c r="H165" s="61" cm="1">
        <f t="array" ref="H165">SUM(_xlfn._xlws.FILTER(_xlfn._TRO_TRAILING(quantities!L:L),(_xlfn._TRO_TRAILING(quantities!D:D)=C165)*(_xlfn._TRO_TRAILING(quantities!E:E)=D165)))</f>
        <v>5500</v>
      </c>
      <c r="J165" t="e">
        <f ca="1">SUMIFS(
INDIRECT("'[S2 Subcon IPC Log.xlsx]Subcon IPC Log'!"&amp;"$O:$O"),
INDIRECT("'[S2 Subcon IPC Log.xlsx]Subcon IPC Log'!"&amp;"$C:$C"),
"KLN-SPP2-"&amp;_xlfn.XLOOKUP(C165,log_contracts!B:B,log_contracts!C:C)&amp;"-"&amp;TEXT(C165,"000"),
INDIRECT("'[S2 Subcon IPC Log.xlsx]Subcon IPC Log'!"&amp;"$D:$D"),
D165)</f>
        <v>#REF!</v>
      </c>
      <c r="K165" s="61" t="e">
        <f ca="1"/>
        <v>#REF!</v>
      </c>
    </row>
    <row r="166" spans="1:11" hidden="1" x14ac:dyDescent="0.25">
      <c r="A166">
        <v>165</v>
      </c>
      <c r="B166" t="str">
        <v>030-008</v>
      </c>
      <c r="C166">
        <v>30</v>
      </c>
      <c r="D166">
        <v>8</v>
      </c>
      <c r="E166" s="19" cm="1">
        <f t="array" ref="E166">_xlfn.XLOOKUP(B166,old_ipc_dates!F:F,old_ipc_dates!B:B,IF(D166=1,_xlfn.XLOOKUP(C166,log_contracts!B:B,log_contracts!D:D,,0),_xlfn.XLOOKUP(1,($C$18:C165=C166)*($D$18:D165=D166-1),$F$18:F165+1,,0)),0)</f>
        <v>45870</v>
      </c>
      <c r="F166" s="19">
        <f>_xlfn.XLOOKUP(B166,old_ipc_dates!F:F,old_ipc_dates!C:C,EOMONTH(E166,0),0)</f>
        <v>45900</v>
      </c>
      <c r="G166" t="str">
        <v>NAR TRANSPORT SERVICES MMC</v>
      </c>
      <c r="H166" s="61" cm="1">
        <f t="array" ref="H166">SUM(_xlfn._xlws.FILTER(_xlfn._TRO_TRAILING(quantities!L:L),(_xlfn._TRO_TRAILING(quantities!D:D)=C166)*(_xlfn._TRO_TRAILING(quantities!E:E)=D166)))</f>
        <v>5500</v>
      </c>
      <c r="J166" t="e">
        <f ca="1">SUMIFS(
INDIRECT("'[S2 Subcon IPC Log.xlsx]Subcon IPC Log'!"&amp;"$O:$O"),
INDIRECT("'[S2 Subcon IPC Log.xlsx]Subcon IPC Log'!"&amp;"$C:$C"),
"KLN-SPP2-"&amp;_xlfn.XLOOKUP(C166,log_contracts!B:B,log_contracts!C:C)&amp;"-"&amp;TEXT(C166,"000"),
INDIRECT("'[S2 Subcon IPC Log.xlsx]Subcon IPC Log'!"&amp;"$D:$D"),
D166)</f>
        <v>#REF!</v>
      </c>
      <c r="K166" s="61" t="e">
        <f ca="1"/>
        <v>#REF!</v>
      </c>
    </row>
    <row r="167" spans="1:11" hidden="1" x14ac:dyDescent="0.25">
      <c r="A167">
        <v>166</v>
      </c>
      <c r="B167" t="str">
        <v>030-009</v>
      </c>
      <c r="C167">
        <v>30</v>
      </c>
      <c r="D167">
        <v>9</v>
      </c>
      <c r="E167" s="19" cm="1">
        <f t="array" ref="E167">_xlfn.XLOOKUP(B167,old_ipc_dates!F:F,old_ipc_dates!B:B,IF(D167=1,_xlfn.XLOOKUP(C167,log_contracts!B:B,log_contracts!D:D,,0),_xlfn.XLOOKUP(1,($C$18:C166=C167)*($D$18:D166=D167-1),$F$18:F166+1,,0)),0)</f>
        <v>45901</v>
      </c>
      <c r="F167" s="19">
        <f>_xlfn.XLOOKUP(B167,old_ipc_dates!F:F,old_ipc_dates!C:C,EOMONTH(E167,0),0)</f>
        <v>45930</v>
      </c>
      <c r="G167" t="str">
        <v>NAR TRANSPORT SERVICES MMC</v>
      </c>
      <c r="H167" s="61" cm="1">
        <f t="array" ref="H167">SUM(_xlfn._xlws.FILTER(_xlfn._TRO_TRAILING(quantities!L:L),(_xlfn._TRO_TRAILING(quantities!D:D)=C167)*(_xlfn._TRO_TRAILING(quantities!E:E)=D167)))</f>
        <v>5500</v>
      </c>
      <c r="J167" t="e">
        <f ca="1">SUMIFS(
INDIRECT("'[S2 Subcon IPC Log.xlsx]Subcon IPC Log'!"&amp;"$O:$O"),
INDIRECT("'[S2 Subcon IPC Log.xlsx]Subcon IPC Log'!"&amp;"$C:$C"),
"KLN-SPP2-"&amp;_xlfn.XLOOKUP(C167,log_contracts!B:B,log_contracts!C:C)&amp;"-"&amp;TEXT(C167,"000"),
INDIRECT("'[S2 Subcon IPC Log.xlsx]Subcon IPC Log'!"&amp;"$D:$D"),
D167)</f>
        <v>#REF!</v>
      </c>
      <c r="K167" s="61" t="e">
        <f ca="1"/>
        <v>#REF!</v>
      </c>
    </row>
    <row r="168" spans="1:11" hidden="1" x14ac:dyDescent="0.25">
      <c r="A168">
        <v>167</v>
      </c>
      <c r="B168" t="str">
        <v>030-010</v>
      </c>
      <c r="C168">
        <v>30</v>
      </c>
      <c r="D168">
        <v>10</v>
      </c>
      <c r="E168" s="19" cm="1">
        <f t="array" ref="E168">_xlfn.XLOOKUP(B168,old_ipc_dates!F:F,old_ipc_dates!B:B,IF(D168=1,_xlfn.XLOOKUP(C168,log_contracts!B:B,log_contracts!D:D,,0),_xlfn.XLOOKUP(1,($C$18:C167=C168)*($D$18:D167=D168-1),$F$18:F167+1,,0)),0)</f>
        <v>45931</v>
      </c>
      <c r="F168" s="19">
        <f>_xlfn.XLOOKUP(B168,old_ipc_dates!F:F,old_ipc_dates!C:C,EOMONTH(E168,0),0)</f>
        <v>45961</v>
      </c>
      <c r="G168" t="str">
        <v>NAR TRANSPORT SERVICES MMC</v>
      </c>
      <c r="H168" s="61" cm="1">
        <f t="array" ref="H168">SUM(_xlfn._xlws.FILTER(_xlfn._TRO_TRAILING(quantities!L:L),(_xlfn._TRO_TRAILING(quantities!D:D)=C168)*(_xlfn._TRO_TRAILING(quantities!E:E)=D168)))</f>
        <v>5500</v>
      </c>
      <c r="J168" t="e">
        <f ca="1">SUMIFS(
INDIRECT("'[S2 Subcon IPC Log.xlsx]Subcon IPC Log'!"&amp;"$O:$O"),
INDIRECT("'[S2 Subcon IPC Log.xlsx]Subcon IPC Log'!"&amp;"$C:$C"),
"KLN-SPP2-"&amp;_xlfn.XLOOKUP(C168,log_contracts!B:B,log_contracts!C:C)&amp;"-"&amp;TEXT(C168,"000"),
INDIRECT("'[S2 Subcon IPC Log.xlsx]Subcon IPC Log'!"&amp;"$D:$D"),
D168)</f>
        <v>#REF!</v>
      </c>
      <c r="K168" s="61" t="e">
        <f ca="1"/>
        <v>#REF!</v>
      </c>
    </row>
    <row r="169" spans="1:11" hidden="1" x14ac:dyDescent="0.25">
      <c r="A169">
        <v>168</v>
      </c>
      <c r="B169" t="str">
        <v>030-011</v>
      </c>
      <c r="C169">
        <v>30</v>
      </c>
      <c r="D169">
        <v>11</v>
      </c>
      <c r="E169" s="19" cm="1">
        <f t="array" ref="E169">_xlfn.XLOOKUP(B169,old_ipc_dates!F:F,old_ipc_dates!B:B,IF(D169=1,_xlfn.XLOOKUP(C169,log_contracts!B:B,log_contracts!D:D,,0),_xlfn.XLOOKUP(1,($C$18:C168=C169)*($D$18:D168=D169-1),$F$18:F168+1,,0)),0)</f>
        <v>45962</v>
      </c>
      <c r="F169" s="19">
        <f>_xlfn.XLOOKUP(B169,old_ipc_dates!F:F,old_ipc_dates!C:C,EOMONTH(E169,0),0)</f>
        <v>45991</v>
      </c>
      <c r="G169" t="str">
        <v>NAR TRANSPORT SERVICES MMC</v>
      </c>
      <c r="H169" s="61" cm="1">
        <f t="array" ref="H169">SUM(_xlfn._xlws.FILTER(_xlfn._TRO_TRAILING(quantities!L:L),(_xlfn._TRO_TRAILING(quantities!D:D)=C169)*(_xlfn._TRO_TRAILING(quantities!E:E)=D169)))</f>
        <v>5500</v>
      </c>
      <c r="J169" t="e">
        <f ca="1">SUMIFS(
INDIRECT("'[S2 Subcon IPC Log.xlsx]Subcon IPC Log'!"&amp;"$O:$O"),
INDIRECT("'[S2 Subcon IPC Log.xlsx]Subcon IPC Log'!"&amp;"$C:$C"),
"KLN-SPP2-"&amp;_xlfn.XLOOKUP(C169,log_contracts!B:B,log_contracts!C:C)&amp;"-"&amp;TEXT(C169,"000"),
INDIRECT("'[S2 Subcon IPC Log.xlsx]Subcon IPC Log'!"&amp;"$D:$D"),
D169)</f>
        <v>#REF!</v>
      </c>
      <c r="K169" s="61" t="e">
        <f ca="1"/>
        <v>#REF!</v>
      </c>
    </row>
    <row r="170" spans="1:11" hidden="1" x14ac:dyDescent="0.25">
      <c r="A170">
        <v>169</v>
      </c>
      <c r="B170" t="str">
        <v>033-004</v>
      </c>
      <c r="C170">
        <v>33</v>
      </c>
      <c r="D170">
        <v>4</v>
      </c>
      <c r="E170" s="19" t="e" cm="1">
        <f t="array" ref="E170">_xlfn.XLOOKUP(B170,old_ipc_dates!F:F,old_ipc_dates!B:B,IF(D170=1,_xlfn.XLOOKUP(C170,log_contracts!B:B,log_contracts!D:D,,0),_xlfn.XLOOKUP(1,($C$18:C169=C170)*($D$18:D169=D170-1),$F$18:F169+1,,0)),0)</f>
        <v>#N/A</v>
      </c>
      <c r="F170" s="19" t="e">
        <f>_xlfn.XLOOKUP(B170,old_ipc_dates!F:F,old_ipc_dates!C:C,EOMONTH(E170,0),0)</f>
        <v>#N/A</v>
      </c>
      <c r="G170" t="str">
        <v>AKKOL HAZIR YEMEK SAN. TIC. AS</v>
      </c>
      <c r="H170" s="61" cm="1">
        <f t="array" ref="H170">SUM(_xlfn._xlws.FILTER(_xlfn._TRO_TRAILING(quantities!L:L),(_xlfn._TRO_TRAILING(quantities!D:D)=C170)*(_xlfn._TRO_TRAILING(quantities!E:E)=D170)))</f>
        <v>263563.95</v>
      </c>
      <c r="J170" t="e">
        <f ca="1">SUMIFS(
INDIRECT("'[S2 Subcon IPC Log.xlsx]Subcon IPC Log'!"&amp;"$O:$O"),
INDIRECT("'[S2 Subcon IPC Log.xlsx]Subcon IPC Log'!"&amp;"$C:$C"),
"KLN-SPP2-"&amp;_xlfn.XLOOKUP(C170,log_contracts!B:B,log_contracts!C:C)&amp;"-"&amp;TEXT(C170,"000"),
INDIRECT("'[S2 Subcon IPC Log.xlsx]Subcon IPC Log'!"&amp;"$D:$D"),
D170)</f>
        <v>#REF!</v>
      </c>
      <c r="K170" s="61" t="e">
        <f ca="1"/>
        <v>#REF!</v>
      </c>
    </row>
    <row r="171" spans="1:11" hidden="1" x14ac:dyDescent="0.25">
      <c r="A171">
        <v>170</v>
      </c>
      <c r="B171" t="str">
        <v>033-005</v>
      </c>
      <c r="C171">
        <v>33</v>
      </c>
      <c r="D171">
        <v>5</v>
      </c>
      <c r="E171" s="19" cm="1">
        <f t="array" ref="E171">_xlfn.XLOOKUP(B171,old_ipc_dates!F:F,old_ipc_dates!B:B,IF(D171=1,_xlfn.XLOOKUP(C171,log_contracts!B:B,log_contracts!D:D,,0),_xlfn.XLOOKUP(1,($C$18:C170=C171)*($D$18:D170=D171-1),$F$18:F170+1,,0)),0)</f>
        <v>45658</v>
      </c>
      <c r="F171" s="19">
        <f>_xlfn.XLOOKUP(B171,old_ipc_dates!F:F,old_ipc_dates!C:C,EOMONTH(E171,0),0)</f>
        <v>45688</v>
      </c>
      <c r="G171" t="str">
        <v>AKKOL HAZIR YEMEK SAN. TIC. AS</v>
      </c>
      <c r="H171" s="61" cm="1">
        <f t="array" ref="H171">SUM(_xlfn._xlws.FILTER(_xlfn._TRO_TRAILING(quantities!L:L),(_xlfn._TRO_TRAILING(quantities!D:D)=C171)*(_xlfn._TRO_TRAILING(quantities!E:E)=D171)))</f>
        <v>189690.9</v>
      </c>
      <c r="J171" t="e">
        <f ca="1">SUMIFS(
INDIRECT("'[S2 Subcon IPC Log.xlsx]Subcon IPC Log'!"&amp;"$O:$O"),
INDIRECT("'[S2 Subcon IPC Log.xlsx]Subcon IPC Log'!"&amp;"$C:$C"),
"KLN-SPP2-"&amp;_xlfn.XLOOKUP(C171,log_contracts!B:B,log_contracts!C:C)&amp;"-"&amp;TEXT(C171,"000"),
INDIRECT("'[S2 Subcon IPC Log.xlsx]Subcon IPC Log'!"&amp;"$D:$D"),
D171)</f>
        <v>#REF!</v>
      </c>
      <c r="K171" s="61" t="e">
        <f ca="1"/>
        <v>#REF!</v>
      </c>
    </row>
    <row r="172" spans="1:11" hidden="1" x14ac:dyDescent="0.25">
      <c r="A172">
        <v>171</v>
      </c>
      <c r="B172" t="str">
        <v>033-006</v>
      </c>
      <c r="C172">
        <v>33</v>
      </c>
      <c r="D172">
        <v>6</v>
      </c>
      <c r="E172" s="19" cm="1">
        <f t="array" ref="E172">_xlfn.XLOOKUP(B172,old_ipc_dates!F:F,old_ipc_dates!B:B,IF(D172=1,_xlfn.XLOOKUP(C172,log_contracts!B:B,log_contracts!D:D,,0),_xlfn.XLOOKUP(1,($C$18:C171=C172)*($D$18:D171=D172-1),$F$18:F171+1,,0)),0)</f>
        <v>45689</v>
      </c>
      <c r="F172" s="19">
        <f>_xlfn.XLOOKUP(B172,old_ipc_dates!F:F,old_ipc_dates!C:C,EOMONTH(E172,0),0)</f>
        <v>45716</v>
      </c>
      <c r="G172" t="str">
        <v>AKKOL HAZIR YEMEK SAN. TIC. AS</v>
      </c>
      <c r="H172" s="61" cm="1">
        <f t="array" ref="H172">SUM(_xlfn._xlws.FILTER(_xlfn._TRO_TRAILING(quantities!L:L),(_xlfn._TRO_TRAILING(quantities!D:D)=C172)*(_xlfn._TRO_TRAILING(quantities!E:E)=D172)))</f>
        <v>189498.75000000003</v>
      </c>
      <c r="J172" t="e">
        <f ca="1">SUMIFS(
INDIRECT("'[S2 Subcon IPC Log.xlsx]Subcon IPC Log'!"&amp;"$O:$O"),
INDIRECT("'[S2 Subcon IPC Log.xlsx]Subcon IPC Log'!"&amp;"$C:$C"),
"KLN-SPP2-"&amp;_xlfn.XLOOKUP(C172,log_contracts!B:B,log_contracts!C:C)&amp;"-"&amp;TEXT(C172,"000"),
INDIRECT("'[S2 Subcon IPC Log.xlsx]Subcon IPC Log'!"&amp;"$D:$D"),
D172)</f>
        <v>#REF!</v>
      </c>
      <c r="K172" s="61" t="e">
        <f ca="1"/>
        <v>#REF!</v>
      </c>
    </row>
    <row r="173" spans="1:11" hidden="1" x14ac:dyDescent="0.25">
      <c r="A173">
        <v>172</v>
      </c>
      <c r="B173" t="str">
        <v>033-007</v>
      </c>
      <c r="C173">
        <v>33</v>
      </c>
      <c r="D173">
        <v>7</v>
      </c>
      <c r="E173" s="19" cm="1">
        <f t="array" ref="E173">_xlfn.XLOOKUP(B173,old_ipc_dates!F:F,old_ipc_dates!B:B,IF(D173=1,_xlfn.XLOOKUP(C173,log_contracts!B:B,log_contracts!D:D,,0),_xlfn.XLOOKUP(1,($C$18:C172=C173)*($D$18:D172=D173-1),$F$18:F172+1,,0)),0)</f>
        <v>45717</v>
      </c>
      <c r="F173" s="19">
        <f>_xlfn.XLOOKUP(B173,old_ipc_dates!F:F,old_ipc_dates!C:C,EOMONTH(E173,0),0)</f>
        <v>45747</v>
      </c>
      <c r="G173" t="str">
        <v>AKKOL HAZIR YEMEK SAN. TIC. AS</v>
      </c>
      <c r="H173" s="61" cm="1">
        <f t="array" ref="H173">SUM(_xlfn._xlws.FILTER(_xlfn._TRO_TRAILING(quantities!L:L),(_xlfn._TRO_TRAILING(quantities!D:D)=C173)*(_xlfn._TRO_TRAILING(quantities!E:E)=D173)))</f>
        <v>243907.20000000001</v>
      </c>
      <c r="J173" t="e">
        <f ca="1">SUMIFS(
INDIRECT("'[S2 Subcon IPC Log.xlsx]Subcon IPC Log'!"&amp;"$O:$O"),
INDIRECT("'[S2 Subcon IPC Log.xlsx]Subcon IPC Log'!"&amp;"$C:$C"),
"KLN-SPP2-"&amp;_xlfn.XLOOKUP(C173,log_contracts!B:B,log_contracts!C:C)&amp;"-"&amp;TEXT(C173,"000"),
INDIRECT("'[S2 Subcon IPC Log.xlsx]Subcon IPC Log'!"&amp;"$D:$D"),
D173)</f>
        <v>#REF!</v>
      </c>
      <c r="K173" s="61" t="e">
        <f ca="1"/>
        <v>#REF!</v>
      </c>
    </row>
    <row r="174" spans="1:11" hidden="1" x14ac:dyDescent="0.25">
      <c r="A174">
        <v>173</v>
      </c>
      <c r="B174" t="str">
        <v>033-008</v>
      </c>
      <c r="C174">
        <v>33</v>
      </c>
      <c r="D174">
        <v>8</v>
      </c>
      <c r="E174" s="19" cm="1">
        <f t="array" ref="E174">_xlfn.XLOOKUP(B174,old_ipc_dates!F:F,old_ipc_dates!B:B,IF(D174=1,_xlfn.XLOOKUP(C174,log_contracts!B:B,log_contracts!D:D,,0),_xlfn.XLOOKUP(1,($C$18:C173=C174)*($D$18:D173=D174-1),$F$18:F173+1,,0)),0)</f>
        <v>45748</v>
      </c>
      <c r="F174" s="19">
        <f>_xlfn.XLOOKUP(B174,old_ipc_dates!F:F,old_ipc_dates!C:C,EOMONTH(E174,0),0)</f>
        <v>45777</v>
      </c>
      <c r="G174" t="str">
        <v>AKKOL HAZIR YEMEK SAN. TIC. AS</v>
      </c>
      <c r="H174" s="61" cm="1">
        <f t="array" ref="H174">SUM(_xlfn._xlws.FILTER(_xlfn._TRO_TRAILING(quantities!L:L),(_xlfn._TRO_TRAILING(quantities!D:D)=C174)*(_xlfn._TRO_TRAILING(quantities!E:E)=D174)))</f>
        <v>332600.15000000002</v>
      </c>
      <c r="J174" t="e">
        <f ca="1">SUMIFS(
INDIRECT("'[S2 Subcon IPC Log.xlsx]Subcon IPC Log'!"&amp;"$O:$O"),
INDIRECT("'[S2 Subcon IPC Log.xlsx]Subcon IPC Log'!"&amp;"$C:$C"),
"KLN-SPP2-"&amp;_xlfn.XLOOKUP(C174,log_contracts!B:B,log_contracts!C:C)&amp;"-"&amp;TEXT(C174,"000"),
INDIRECT("'[S2 Subcon IPC Log.xlsx]Subcon IPC Log'!"&amp;"$D:$D"),
D174)</f>
        <v>#REF!</v>
      </c>
      <c r="K174" s="61" t="e">
        <f ca="1"/>
        <v>#REF!</v>
      </c>
    </row>
    <row r="175" spans="1:11" hidden="1" x14ac:dyDescent="0.25">
      <c r="A175">
        <v>174</v>
      </c>
      <c r="B175" t="str">
        <v>033-009</v>
      </c>
      <c r="C175">
        <v>33</v>
      </c>
      <c r="D175">
        <v>9</v>
      </c>
      <c r="E175" s="19" cm="1">
        <f t="array" ref="E175">_xlfn.XLOOKUP(B175,old_ipc_dates!F:F,old_ipc_dates!B:B,IF(D175=1,_xlfn.XLOOKUP(C175,log_contracts!B:B,log_contracts!D:D,,0),_xlfn.XLOOKUP(1,($C$18:C174=C175)*($D$18:D174=D175-1),$F$18:F174+1,,0)),0)</f>
        <v>45778</v>
      </c>
      <c r="F175" s="19">
        <f>_xlfn.XLOOKUP(B175,old_ipc_dates!F:F,old_ipc_dates!C:C,EOMONTH(E175,0),0)</f>
        <v>45808</v>
      </c>
      <c r="G175" t="str">
        <v>AKKOL HAZIR YEMEK SAN. TIC. AS</v>
      </c>
      <c r="H175" s="61" cm="1">
        <f t="array" ref="H175">SUM(_xlfn._xlws.FILTER(_xlfn._TRO_TRAILING(quantities!L:L),(_xlfn._TRO_TRAILING(quantities!D:D)=C175)*(_xlfn._TRO_TRAILING(quantities!E:E)=D175)))</f>
        <v>429510.80000000005</v>
      </c>
      <c r="J175" t="e">
        <f ca="1">SUMIFS(
INDIRECT("'[S2 Subcon IPC Log.xlsx]Subcon IPC Log'!"&amp;"$O:$O"),
INDIRECT("'[S2 Subcon IPC Log.xlsx]Subcon IPC Log'!"&amp;"$C:$C"),
"KLN-SPP2-"&amp;_xlfn.XLOOKUP(C175,log_contracts!B:B,log_contracts!C:C)&amp;"-"&amp;TEXT(C175,"000"),
INDIRECT("'[S2 Subcon IPC Log.xlsx]Subcon IPC Log'!"&amp;"$D:$D"),
D175)</f>
        <v>#REF!</v>
      </c>
      <c r="K175" s="61" t="e">
        <f ca="1"/>
        <v>#REF!</v>
      </c>
    </row>
    <row r="176" spans="1:11" hidden="1" x14ac:dyDescent="0.25">
      <c r="A176">
        <v>175</v>
      </c>
      <c r="B176" t="str">
        <v>033-010</v>
      </c>
      <c r="C176">
        <v>33</v>
      </c>
      <c r="D176">
        <v>10</v>
      </c>
      <c r="E176" s="19" cm="1">
        <f t="array" ref="E176">_xlfn.XLOOKUP(B176,old_ipc_dates!F:F,old_ipc_dates!B:B,IF(D176=1,_xlfn.XLOOKUP(C176,log_contracts!B:B,log_contracts!D:D,,0),_xlfn.XLOOKUP(1,($C$18:C175=C176)*($D$18:D175=D176-1),$F$18:F175+1,,0)),0)</f>
        <v>45809</v>
      </c>
      <c r="F176" s="19">
        <f>_xlfn.XLOOKUP(B176,old_ipc_dates!F:F,old_ipc_dates!C:C,EOMONTH(E176,0),0)</f>
        <v>45838</v>
      </c>
      <c r="G176" t="str">
        <v>AKKOL HAZIR YEMEK SAN. TIC. AS</v>
      </c>
      <c r="H176" s="61" cm="1">
        <f t="array" ref="H176">SUM(_xlfn._xlws.FILTER(_xlfn._TRO_TRAILING(quantities!L:L),(_xlfn._TRO_TRAILING(quantities!D:D)=C176)*(_xlfn._TRO_TRAILING(quantities!E:E)=D176)))</f>
        <v>358514.76999999996</v>
      </c>
      <c r="J176" t="e">
        <f ca="1">SUMIFS(
INDIRECT("'[S2 Subcon IPC Log.xlsx]Subcon IPC Log'!"&amp;"$O:$O"),
INDIRECT("'[S2 Subcon IPC Log.xlsx]Subcon IPC Log'!"&amp;"$C:$C"),
"KLN-SPP2-"&amp;_xlfn.XLOOKUP(C176,log_contracts!B:B,log_contracts!C:C)&amp;"-"&amp;TEXT(C176,"000"),
INDIRECT("'[S2 Subcon IPC Log.xlsx]Subcon IPC Log'!"&amp;"$D:$D"),
D176)</f>
        <v>#REF!</v>
      </c>
      <c r="K176" s="61" t="e">
        <f ca="1"/>
        <v>#REF!</v>
      </c>
    </row>
    <row r="177" spans="1:11" hidden="1" x14ac:dyDescent="0.25">
      <c r="A177">
        <v>176</v>
      </c>
      <c r="B177" t="str">
        <v>033-011</v>
      </c>
      <c r="C177">
        <v>33</v>
      </c>
      <c r="D177">
        <v>11</v>
      </c>
      <c r="E177" s="19" cm="1">
        <f t="array" ref="E177">_xlfn.XLOOKUP(B177,old_ipc_dates!F:F,old_ipc_dates!B:B,IF(D177=1,_xlfn.XLOOKUP(C177,log_contracts!B:B,log_contracts!D:D,,0),_xlfn.XLOOKUP(1,($C$18:C176=C177)*($D$18:D176=D177-1),$F$18:F176+1,,0)),0)</f>
        <v>45839</v>
      </c>
      <c r="F177" s="19">
        <f>_xlfn.XLOOKUP(B177,old_ipc_dates!F:F,old_ipc_dates!C:C,EOMONTH(E177,0),0)</f>
        <v>45869</v>
      </c>
      <c r="G177" t="str">
        <v>AKKOL HAZIR YEMEK SAN. TIC. AS</v>
      </c>
      <c r="H177" s="61" cm="1">
        <f t="array" ref="H177">SUM(_xlfn._xlws.FILTER(_xlfn._TRO_TRAILING(quantities!L:L),(_xlfn._TRO_TRAILING(quantities!D:D)=C177)*(_xlfn._TRO_TRAILING(quantities!E:E)=D177)))</f>
        <v>437707.97</v>
      </c>
      <c r="J177" t="e">
        <f ca="1">SUMIFS(
INDIRECT("'[S2 Subcon IPC Log.xlsx]Subcon IPC Log'!"&amp;"$O:$O"),
INDIRECT("'[S2 Subcon IPC Log.xlsx]Subcon IPC Log'!"&amp;"$C:$C"),
"KLN-SPP2-"&amp;_xlfn.XLOOKUP(C177,log_contracts!B:B,log_contracts!C:C)&amp;"-"&amp;TEXT(C177,"000"),
INDIRECT("'[S2 Subcon IPC Log.xlsx]Subcon IPC Log'!"&amp;"$D:$D"),
D177)</f>
        <v>#REF!</v>
      </c>
      <c r="K177" s="61" t="e">
        <f ca="1"/>
        <v>#REF!</v>
      </c>
    </row>
    <row r="178" spans="1:11" hidden="1" x14ac:dyDescent="0.25">
      <c r="A178">
        <v>177</v>
      </c>
      <c r="B178" t="str">
        <v>033-012</v>
      </c>
      <c r="C178">
        <v>33</v>
      </c>
      <c r="D178">
        <v>12</v>
      </c>
      <c r="E178" s="19" cm="1">
        <f t="array" ref="E178">_xlfn.XLOOKUP(B178,old_ipc_dates!F:F,old_ipc_dates!B:B,IF(D178=1,_xlfn.XLOOKUP(C178,log_contracts!B:B,log_contracts!D:D,,0),_xlfn.XLOOKUP(1,($C$18:C177=C178)*($D$18:D177=D178-1),$F$18:F177+1,,0)),0)</f>
        <v>45870</v>
      </c>
      <c r="F178" s="19">
        <f>_xlfn.XLOOKUP(B178,old_ipc_dates!F:F,old_ipc_dates!C:C,EOMONTH(E178,0),0)</f>
        <v>45900</v>
      </c>
      <c r="G178" t="str">
        <v>AKKOL HAZIR YEMEK SAN. TIC. AS</v>
      </c>
      <c r="H178" s="61" cm="1">
        <f t="array" ref="H178">SUM(_xlfn._xlws.FILTER(_xlfn._TRO_TRAILING(quantities!L:L),(_xlfn._TRO_TRAILING(quantities!D:D)=C178)*(_xlfn._TRO_TRAILING(quantities!E:E)=D178)))</f>
        <v>514609.15</v>
      </c>
      <c r="J178" t="e">
        <f ca="1">SUMIFS(
INDIRECT("'[S2 Subcon IPC Log.xlsx]Subcon IPC Log'!"&amp;"$O:$O"),
INDIRECT("'[S2 Subcon IPC Log.xlsx]Subcon IPC Log'!"&amp;"$C:$C"),
"KLN-SPP2-"&amp;_xlfn.XLOOKUP(C178,log_contracts!B:B,log_contracts!C:C)&amp;"-"&amp;TEXT(C178,"000"),
INDIRECT("'[S2 Subcon IPC Log.xlsx]Subcon IPC Log'!"&amp;"$D:$D"),
D178)</f>
        <v>#REF!</v>
      </c>
      <c r="K178" s="61" t="e">
        <f ca="1"/>
        <v>#REF!</v>
      </c>
    </row>
    <row r="179" spans="1:11" hidden="1" x14ac:dyDescent="0.25">
      <c r="A179">
        <v>178</v>
      </c>
      <c r="B179" t="str">
        <v>033-013</v>
      </c>
      <c r="C179">
        <v>33</v>
      </c>
      <c r="D179">
        <v>13</v>
      </c>
      <c r="E179" s="19" cm="1">
        <f t="array" ref="E179">_xlfn.XLOOKUP(B179,old_ipc_dates!F:F,old_ipc_dates!B:B,IF(D179=1,_xlfn.XLOOKUP(C179,log_contracts!B:B,log_contracts!D:D,,0),_xlfn.XLOOKUP(1,($C$18:C178=C179)*($D$18:D178=D179-1),$F$18:F178+1,,0)),0)</f>
        <v>45901</v>
      </c>
      <c r="F179" s="19">
        <f>_xlfn.XLOOKUP(B179,old_ipc_dates!F:F,old_ipc_dates!C:C,EOMONTH(E179,0),0)</f>
        <v>45930</v>
      </c>
      <c r="G179" t="str">
        <v>AKKOL HAZIR YEMEK SAN. TIC. AS</v>
      </c>
      <c r="H179" s="61" cm="1">
        <f t="array" ref="H179">SUM(_xlfn._xlws.FILTER(_xlfn._TRO_TRAILING(quantities!L:L),(_xlfn._TRO_TRAILING(quantities!D:D)=C179)*(_xlfn._TRO_TRAILING(quantities!E:E)=D179)))</f>
        <v>573603.52</v>
      </c>
      <c r="J179" t="e">
        <f ca="1">SUMIFS(
INDIRECT("'[S2 Subcon IPC Log.xlsx]Subcon IPC Log'!"&amp;"$O:$O"),
INDIRECT("'[S2 Subcon IPC Log.xlsx]Subcon IPC Log'!"&amp;"$C:$C"),
"KLN-SPP2-"&amp;_xlfn.XLOOKUP(C179,log_contracts!B:B,log_contracts!C:C)&amp;"-"&amp;TEXT(C179,"000"),
INDIRECT("'[S2 Subcon IPC Log.xlsx]Subcon IPC Log'!"&amp;"$D:$D"),
D179)</f>
        <v>#REF!</v>
      </c>
      <c r="K179" s="61" t="e">
        <f ca="1"/>
        <v>#REF!</v>
      </c>
    </row>
    <row r="180" spans="1:11" hidden="1" x14ac:dyDescent="0.25">
      <c r="A180">
        <v>179</v>
      </c>
      <c r="B180" t="str">
        <v>033-014</v>
      </c>
      <c r="C180">
        <v>33</v>
      </c>
      <c r="D180">
        <v>14</v>
      </c>
      <c r="E180" s="19" cm="1">
        <f t="array" ref="E180">_xlfn.XLOOKUP(B180,old_ipc_dates!F:F,old_ipc_dates!B:B,IF(D180=1,_xlfn.XLOOKUP(C180,log_contracts!B:B,log_contracts!D:D,,0),_xlfn.XLOOKUP(1,($C$18:C179=C180)*($D$18:D179=D180-1),$F$18:F179+1,,0)),0)</f>
        <v>45962</v>
      </c>
      <c r="F180" s="19">
        <f>_xlfn.XLOOKUP(B180,old_ipc_dates!F:F,old_ipc_dates!C:C,EOMONTH(E180,0),0)</f>
        <v>45991</v>
      </c>
      <c r="G180" t="str">
        <v>AKKOL HAZIR YEMEK SAN. TIC. AS</v>
      </c>
      <c r="H180" s="61" cm="1">
        <f t="array" ref="H180">SUM(_xlfn._xlws.FILTER(_xlfn._TRO_TRAILING(quantities!L:L),(_xlfn._TRO_TRAILING(quantities!D:D)=C180)*(_xlfn._TRO_TRAILING(quantities!E:E)=D180)))</f>
        <v>607766.07999999996</v>
      </c>
      <c r="J180" t="e">
        <f ca="1">SUMIFS(
INDIRECT("'[S2 Subcon IPC Log.xlsx]Subcon IPC Log'!"&amp;"$O:$O"),
INDIRECT("'[S2 Subcon IPC Log.xlsx]Subcon IPC Log'!"&amp;"$C:$C"),
"KLN-SPP2-"&amp;_xlfn.XLOOKUP(C180,log_contracts!B:B,log_contracts!C:C)&amp;"-"&amp;TEXT(C180,"000"),
INDIRECT("'[S2 Subcon IPC Log.xlsx]Subcon IPC Log'!"&amp;"$D:$D"),
D180)</f>
        <v>#REF!</v>
      </c>
      <c r="K180" s="61" t="e">
        <f ca="1"/>
        <v>#REF!</v>
      </c>
    </row>
    <row r="181" spans="1:11" hidden="1" x14ac:dyDescent="0.25">
      <c r="A181">
        <v>180</v>
      </c>
      <c r="B181" t="str">
        <v>033-015</v>
      </c>
      <c r="C181">
        <v>33</v>
      </c>
      <c r="D181">
        <v>15</v>
      </c>
      <c r="E181" s="19" cm="1">
        <f t="array" ref="E181">_xlfn.XLOOKUP(B181,old_ipc_dates!F:F,old_ipc_dates!B:B,IF(D181=1,_xlfn.XLOOKUP(C181,log_contracts!B:B,log_contracts!D:D,,0),_xlfn.XLOOKUP(1,($C$18:C180=C181)*($D$18:D180=D181-1),$F$18:F180+1,,0)),0)</f>
        <v>45962</v>
      </c>
      <c r="F181" s="19">
        <f>_xlfn.XLOOKUP(B181,old_ipc_dates!F:F,old_ipc_dates!C:C,EOMONTH(E181,0),0)</f>
        <v>45991</v>
      </c>
      <c r="G181" t="str">
        <v>AKKOL HAZIR YEMEK SAN. TIC. AS</v>
      </c>
      <c r="H181" s="61" cm="1">
        <f t="array" ref="H181">SUM(_xlfn._xlws.FILTER(_xlfn._TRO_TRAILING(quantities!L:L),(_xlfn._TRO_TRAILING(quantities!D:D)=C181)*(_xlfn._TRO_TRAILING(quantities!E:E)=D181)))</f>
        <v>597983.80000000005</v>
      </c>
      <c r="J181" t="e">
        <f ca="1">SUMIFS(
INDIRECT("'[S2 Subcon IPC Log.xlsx]Subcon IPC Log'!"&amp;"$O:$O"),
INDIRECT("'[S2 Subcon IPC Log.xlsx]Subcon IPC Log'!"&amp;"$C:$C"),
"KLN-SPP2-"&amp;_xlfn.XLOOKUP(C181,log_contracts!B:B,log_contracts!C:C)&amp;"-"&amp;TEXT(C181,"000"),
INDIRECT("'[S2 Subcon IPC Log.xlsx]Subcon IPC Log'!"&amp;"$D:$D"),
D181)</f>
        <v>#REF!</v>
      </c>
      <c r="K181" s="61" t="e">
        <f ca="1"/>
        <v>#REF!</v>
      </c>
    </row>
    <row r="182" spans="1:11" hidden="1" x14ac:dyDescent="0.25">
      <c r="A182">
        <v>181</v>
      </c>
      <c r="B182" t="str">
        <v>091-001</v>
      </c>
      <c r="C182">
        <v>91</v>
      </c>
      <c r="D182">
        <v>1</v>
      </c>
      <c r="E182" s="19" cm="1">
        <f t="array" ref="E182">_xlfn.XLOOKUP(B182,old_ipc_dates!F:F,old_ipc_dates!B:B,IF(D182=1,_xlfn.XLOOKUP(C182,log_contracts!B:B,log_contracts!D:D,,0),_xlfn.XLOOKUP(1,($C$18:C181=C182)*($D$18:D181=D182-1),$F$18:F181+1,,0)),0)</f>
        <v>45834</v>
      </c>
      <c r="F182" s="19">
        <f>_xlfn.XLOOKUP(B182,old_ipc_dates!F:F,old_ipc_dates!C:C,EOMONTH(E182,0),0)</f>
        <v>45869</v>
      </c>
      <c r="G182" t="str">
        <v>ELSAD QULIYEV</v>
      </c>
      <c r="H182" s="61" cm="1">
        <f t="array" ref="H182">SUM(_xlfn._xlws.FILTER(_xlfn._TRO_TRAILING(quantities!L:L),(_xlfn._TRO_TRAILING(quantities!D:D)=C182)*(_xlfn._TRO_TRAILING(quantities!E:E)=D182)))</f>
        <v>4083.3333333333335</v>
      </c>
      <c r="J182" t="e">
        <f ca="1">SUMIFS(
INDIRECT("'[S2 Subcon IPC Log.xlsx]Subcon IPC Log'!"&amp;"$O:$O"),
INDIRECT("'[S2 Subcon IPC Log.xlsx]Subcon IPC Log'!"&amp;"$C:$C"),
"KLN-SPP2-"&amp;_xlfn.XLOOKUP(C182,log_contracts!B:B,log_contracts!C:C)&amp;"-"&amp;TEXT(C182,"000"),
INDIRECT("'[S2 Subcon IPC Log.xlsx]Subcon IPC Log'!"&amp;"$D:$D"),
D182)</f>
        <v>#REF!</v>
      </c>
      <c r="K182" s="61" t="e">
        <f ca="1"/>
        <v>#REF!</v>
      </c>
    </row>
    <row r="183" spans="1:11" hidden="1" x14ac:dyDescent="0.25">
      <c r="A183">
        <v>182</v>
      </c>
      <c r="B183" t="str">
        <v>091-002</v>
      </c>
      <c r="C183">
        <v>91</v>
      </c>
      <c r="D183">
        <v>2</v>
      </c>
      <c r="E183" s="19" cm="1">
        <f t="array" ref="E183">_xlfn.XLOOKUP(B183,old_ipc_dates!F:F,old_ipc_dates!B:B,IF(D183=1,_xlfn.XLOOKUP(C183,log_contracts!B:B,log_contracts!D:D,,0),_xlfn.XLOOKUP(1,($C$18:C182=C183)*($D$18:D182=D183-1),$F$18:F182+1,,0)),0)</f>
        <v>45870</v>
      </c>
      <c r="F183" s="19">
        <f>_xlfn.XLOOKUP(B183,old_ipc_dates!F:F,old_ipc_dates!C:C,EOMONTH(E183,0),0)</f>
        <v>45869</v>
      </c>
      <c r="G183" t="str">
        <v>ELSAD QULIYEV</v>
      </c>
      <c r="H183" s="61" cm="1">
        <f t="array" ref="H183">SUM(_xlfn._xlws.FILTER(_xlfn._TRO_TRAILING(quantities!L:L),(_xlfn._TRO_TRAILING(quantities!D:D)=C183)*(_xlfn._TRO_TRAILING(quantities!E:E)=D183)))</f>
        <v>3500</v>
      </c>
      <c r="J183" t="e">
        <f ca="1">SUMIFS(
INDIRECT("'[S2 Subcon IPC Log.xlsx]Subcon IPC Log'!"&amp;"$O:$O"),
INDIRECT("'[S2 Subcon IPC Log.xlsx]Subcon IPC Log'!"&amp;"$C:$C"),
"KLN-SPP2-"&amp;_xlfn.XLOOKUP(C183,log_contracts!B:B,log_contracts!C:C)&amp;"-"&amp;TEXT(C183,"000"),
INDIRECT("'[S2 Subcon IPC Log.xlsx]Subcon IPC Log'!"&amp;"$D:$D"),
D183)</f>
        <v>#REF!</v>
      </c>
      <c r="K183" s="61" t="e">
        <f ca="1"/>
        <v>#REF!</v>
      </c>
    </row>
    <row r="184" spans="1:11" hidden="1" x14ac:dyDescent="0.25">
      <c r="A184">
        <v>183</v>
      </c>
      <c r="B184" t="str">
        <v>091-003</v>
      </c>
      <c r="C184">
        <v>91</v>
      </c>
      <c r="D184">
        <v>3</v>
      </c>
      <c r="E184" s="19" cm="1">
        <f t="array" ref="E184">_xlfn.XLOOKUP(B184,old_ipc_dates!F:F,old_ipc_dates!B:B,IF(D184=1,_xlfn.XLOOKUP(C184,log_contracts!B:B,log_contracts!D:D,,0),_xlfn.XLOOKUP(1,($C$18:C183=C184)*($D$18:D183=D184-1),$F$18:F183+1,,0)),0)</f>
        <v>45901</v>
      </c>
      <c r="F184" s="19">
        <f>_xlfn.XLOOKUP(B184,old_ipc_dates!F:F,old_ipc_dates!C:C,EOMONTH(E184,0),0)</f>
        <v>45869</v>
      </c>
      <c r="G184" t="str">
        <v>ELSAD QULIYEV</v>
      </c>
      <c r="H184" s="61" cm="1">
        <f t="array" ref="H184">SUM(_xlfn._xlws.FILTER(_xlfn._TRO_TRAILING(quantities!L:L),(_xlfn._TRO_TRAILING(quantities!D:D)=C184)*(_xlfn._TRO_TRAILING(quantities!E:E)=D184)))</f>
        <v>3500</v>
      </c>
      <c r="J184" t="e">
        <f ca="1">SUMIFS(
INDIRECT("'[S2 Subcon IPC Log.xlsx]Subcon IPC Log'!"&amp;"$O:$O"),
INDIRECT("'[S2 Subcon IPC Log.xlsx]Subcon IPC Log'!"&amp;"$C:$C"),
"KLN-SPP2-"&amp;_xlfn.XLOOKUP(C184,log_contracts!B:B,log_contracts!C:C)&amp;"-"&amp;TEXT(C184,"000"),
INDIRECT("'[S2 Subcon IPC Log.xlsx]Subcon IPC Log'!"&amp;"$D:$D"),
D184)</f>
        <v>#REF!</v>
      </c>
      <c r="K184" s="61" t="e">
        <f ca="1"/>
        <v>#REF!</v>
      </c>
    </row>
    <row r="185" spans="1:11" hidden="1" x14ac:dyDescent="0.25">
      <c r="A185">
        <v>184</v>
      </c>
      <c r="B185" t="str">
        <v>091-004</v>
      </c>
      <c r="C185">
        <v>91</v>
      </c>
      <c r="D185">
        <v>4</v>
      </c>
      <c r="E185" s="19" cm="1">
        <f t="array" ref="E185">_xlfn.XLOOKUP(B185,old_ipc_dates!F:F,old_ipc_dates!B:B,IF(D185=1,_xlfn.XLOOKUP(C185,log_contracts!B:B,log_contracts!D:D,,0),_xlfn.XLOOKUP(1,($C$18:C184=C185)*($D$18:D184=D185-1),$F$18:F184+1,,0)),0)</f>
        <v>45931</v>
      </c>
      <c r="F185" s="19">
        <f>_xlfn.XLOOKUP(B185,old_ipc_dates!F:F,old_ipc_dates!C:C,EOMONTH(E185,0),0)</f>
        <v>45961</v>
      </c>
      <c r="G185" t="str">
        <v>ELSAD QULIYEV</v>
      </c>
      <c r="H185" s="61" cm="1">
        <f t="array" ref="H185">SUM(_xlfn._xlws.FILTER(_xlfn._TRO_TRAILING(quantities!L:L),(_xlfn._TRO_TRAILING(quantities!D:D)=C185)*(_xlfn._TRO_TRAILING(quantities!E:E)=D185)))</f>
        <v>3500</v>
      </c>
      <c r="J185" t="e">
        <f ca="1">SUMIFS(
INDIRECT("'[S2 Subcon IPC Log.xlsx]Subcon IPC Log'!"&amp;"$O:$O"),
INDIRECT("'[S2 Subcon IPC Log.xlsx]Subcon IPC Log'!"&amp;"$C:$C"),
"KLN-SPP2-"&amp;_xlfn.XLOOKUP(C185,log_contracts!B:B,log_contracts!C:C)&amp;"-"&amp;TEXT(C185,"000"),
INDIRECT("'[S2 Subcon IPC Log.xlsx]Subcon IPC Log'!"&amp;"$D:$D"),
D185)</f>
        <v>#REF!</v>
      </c>
      <c r="K185" s="61" t="e">
        <f ca="1"/>
        <v>#REF!</v>
      </c>
    </row>
    <row r="186" spans="1:11" hidden="1" x14ac:dyDescent="0.25">
      <c r="A186">
        <v>185</v>
      </c>
      <c r="B186" t="str">
        <v>091-005</v>
      </c>
      <c r="C186">
        <v>91</v>
      </c>
      <c r="D186">
        <v>5</v>
      </c>
      <c r="E186" s="19" cm="1">
        <f t="array" ref="E186">_xlfn.XLOOKUP(B186,old_ipc_dates!F:F,old_ipc_dates!B:B,IF(D186=1,_xlfn.XLOOKUP(C186,log_contracts!B:B,log_contracts!D:D,,0),_xlfn.XLOOKUP(1,($C$18:C185=C186)*($D$18:D185=D186-1),$F$18:F185+1,,0)),0)</f>
        <v>45962</v>
      </c>
      <c r="F186" s="19">
        <f>_xlfn.XLOOKUP(B186,old_ipc_dates!F:F,old_ipc_dates!C:C,EOMONTH(E186,0),0)</f>
        <v>45991</v>
      </c>
      <c r="G186" t="str">
        <v>ELSAD QULIYEV</v>
      </c>
      <c r="H186" s="61" cm="1">
        <f t="array" ref="H186">SUM(_xlfn._xlws.FILTER(_xlfn._TRO_TRAILING(quantities!L:L),(_xlfn._TRO_TRAILING(quantities!D:D)=C186)*(_xlfn._TRO_TRAILING(quantities!E:E)=D186)))</f>
        <v>3500</v>
      </c>
      <c r="J186" t="e">
        <f ca="1">SUMIFS(
INDIRECT("'[S2 Subcon IPC Log.xlsx]Subcon IPC Log'!"&amp;"$O:$O"),
INDIRECT("'[S2 Subcon IPC Log.xlsx]Subcon IPC Log'!"&amp;"$C:$C"),
"KLN-SPP2-"&amp;_xlfn.XLOOKUP(C186,log_contracts!B:B,log_contracts!C:C)&amp;"-"&amp;TEXT(C186,"000"),
INDIRECT("'[S2 Subcon IPC Log.xlsx]Subcon IPC Log'!"&amp;"$D:$D"),
D186)</f>
        <v>#REF!</v>
      </c>
      <c r="K186" s="61" t="e">
        <f ca="1"/>
        <v>#REF!</v>
      </c>
    </row>
    <row r="187" spans="1:11" hidden="1" x14ac:dyDescent="0.25">
      <c r="A187">
        <v>186</v>
      </c>
      <c r="B187" t="str">
        <v>103-001</v>
      </c>
      <c r="C187">
        <v>103</v>
      </c>
      <c r="D187">
        <v>1</v>
      </c>
      <c r="E187" s="19" cm="1">
        <f t="array" ref="E187">_xlfn.XLOOKUP(B187,old_ipc_dates!F:F,old_ipc_dates!B:B,IF(D187=1,_xlfn.XLOOKUP(C187,log_contracts!B:B,log_contracts!D:D,,0),_xlfn.XLOOKUP(1,($C$18:C186=C187)*($D$18:D186=D187-1),$F$18:F186+1,,0)),0)</f>
        <v>45880</v>
      </c>
      <c r="F187" s="19">
        <f>_xlfn.XLOOKUP(B187,old_ipc_dates!F:F,old_ipc_dates!C:C,EOMONTH(E187,0),0)</f>
        <v>45900</v>
      </c>
      <c r="G187" t="str">
        <v>BUREAU VERITAS AZERI MMC</v>
      </c>
      <c r="H187" s="61" cm="1">
        <f t="array" ref="H187">SUM(_xlfn._xlws.FILTER(_xlfn._TRO_TRAILING(quantities!L:L),(_xlfn._TRO_TRAILING(quantities!D:D)=C187)*(_xlfn._TRO_TRAILING(quantities!E:E)=D187)))</f>
        <v>3400</v>
      </c>
      <c r="J187" t="e">
        <f ca="1">SUMIFS(
INDIRECT("'[S2 Subcon IPC Log.xlsx]Subcon IPC Log'!"&amp;"$O:$O"),
INDIRECT("'[S2 Subcon IPC Log.xlsx]Subcon IPC Log'!"&amp;"$C:$C"),
"KLN-SPP2-"&amp;_xlfn.XLOOKUP(C187,log_contracts!B:B,log_contracts!C:C)&amp;"-"&amp;TEXT(C187,"000"),
INDIRECT("'[S2 Subcon IPC Log.xlsx]Subcon IPC Log'!"&amp;"$D:$D"),
D187)</f>
        <v>#REF!</v>
      </c>
      <c r="K187" s="61" t="e">
        <f ca="1"/>
        <v>#REF!</v>
      </c>
    </row>
    <row r="188" spans="1:11" hidden="1" x14ac:dyDescent="0.25">
      <c r="A188">
        <v>187</v>
      </c>
      <c r="B188" t="str">
        <v>107-001</v>
      </c>
      <c r="C188">
        <v>107</v>
      </c>
      <c r="D188">
        <v>1</v>
      </c>
      <c r="E188" s="19" cm="1">
        <f t="array" ref="E188">_xlfn.XLOOKUP(B188,old_ipc_dates!F:F,old_ipc_dates!B:B,IF(D188=1,_xlfn.XLOOKUP(C188,log_contracts!B:B,log_contracts!D:D,,0),_xlfn.XLOOKUP(1,($C$18:C187=C188)*($D$18:D187=D188-1),$F$18:F187+1,,0)),0)</f>
        <v>45856</v>
      </c>
      <c r="F188" s="19">
        <f>_xlfn.XLOOKUP(B188,old_ipc_dates!F:F,old_ipc_dates!C:C,EOMONTH(E188,0),0)</f>
        <v>45900</v>
      </c>
      <c r="G188" t="str">
        <v>QUALIFY MMC</v>
      </c>
      <c r="H188" s="61" cm="1">
        <f t="array" ref="H188">SUM(_xlfn._xlws.FILTER(_xlfn._TRO_TRAILING(quantities!L:L),(_xlfn._TRO_TRAILING(quantities!D:D)=C188)*(_xlfn._TRO_TRAILING(quantities!E:E)=D188)))</f>
        <v>9900</v>
      </c>
      <c r="J188" t="e">
        <f ca="1">SUMIFS(
INDIRECT("'[S2 Subcon IPC Log.xlsx]Subcon IPC Log'!"&amp;"$O:$O"),
INDIRECT("'[S2 Subcon IPC Log.xlsx]Subcon IPC Log'!"&amp;"$C:$C"),
"KLN-SPP2-"&amp;_xlfn.XLOOKUP(C188,log_contracts!B:B,log_contracts!C:C)&amp;"-"&amp;TEXT(C188,"000"),
INDIRECT("'[S2 Subcon IPC Log.xlsx]Subcon IPC Log'!"&amp;"$D:$D"),
D188)</f>
        <v>#REF!</v>
      </c>
      <c r="K188" s="61" t="e">
        <f ca="1"/>
        <v>#REF!</v>
      </c>
    </row>
    <row r="189" spans="1:11" hidden="1" x14ac:dyDescent="0.25">
      <c r="A189">
        <v>188</v>
      </c>
      <c r="B189" t="str">
        <v>107-002</v>
      </c>
      <c r="C189">
        <v>107</v>
      </c>
      <c r="D189">
        <v>2</v>
      </c>
      <c r="E189" s="19" cm="1">
        <f t="array" ref="E189">_xlfn.XLOOKUP(B189,old_ipc_dates!F:F,old_ipc_dates!B:B,IF(D189=1,_xlfn.XLOOKUP(C189,log_contracts!B:B,log_contracts!D:D,,0),_xlfn.XLOOKUP(1,($C$18:C188=C189)*($D$18:D188=D189-1),$F$18:F188+1,,0)),0)</f>
        <v>45931</v>
      </c>
      <c r="F189" s="19">
        <f>_xlfn.XLOOKUP(B189,old_ipc_dates!F:F,old_ipc_dates!C:C,EOMONTH(E189,0),0)</f>
        <v>45961</v>
      </c>
      <c r="G189" t="str">
        <v>QUALIFY MMC</v>
      </c>
      <c r="H189" s="61" cm="1">
        <f t="array" ref="H189">SUM(_xlfn._xlws.FILTER(_xlfn._TRO_TRAILING(quantities!L:L),(_xlfn._TRO_TRAILING(quantities!D:D)=C189)*(_xlfn._TRO_TRAILING(quantities!E:E)=D189)))</f>
        <v>13450</v>
      </c>
      <c r="J189" t="e">
        <f ca="1">SUMIFS(
INDIRECT("'[S2 Subcon IPC Log.xlsx]Subcon IPC Log'!"&amp;"$O:$O"),
INDIRECT("'[S2 Subcon IPC Log.xlsx]Subcon IPC Log'!"&amp;"$C:$C"),
"KLN-SPP2-"&amp;_xlfn.XLOOKUP(C189,log_contracts!B:B,log_contracts!C:C)&amp;"-"&amp;TEXT(C189,"000"),
INDIRECT("'[S2 Subcon IPC Log.xlsx]Subcon IPC Log'!"&amp;"$D:$D"),
D189)</f>
        <v>#REF!</v>
      </c>
      <c r="K189" s="61" t="e">
        <f ca="1"/>
        <v>#REF!</v>
      </c>
    </row>
    <row r="190" spans="1:11" hidden="1" x14ac:dyDescent="0.25">
      <c r="A190">
        <v>189</v>
      </c>
      <c r="B190" t="str">
        <v>150-001</v>
      </c>
      <c r="C190">
        <v>150</v>
      </c>
      <c r="D190">
        <v>1</v>
      </c>
      <c r="E190" s="19" cm="1">
        <f t="array" ref="E190">_xlfn.XLOOKUP(B190,old_ipc_dates!F:F,old_ipc_dates!B:B,IF(D190=1,_xlfn.XLOOKUP(C190,log_contracts!B:B,log_contracts!D:D,,0),_xlfn.XLOOKUP(1,($C$18:C189=C190)*($D$18:D189=D190-1),$F$18:F189+1,,0)),0)</f>
        <v>45989</v>
      </c>
      <c r="F190" s="19">
        <f>_xlfn.XLOOKUP(B190,old_ipc_dates!F:F,old_ipc_dates!C:C,EOMONTH(E190,0),0)</f>
        <v>45991</v>
      </c>
      <c r="G190" t="str">
        <v>AS RT MMC</v>
      </c>
      <c r="H190" s="61" cm="1">
        <f t="array" ref="H190">SUM(_xlfn._xlws.FILTER(_xlfn._TRO_TRAILING(quantities!L:L),(_xlfn._TRO_TRAILING(quantities!D:D)=C190)*(_xlfn._TRO_TRAILING(quantities!E:E)=D190)))</f>
        <v>2200</v>
      </c>
      <c r="J190" t="e">
        <f ca="1">SUMIFS(
INDIRECT("'[S2 Subcon IPC Log.xlsx]Subcon IPC Log'!"&amp;"$O:$O"),
INDIRECT("'[S2 Subcon IPC Log.xlsx]Subcon IPC Log'!"&amp;"$C:$C"),
"KLN-SPP2-"&amp;_xlfn.XLOOKUP(C190,log_contracts!B:B,log_contracts!C:C)&amp;"-"&amp;TEXT(C190,"000"),
INDIRECT("'[S2 Subcon IPC Log.xlsx]Subcon IPC Log'!"&amp;"$D:$D"),
D190)</f>
        <v>#REF!</v>
      </c>
      <c r="K190" s="61" t="e">
        <f ca="1"/>
        <v>#REF!</v>
      </c>
    </row>
    <row r="191" spans="1:11" hidden="1" x14ac:dyDescent="0.25">
      <c r="A191">
        <v>190</v>
      </c>
      <c r="B191" t="str">
        <v>011-012</v>
      </c>
      <c r="C191">
        <v>11</v>
      </c>
      <c r="D191">
        <v>12</v>
      </c>
      <c r="E191" s="19" cm="1">
        <f t="array" ref="E191">_xlfn.XLOOKUP(B191,old_ipc_dates!F:F,old_ipc_dates!B:B,IF(D191=1,_xlfn.XLOOKUP(C191,log_contracts!B:B,log_contracts!D:D,,0),_xlfn.XLOOKUP(1,($C$18:C190=C191)*($D$18:D190=D191-1),$F$18:F190+1,,0)),0)</f>
        <v>45992</v>
      </c>
      <c r="F191" s="19">
        <f>_xlfn.XLOOKUP(B191,old_ipc_dates!F:F,old_ipc_dates!C:C,EOMONTH(E191,0),0)</f>
        <v>46022</v>
      </c>
      <c r="G191" t="str">
        <v>CASPIAN ENGINEERING SOLUTIONS MMC</v>
      </c>
      <c r="H191" s="61" cm="1">
        <f t="array" ref="H191">SUM(_xlfn._xlws.FILTER(_xlfn._TRO_TRAILING(quantities!L:L),(_xlfn._TRO_TRAILING(quantities!D:D)=C191)*(_xlfn._TRO_TRAILING(quantities!E:E)=D191)))</f>
        <v>8200</v>
      </c>
      <c r="J191" t="e">
        <f ca="1">SUMIFS(
INDIRECT("'[S2 Subcon IPC Log.xlsx]Subcon IPC Log'!"&amp;"$O:$O"),
INDIRECT("'[S2 Subcon IPC Log.xlsx]Subcon IPC Log'!"&amp;"$C:$C"),
"KLN-SPP2-"&amp;_xlfn.XLOOKUP(C191,log_contracts!B:B,log_contracts!C:C)&amp;"-"&amp;TEXT(C191,"000"),
INDIRECT("'[S2 Subcon IPC Log.xlsx]Subcon IPC Log'!"&amp;"$D:$D"),
D191)</f>
        <v>#REF!</v>
      </c>
      <c r="K191" s="61" t="e">
        <f ca="1"/>
        <v>#REF!</v>
      </c>
    </row>
    <row r="192" spans="1:11" hidden="1" x14ac:dyDescent="0.25">
      <c r="A192">
        <v>191</v>
      </c>
      <c r="B192" t="str">
        <v>014-009</v>
      </c>
      <c r="C192">
        <v>14</v>
      </c>
      <c r="D192">
        <v>9</v>
      </c>
      <c r="E192" s="19" cm="1">
        <f t="array" ref="E192">_xlfn.XLOOKUP(B192,old_ipc_dates!F:F,old_ipc_dates!B:B,IF(D192=1,_xlfn.XLOOKUP(C192,log_contracts!B:B,log_contracts!D:D,,0),_xlfn.XLOOKUP(1,($C$18:C191=C192)*($D$18:D191=D192-1),$F$18:F191+1,,0)),0)</f>
        <v>45992</v>
      </c>
      <c r="F192" s="19">
        <f>_xlfn.XLOOKUP(B192,old_ipc_dates!F:F,old_ipc_dates!C:C,EOMONTH(E192,0),0)</f>
        <v>46022</v>
      </c>
      <c r="G192" t="str">
        <v>HİLAL LTD</v>
      </c>
      <c r="H192" s="61" cm="1">
        <f t="array" ref="H192">SUM(_xlfn._xlws.FILTER(_xlfn._TRO_TRAILING(quantities!L:L),(_xlfn._TRO_TRAILING(quantities!D:D)=C192)*(_xlfn._TRO_TRAILING(quantities!E:E)=D192)))</f>
        <v>5870.5</v>
      </c>
      <c r="J192" t="e">
        <f ca="1">SUMIFS(
INDIRECT("'[S2 Subcon IPC Log.xlsx]Subcon IPC Log'!"&amp;"$O:$O"),
INDIRECT("'[S2 Subcon IPC Log.xlsx]Subcon IPC Log'!"&amp;"$C:$C"),
"KLN-SPP2-"&amp;_xlfn.XLOOKUP(C192,log_contracts!B:B,log_contracts!C:C)&amp;"-"&amp;TEXT(C192,"000"),
INDIRECT("'[S2 Subcon IPC Log.xlsx]Subcon IPC Log'!"&amp;"$D:$D"),
D192)</f>
        <v>#REF!</v>
      </c>
      <c r="K192" s="61" t="e">
        <f ca="1"/>
        <v>#REF!</v>
      </c>
    </row>
    <row r="193" spans="1:11" hidden="1" x14ac:dyDescent="0.25">
      <c r="A193">
        <v>192</v>
      </c>
      <c r="B193" t="str">
        <v>030-012</v>
      </c>
      <c r="C193">
        <v>30</v>
      </c>
      <c r="D193">
        <v>12</v>
      </c>
      <c r="E193" s="19" cm="1">
        <f t="array" ref="E193">_xlfn.XLOOKUP(B193,old_ipc_dates!F:F,old_ipc_dates!B:B,IF(D193=1,_xlfn.XLOOKUP(C193,log_contracts!B:B,log_contracts!D:D,,0),_xlfn.XLOOKUP(1,($C$18:C192=C193)*($D$18:D192=D193-1),$F$18:F192+1,,0)),0)</f>
        <v>45992</v>
      </c>
      <c r="F193" s="19">
        <f>_xlfn.XLOOKUP(B193,old_ipc_dates!F:F,old_ipc_dates!C:C,EOMONTH(E193,0),0)</f>
        <v>46022</v>
      </c>
      <c r="G193" t="str">
        <v>NAR TRANSPORT SERVICES MMC</v>
      </c>
      <c r="H193" s="61" cm="1">
        <f t="array" ref="H193">SUM(_xlfn._xlws.FILTER(_xlfn._TRO_TRAILING(quantities!L:L),(_xlfn._TRO_TRAILING(quantities!D:D)=C193)*(_xlfn._TRO_TRAILING(quantities!E:E)=D193)))</f>
        <v>5500</v>
      </c>
      <c r="J193" t="e">
        <f ca="1">SUMIFS(
INDIRECT("'[S2 Subcon IPC Log.xlsx]Subcon IPC Log'!"&amp;"$O:$O"),
INDIRECT("'[S2 Subcon IPC Log.xlsx]Subcon IPC Log'!"&amp;"$C:$C"),
"KLN-SPP2-"&amp;_xlfn.XLOOKUP(C193,log_contracts!B:B,log_contracts!C:C)&amp;"-"&amp;TEXT(C193,"000"),
INDIRECT("'[S2 Subcon IPC Log.xlsx]Subcon IPC Log'!"&amp;"$D:$D"),
D193)</f>
        <v>#REF!</v>
      </c>
      <c r="K193" s="61" t="e">
        <f ca="1"/>
        <v>#REF!</v>
      </c>
    </row>
    <row r="194" spans="1:11" hidden="1" x14ac:dyDescent="0.25">
      <c r="A194">
        <v>193</v>
      </c>
      <c r="B194" t="str">
        <v>033-016</v>
      </c>
      <c r="C194">
        <v>33</v>
      </c>
      <c r="D194">
        <v>16</v>
      </c>
      <c r="E194" s="19" cm="1">
        <f t="array" ref="E194">_xlfn.XLOOKUP(B194,old_ipc_dates!F:F,old_ipc_dates!B:B,IF(D194=1,_xlfn.XLOOKUP(C194,log_contracts!B:B,log_contracts!D:D,,0),_xlfn.XLOOKUP(1,($C$18:C193=C194)*($D$18:D193=D194-1),$F$18:F193+1,,0)),0)</f>
        <v>45992</v>
      </c>
      <c r="F194" s="19">
        <f>_xlfn.XLOOKUP(B194,old_ipc_dates!F:F,old_ipc_dates!C:C,EOMONTH(E194,0),0)</f>
        <v>46022</v>
      </c>
      <c r="G194" t="str">
        <v>AKKOL HAZIR YEMEK SAN. TIC. AS</v>
      </c>
      <c r="H194" s="61" cm="1">
        <f t="array" ref="H194">SUM(_xlfn._xlws.FILTER(_xlfn._TRO_TRAILING(quantities!L:L),(_xlfn._TRO_TRAILING(quantities!D:D)=C194)*(_xlfn._TRO_TRAILING(quantities!E:E)=D194)))</f>
        <v>650564.72</v>
      </c>
      <c r="J194" t="e">
        <f ca="1">SUMIFS(
INDIRECT("'[S2 Subcon IPC Log.xlsx]Subcon IPC Log'!"&amp;"$O:$O"),
INDIRECT("'[S2 Subcon IPC Log.xlsx]Subcon IPC Log'!"&amp;"$C:$C"),
"KLN-SPP2-"&amp;_xlfn.XLOOKUP(C194,log_contracts!B:B,log_contracts!C:C)&amp;"-"&amp;TEXT(C194,"000"),
INDIRECT("'[S2 Subcon IPC Log.xlsx]Subcon IPC Log'!"&amp;"$D:$D"),
D194)</f>
        <v>#REF!</v>
      </c>
      <c r="K194" s="61" t="e">
        <f ca="1"/>
        <v>#REF!</v>
      </c>
    </row>
    <row r="195" spans="1:11" hidden="1" x14ac:dyDescent="0.25">
      <c r="A195">
        <v>194</v>
      </c>
      <c r="B195" t="str">
        <v>107-003</v>
      </c>
      <c r="C195">
        <v>107</v>
      </c>
      <c r="D195">
        <v>3</v>
      </c>
      <c r="E195" s="19" cm="1">
        <f t="array" ref="E195">_xlfn.XLOOKUP(B195,old_ipc_dates!F:F,old_ipc_dates!B:B,IF(D195=1,_xlfn.XLOOKUP(C195,log_contracts!B:B,log_contracts!D:D,,0),_xlfn.XLOOKUP(1,($C$18:C194=C195)*($D$18:D194=D195-1),$F$18:F194+1,,0)),0)</f>
        <v>45962</v>
      </c>
      <c r="F195" s="19">
        <f>_xlfn.XLOOKUP(B195,old_ipc_dates!F:F,old_ipc_dates!C:C,EOMONTH(E195,0),0)</f>
        <v>45991</v>
      </c>
      <c r="G195" t="str">
        <v>QUALIFY MMC</v>
      </c>
      <c r="H195" s="61" cm="1">
        <f t="array" ref="H195">SUM(_xlfn._xlws.FILTER(_xlfn._TRO_TRAILING(quantities!L:L),(_xlfn._TRO_TRAILING(quantities!D:D)=C195)*(_xlfn._TRO_TRAILING(quantities!E:E)=D195)))</f>
        <v>7700</v>
      </c>
      <c r="J195" t="e">
        <f ca="1">SUMIFS(
INDIRECT("'[S2 Subcon IPC Log.xlsx]Subcon IPC Log'!"&amp;"$O:$O"),
INDIRECT("'[S2 Subcon IPC Log.xlsx]Subcon IPC Log'!"&amp;"$C:$C"),
"KLN-SPP2-"&amp;_xlfn.XLOOKUP(C195,log_contracts!B:B,log_contracts!C:C)&amp;"-"&amp;TEXT(C195,"000"),
INDIRECT("'[S2 Subcon IPC Log.xlsx]Subcon IPC Log'!"&amp;"$D:$D"),
D195)</f>
        <v>#REF!</v>
      </c>
      <c r="K195" s="61" t="e">
        <f ca="1"/>
        <v>#REF!</v>
      </c>
    </row>
    <row r="196" spans="1:11" hidden="1" x14ac:dyDescent="0.25">
      <c r="A196">
        <v>195</v>
      </c>
      <c r="B196" t="str">
        <v>091-006</v>
      </c>
      <c r="C196">
        <v>91</v>
      </c>
      <c r="D196">
        <v>6</v>
      </c>
      <c r="E196" s="19" cm="1">
        <f t="array" ref="E196">_xlfn.XLOOKUP(B196,old_ipc_dates!F:F,old_ipc_dates!B:B,IF(D196=1,_xlfn.XLOOKUP(C196,log_contracts!B:B,log_contracts!D:D,,0),_xlfn.XLOOKUP(1,($C$18:C195=C196)*($D$18:D195=D196-1),$F$18:F195+1,,0)),0)</f>
        <v>45992</v>
      </c>
      <c r="F196" s="19">
        <f>_xlfn.XLOOKUP(B196,old_ipc_dates!F:F,old_ipc_dates!C:C,EOMONTH(E196,0),0)</f>
        <v>46022</v>
      </c>
      <c r="G196" t="str">
        <v>ELSAD QULIYEV</v>
      </c>
      <c r="H196" s="61" cm="1">
        <f t="array" ref="H196">SUM(_xlfn._xlws.FILTER(_xlfn._TRO_TRAILING(quantities!L:L),(_xlfn._TRO_TRAILING(quantities!D:D)=C196)*(_xlfn._TRO_TRAILING(quantities!E:E)=D196)))</f>
        <v>3300</v>
      </c>
      <c r="J196" t="e">
        <f ca="1">SUMIFS(
INDIRECT("'[S2 Subcon IPC Log.xlsx]Subcon IPC Log'!"&amp;"$O:$O"),
INDIRECT("'[S2 Subcon IPC Log.xlsx]Subcon IPC Log'!"&amp;"$C:$C"),
"KLN-SPP2-"&amp;_xlfn.XLOOKUP(C196,log_contracts!B:B,log_contracts!C:C)&amp;"-"&amp;TEXT(C196,"000"),
INDIRECT("'[S2 Subcon IPC Log.xlsx]Subcon IPC Log'!"&amp;"$D:$D"),
D196)</f>
        <v>#REF!</v>
      </c>
      <c r="K196" s="61" t="e">
        <f ca="1"/>
        <v>#REF!</v>
      </c>
    </row>
    <row r="197" spans="1:11" hidden="1" x14ac:dyDescent="0.25">
      <c r="A197">
        <v>196</v>
      </c>
      <c r="B197" t="str">
        <v>011-013</v>
      </c>
      <c r="C197">
        <v>11</v>
      </c>
      <c r="D197">
        <v>13</v>
      </c>
      <c r="E197" s="19" cm="1">
        <f t="array" ref="E197">_xlfn.XLOOKUP(B197,old_ipc_dates!F:F,old_ipc_dates!B:B,IF(D197=1,_xlfn.XLOOKUP(C197,log_contracts!B:B,log_contracts!D:D,,0),_xlfn.XLOOKUP(1,($C$18:C196=C197)*($D$18:D196=D197-1),$F$18:F196+1,,0)),0)</f>
        <v>46023</v>
      </c>
      <c r="F197" s="19">
        <f>_xlfn.XLOOKUP(B197,old_ipc_dates!F:F,old_ipc_dates!C:C,EOMONTH(E197,0),0)</f>
        <v>46053</v>
      </c>
      <c r="G197" t="str">
        <v>CASPIAN ENGINEERING SOLUTIONS MMC</v>
      </c>
      <c r="H197" s="61" cm="1">
        <f t="array" ref="H197">SUM(_xlfn._xlws.FILTER(_xlfn._TRO_TRAILING(quantities!L:L),(_xlfn._TRO_TRAILING(quantities!D:D)=C197)*(_xlfn._TRO_TRAILING(quantities!E:E)=D197)))</f>
        <v>9009.0909090909081</v>
      </c>
      <c r="J197" t="e">
        <f ca="1">SUMIFS(
INDIRECT("'[S2 Subcon IPC Log.xlsx]Subcon IPC Log'!"&amp;"$O:$O"),
INDIRECT("'[S2 Subcon IPC Log.xlsx]Subcon IPC Log'!"&amp;"$C:$C"),
"KLN-SPP2-"&amp;_xlfn.XLOOKUP(C197,log_contracts!B:B,log_contracts!C:C)&amp;"-"&amp;TEXT(C197,"000"),
INDIRECT("'[S2 Subcon IPC Log.xlsx]Subcon IPC Log'!"&amp;"$D:$D"),
D197)</f>
        <v>#REF!</v>
      </c>
      <c r="K197" s="61" t="e">
        <f ca="1"/>
        <v>#REF!</v>
      </c>
    </row>
    <row r="198" spans="1:11" hidden="1" x14ac:dyDescent="0.25">
      <c r="A198">
        <v>197</v>
      </c>
      <c r="B198" t="str">
        <v>091-007</v>
      </c>
      <c r="C198">
        <v>91</v>
      </c>
      <c r="D198">
        <v>7</v>
      </c>
      <c r="E198" s="19" cm="1">
        <f t="array" ref="E198">_xlfn.XLOOKUP(B198,old_ipc_dates!F:F,old_ipc_dates!B:B,IF(D198=1,_xlfn.XLOOKUP(C198,log_contracts!B:B,log_contracts!D:D,,0),_xlfn.XLOOKUP(1,($C$18:C197=C198)*($D$18:D197=D198-1),$F$18:F197+1,,0)),0)</f>
        <v>46023</v>
      </c>
      <c r="F198" s="19">
        <f>_xlfn.XLOOKUP(B198,old_ipc_dates!F:F,old_ipc_dates!C:C,EOMONTH(E198,0),0)</f>
        <v>46053</v>
      </c>
      <c r="G198" t="str">
        <v>ELSAD QULIYEV</v>
      </c>
      <c r="H198" s="61" cm="1">
        <f t="array" ref="H198">SUM(_xlfn._xlws.FILTER(_xlfn._TRO_TRAILING(quantities!L:L),(_xlfn._TRO_TRAILING(quantities!D:D)=C198)*(_xlfn._TRO_TRAILING(quantities!E:E)=D198)))</f>
        <v>3500</v>
      </c>
      <c r="J198" t="e">
        <f ca="1">SUMIFS(
INDIRECT("'[S2 Subcon IPC Log.xlsx]Subcon IPC Log'!"&amp;"$O:$O"),
INDIRECT("'[S2 Subcon IPC Log.xlsx]Subcon IPC Log'!"&amp;"$C:$C"),
"KLN-SPP2-"&amp;_xlfn.XLOOKUP(C198,log_contracts!B:B,log_contracts!C:C)&amp;"-"&amp;TEXT(C198,"000"),
INDIRECT("'[S2 Subcon IPC Log.xlsx]Subcon IPC Log'!"&amp;"$D:$D"),
D198)</f>
        <v>#REF!</v>
      </c>
      <c r="K198" s="61" t="e">
        <f ca="1"/>
        <v>#REF!</v>
      </c>
    </row>
    <row r="199" spans="1:11" hidden="1" x14ac:dyDescent="0.25">
      <c r="A199">
        <v>198</v>
      </c>
      <c r="B199" t="str">
        <v>033-017</v>
      </c>
      <c r="C199">
        <v>33</v>
      </c>
      <c r="D199">
        <v>17</v>
      </c>
      <c r="E199" s="19" cm="1">
        <f t="array" ref="E199">_xlfn.XLOOKUP(B199,old_ipc_dates!F:F,old_ipc_dates!B:B,IF(D199=1,_xlfn.XLOOKUP(C199,log_contracts!B:B,log_contracts!D:D,,0),_xlfn.XLOOKUP(1,($C$18:C198=C199)*($D$18:D198=D199-1),$F$18:F198+1,,0)),0)</f>
        <v>46023</v>
      </c>
      <c r="F199" s="19">
        <f>_xlfn.XLOOKUP(B199,old_ipc_dates!F:F,old_ipc_dates!C:C,EOMONTH(E199,0),0)</f>
        <v>46053</v>
      </c>
      <c r="G199" t="str">
        <v>AKKOL HAZIR YEMEK SAN. TIC. AS</v>
      </c>
      <c r="H199" s="61" cm="1">
        <f t="array" ref="H199">SUM(_xlfn._xlws.FILTER(_xlfn._TRO_TRAILING(quantities!L:L),(_xlfn._TRO_TRAILING(quantities!D:D)=C199)*(_xlfn._TRO_TRAILING(quantities!E:E)=D199)))</f>
        <v>675265.40000000014</v>
      </c>
      <c r="J199" t="e">
        <f ca="1">SUMIFS(
INDIRECT("'[S2 Subcon IPC Log.xlsx]Subcon IPC Log'!"&amp;"$O:$O"),
INDIRECT("'[S2 Subcon IPC Log.xlsx]Subcon IPC Log'!"&amp;"$C:$C"),
"KLN-SPP2-"&amp;_xlfn.XLOOKUP(C199,log_contracts!B:B,log_contracts!C:C)&amp;"-"&amp;TEXT(C199,"000"),
INDIRECT("'[S2 Subcon IPC Log.xlsx]Subcon IPC Log'!"&amp;"$D:$D"),
D199)</f>
        <v>#REF!</v>
      </c>
      <c r="K199" s="61" t="e">
        <f ca="1"/>
        <v>#REF!</v>
      </c>
    </row>
    <row r="200" spans="1:11" hidden="1" x14ac:dyDescent="0.25">
      <c r="A200">
        <v>199</v>
      </c>
      <c r="B200" t="str">
        <v>030-013</v>
      </c>
      <c r="C200">
        <v>30</v>
      </c>
      <c r="D200">
        <v>13</v>
      </c>
      <c r="E200" s="19" cm="1">
        <f t="array" ref="E200">_xlfn.XLOOKUP(B200,old_ipc_dates!F:F,old_ipc_dates!B:B,IF(D200=1,_xlfn.XLOOKUP(C200,log_contracts!B:B,log_contracts!D:D,,0),_xlfn.XLOOKUP(1,($C$18:C199=C200)*($D$18:D199=D200-1),$F$18:F199+1,,0)),0)</f>
        <v>46023</v>
      </c>
      <c r="F200" s="19">
        <f>_xlfn.XLOOKUP(B200,old_ipc_dates!F:F,old_ipc_dates!C:C,EOMONTH(E200,0),0)</f>
        <v>46053</v>
      </c>
      <c r="G200" t="str">
        <v>NAR TRANSPORT SERVICES MMC</v>
      </c>
      <c r="H200" s="61" cm="1">
        <f t="array" ref="H200">SUM(_xlfn._xlws.FILTER(_xlfn._TRO_TRAILING(quantities!L:L),(_xlfn._TRO_TRAILING(quantities!D:D)=C200)*(_xlfn._TRO_TRAILING(quantities!E:E)=D200)))</f>
        <v>5500</v>
      </c>
      <c r="J200" t="e">
        <f ca="1">SUMIFS(
INDIRECT("'[S2 Subcon IPC Log.xlsx]Subcon IPC Log'!"&amp;"$O:$O"),
INDIRECT("'[S2 Subcon IPC Log.xlsx]Subcon IPC Log'!"&amp;"$C:$C"),
"KLN-SPP2-"&amp;_xlfn.XLOOKUP(C200,log_contracts!B:B,log_contracts!C:C)&amp;"-"&amp;TEXT(C200,"000"),
INDIRECT("'[S2 Subcon IPC Log.xlsx]Subcon IPC Log'!"&amp;"$D:$D"),
D200)</f>
        <v>#REF!</v>
      </c>
      <c r="K200" s="61" t="e">
        <f ca="1"/>
        <v>#REF!</v>
      </c>
    </row>
    <row r="201" spans="1:11" hidden="1" x14ac:dyDescent="0.25">
      <c r="A201">
        <v>200</v>
      </c>
      <c r="B201" t="str">
        <v>014-010</v>
      </c>
      <c r="C201">
        <v>14</v>
      </c>
      <c r="D201">
        <v>10</v>
      </c>
      <c r="E201" s="19" cm="1">
        <f t="array" ref="E201">_xlfn.XLOOKUP(B201,old_ipc_dates!F:F,old_ipc_dates!B:B,IF(D201=1,_xlfn.XLOOKUP(C201,log_contracts!B:B,log_contracts!D:D,,0),_xlfn.XLOOKUP(1,($C$18:C200=C201)*($D$18:D200=D201-1),$F$18:F200+1,,0)),0)</f>
        <v>46023</v>
      </c>
      <c r="F201" s="19">
        <f>_xlfn.XLOOKUP(B201,old_ipc_dates!F:F,old_ipc_dates!C:C,EOMONTH(E201,0),0)</f>
        <v>46053</v>
      </c>
      <c r="G201" t="str">
        <v>HİLAL LTD</v>
      </c>
      <c r="H201" s="61" cm="1">
        <f t="array" ref="H201">SUM(_xlfn._xlws.FILTER(_xlfn._TRO_TRAILING(quantities!L:L),(_xlfn._TRO_TRAILING(quantities!D:D)=C201)*(_xlfn._TRO_TRAILING(quantities!E:E)=D201)))</f>
        <v>7191.5</v>
      </c>
      <c r="J201" t="e">
        <f ca="1">SUMIFS(
INDIRECT("'[S2 Subcon IPC Log.xlsx]Subcon IPC Log'!"&amp;"$O:$O"),
INDIRECT("'[S2 Subcon IPC Log.xlsx]Subcon IPC Log'!"&amp;"$C:$C"),
"KLN-SPP2-"&amp;_xlfn.XLOOKUP(C201,log_contracts!B:B,log_contracts!C:C)&amp;"-"&amp;TEXT(C201,"000"),
INDIRECT("'[S2 Subcon IPC Log.xlsx]Subcon IPC Log'!"&amp;"$D:$D"),
D201)</f>
        <v>#REF!</v>
      </c>
      <c r="K201" s="61" t="e">
        <f ca="1"/>
        <v>#REF!</v>
      </c>
    </row>
    <row r="202" spans="1:11" hidden="1" x14ac:dyDescent="0.25">
      <c r="A202">
        <v>201</v>
      </c>
      <c r="B202" t="str">
        <v>011-014</v>
      </c>
      <c r="C202">
        <v>11</v>
      </c>
      <c r="D202">
        <v>14</v>
      </c>
      <c r="E202" s="19" cm="1">
        <f t="array" ref="E202">_xlfn.XLOOKUP(B202,old_ipc_dates!F:F,old_ipc_dates!B:B,IF(D202=1,_xlfn.XLOOKUP(C202,log_contracts!B:B,log_contracts!D:D,,0),_xlfn.XLOOKUP(1,($C$18:C201=C202)*($D$18:D201=D202-1),$F$18:F201+1,,0)),0)</f>
        <v>46054</v>
      </c>
      <c r="F202" s="19">
        <f>_xlfn.XLOOKUP(B202,old_ipc_dates!F:F,old_ipc_dates!C:C,EOMONTH(E202,0),0)</f>
        <v>46081</v>
      </c>
      <c r="G202" t="str">
        <v>CASPIAN ENGINEERING SOLUTIONS MMC</v>
      </c>
      <c r="H202" s="61" cm="1">
        <f t="array" ref="H202">SUM(_xlfn._xlws.FILTER(_xlfn._TRO_TRAILING(quantities!L:L),(_xlfn._TRO_TRAILING(quantities!D:D)=C202)*(_xlfn._TRO_TRAILING(quantities!E:E)=D202)))</f>
        <v>7100</v>
      </c>
      <c r="J202" t="e">
        <f ca="1">SUMIFS(
INDIRECT("'[S2 Subcon IPC Log.xlsx]Subcon IPC Log'!"&amp;"$O:$O"),
INDIRECT("'[S2 Subcon IPC Log.xlsx]Subcon IPC Log'!"&amp;"$C:$C"),
"KLN-SPP2-"&amp;_xlfn.XLOOKUP(C202,log_contracts!B:B,log_contracts!C:C)&amp;"-"&amp;TEXT(C202,"000"),
INDIRECT("'[S2 Subcon IPC Log.xlsx]Subcon IPC Log'!"&amp;"$D:$D"),
D202)</f>
        <v>#REF!</v>
      </c>
      <c r="K202" s="61" t="e">
        <f ca="1"/>
        <v>#REF!</v>
      </c>
    </row>
    <row r="203" spans="1:11" hidden="1" x14ac:dyDescent="0.25">
      <c r="A203">
        <v>202</v>
      </c>
      <c r="B203" t="str">
        <v>091-008</v>
      </c>
      <c r="C203">
        <v>91</v>
      </c>
      <c r="D203">
        <v>8</v>
      </c>
      <c r="E203" s="19" cm="1">
        <f t="array" ref="E203">_xlfn.XLOOKUP(B203,old_ipc_dates!F:F,old_ipc_dates!B:B,IF(D203=1,_xlfn.XLOOKUP(C203,log_contracts!B:B,log_contracts!D:D,,0),_xlfn.XLOOKUP(1,($C$18:C202=C203)*($D$18:D202=D203-1),$F$18:F202+1,,0)),0)</f>
        <v>46054</v>
      </c>
      <c r="F203" s="19">
        <f>_xlfn.XLOOKUP(B203,old_ipc_dates!F:F,old_ipc_dates!C:C,EOMONTH(E203,0),0)</f>
        <v>46081</v>
      </c>
      <c r="G203" t="str">
        <v>ELSAD QULIYEV</v>
      </c>
      <c r="H203" s="61" cm="1">
        <f t="array" ref="H203">SUM(_xlfn._xlws.FILTER(_xlfn._TRO_TRAILING(quantities!L:L),(_xlfn._TRO_TRAILING(quantities!D:D)=C203)*(_xlfn._TRO_TRAILING(quantities!E:E)=D203)))</f>
        <v>3500</v>
      </c>
      <c r="J203" t="e">
        <f ca="1">SUMIFS(
INDIRECT("'[S2 Subcon IPC Log.xlsx]Subcon IPC Log'!"&amp;"$O:$O"),
INDIRECT("'[S2 Subcon IPC Log.xlsx]Subcon IPC Log'!"&amp;"$C:$C"),
"KLN-SPP2-"&amp;_xlfn.XLOOKUP(C203,log_contracts!B:B,log_contracts!C:C)&amp;"-"&amp;TEXT(C203,"000"),
INDIRECT("'[S2 Subcon IPC Log.xlsx]Subcon IPC Log'!"&amp;"$D:$D"),
D203)</f>
        <v>#REF!</v>
      </c>
      <c r="K203" s="61" t="e">
        <f ca="1"/>
        <v>#REF!</v>
      </c>
    </row>
    <row r="204" spans="1:11" hidden="1" x14ac:dyDescent="0.25">
      <c r="A204">
        <v>203</v>
      </c>
      <c r="B204" t="str">
        <v>033-018</v>
      </c>
      <c r="C204">
        <v>33</v>
      </c>
      <c r="D204">
        <v>18</v>
      </c>
      <c r="E204" s="19" cm="1">
        <f t="array" ref="E204">_xlfn.XLOOKUP(B204,old_ipc_dates!F:F,old_ipc_dates!B:B,IF(D204=1,_xlfn.XLOOKUP(C204,log_contracts!B:B,log_contracts!D:D,,0),_xlfn.XLOOKUP(1,($C$18:C203=C204)*($D$18:D203=D204-1),$F$18:F203+1,,0)),0)</f>
        <v>46054</v>
      </c>
      <c r="F204" s="19">
        <f>_xlfn.XLOOKUP(B204,old_ipc_dates!F:F,old_ipc_dates!C:C,EOMONTH(E204,0),0)</f>
        <v>46081</v>
      </c>
      <c r="G204" t="str">
        <v>AKKOL HAZIR YEMEK SAN. TIC. AS</v>
      </c>
      <c r="H204" s="61" cm="1">
        <f t="array" ref="H204">SUM(_xlfn._xlws.FILTER(_xlfn._TRO_TRAILING(quantities!L:L),(_xlfn._TRO_TRAILING(quantities!D:D)=C204)*(_xlfn._TRO_TRAILING(quantities!E:E)=D204)))</f>
        <v>669032.58999999985</v>
      </c>
      <c r="J204" t="e">
        <f ca="1">SUMIFS(
INDIRECT("'[S2 Subcon IPC Log.xlsx]Subcon IPC Log'!"&amp;"$O:$O"),
INDIRECT("'[S2 Subcon IPC Log.xlsx]Subcon IPC Log'!"&amp;"$C:$C"),
"KLN-SPP2-"&amp;_xlfn.XLOOKUP(C204,log_contracts!B:B,log_contracts!C:C)&amp;"-"&amp;TEXT(C204,"000"),
INDIRECT("'[S2 Subcon IPC Log.xlsx]Subcon IPC Log'!"&amp;"$D:$D"),
D204)</f>
        <v>#REF!</v>
      </c>
      <c r="K204" s="61" t="e">
        <f ca="1"/>
        <v>#REF!</v>
      </c>
    </row>
    <row r="205" spans="1:11" hidden="1" x14ac:dyDescent="0.25">
      <c r="A205">
        <v>204</v>
      </c>
      <c r="B205" t="str">
        <v>030-014</v>
      </c>
      <c r="C205">
        <v>30</v>
      </c>
      <c r="D205">
        <v>14</v>
      </c>
      <c r="E205" s="19" cm="1">
        <f t="array" ref="E205">_xlfn.XLOOKUP(B205,old_ipc_dates!F:F,old_ipc_dates!B:B,IF(D205=1,_xlfn.XLOOKUP(C205,log_contracts!B:B,log_contracts!D:D,,0),_xlfn.XLOOKUP(1,($C$18:C204=C205)*($D$18:D204=D205-1),$F$18:F204+1,,0)),0)</f>
        <v>46054</v>
      </c>
      <c r="F205" s="19">
        <f>_xlfn.XLOOKUP(B205,old_ipc_dates!F:F,old_ipc_dates!C:C,EOMONTH(E205,0),0)</f>
        <v>46081</v>
      </c>
      <c r="G205" t="str">
        <v>NAR TRANSPORT SERVICES MMC</v>
      </c>
      <c r="H205" s="61" cm="1">
        <f t="array" ref="H205">SUM(_xlfn._xlws.FILTER(_xlfn._TRO_TRAILING(quantities!L:L),(_xlfn._TRO_TRAILING(quantities!D:D)=C205)*(_xlfn._TRO_TRAILING(quantities!E:E)=D205)))</f>
        <v>5500</v>
      </c>
      <c r="J205" t="e">
        <f ca="1">SUMIFS(
INDIRECT("'[S2 Subcon IPC Log.xlsx]Subcon IPC Log'!"&amp;"$O:$O"),
INDIRECT("'[S2 Subcon IPC Log.xlsx]Subcon IPC Log'!"&amp;"$C:$C"),
"KLN-SPP2-"&amp;_xlfn.XLOOKUP(C205,log_contracts!B:B,log_contracts!C:C)&amp;"-"&amp;TEXT(C205,"000"),
INDIRECT("'[S2 Subcon IPC Log.xlsx]Subcon IPC Log'!"&amp;"$D:$D"),
D205)</f>
        <v>#REF!</v>
      </c>
      <c r="K205" s="61" t="e">
        <f ca="1"/>
        <v>#REF!</v>
      </c>
    </row>
    <row r="206" spans="1:11" hidden="1" x14ac:dyDescent="0.25">
      <c r="A206">
        <v>205</v>
      </c>
      <c r="B206" t="str">
        <v>014-011</v>
      </c>
      <c r="C206">
        <v>14</v>
      </c>
      <c r="D206">
        <v>11</v>
      </c>
      <c r="E206" s="19" cm="1">
        <f t="array" ref="E206">_xlfn.XLOOKUP(B206,old_ipc_dates!F:F,old_ipc_dates!B:B,IF(D206=1,_xlfn.XLOOKUP(C206,log_contracts!B:B,log_contracts!D:D,,0),_xlfn.XLOOKUP(1,($C$18:C205=C206)*($D$18:D205=D206-1),$F$18:F205+1,,0)),0)</f>
        <v>46054</v>
      </c>
      <c r="F206" s="19">
        <f>_xlfn.XLOOKUP(B206,old_ipc_dates!F:F,old_ipc_dates!C:C,EOMONTH(E206,0),0)</f>
        <v>46081</v>
      </c>
      <c r="G206" t="str">
        <v>HİLAL LTD</v>
      </c>
      <c r="H206" s="61" cm="1">
        <f t="array" ref="H206">SUM(_xlfn._xlws.FILTER(_xlfn._TRO_TRAILING(quantities!L:L),(_xlfn._TRO_TRAILING(quantities!D:D)=C206)*(_xlfn._TRO_TRAILING(quantities!E:E)=D206)))</f>
        <v>7875.5</v>
      </c>
      <c r="J206" t="e">
        <f ca="1">SUMIFS(
INDIRECT("'[S2 Subcon IPC Log.xlsx]Subcon IPC Log'!"&amp;"$O:$O"),
INDIRECT("'[S2 Subcon IPC Log.xlsx]Subcon IPC Log'!"&amp;"$C:$C"),
"KLN-SPP2-"&amp;_xlfn.XLOOKUP(C206,log_contracts!B:B,log_contracts!C:C)&amp;"-"&amp;TEXT(C206,"000"),
INDIRECT("'[S2 Subcon IPC Log.xlsx]Subcon IPC Log'!"&amp;"$D:$D"),
D206)</f>
        <v>#REF!</v>
      </c>
      <c r="K206" s="61" t="e">
        <f ca="1"/>
        <v>#REF!</v>
      </c>
    </row>
    <row r="207" spans="1:11" hidden="1" x14ac:dyDescent="0.25">
      <c r="A207">
        <v>206</v>
      </c>
      <c r="B207" t="str">
        <v>011-015</v>
      </c>
      <c r="C207">
        <v>11</v>
      </c>
      <c r="D207">
        <v>15</v>
      </c>
      <c r="E207" s="19" cm="1">
        <f t="array" ref="E207">_xlfn.XLOOKUP(B207,old_ipc_dates!F:F,old_ipc_dates!B:B,IF(D207=1,_xlfn.XLOOKUP(C207,log_contracts!B:B,log_contracts!D:D,,0),_xlfn.XLOOKUP(1,($C$18:C206=C207)*($D$18:D206=D207-1),$F$18:F206+1,,0)),0)</f>
        <v>46082</v>
      </c>
      <c r="F207" s="19">
        <f>_xlfn.XLOOKUP(B207,old_ipc_dates!F:F,old_ipc_dates!C:C,EOMONTH(E207,0),0)</f>
        <v>46112</v>
      </c>
      <c r="G207" t="str">
        <v>CASPIAN ENGINEERING SOLUTIONS MMC</v>
      </c>
      <c r="H207" s="61" cm="1">
        <f t="array" ref="H207">SUM(_xlfn._xlws.FILTER(_xlfn._TRO_TRAILING(quantities!L:L),(_xlfn._TRO_TRAILING(quantities!D:D)=C207)*(_xlfn._TRO_TRAILING(quantities!E:E)=D207)))</f>
        <v>8400</v>
      </c>
      <c r="J207" t="e">
        <f ca="1">SUMIFS(
INDIRECT("'[S2 Subcon IPC Log.xlsx]Subcon IPC Log'!"&amp;"$O:$O"),
INDIRECT("'[S2 Subcon IPC Log.xlsx]Subcon IPC Log'!"&amp;"$C:$C"),
"KLN-SPP2-"&amp;_xlfn.XLOOKUP(C207,log_contracts!B:B,log_contracts!C:C)&amp;"-"&amp;TEXT(C207,"000"),
INDIRECT("'[S2 Subcon IPC Log.xlsx]Subcon IPC Log'!"&amp;"$D:$D"),
D207)</f>
        <v>#REF!</v>
      </c>
      <c r="K207" s="61" t="e">
        <f ca="1"/>
        <v>#REF!</v>
      </c>
    </row>
    <row r="208" spans="1:11" hidden="1" x14ac:dyDescent="0.25">
      <c r="A208">
        <v>207</v>
      </c>
      <c r="B208" t="str">
        <v>014-012</v>
      </c>
      <c r="C208">
        <v>14</v>
      </c>
      <c r="D208">
        <v>12</v>
      </c>
      <c r="E208" s="19" cm="1">
        <f t="array" ref="E208">_xlfn.XLOOKUP(B208,old_ipc_dates!F:F,old_ipc_dates!B:B,IF(D208=1,_xlfn.XLOOKUP(C208,log_contracts!B:B,log_contracts!D:D,,0),_xlfn.XLOOKUP(1,($C$18:C207=C208)*($D$18:D207=D208-1),$F$18:F207+1,,0)),0)</f>
        <v>46082</v>
      </c>
      <c r="F208" s="19">
        <f>_xlfn.XLOOKUP(B208,old_ipc_dates!F:F,old_ipc_dates!C:C,EOMONTH(E208,0),0)</f>
        <v>46112</v>
      </c>
      <c r="G208" t="str">
        <v>HİLAL LTD</v>
      </c>
      <c r="H208" s="61" cm="1">
        <f t="array" ref="H208">SUM(_xlfn._xlws.FILTER(_xlfn._TRO_TRAILING(quantities!L:L),(_xlfn._TRO_TRAILING(quantities!D:D)=C208)*(_xlfn._TRO_TRAILING(quantities!E:E)=D208)))</f>
        <v>5350.3870967741932</v>
      </c>
      <c r="J208" t="e">
        <f ca="1">SUMIFS(
INDIRECT("'[S2 Subcon IPC Log.xlsx]Subcon IPC Log'!"&amp;"$O:$O"),
INDIRECT("'[S2 Subcon IPC Log.xlsx]Subcon IPC Log'!"&amp;"$C:$C"),
"KLN-SPP2-"&amp;_xlfn.XLOOKUP(C208,log_contracts!B:B,log_contracts!C:C)&amp;"-"&amp;TEXT(C208,"000"),
INDIRECT("'[S2 Subcon IPC Log.xlsx]Subcon IPC Log'!"&amp;"$D:$D"),
D208)</f>
        <v>#REF!</v>
      </c>
      <c r="K208" s="61" t="e">
        <f ca="1"/>
        <v>#REF!</v>
      </c>
    </row>
    <row r="209" spans="1:11" hidden="1" x14ac:dyDescent="0.25">
      <c r="A209">
        <v>208</v>
      </c>
      <c r="B209" t="str">
        <v>091-009</v>
      </c>
      <c r="C209">
        <v>91</v>
      </c>
      <c r="D209">
        <v>9</v>
      </c>
      <c r="E209" s="19" cm="1">
        <f t="array" ref="E209">_xlfn.XLOOKUP(B209,old_ipc_dates!F:F,old_ipc_dates!B:B,IF(D209=1,_xlfn.XLOOKUP(C209,log_contracts!B:B,log_contracts!D:D,,0),_xlfn.XLOOKUP(1,($C$18:C208=C209)*($D$18:D208=D209-1),$F$18:F208+1,,0)),0)</f>
        <v>46082</v>
      </c>
      <c r="F209" s="19">
        <f>_xlfn.XLOOKUP(B209,old_ipc_dates!F:F,old_ipc_dates!C:C,EOMONTH(E209,0),0)</f>
        <v>46112</v>
      </c>
      <c r="G209" t="str">
        <v>ELSAD QULIYEV</v>
      </c>
      <c r="H209" s="61" cm="1">
        <f t="array" ref="H209">SUM(_xlfn._xlws.FILTER(_xlfn._TRO_TRAILING(quantities!L:L),(_xlfn._TRO_TRAILING(quantities!D:D)=C209)*(_xlfn._TRO_TRAILING(quantities!E:E)=D209)))</f>
        <v>3500</v>
      </c>
      <c r="J209" t="e">
        <f ca="1">SUMIFS(
INDIRECT("'[S2 Subcon IPC Log.xlsx]Subcon IPC Log'!"&amp;"$O:$O"),
INDIRECT("'[S2 Subcon IPC Log.xlsx]Subcon IPC Log'!"&amp;"$C:$C"),
"KLN-SPP2-"&amp;_xlfn.XLOOKUP(C209,log_contracts!B:B,log_contracts!C:C)&amp;"-"&amp;TEXT(C209,"000"),
INDIRECT("'[S2 Subcon IPC Log.xlsx]Subcon IPC Log'!"&amp;"$D:$D"),
D209)</f>
        <v>#REF!</v>
      </c>
      <c r="K209" s="61" t="e">
        <f ca="1"/>
        <v>#REF!</v>
      </c>
    </row>
    <row r="210" spans="1:11" hidden="1" x14ac:dyDescent="0.25">
      <c r="A210">
        <v>209</v>
      </c>
      <c r="B210" t="str">
        <v>033-019</v>
      </c>
      <c r="C210">
        <v>33</v>
      </c>
      <c r="D210">
        <v>19</v>
      </c>
      <c r="E210" s="19" cm="1">
        <f t="array" ref="E210">_xlfn.XLOOKUP(B210,old_ipc_dates!F:F,old_ipc_dates!B:B,IF(D210=1,_xlfn.XLOOKUP(C210,log_contracts!B:B,log_contracts!D:D,,0),_xlfn.XLOOKUP(1,($C$18:C209=C210)*($D$18:D209=D210-1),$F$18:F209+1,,0)),0)</f>
        <v>46082</v>
      </c>
      <c r="F210" s="19">
        <f>_xlfn.XLOOKUP(B210,old_ipc_dates!F:F,old_ipc_dates!C:C,EOMONTH(E210,0),0)</f>
        <v>46112</v>
      </c>
      <c r="G210" t="str">
        <v>AKKOL HAZIR YEMEK SAN. TIC. AS</v>
      </c>
      <c r="H210" s="61" cm="1">
        <f t="array" ref="H210">SUM(_xlfn._xlws.FILTER(_xlfn._TRO_TRAILING(quantities!L:L),(_xlfn._TRO_TRAILING(quantities!D:D)=C210)*(_xlfn._TRO_TRAILING(quantities!E:E)=D210)))</f>
        <v>622979.17999999993</v>
      </c>
      <c r="J210" t="e">
        <f ca="1">SUMIFS(
INDIRECT("'[S2 Subcon IPC Log.xlsx]Subcon IPC Log'!"&amp;"$O:$O"),
INDIRECT("'[S2 Subcon IPC Log.xlsx]Subcon IPC Log'!"&amp;"$C:$C"),
"KLN-SPP2-"&amp;_xlfn.XLOOKUP(C210,log_contracts!B:B,log_contracts!C:C)&amp;"-"&amp;TEXT(C210,"000"),
INDIRECT("'[S2 Subcon IPC Log.xlsx]Subcon IPC Log'!"&amp;"$D:$D"),
D210)</f>
        <v>#REF!</v>
      </c>
      <c r="K210" s="61" t="e">
        <f ca="1"/>
        <v>#REF!</v>
      </c>
    </row>
    <row r="211" spans="1:11" hidden="1" x14ac:dyDescent="0.25">
      <c r="A211">
        <v>210</v>
      </c>
      <c r="B211" t="str">
        <v>030-015</v>
      </c>
      <c r="C211">
        <v>30</v>
      </c>
      <c r="D211">
        <v>15</v>
      </c>
      <c r="E211" s="19" cm="1">
        <f t="array" ref="E211">_xlfn.XLOOKUP(B211,old_ipc_dates!F:F,old_ipc_dates!B:B,IF(D211=1,_xlfn.XLOOKUP(C211,log_contracts!B:B,log_contracts!D:D,,0),_xlfn.XLOOKUP(1,($C$18:C210=C211)*($D$18:D210=D211-1),$F$18:F210+1,,0)),0)</f>
        <v>46082</v>
      </c>
      <c r="F211" s="19">
        <f>_xlfn.XLOOKUP(B211,old_ipc_dates!F:F,old_ipc_dates!C:C,EOMONTH(E211,0),0)</f>
        <v>46112</v>
      </c>
      <c r="G211" t="str">
        <v>NAR TRANSPORT SERVICES MMC</v>
      </c>
      <c r="H211" s="61" cm="1">
        <f t="array" ref="H211">SUM(_xlfn._xlws.FILTER(_xlfn._TRO_TRAILING(quantities!L:L),(_xlfn._TRO_TRAILING(quantities!D:D)=C211)*(_xlfn._TRO_TRAILING(quantities!E:E)=D211)))</f>
        <v>5500</v>
      </c>
      <c r="J211" t="e">
        <f ca="1">SUMIFS(
INDIRECT("'[S2 Subcon IPC Log.xlsx]Subcon IPC Log'!"&amp;"$O:$O"),
INDIRECT("'[S2 Subcon IPC Log.xlsx]Subcon IPC Log'!"&amp;"$C:$C"),
"KLN-SPP2-"&amp;_xlfn.XLOOKUP(C211,log_contracts!B:B,log_contracts!C:C)&amp;"-"&amp;TEXT(C211,"000"),
INDIRECT("'[S2 Subcon IPC Log.xlsx]Subcon IPC Log'!"&amp;"$D:$D"),
D211)</f>
        <v>#REF!</v>
      </c>
      <c r="K211" s="61" t="e">
        <f ca="1"/>
        <v>#REF!</v>
      </c>
    </row>
    <row r="212" spans="1:11" hidden="1" x14ac:dyDescent="0.25">
      <c r="A212">
        <v>211</v>
      </c>
      <c r="B212" t="str">
        <v>150-002</v>
      </c>
      <c r="C212">
        <v>150</v>
      </c>
      <c r="D212">
        <v>2</v>
      </c>
      <c r="E212" s="19" cm="1">
        <f t="array" ref="E212">_xlfn.XLOOKUP(B212,old_ipc_dates!F:F,old_ipc_dates!B:B,IF(D212=1,_xlfn.XLOOKUP(C212,log_contracts!B:B,log_contracts!D:D,,0),_xlfn.XLOOKUP(1,($C$18:C211=C212)*($D$18:D211=D212-1),$F$18:F211+1,,0)),0)</f>
        <v>45992</v>
      </c>
      <c r="F212" s="19">
        <f>_xlfn.XLOOKUP(B212,old_ipc_dates!F:F,old_ipc_dates!C:C,EOMONTH(E212,0),0)</f>
        <v>46022</v>
      </c>
      <c r="G212" t="str">
        <v>AS RT MMC</v>
      </c>
      <c r="H212" s="61" cm="1">
        <f t="array" ref="H212">SUM(_xlfn._xlws.FILTER(_xlfn._TRO_TRAILING(quantities!L:L),(_xlfn._TRO_TRAILING(quantities!D:D)=C212)*(_xlfn._TRO_TRAILING(quantities!E:E)=D212)))</f>
        <v>810</v>
      </c>
      <c r="J212" t="e">
        <f ca="1">SUMIFS(
INDIRECT("'[S2 Subcon IPC Log.xlsx]Subcon IPC Log'!"&amp;"$O:$O"),
INDIRECT("'[S2 Subcon IPC Log.xlsx]Subcon IPC Log'!"&amp;"$C:$C"),
"KLN-SPP2-"&amp;_xlfn.XLOOKUP(C212,log_contracts!B:B,log_contracts!C:C)&amp;"-"&amp;TEXT(C212,"000"),
INDIRECT("'[S2 Subcon IPC Log.xlsx]Subcon IPC Log'!"&amp;"$D:$D"),
D212)</f>
        <v>#REF!</v>
      </c>
      <c r="K212" s="61" t="e">
        <f ca="1"/>
        <v>#REF!</v>
      </c>
    </row>
    <row r="213" spans="1:11" hidden="1" x14ac:dyDescent="0.25">
      <c r="E213" s="19" t="str" cm="1">
        <f t="array" ref="E213">_xlfn.XLOOKUP(B213,old_ipc_dates!F:F,old_ipc_dates!B:B,IF(D213=1,_xlfn.XLOOKUP(C213,log_contracts!B:B,log_contracts!D:D,,0),_xlfn.XLOOKUP(1,($C$18:C212=C213)*($D$18:D212=D213-1),$F$18:F212+1,,0)),0)</f>
        <v>Start</v>
      </c>
      <c r="F213" s="19" t="str">
        <f>_xlfn.XLOOKUP(B213,old_ipc_dates!F:F,old_ipc_dates!C:C,EOMONTH(E213,0),0)</f>
        <v>Finish</v>
      </c>
      <c r="H213" s="61" t="e" cm="1" vm="2">
        <f t="array" ref="H213">SUM(_xlfn._xlws.FILTER(_xlfn._TRO_TRAILING(quantities!L:L),(_xlfn._TRO_TRAILING(quantities!D:D)=C213)*(_xlfn._TRO_TRAILING(quantities!E:E)=D213)))</f>
        <v>#VALUE!</v>
      </c>
      <c r="J213" t="e">
        <f ca="1">SUMIFS(
INDIRECT("'[S2 Subcon IPC Log.xlsx]Subcon IPC Log'!"&amp;"$O:$O"),
INDIRECT("'[S2 Subcon IPC Log.xlsx]Subcon IPC Log'!"&amp;"$C:$C"),
"KLN-SPP2-"&amp;_xlfn.XLOOKUP(C213,log_contracts!B:B,log_contracts!C:C)&amp;"-"&amp;TEXT(C213,"000"),
INDIRECT("'[S2 Subcon IPC Log.xlsx]Subcon IPC Log'!"&amp;"$D:$D"),
D213)</f>
        <v>#REF!</v>
      </c>
      <c r="K213" s="61" t="e" vm="3">
        <f ca="1"/>
        <v>#VALUE!</v>
      </c>
    </row>
    <row r="214" spans="1:11" hidden="1" x14ac:dyDescent="0.25">
      <c r="E214" s="19" t="str" cm="1">
        <f t="array" ref="E214">_xlfn.XLOOKUP(B214,old_ipc_dates!F:F,old_ipc_dates!B:B,IF(D214=1,_xlfn.XLOOKUP(C214,log_contracts!B:B,log_contracts!D:D,,0),_xlfn.XLOOKUP(1,($C$18:C213=C214)*($D$18:D213=D214-1),$F$18:F213+1,,0)),0)</f>
        <v>Start</v>
      </c>
      <c r="F214" s="19" t="str">
        <f>_xlfn.XLOOKUP(B214,old_ipc_dates!F:F,old_ipc_dates!C:C,EOMONTH(E214,0),0)</f>
        <v>Finish</v>
      </c>
    </row>
    <row r="215" spans="1:11" hidden="1" x14ac:dyDescent="0.25">
      <c r="E215" s="19" t="str" cm="1">
        <f t="array" ref="E215">_xlfn.XLOOKUP(B215,old_ipc_dates!F:F,old_ipc_dates!B:B,IF(D215=1,_xlfn.XLOOKUP(C215,log_contracts!B:B,log_contracts!D:D,,0),_xlfn.XLOOKUP(1,($C$18:C214=C215)*($D$18:D214=D215-1),$F$18:F214+1,,0)),0)</f>
        <v>Start</v>
      </c>
      <c r="F215" s="19" t="str">
        <f>_xlfn.XLOOKUP(B215,old_ipc_dates!F:F,old_ipc_dates!C:C,EOMONTH(E215,0),0)</f>
        <v>Finish</v>
      </c>
    </row>
    <row r="216" spans="1:11" hidden="1" x14ac:dyDescent="0.25">
      <c r="E216" s="19" t="str" cm="1">
        <f t="array" ref="E216">_xlfn.XLOOKUP(B216,old_ipc_dates!F:F,old_ipc_dates!B:B,IF(D216=1,_xlfn.XLOOKUP(C216,log_contracts!B:B,log_contracts!D:D,,0),_xlfn.XLOOKUP(1,($C$18:C215=C216)*($D$18:D215=D216-1),$F$18:F215+1,,0)),0)</f>
        <v>Start</v>
      </c>
      <c r="F216" s="19" t="str">
        <f>_xlfn.XLOOKUP(B216,old_ipc_dates!F:F,old_ipc_dates!C:C,EOMONTH(E216,0),0)</f>
        <v>Finish</v>
      </c>
    </row>
    <row r="217" spans="1:11" hidden="1" x14ac:dyDescent="0.25">
      <c r="E217" s="19" t="str" cm="1">
        <f t="array" ref="E217">_xlfn.XLOOKUP(B217,old_ipc_dates!F:F,old_ipc_dates!B:B,IF(D217=1,_xlfn.XLOOKUP(C217,log_contracts!B:B,log_contracts!D:D,,0),_xlfn.XLOOKUP(1,($C$18:C216=C217)*($D$18:D216=D217-1),$F$18:F216+1,,0)),0)</f>
        <v>Start</v>
      </c>
      <c r="F217" s="19" t="str">
        <f>_xlfn.XLOOKUP(B217,old_ipc_dates!F:F,old_ipc_dates!C:C,EOMONTH(E217,0),0)</f>
        <v>Finish</v>
      </c>
    </row>
    <row r="218" spans="1:11" hidden="1" x14ac:dyDescent="0.25">
      <c r="E218" s="19" t="str" cm="1">
        <f t="array" ref="E218">_xlfn.XLOOKUP(B218,old_ipc_dates!F:F,old_ipc_dates!B:B,IF(D218=1,_xlfn.XLOOKUP(C218,log_contracts!B:B,log_contracts!D:D,,0),_xlfn.XLOOKUP(1,($C$18:C217=C218)*($D$18:D217=D218-1),$F$18:F217+1,,0)),0)</f>
        <v>Start</v>
      </c>
      <c r="F218" s="19" t="str">
        <f>_xlfn.XLOOKUP(B218,old_ipc_dates!F:F,old_ipc_dates!C:C,EOMONTH(E218,0),0)</f>
        <v>Finish</v>
      </c>
    </row>
    <row r="219" spans="1:11" hidden="1" x14ac:dyDescent="0.25">
      <c r="E219" s="19" t="str" cm="1">
        <f t="array" ref="E219">_xlfn.XLOOKUP(B219,old_ipc_dates!F:F,old_ipc_dates!B:B,IF(D219=1,_xlfn.XLOOKUP(C219,log_contracts!B:B,log_contracts!D:D,,0),_xlfn.XLOOKUP(1,($C$18:C218=C219)*($D$18:D218=D219-1),$F$18:F218+1,,0)),0)</f>
        <v>Start</v>
      </c>
      <c r="F219" s="19" t="str">
        <f>_xlfn.XLOOKUP(B219,old_ipc_dates!F:F,old_ipc_dates!C:C,EOMONTH(E219,0),0)</f>
        <v>Finish</v>
      </c>
    </row>
    <row r="220" spans="1:11" hidden="1" x14ac:dyDescent="0.25">
      <c r="E220" s="19" t="str" cm="1">
        <f t="array" ref="E220">_xlfn.XLOOKUP(B220,old_ipc_dates!F:F,old_ipc_dates!B:B,IF(D220=1,_xlfn.XLOOKUP(C220,log_contracts!B:B,log_contracts!D:D,,0),_xlfn.XLOOKUP(1,($C$18:C219=C220)*($D$18:D219=D220-1),$F$18:F219+1,,0)),0)</f>
        <v>Start</v>
      </c>
      <c r="F220" s="19" t="str">
        <f>_xlfn.XLOOKUP(B220,old_ipc_dates!F:F,old_ipc_dates!C:C,EOMONTH(E220,0),0)</f>
        <v>Finish</v>
      </c>
    </row>
    <row r="221" spans="1:11" hidden="1" x14ac:dyDescent="0.25">
      <c r="E221" s="19" t="str" cm="1">
        <f t="array" ref="E221">_xlfn.XLOOKUP(B221,old_ipc_dates!F:F,old_ipc_dates!B:B,IF(D221=1,_xlfn.XLOOKUP(C221,log_contracts!B:B,log_contracts!D:D,,0),_xlfn.XLOOKUP(1,($C$18:C220=C221)*($D$18:D220=D221-1),$F$18:F220+1,,0)),0)</f>
        <v>Start</v>
      </c>
      <c r="F221" s="19" t="str">
        <f>_xlfn.XLOOKUP(B221,old_ipc_dates!F:F,old_ipc_dates!C:C,EOMONTH(E221,0),0)</f>
        <v>Finish</v>
      </c>
    </row>
    <row r="222" spans="1:11" hidden="1" x14ac:dyDescent="0.25">
      <c r="E222" s="19" t="str" cm="1">
        <f t="array" ref="E222">_xlfn.XLOOKUP(B222,old_ipc_dates!F:F,old_ipc_dates!B:B,IF(D222=1,_xlfn.XLOOKUP(C222,log_contracts!B:B,log_contracts!D:D,,0),_xlfn.XLOOKUP(1,($C$18:C221=C222)*($D$18:D221=D222-1),$F$18:F221+1,,0)),0)</f>
        <v>Start</v>
      </c>
      <c r="F222" s="19" t="str">
        <f>_xlfn.XLOOKUP(B222,old_ipc_dates!F:F,old_ipc_dates!C:C,EOMONTH(E222,0),0)</f>
        <v>Finish</v>
      </c>
    </row>
    <row r="223" spans="1:11" hidden="1" x14ac:dyDescent="0.25">
      <c r="E223" s="19" t="e" cm="1">
        <f t="array" ref="E223">_xlfn.XLOOKUP(B223,old_ipc_dates!F:F,old_ipc_dates!B:B,IF(D223=1,_xlfn.XLOOKUP(C223,log_contracts!B:B,log_contracts!D:D,,0),_xlfn.XLOOKUP(1,($C$18:C222=C223)*($D$18:D222=D223-1),$F$18:F222+1,,0)),0)</f>
        <v>#N/A</v>
      </c>
      <c r="F223" s="19" t="e">
        <f>_xlfn.XLOOKUP(B223,old_ipc_dates!F:F,old_ipc_dates!C:C,EOMONTH(E223,0),0)</f>
        <v>#N/A</v>
      </c>
    </row>
    <row r="224" spans="1:11" hidden="1" x14ac:dyDescent="0.25">
      <c r="E224" s="19" t="str" cm="1">
        <f t="array" ref="E224">_xlfn.XLOOKUP(B224,old_ipc_dates!F:F,old_ipc_dates!B:B,IF(D224=1,_xlfn.XLOOKUP(C224,log_contracts!B:B,log_contracts!D:D,,0),_xlfn.XLOOKUP(1,($C$18:C223=C224)*($D$18:D223=D224-1),$F$18:F223+1,,0)),0)</f>
        <v>Start</v>
      </c>
      <c r="F224" s="19" t="str">
        <f>_xlfn.XLOOKUP(B224,old_ipc_dates!F:F,old_ipc_dates!C:C,EOMONTH(E224,0),0)</f>
        <v>Finish</v>
      </c>
    </row>
    <row r="225" spans="5:6" hidden="1" x14ac:dyDescent="0.25">
      <c r="E225" s="19" t="str" cm="1">
        <f t="array" ref="E225">_xlfn.XLOOKUP(B225,old_ipc_dates!F:F,old_ipc_dates!B:B,IF(D225=1,_xlfn.XLOOKUP(C225,log_contracts!B:B,log_contracts!D:D,,0),_xlfn.XLOOKUP(1,($C$18:C224=C225)*($D$18:D224=D225-1),$F$18:F224+1,,0)),0)</f>
        <v>Start</v>
      </c>
      <c r="F225" s="19" t="str">
        <f>_xlfn.XLOOKUP(B225,old_ipc_dates!F:F,old_ipc_dates!C:C,EOMONTH(E225,0),0)</f>
        <v>Finish</v>
      </c>
    </row>
    <row r="226" spans="5:6" hidden="1" x14ac:dyDescent="0.25">
      <c r="E226" s="19" t="e" cm="1">
        <f t="array" ref="E226">_xlfn.XLOOKUP(B226,old_ipc_dates!F:F,old_ipc_dates!B:B,IF(D226=1,_xlfn.XLOOKUP(C226,log_contracts!B:B,log_contracts!D:D,,0),_xlfn.XLOOKUP(1,($C$18:C225=C226)*($D$18:D225=D226-1),$F$18:F225+1,,0)),0)</f>
        <v>#N/A</v>
      </c>
      <c r="F226" s="19" t="e">
        <f>_xlfn.XLOOKUP(B226,old_ipc_dates!F:F,old_ipc_dates!C:C,EOMONTH(E226,0),0)</f>
        <v>#N/A</v>
      </c>
    </row>
    <row r="227" spans="5:6" hidden="1" x14ac:dyDescent="0.25">
      <c r="E227" s="19" t="str" cm="1">
        <f t="array" ref="E227">_xlfn.XLOOKUP(B227,old_ipc_dates!F:F,old_ipc_dates!B:B,IF(D227=1,_xlfn.XLOOKUP(C227,log_contracts!B:B,log_contracts!D:D,,0),_xlfn.XLOOKUP(1,($C$18:C226=C227)*($D$18:D226=D227-1),$F$18:F226+1,,0)),0)</f>
        <v>Start</v>
      </c>
      <c r="F227" s="19" t="str">
        <f>_xlfn.XLOOKUP(B227,old_ipc_dates!F:F,old_ipc_dates!C:C,EOMONTH(E227,0),0)</f>
        <v>Finish</v>
      </c>
    </row>
    <row r="228" spans="5:6" hidden="1" x14ac:dyDescent="0.25">
      <c r="E228" s="19" t="str" cm="1">
        <f t="array" ref="E228">_xlfn.XLOOKUP(B228,old_ipc_dates!F:F,old_ipc_dates!B:B,IF(D228=1,_xlfn.XLOOKUP(C228,log_contracts!B:B,log_contracts!D:D,,0),_xlfn.XLOOKUP(1,($C$18:C227=C228)*($D$18:D227=D228-1),$F$18:F227+1,,0)),0)</f>
        <v>Start</v>
      </c>
      <c r="F228" s="19" t="str">
        <f>_xlfn.XLOOKUP(B228,old_ipc_dates!F:F,old_ipc_dates!C:C,EOMONTH(E228,0),0)</f>
        <v>Finish</v>
      </c>
    </row>
    <row r="229" spans="5:6" hidden="1" x14ac:dyDescent="0.25">
      <c r="E229" s="19" t="str" cm="1">
        <f t="array" ref="E229">_xlfn.XLOOKUP(B229,old_ipc_dates!F:F,old_ipc_dates!B:B,IF(D229=1,_xlfn.XLOOKUP(C229,log_contracts!B:B,log_contracts!D:D,,0),_xlfn.XLOOKUP(1,($C$18:C228=C229)*($D$18:D228=D229-1),$F$18:F228+1,,0)),0)</f>
        <v>Start</v>
      </c>
      <c r="F229" s="19" t="str">
        <f>_xlfn.XLOOKUP(B229,old_ipc_dates!F:F,old_ipc_dates!C:C,EOMONTH(E229,0),0)</f>
        <v>Finish</v>
      </c>
    </row>
    <row r="230" spans="5:6" hidden="1" x14ac:dyDescent="0.25">
      <c r="E230" s="19" t="str" cm="1">
        <f t="array" ref="E230">_xlfn.XLOOKUP(B230,old_ipc_dates!F:F,old_ipc_dates!B:B,IF(D230=1,_xlfn.XLOOKUP(C230,log_contracts!B:B,log_contracts!D:D,,0),_xlfn.XLOOKUP(1,($C$18:C229=C230)*($D$18:D229=D230-1),$F$18:F229+1,,0)),0)</f>
        <v>Start</v>
      </c>
      <c r="F230" s="19" t="str">
        <f>_xlfn.XLOOKUP(B230,old_ipc_dates!F:F,old_ipc_dates!C:C,EOMONTH(E230,0),0)</f>
        <v>Finish</v>
      </c>
    </row>
    <row r="231" spans="5:6" hidden="1" x14ac:dyDescent="0.25">
      <c r="E231" s="19" t="str" cm="1">
        <f t="array" ref="E231">_xlfn.XLOOKUP(B231,old_ipc_dates!F:F,old_ipc_dates!B:B,IF(D231=1,_xlfn.XLOOKUP(C231,log_contracts!B:B,log_contracts!D:D,,0),_xlfn.XLOOKUP(1,($C$18:C230=C231)*($D$18:D230=D231-1),$F$18:F230+1,,0)),0)</f>
        <v>Start</v>
      </c>
      <c r="F231" s="19" t="str">
        <f>_xlfn.XLOOKUP(B231,old_ipc_dates!F:F,old_ipc_dates!C:C,EOMONTH(E231,0),0)</f>
        <v>Finish</v>
      </c>
    </row>
    <row r="232" spans="5:6" hidden="1" x14ac:dyDescent="0.25">
      <c r="E232" s="19" t="str" cm="1">
        <f t="array" ref="E232">_xlfn.XLOOKUP(B232,old_ipc_dates!F:F,old_ipc_dates!B:B,IF(D232=1,_xlfn.XLOOKUP(C232,log_contracts!B:B,log_contracts!D:D,,0),_xlfn.XLOOKUP(1,($C$18:C231=C232)*($D$18:D231=D232-1),$F$18:F231+1,,0)),0)</f>
        <v>Start</v>
      </c>
      <c r="F232" s="19" t="str">
        <f>_xlfn.XLOOKUP(B232,old_ipc_dates!F:F,old_ipc_dates!C:C,EOMONTH(E232,0),0)</f>
        <v>Finish</v>
      </c>
    </row>
    <row r="233" spans="5:6" hidden="1" x14ac:dyDescent="0.25">
      <c r="E233" s="19" t="str" cm="1">
        <f t="array" ref="E233">_xlfn.XLOOKUP(B233,old_ipc_dates!F:F,old_ipc_dates!B:B,IF(D233=1,_xlfn.XLOOKUP(C233,log_contracts!B:B,log_contracts!D:D,,0),_xlfn.XLOOKUP(1,($C$18:C232=C233)*($D$18:D232=D233-1),$F$18:F232+1,,0)),0)</f>
        <v>Start</v>
      </c>
      <c r="F233" s="19" t="str">
        <f>_xlfn.XLOOKUP(B233,old_ipc_dates!F:F,old_ipc_dates!C:C,EOMONTH(E233,0),0)</f>
        <v>Finish</v>
      </c>
    </row>
    <row r="234" spans="5:6" hidden="1" x14ac:dyDescent="0.25">
      <c r="E234" s="19" t="str" cm="1">
        <f t="array" ref="E234">_xlfn.XLOOKUP(B234,old_ipc_dates!F:F,old_ipc_dates!B:B,IF(D234=1,_xlfn.XLOOKUP(C234,log_contracts!B:B,log_contracts!D:D,,0),_xlfn.XLOOKUP(1,($C$18:C233=C234)*($D$18:D233=D234-1),$F$18:F233+1,,0)),0)</f>
        <v>Start</v>
      </c>
      <c r="F234" s="19" t="str">
        <f>_xlfn.XLOOKUP(B234,old_ipc_dates!F:F,old_ipc_dates!C:C,EOMONTH(E234,0),0)</f>
        <v>Finish</v>
      </c>
    </row>
    <row r="235" spans="5:6" hidden="1" x14ac:dyDescent="0.25">
      <c r="E235" s="19" t="str" cm="1">
        <f t="array" ref="E235">_xlfn.XLOOKUP(B235,old_ipc_dates!F:F,old_ipc_dates!B:B,IF(D235=1,_xlfn.XLOOKUP(C235,log_contracts!B:B,log_contracts!D:D,,0),_xlfn.XLOOKUP(1,($C$18:C234=C235)*($D$18:D234=D235-1),$F$18:F234+1,,0)),0)</f>
        <v>Start</v>
      </c>
      <c r="F235" s="19" t="str">
        <f>_xlfn.XLOOKUP(B235,old_ipc_dates!F:F,old_ipc_dates!C:C,EOMONTH(E235,0),0)</f>
        <v>Finish</v>
      </c>
    </row>
    <row r="236" spans="5:6" hidden="1" x14ac:dyDescent="0.25">
      <c r="E236" s="19" t="str" cm="1">
        <f t="array" ref="E236">_xlfn.XLOOKUP(B236,old_ipc_dates!F:F,old_ipc_dates!B:B,IF(D236=1,_xlfn.XLOOKUP(C236,log_contracts!B:B,log_contracts!D:D,,0),_xlfn.XLOOKUP(1,($C$18:C235=C236)*($D$18:D235=D236-1),$F$18:F235+1,,0)),0)</f>
        <v>Start</v>
      </c>
      <c r="F236" s="19" t="str">
        <f>_xlfn.XLOOKUP(B236,old_ipc_dates!F:F,old_ipc_dates!C:C,EOMONTH(E236,0),0)</f>
        <v>Finish</v>
      </c>
    </row>
    <row r="237" spans="5:6" hidden="1" x14ac:dyDescent="0.25">
      <c r="E237" s="19" t="str" cm="1">
        <f t="array" ref="E237">_xlfn.XLOOKUP(B237,old_ipc_dates!F:F,old_ipc_dates!B:B,IF(D237=1,_xlfn.XLOOKUP(C237,log_contracts!B:B,log_contracts!D:D,,0),_xlfn.XLOOKUP(1,($C$18:C236=C237)*($D$18:D236=D237-1),$F$18:F236+1,,0)),0)</f>
        <v>Start</v>
      </c>
      <c r="F237" s="19" t="str">
        <f>_xlfn.XLOOKUP(B237,old_ipc_dates!F:F,old_ipc_dates!C:C,EOMONTH(E237,0),0)</f>
        <v>Finish</v>
      </c>
    </row>
    <row r="238" spans="5:6" hidden="1" x14ac:dyDescent="0.25">
      <c r="E238" s="19" t="str" cm="1">
        <f t="array" ref="E238">_xlfn.XLOOKUP(B238,old_ipc_dates!F:F,old_ipc_dates!B:B,IF(D238=1,_xlfn.XLOOKUP(C238,log_contracts!B:B,log_contracts!D:D,,0),_xlfn.XLOOKUP(1,($C$18:C237=C238)*($D$18:D237=D238-1),$F$18:F237+1,,0)),0)</f>
        <v>Start</v>
      </c>
      <c r="F238" s="19" t="str">
        <f>_xlfn.XLOOKUP(B238,old_ipc_dates!F:F,old_ipc_dates!C:C,EOMONTH(E238,0),0)</f>
        <v>Finish</v>
      </c>
    </row>
    <row r="239" spans="5:6" hidden="1" x14ac:dyDescent="0.25">
      <c r="E239" s="19" t="str" cm="1">
        <f t="array" ref="E239">_xlfn.XLOOKUP(B239,old_ipc_dates!F:F,old_ipc_dates!B:B,IF(D239=1,_xlfn.XLOOKUP(C239,log_contracts!B:B,log_contracts!D:D,,0),_xlfn.XLOOKUP(1,($C$18:C238=C239)*($D$18:D238=D239-1),$F$18:F238+1,,0)),0)</f>
        <v>Start</v>
      </c>
      <c r="F239" s="19" t="str">
        <f>_xlfn.XLOOKUP(B239,old_ipc_dates!F:F,old_ipc_dates!C:C,EOMONTH(E239,0),0)</f>
        <v>Finish</v>
      </c>
    </row>
    <row r="240" spans="5:6" hidden="1" x14ac:dyDescent="0.25">
      <c r="E240" s="19" t="str" cm="1">
        <f t="array" ref="E240">_xlfn.XLOOKUP(B240,old_ipc_dates!F:F,old_ipc_dates!B:B,IF(D240=1,_xlfn.XLOOKUP(C240,log_contracts!B:B,log_contracts!D:D,,0),_xlfn.XLOOKUP(1,($C$18:C239=C240)*($D$18:D239=D240-1),$F$18:F239+1,,0)),0)</f>
        <v>Start</v>
      </c>
      <c r="F240" s="19" t="str">
        <f>_xlfn.XLOOKUP(B240,old_ipc_dates!F:F,old_ipc_dates!C:C,EOMONTH(E240,0),0)</f>
        <v>Finish</v>
      </c>
    </row>
    <row r="241" spans="5:6" hidden="1" x14ac:dyDescent="0.25">
      <c r="E241" s="19" t="str" cm="1">
        <f t="array" ref="E241">_xlfn.XLOOKUP(B241,old_ipc_dates!F:F,old_ipc_dates!B:B,IF(D241=1,_xlfn.XLOOKUP(C241,log_contracts!B:B,log_contracts!D:D,,0),_xlfn.XLOOKUP(1,($C$18:C240=C241)*($D$18:D240=D241-1),$F$18:F240+1,,0)),0)</f>
        <v>Start</v>
      </c>
      <c r="F241" s="19" t="str">
        <f>_xlfn.XLOOKUP(B241,old_ipc_dates!F:F,old_ipc_dates!C:C,EOMONTH(E241,0),0)</f>
        <v>Finish</v>
      </c>
    </row>
    <row r="242" spans="5:6" hidden="1" x14ac:dyDescent="0.25">
      <c r="E242" s="19" t="str" cm="1">
        <f t="array" ref="E242">_xlfn.XLOOKUP(B242,old_ipc_dates!F:F,old_ipc_dates!B:B,IF(D242=1,_xlfn.XLOOKUP(C242,log_contracts!B:B,log_contracts!D:D,,0),_xlfn.XLOOKUP(1,($C$18:C241=C242)*($D$18:D241=D242-1),$F$18:F241+1,,0)),0)</f>
        <v>Start</v>
      </c>
      <c r="F242" s="19" t="str">
        <f>_xlfn.XLOOKUP(B242,old_ipc_dates!F:F,old_ipc_dates!C:C,EOMONTH(E242,0),0)</f>
        <v>Finish</v>
      </c>
    </row>
    <row r="243" spans="5:6" hidden="1" x14ac:dyDescent="0.25">
      <c r="E243" s="19" t="str" cm="1">
        <f t="array" ref="E243">_xlfn.XLOOKUP(B243,old_ipc_dates!F:F,old_ipc_dates!B:B,IF(D243=1,_xlfn.XLOOKUP(C243,log_contracts!B:B,log_contracts!D:D,,0),_xlfn.XLOOKUP(1,($C$18:C242=C243)*($D$18:D242=D243-1),$F$18:F242+1,,0)),0)</f>
        <v>Start</v>
      </c>
      <c r="F243" s="19" t="str">
        <f>_xlfn.XLOOKUP(B243,old_ipc_dates!F:F,old_ipc_dates!C:C,EOMONTH(E243,0),0)</f>
        <v>Finish</v>
      </c>
    </row>
    <row r="244" spans="5:6" hidden="1" x14ac:dyDescent="0.25">
      <c r="E244" s="19" t="str" cm="1">
        <f t="array" ref="E244">_xlfn.XLOOKUP(B244,old_ipc_dates!F:F,old_ipc_dates!B:B,IF(D244=1,_xlfn.XLOOKUP(C244,log_contracts!B:B,log_contracts!D:D,,0),_xlfn.XLOOKUP(1,($C$18:C243=C244)*($D$18:D243=D244-1),$F$18:F243+1,,0)),0)</f>
        <v>Start</v>
      </c>
      <c r="F244" s="19" t="str">
        <f>_xlfn.XLOOKUP(B244,old_ipc_dates!F:F,old_ipc_dates!C:C,EOMONTH(E244,0),0)</f>
        <v>Finish</v>
      </c>
    </row>
    <row r="245" spans="5:6" hidden="1" x14ac:dyDescent="0.25">
      <c r="E245" s="19" t="str" cm="1">
        <f t="array" ref="E245">_xlfn.XLOOKUP(B245,old_ipc_dates!F:F,old_ipc_dates!B:B,IF(D245=1,_xlfn.XLOOKUP(C245,log_contracts!B:B,log_contracts!D:D,,0),_xlfn.XLOOKUP(1,($C$18:C244=C245)*($D$18:D244=D245-1),$F$18:F244+1,,0)),0)</f>
        <v>Start</v>
      </c>
      <c r="F245" s="19" t="str">
        <f>_xlfn.XLOOKUP(B245,old_ipc_dates!F:F,old_ipc_dates!C:C,EOMONTH(E245,0),0)</f>
        <v>Finish</v>
      </c>
    </row>
  </sheetData>
  <autoFilter ref="A1:K245" xr:uid="{0F9CC3C6-C9E9-415D-917A-812D0B016842}">
    <filterColumn colId="2">
      <filters>
        <filter val="121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DBAC-9BC6-458D-834B-E09C70219EA8}">
  <sheetPr codeName="Sheet4" filterMode="1"/>
  <dimension ref="A1:O35"/>
  <sheetViews>
    <sheetView topLeftCell="F1" workbookViewId="0">
      <pane ySplit="1" topLeftCell="A2" activePane="bottomLeft" state="frozen"/>
      <selection activeCell="O2" sqref="O2"/>
      <selection pane="bottomLeft" activeCell="O1" sqref="O1"/>
    </sheetView>
  </sheetViews>
  <sheetFormatPr defaultRowHeight="15" x14ac:dyDescent="0.25"/>
  <cols>
    <col min="1" max="2" width="7.28515625" customWidth="1"/>
    <col min="3" max="3" width="14.140625" bestFit="1" customWidth="1"/>
    <col min="4" max="4" width="15.42578125" style="19" customWidth="1"/>
    <col min="5" max="5" width="36.7109375" bestFit="1" customWidth="1"/>
    <col min="6" max="6" width="18" bestFit="1" customWidth="1"/>
    <col min="7" max="7" width="20.28515625" bestFit="1" customWidth="1"/>
    <col min="8" max="8" width="9.140625" style="19"/>
    <col min="9" max="9" width="37.7109375" bestFit="1" customWidth="1"/>
    <col min="10" max="10" width="14.140625" bestFit="1" customWidth="1"/>
    <col min="14" max="14" width="10.85546875" style="1" customWidth="1"/>
    <col min="15" max="15" width="9.140625" style="19" customWidth="1"/>
  </cols>
  <sheetData>
    <row r="1" spans="1:14" ht="39" customHeight="1" x14ac:dyDescent="0.25">
      <c r="A1" s="46" t="s">
        <v>69</v>
      </c>
      <c r="B1" s="46" t="s">
        <v>73</v>
      </c>
      <c r="C1" s="46" t="s">
        <v>70</v>
      </c>
      <c r="D1" s="47" t="s">
        <v>75</v>
      </c>
      <c r="E1" s="46" t="s">
        <v>79</v>
      </c>
      <c r="F1" s="46" t="s">
        <v>80</v>
      </c>
      <c r="G1" s="46" t="s">
        <v>123</v>
      </c>
      <c r="H1" s="47" t="s">
        <v>539</v>
      </c>
      <c r="I1" s="46" t="s">
        <v>657</v>
      </c>
      <c r="J1" s="46" t="s">
        <v>706</v>
      </c>
      <c r="K1" s="46" t="s">
        <v>729</v>
      </c>
      <c r="L1" s="46" t="s">
        <v>744</v>
      </c>
      <c r="M1" s="46" t="s">
        <v>745</v>
      </c>
      <c r="N1" s="46" t="s">
        <v>728</v>
      </c>
    </row>
    <row r="2" spans="1:14" hidden="1" x14ac:dyDescent="0.25">
      <c r="A2" cm="1">
        <f t="array" ref="A2:A35">_xlfn.SEQUENCE(ROWS(_xlfn._TRO_TRAILING(E:E))-1)</f>
        <v>1</v>
      </c>
      <c r="B2">
        <v>11</v>
      </c>
      <c r="C2" t="s">
        <v>71</v>
      </c>
      <c r="D2" s="19">
        <v>45646</v>
      </c>
      <c r="E2" t="s">
        <v>64</v>
      </c>
      <c r="F2" t="s">
        <v>55</v>
      </c>
      <c r="G2" t="s">
        <v>54</v>
      </c>
      <c r="H2" s="19">
        <v>45646</v>
      </c>
      <c r="I2" t="s">
        <v>658</v>
      </c>
      <c r="J2" t="s">
        <v>707</v>
      </c>
      <c r="K2" t="s">
        <v>742</v>
      </c>
      <c r="L2" t="s">
        <v>744</v>
      </c>
      <c r="M2" t="s">
        <v>746</v>
      </c>
      <c r="N2" s="1" t="str" cm="1">
        <f t="array" ref="N2:N35">IF(_xlfn.DROP(_xlfn._TRO_TRAILING(J:J),1)="","",HYPERLINK("https://api.whatsapp.com/send?phone="&amp;MID(_xlfn.DROP(_xlfn._TRO_TRAILING(J:J),1),2,15)&amp;"&amp;text=-","💬"))</f>
        <v>💬</v>
      </c>
    </row>
    <row r="3" spans="1:14" hidden="1" x14ac:dyDescent="0.25">
      <c r="A3">
        <v>2</v>
      </c>
      <c r="B3">
        <v>14</v>
      </c>
      <c r="C3" t="s">
        <v>105</v>
      </c>
      <c r="D3" s="19">
        <v>45652</v>
      </c>
      <c r="E3" t="s">
        <v>106</v>
      </c>
      <c r="F3" t="s">
        <v>107</v>
      </c>
      <c r="G3" t="s">
        <v>615</v>
      </c>
      <c r="H3" s="19">
        <v>45652</v>
      </c>
      <c r="I3" t="s">
        <v>659</v>
      </c>
      <c r="J3" t="s">
        <v>708</v>
      </c>
      <c r="K3" t="s">
        <v>778</v>
      </c>
      <c r="L3" t="s">
        <v>744</v>
      </c>
      <c r="M3" t="s">
        <v>746</v>
      </c>
      <c r="N3" s="1" t="str">
        <v>💬</v>
      </c>
    </row>
    <row r="4" spans="1:14" hidden="1" x14ac:dyDescent="0.25">
      <c r="A4">
        <v>3</v>
      </c>
      <c r="B4">
        <v>30</v>
      </c>
      <c r="C4" t="s">
        <v>122</v>
      </c>
      <c r="D4" s="19">
        <v>45679</v>
      </c>
      <c r="E4" t="s">
        <v>108</v>
      </c>
      <c r="F4" t="s">
        <v>126</v>
      </c>
      <c r="G4" t="s">
        <v>616</v>
      </c>
      <c r="H4" s="19">
        <v>45679</v>
      </c>
      <c r="I4" t="s">
        <v>660</v>
      </c>
      <c r="J4" s="62" t="s">
        <v>785</v>
      </c>
      <c r="L4" t="s">
        <v>744</v>
      </c>
      <c r="M4" t="s">
        <v>746</v>
      </c>
      <c r="N4" s="1" t="str">
        <v>💬</v>
      </c>
    </row>
    <row r="5" spans="1:14" hidden="1" x14ac:dyDescent="0.25">
      <c r="A5">
        <v>4</v>
      </c>
      <c r="B5">
        <v>31</v>
      </c>
      <c r="C5" t="s">
        <v>122</v>
      </c>
      <c r="D5" s="19">
        <v>45693</v>
      </c>
      <c r="E5" t="s">
        <v>108</v>
      </c>
      <c r="F5" t="s">
        <v>126</v>
      </c>
      <c r="G5" t="s">
        <v>616</v>
      </c>
      <c r="H5" s="19">
        <v>45693</v>
      </c>
      <c r="I5" t="s">
        <v>661</v>
      </c>
      <c r="J5" s="62" t="s">
        <v>785</v>
      </c>
      <c r="K5" t="s">
        <v>784</v>
      </c>
      <c r="L5" t="s">
        <v>744</v>
      </c>
      <c r="M5" t="s">
        <v>746</v>
      </c>
      <c r="N5" s="1" t="str">
        <v>💬</v>
      </c>
    </row>
    <row r="6" spans="1:14" hidden="1" x14ac:dyDescent="0.25">
      <c r="A6">
        <v>5</v>
      </c>
      <c r="B6">
        <v>33</v>
      </c>
      <c r="C6" t="s">
        <v>122</v>
      </c>
      <c r="D6" s="19">
        <v>45658</v>
      </c>
      <c r="E6" t="s">
        <v>109</v>
      </c>
      <c r="F6" t="s">
        <v>617</v>
      </c>
      <c r="G6" t="s">
        <v>616</v>
      </c>
      <c r="H6" s="19">
        <v>45536</v>
      </c>
      <c r="I6" t="s">
        <v>662</v>
      </c>
      <c r="J6" t="s">
        <v>709</v>
      </c>
      <c r="K6" t="s">
        <v>777</v>
      </c>
      <c r="L6" t="s">
        <v>744</v>
      </c>
      <c r="M6" t="s">
        <v>746</v>
      </c>
      <c r="N6" s="1" t="str">
        <v>💬</v>
      </c>
    </row>
    <row r="7" spans="1:14" hidden="1" x14ac:dyDescent="0.25">
      <c r="A7">
        <v>6</v>
      </c>
      <c r="B7">
        <v>46</v>
      </c>
      <c r="C7" t="s">
        <v>105</v>
      </c>
      <c r="D7" s="19">
        <v>45748</v>
      </c>
      <c r="E7" t="s">
        <v>643</v>
      </c>
      <c r="F7" t="s">
        <v>126</v>
      </c>
      <c r="G7" t="s">
        <v>627</v>
      </c>
      <c r="H7" s="19">
        <v>45748</v>
      </c>
      <c r="I7" t="s">
        <v>663</v>
      </c>
      <c r="J7" t="s">
        <v>710</v>
      </c>
      <c r="M7" t="s">
        <v>746</v>
      </c>
      <c r="N7" s="1" t="str">
        <v>💬</v>
      </c>
    </row>
    <row r="8" spans="1:14" hidden="1" x14ac:dyDescent="0.25">
      <c r="A8">
        <v>7</v>
      </c>
      <c r="B8">
        <v>50</v>
      </c>
      <c r="C8" t="s">
        <v>105</v>
      </c>
      <c r="D8" s="19">
        <v>45758</v>
      </c>
      <c r="E8" t="s">
        <v>110</v>
      </c>
      <c r="F8" t="s">
        <v>126</v>
      </c>
      <c r="G8" t="s">
        <v>627</v>
      </c>
      <c r="H8" s="19">
        <v>45748</v>
      </c>
      <c r="I8" t="s">
        <v>664</v>
      </c>
      <c r="J8" t="s">
        <v>711</v>
      </c>
      <c r="K8" t="s">
        <v>730</v>
      </c>
      <c r="L8" t="s">
        <v>744</v>
      </c>
      <c r="M8" t="s">
        <v>746</v>
      </c>
      <c r="N8" s="1" t="str">
        <v>💬</v>
      </c>
    </row>
    <row r="9" spans="1:14" hidden="1" x14ac:dyDescent="0.25">
      <c r="A9">
        <v>8</v>
      </c>
      <c r="B9">
        <v>51</v>
      </c>
      <c r="C9" t="s">
        <v>105</v>
      </c>
      <c r="D9" s="19">
        <v>45761</v>
      </c>
      <c r="E9" t="s">
        <v>111</v>
      </c>
      <c r="F9" t="s">
        <v>126</v>
      </c>
      <c r="G9" t="s">
        <v>1431</v>
      </c>
      <c r="H9" s="19">
        <v>45761</v>
      </c>
      <c r="I9" t="s">
        <v>665</v>
      </c>
      <c r="J9" t="s">
        <v>712</v>
      </c>
      <c r="K9" t="s">
        <v>731</v>
      </c>
      <c r="L9" t="s">
        <v>744</v>
      </c>
      <c r="M9" t="s">
        <v>746</v>
      </c>
      <c r="N9" s="1" t="str">
        <v>💬</v>
      </c>
    </row>
    <row r="10" spans="1:14" hidden="1" x14ac:dyDescent="0.25">
      <c r="A10">
        <v>9</v>
      </c>
      <c r="B10">
        <v>52</v>
      </c>
      <c r="C10" t="s">
        <v>105</v>
      </c>
      <c r="D10" s="19">
        <v>45762</v>
      </c>
      <c r="E10" t="s">
        <v>470</v>
      </c>
      <c r="F10" t="s">
        <v>126</v>
      </c>
      <c r="G10" t="s">
        <v>633</v>
      </c>
      <c r="H10" s="19">
        <v>45762</v>
      </c>
      <c r="I10" t="s">
        <v>666</v>
      </c>
      <c r="M10" t="s">
        <v>746</v>
      </c>
      <c r="N10" s="1" t="str">
        <v/>
      </c>
    </row>
    <row r="11" spans="1:14" hidden="1" x14ac:dyDescent="0.25">
      <c r="A11">
        <v>10</v>
      </c>
      <c r="B11">
        <v>65</v>
      </c>
      <c r="C11" t="s">
        <v>105</v>
      </c>
      <c r="D11" s="19">
        <v>45783</v>
      </c>
      <c r="E11" t="s">
        <v>112</v>
      </c>
      <c r="F11" t="s">
        <v>126</v>
      </c>
      <c r="G11" t="s">
        <v>627</v>
      </c>
      <c r="H11" s="19">
        <v>45783</v>
      </c>
      <c r="I11" t="s">
        <v>667</v>
      </c>
      <c r="J11" t="s">
        <v>713</v>
      </c>
      <c r="K11" t="s">
        <v>732</v>
      </c>
      <c r="L11" t="s">
        <v>744</v>
      </c>
      <c r="M11" t="s">
        <v>746</v>
      </c>
      <c r="N11" s="1" t="str">
        <v>💬</v>
      </c>
    </row>
    <row r="12" spans="1:14" hidden="1" x14ac:dyDescent="0.25">
      <c r="A12">
        <v>11</v>
      </c>
      <c r="B12">
        <v>85</v>
      </c>
      <c r="C12" t="s">
        <v>105</v>
      </c>
      <c r="D12" s="19">
        <v>45824</v>
      </c>
      <c r="E12" t="s">
        <v>113</v>
      </c>
      <c r="F12" t="s">
        <v>126</v>
      </c>
      <c r="G12" t="s">
        <v>628</v>
      </c>
      <c r="H12" s="19">
        <v>45824</v>
      </c>
      <c r="I12" t="s">
        <v>668</v>
      </c>
      <c r="J12" t="s">
        <v>714</v>
      </c>
      <c r="K12" t="s">
        <v>733</v>
      </c>
      <c r="L12" t="s">
        <v>744</v>
      </c>
      <c r="M12" t="s">
        <v>746</v>
      </c>
      <c r="N12" s="1" t="str">
        <v>💬</v>
      </c>
    </row>
    <row r="13" spans="1:14" hidden="1" x14ac:dyDescent="0.25">
      <c r="A13">
        <v>12</v>
      </c>
      <c r="B13">
        <v>91</v>
      </c>
      <c r="C13" t="s">
        <v>105</v>
      </c>
      <c r="D13" s="19">
        <v>45834</v>
      </c>
      <c r="E13" t="s">
        <v>114</v>
      </c>
      <c r="F13" t="s">
        <v>126</v>
      </c>
      <c r="G13" t="s">
        <v>630</v>
      </c>
      <c r="H13" s="19">
        <v>45834</v>
      </c>
      <c r="I13" t="s">
        <v>669</v>
      </c>
      <c r="J13" t="s">
        <v>715</v>
      </c>
      <c r="K13" t="s">
        <v>743</v>
      </c>
      <c r="L13" t="s">
        <v>744</v>
      </c>
      <c r="M13" t="s">
        <v>746</v>
      </c>
      <c r="N13" s="1" t="str">
        <v>💬</v>
      </c>
    </row>
    <row r="14" spans="1:14" hidden="1" x14ac:dyDescent="0.25">
      <c r="A14">
        <v>13</v>
      </c>
      <c r="B14">
        <v>94</v>
      </c>
      <c r="C14" t="s">
        <v>105</v>
      </c>
      <c r="D14" s="19">
        <v>45809</v>
      </c>
      <c r="E14" t="s">
        <v>485</v>
      </c>
      <c r="F14" t="s">
        <v>126</v>
      </c>
      <c r="G14" t="s">
        <v>629</v>
      </c>
      <c r="H14" s="19">
        <v>45809</v>
      </c>
      <c r="I14" t="s">
        <v>670</v>
      </c>
      <c r="J14" t="s">
        <v>716</v>
      </c>
      <c r="M14" t="s">
        <v>746</v>
      </c>
      <c r="N14" s="1" t="str">
        <v>💬</v>
      </c>
    </row>
    <row r="15" spans="1:14" hidden="1" x14ac:dyDescent="0.25">
      <c r="A15">
        <v>14</v>
      </c>
      <c r="B15">
        <v>95</v>
      </c>
      <c r="C15" t="s">
        <v>105</v>
      </c>
      <c r="D15" s="19">
        <v>45848</v>
      </c>
      <c r="E15" t="s">
        <v>115</v>
      </c>
      <c r="F15" t="s">
        <v>126</v>
      </c>
      <c r="G15" t="s">
        <v>627</v>
      </c>
      <c r="H15" s="19">
        <v>45848</v>
      </c>
      <c r="I15" t="s">
        <v>671</v>
      </c>
      <c r="J15" t="s">
        <v>717</v>
      </c>
      <c r="K15" t="s">
        <v>734</v>
      </c>
      <c r="L15" t="s">
        <v>744</v>
      </c>
      <c r="M15" t="s">
        <v>746</v>
      </c>
      <c r="N15" s="1" t="str">
        <v>💬</v>
      </c>
    </row>
    <row r="16" spans="1:14" hidden="1" x14ac:dyDescent="0.25">
      <c r="A16">
        <v>15</v>
      </c>
      <c r="B16">
        <v>98</v>
      </c>
      <c r="C16" t="s">
        <v>105</v>
      </c>
      <c r="D16" s="19">
        <v>45854</v>
      </c>
      <c r="E16" t="s">
        <v>116</v>
      </c>
      <c r="F16" t="s">
        <v>126</v>
      </c>
      <c r="G16" t="s">
        <v>628</v>
      </c>
      <c r="H16" s="19">
        <v>45854</v>
      </c>
      <c r="I16" t="s">
        <v>672</v>
      </c>
      <c r="J16" t="s">
        <v>718</v>
      </c>
      <c r="K16" t="s">
        <v>735</v>
      </c>
      <c r="L16" t="s">
        <v>744</v>
      </c>
      <c r="M16" t="s">
        <v>746</v>
      </c>
      <c r="N16" s="1" t="str">
        <v>💬</v>
      </c>
    </row>
    <row r="17" spans="1:14" hidden="1" x14ac:dyDescent="0.25">
      <c r="A17">
        <v>16</v>
      </c>
      <c r="B17">
        <v>99</v>
      </c>
      <c r="C17" t="s">
        <v>105</v>
      </c>
      <c r="D17" s="19">
        <v>45859</v>
      </c>
      <c r="E17" t="s">
        <v>497</v>
      </c>
      <c r="F17" t="s">
        <v>126</v>
      </c>
      <c r="G17" t="s">
        <v>629</v>
      </c>
      <c r="H17" s="19">
        <v>45859</v>
      </c>
      <c r="I17" t="s">
        <v>673</v>
      </c>
      <c r="J17" t="s">
        <v>719</v>
      </c>
      <c r="M17" t="s">
        <v>746</v>
      </c>
      <c r="N17" s="1" t="str">
        <v>💬</v>
      </c>
    </row>
    <row r="18" spans="1:14" hidden="1" x14ac:dyDescent="0.25">
      <c r="A18">
        <v>17</v>
      </c>
      <c r="B18">
        <v>100</v>
      </c>
      <c r="C18" t="s">
        <v>105</v>
      </c>
      <c r="D18" s="19">
        <v>45859</v>
      </c>
      <c r="E18" t="s">
        <v>1117</v>
      </c>
      <c r="F18" t="s">
        <v>126</v>
      </c>
      <c r="G18" t="s">
        <v>627</v>
      </c>
      <c r="H18" s="19">
        <v>45859</v>
      </c>
      <c r="I18" t="s">
        <v>674</v>
      </c>
      <c r="J18" t="s">
        <v>720</v>
      </c>
      <c r="K18" t="s">
        <v>736</v>
      </c>
      <c r="L18" t="s">
        <v>744</v>
      </c>
      <c r="M18" t="s">
        <v>746</v>
      </c>
      <c r="N18" s="1" t="str">
        <v>💬</v>
      </c>
    </row>
    <row r="19" spans="1:14" hidden="1" x14ac:dyDescent="0.25">
      <c r="A19">
        <v>18</v>
      </c>
      <c r="B19">
        <v>102</v>
      </c>
      <c r="C19" t="s">
        <v>105</v>
      </c>
      <c r="D19" s="19">
        <v>45892</v>
      </c>
      <c r="E19" t="s">
        <v>117</v>
      </c>
      <c r="F19" t="s">
        <v>126</v>
      </c>
      <c r="G19" t="s">
        <v>629</v>
      </c>
      <c r="H19" s="19">
        <v>45892</v>
      </c>
      <c r="I19" t="s">
        <v>675</v>
      </c>
      <c r="J19" t="s">
        <v>716</v>
      </c>
      <c r="K19" t="s">
        <v>749</v>
      </c>
      <c r="L19" t="s">
        <v>744</v>
      </c>
      <c r="M19" t="s">
        <v>746</v>
      </c>
      <c r="N19" s="1" t="str">
        <v>💬</v>
      </c>
    </row>
    <row r="20" spans="1:14" hidden="1" x14ac:dyDescent="0.25">
      <c r="A20">
        <v>19</v>
      </c>
      <c r="B20">
        <v>103</v>
      </c>
      <c r="C20" s="19" t="s">
        <v>513</v>
      </c>
      <c r="D20" s="19">
        <v>45880</v>
      </c>
      <c r="E20" t="s">
        <v>514</v>
      </c>
      <c r="F20" t="s">
        <v>510</v>
      </c>
      <c r="G20" t="s">
        <v>54</v>
      </c>
      <c r="H20" s="19">
        <v>45880</v>
      </c>
      <c r="I20" t="s">
        <v>676</v>
      </c>
      <c r="M20" t="s">
        <v>746</v>
      </c>
      <c r="N20" s="1" t="str">
        <v/>
      </c>
    </row>
    <row r="21" spans="1:14" hidden="1" x14ac:dyDescent="0.25">
      <c r="A21">
        <v>20</v>
      </c>
      <c r="B21">
        <v>107</v>
      </c>
      <c r="C21" s="19" t="s">
        <v>71</v>
      </c>
      <c r="D21" s="19">
        <v>45856</v>
      </c>
      <c r="E21" t="s">
        <v>515</v>
      </c>
      <c r="F21" t="s">
        <v>55</v>
      </c>
      <c r="G21" t="s">
        <v>54</v>
      </c>
      <c r="H21" s="19">
        <v>45856</v>
      </c>
      <c r="I21" t="s">
        <v>677</v>
      </c>
      <c r="J21" t="s">
        <v>721</v>
      </c>
      <c r="M21" t="s">
        <v>746</v>
      </c>
      <c r="N21" s="1" t="str">
        <v>💬</v>
      </c>
    </row>
    <row r="22" spans="1:14" hidden="1" x14ac:dyDescent="0.25">
      <c r="A22">
        <v>21</v>
      </c>
      <c r="B22">
        <v>110</v>
      </c>
      <c r="C22" t="s">
        <v>105</v>
      </c>
      <c r="D22" s="19">
        <v>45890</v>
      </c>
      <c r="E22" t="s">
        <v>118</v>
      </c>
      <c r="F22" t="s">
        <v>126</v>
      </c>
      <c r="G22" t="s">
        <v>628</v>
      </c>
      <c r="H22" s="19">
        <v>45890</v>
      </c>
      <c r="I22" t="s">
        <v>678</v>
      </c>
      <c r="J22" t="s">
        <v>722</v>
      </c>
      <c r="K22" t="s">
        <v>737</v>
      </c>
      <c r="L22" t="s">
        <v>744</v>
      </c>
      <c r="M22" t="s">
        <v>746</v>
      </c>
      <c r="N22" s="1" t="str">
        <v>💬</v>
      </c>
    </row>
    <row r="23" spans="1:14" hidden="1" x14ac:dyDescent="0.25">
      <c r="A23">
        <v>22</v>
      </c>
      <c r="B23">
        <v>115</v>
      </c>
      <c r="E23" t="s">
        <v>688</v>
      </c>
      <c r="I23" t="s">
        <v>679</v>
      </c>
      <c r="M23" t="s">
        <v>746</v>
      </c>
      <c r="N23" s="1" t="str">
        <v/>
      </c>
    </row>
    <row r="24" spans="1:14" hidden="1" x14ac:dyDescent="0.25">
      <c r="A24">
        <v>23</v>
      </c>
      <c r="I24" t="s">
        <v>684</v>
      </c>
      <c r="M24" t="s">
        <v>746</v>
      </c>
      <c r="N24" s="1" t="str">
        <v/>
      </c>
    </row>
    <row r="25" spans="1:14" hidden="1" x14ac:dyDescent="0.25">
      <c r="A25">
        <v>24</v>
      </c>
      <c r="B25">
        <v>119</v>
      </c>
      <c r="C25" t="s">
        <v>105</v>
      </c>
      <c r="E25" t="s">
        <v>748</v>
      </c>
      <c r="I25" t="s">
        <v>685</v>
      </c>
      <c r="L25" t="s">
        <v>744</v>
      </c>
      <c r="M25" t="s">
        <v>747</v>
      </c>
      <c r="N25" s="1" t="str">
        <v/>
      </c>
    </row>
    <row r="26" spans="1:14" hidden="1" x14ac:dyDescent="0.25">
      <c r="A26">
        <v>25</v>
      </c>
      <c r="B26">
        <v>121</v>
      </c>
      <c r="C26" t="s">
        <v>105</v>
      </c>
      <c r="D26" s="19">
        <v>45925</v>
      </c>
      <c r="E26" t="s">
        <v>119</v>
      </c>
      <c r="F26" t="s">
        <v>527</v>
      </c>
      <c r="G26" t="s">
        <v>628</v>
      </c>
      <c r="H26" s="19">
        <v>45925</v>
      </c>
      <c r="I26" t="s">
        <v>680</v>
      </c>
      <c r="J26" t="s">
        <v>723</v>
      </c>
      <c r="K26" t="s">
        <v>738</v>
      </c>
      <c r="L26" t="s">
        <v>744</v>
      </c>
      <c r="M26" t="s">
        <v>746</v>
      </c>
      <c r="N26" s="1" t="str">
        <v>💬</v>
      </c>
    </row>
    <row r="27" spans="1:14" hidden="1" x14ac:dyDescent="0.25">
      <c r="A27">
        <v>26</v>
      </c>
      <c r="I27" t="s">
        <v>681</v>
      </c>
      <c r="M27" t="s">
        <v>746</v>
      </c>
      <c r="N27" s="1" t="str">
        <v/>
      </c>
    </row>
    <row r="28" spans="1:14" hidden="1" x14ac:dyDescent="0.25">
      <c r="A28">
        <v>27</v>
      </c>
      <c r="B28">
        <v>141</v>
      </c>
      <c r="C28" t="s">
        <v>105</v>
      </c>
      <c r="D28" s="19">
        <v>45601</v>
      </c>
      <c r="E28" t="s">
        <v>120</v>
      </c>
      <c r="F28" t="s">
        <v>126</v>
      </c>
      <c r="G28" t="s">
        <v>627</v>
      </c>
      <c r="H28" s="19">
        <v>45601</v>
      </c>
      <c r="I28" t="s">
        <v>682</v>
      </c>
      <c r="J28" t="s">
        <v>724</v>
      </c>
      <c r="K28" t="s">
        <v>739</v>
      </c>
      <c r="L28" t="s">
        <v>744</v>
      </c>
      <c r="M28" t="s">
        <v>746</v>
      </c>
      <c r="N28" s="1" t="str">
        <v>💬</v>
      </c>
    </row>
    <row r="29" spans="1:14" hidden="1" x14ac:dyDescent="0.25">
      <c r="A29">
        <v>28</v>
      </c>
      <c r="B29">
        <v>150</v>
      </c>
      <c r="C29" t="s">
        <v>71</v>
      </c>
      <c r="D29" s="19">
        <v>45989</v>
      </c>
      <c r="E29" t="s">
        <v>121</v>
      </c>
      <c r="F29" t="s">
        <v>55</v>
      </c>
      <c r="G29" t="s">
        <v>54</v>
      </c>
      <c r="H29" s="19">
        <v>45989</v>
      </c>
      <c r="I29" t="s">
        <v>683</v>
      </c>
      <c r="J29" t="s">
        <v>725</v>
      </c>
      <c r="K29" t="s">
        <v>1167</v>
      </c>
      <c r="L29" t="s">
        <v>744</v>
      </c>
      <c r="M29" t="s">
        <v>746</v>
      </c>
      <c r="N29" s="1" t="str">
        <v>💬</v>
      </c>
    </row>
    <row r="30" spans="1:14" hidden="1" x14ac:dyDescent="0.25">
      <c r="A30">
        <v>29</v>
      </c>
      <c r="B30">
        <v>163</v>
      </c>
      <c r="C30" t="s">
        <v>105</v>
      </c>
      <c r="D30" s="19">
        <v>46035</v>
      </c>
      <c r="E30" t="s">
        <v>692</v>
      </c>
      <c r="F30" t="s">
        <v>126</v>
      </c>
      <c r="G30" t="s">
        <v>1118</v>
      </c>
      <c r="H30" s="19">
        <v>46035</v>
      </c>
      <c r="I30" t="s">
        <v>686</v>
      </c>
      <c r="J30" t="s">
        <v>726</v>
      </c>
      <c r="K30" t="s">
        <v>750</v>
      </c>
      <c r="M30" t="s">
        <v>746</v>
      </c>
      <c r="N30" s="1" t="str">
        <v>💬</v>
      </c>
    </row>
    <row r="31" spans="1:14" hidden="1" x14ac:dyDescent="0.25">
      <c r="A31">
        <v>30</v>
      </c>
      <c r="B31">
        <v>164</v>
      </c>
      <c r="C31" t="s">
        <v>105</v>
      </c>
      <c r="D31" s="19">
        <v>46035</v>
      </c>
      <c r="E31" t="s">
        <v>693</v>
      </c>
      <c r="F31" t="s">
        <v>126</v>
      </c>
      <c r="H31" s="19">
        <v>46035</v>
      </c>
      <c r="I31" t="s">
        <v>687</v>
      </c>
      <c r="J31" t="s">
        <v>727</v>
      </c>
      <c r="K31" t="s">
        <v>740</v>
      </c>
      <c r="M31" t="s">
        <v>746</v>
      </c>
      <c r="N31" s="1" t="str">
        <v>💬</v>
      </c>
    </row>
    <row r="32" spans="1:14" hidden="1" x14ac:dyDescent="0.25">
      <c r="A32">
        <v>31</v>
      </c>
      <c r="B32">
        <v>172</v>
      </c>
      <c r="C32" t="s">
        <v>105</v>
      </c>
      <c r="D32" s="19">
        <v>46034</v>
      </c>
      <c r="E32" t="s">
        <v>694</v>
      </c>
      <c r="F32" t="s">
        <v>126</v>
      </c>
      <c r="G32" t="s">
        <v>627</v>
      </c>
      <c r="H32" s="19">
        <v>46034</v>
      </c>
      <c r="I32" t="s">
        <v>695</v>
      </c>
      <c r="J32" t="s">
        <v>1119</v>
      </c>
      <c r="K32" t="s">
        <v>741</v>
      </c>
      <c r="L32" t="s">
        <v>744</v>
      </c>
      <c r="M32" t="s">
        <v>746</v>
      </c>
      <c r="N32" s="1" t="str">
        <v>💬</v>
      </c>
    </row>
    <row r="33" spans="1:14" hidden="1" x14ac:dyDescent="0.25">
      <c r="A33">
        <v>32</v>
      </c>
      <c r="B33">
        <v>173</v>
      </c>
      <c r="C33" t="s">
        <v>105</v>
      </c>
      <c r="D33" s="19">
        <v>46054</v>
      </c>
      <c r="E33" t="s">
        <v>800</v>
      </c>
      <c r="F33" t="s">
        <v>126</v>
      </c>
      <c r="G33" t="s">
        <v>628</v>
      </c>
      <c r="H33" s="19">
        <v>46054</v>
      </c>
      <c r="I33" t="s">
        <v>801</v>
      </c>
      <c r="J33" t="s">
        <v>802</v>
      </c>
      <c r="K33" t="s">
        <v>803</v>
      </c>
      <c r="L33" t="s">
        <v>744</v>
      </c>
      <c r="M33" t="s">
        <v>746</v>
      </c>
      <c r="N33" s="1" t="str">
        <v>💬</v>
      </c>
    </row>
    <row r="34" spans="1:14" hidden="1" x14ac:dyDescent="0.25">
      <c r="A34">
        <v>33</v>
      </c>
      <c r="B34">
        <v>179</v>
      </c>
      <c r="C34" t="s">
        <v>105</v>
      </c>
      <c r="D34" s="19">
        <v>46077</v>
      </c>
      <c r="E34" t="s">
        <v>1145</v>
      </c>
      <c r="F34" t="s">
        <v>126</v>
      </c>
      <c r="G34" t="s">
        <v>1146</v>
      </c>
      <c r="H34" s="19">
        <v>46077</v>
      </c>
      <c r="I34" t="s">
        <v>1147</v>
      </c>
      <c r="J34" s="62" t="s">
        <v>1149</v>
      </c>
      <c r="K34" t="s">
        <v>1148</v>
      </c>
      <c r="L34" t="s">
        <v>744</v>
      </c>
      <c r="M34" t="s">
        <v>746</v>
      </c>
      <c r="N34" s="1" t="str">
        <v>💬</v>
      </c>
    </row>
    <row r="35" spans="1:14" x14ac:dyDescent="0.25">
      <c r="A35">
        <v>34</v>
      </c>
      <c r="B35">
        <v>182</v>
      </c>
      <c r="C35" t="s">
        <v>105</v>
      </c>
      <c r="D35" s="19">
        <v>46075</v>
      </c>
      <c r="E35" t="s">
        <v>1111</v>
      </c>
      <c r="F35" t="s">
        <v>126</v>
      </c>
      <c r="G35" t="s">
        <v>1431</v>
      </c>
      <c r="H35" s="19">
        <v>46075</v>
      </c>
      <c r="I35" t="s">
        <v>1112</v>
      </c>
      <c r="J35" s="62" t="s">
        <v>1120</v>
      </c>
      <c r="K35" t="s">
        <v>804</v>
      </c>
      <c r="L35" t="s">
        <v>744</v>
      </c>
      <c r="M35" t="s">
        <v>746</v>
      </c>
      <c r="N35" s="1" t="str">
        <v>💬</v>
      </c>
    </row>
  </sheetData>
  <autoFilter ref="A1:N35" xr:uid="{1983DBAC-9BC6-458D-834B-E09C70219EA8}">
    <filterColumn colId="1">
      <filters>
        <filter val="182"/>
      </filters>
    </filterColumn>
  </autoFilter>
  <conditionalFormatting sqref="K1:K18 L1:M1 K20:K1048576">
    <cfRule type="duplicateValues" dxfId="6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07AD-B9AB-40AF-9A55-AD1DD852431D}">
  <sheetPr codeName="Sheet9"/>
  <dimension ref="A1:M284"/>
  <sheetViews>
    <sheetView workbookViewId="0">
      <pane ySplit="1" topLeftCell="A216" activePane="bottomLeft" state="frozen"/>
      <selection activeCell="O1" sqref="O1"/>
      <selection pane="bottomLeft" activeCell="O1" sqref="O1"/>
    </sheetView>
  </sheetViews>
  <sheetFormatPr defaultRowHeight="15" x14ac:dyDescent="0.25"/>
  <cols>
    <col min="2" max="2" width="10.85546875" bestFit="1" customWidth="1"/>
    <col min="3" max="3" width="9.28515625" customWidth="1"/>
    <col min="4" max="4" width="6.28515625" customWidth="1"/>
    <col min="5" max="5" width="77.42578125" bestFit="1" customWidth="1"/>
    <col min="6" max="6" width="7.28515625" bestFit="1" customWidth="1"/>
    <col min="7" max="7" width="8.140625" bestFit="1" customWidth="1"/>
    <col min="8" max="8" width="16.42578125" bestFit="1" customWidth="1"/>
    <col min="9" max="9" width="9.5703125" bestFit="1" customWidth="1"/>
    <col min="10" max="10" width="10.28515625" bestFit="1" customWidth="1"/>
    <col min="11" max="11" width="13.28515625" bestFit="1" customWidth="1"/>
    <col min="12" max="12" width="17.28515625" customWidth="1"/>
    <col min="13" max="13" width="16" bestFit="1" customWidth="1"/>
  </cols>
  <sheetData>
    <row r="1" spans="1:13" x14ac:dyDescent="0.25">
      <c r="A1" t="s">
        <v>69</v>
      </c>
      <c r="B1" t="s">
        <v>76</v>
      </c>
      <c r="C1" t="s">
        <v>631</v>
      </c>
      <c r="D1" t="s">
        <v>600</v>
      </c>
      <c r="E1" t="s">
        <v>124</v>
      </c>
      <c r="F1" t="s">
        <v>81</v>
      </c>
      <c r="G1" t="s">
        <v>88</v>
      </c>
      <c r="H1" t="s">
        <v>128</v>
      </c>
      <c r="I1" t="s">
        <v>125</v>
      </c>
      <c r="J1" t="s">
        <v>127</v>
      </c>
      <c r="K1" t="s">
        <v>186</v>
      </c>
      <c r="L1" t="s">
        <v>604</v>
      </c>
      <c r="M1" t="s">
        <v>632</v>
      </c>
    </row>
    <row r="2" spans="1:13" x14ac:dyDescent="0.25">
      <c r="A2" cm="1">
        <f t="array" ref="A2:A284">_xlfn.SEQUENCE(ROWS(_xlfn._TRO_TRAILING(B:B))-1)</f>
        <v>1</v>
      </c>
      <c r="B2">
        <v>30</v>
      </c>
      <c r="D2">
        <v>1</v>
      </c>
      <c r="E2" t="s">
        <v>372</v>
      </c>
      <c r="F2" t="s">
        <v>543</v>
      </c>
      <c r="G2" t="b">
        <v>0</v>
      </c>
      <c r="H2">
        <v>183.33333333333334</v>
      </c>
      <c r="I2">
        <v>30</v>
      </c>
      <c r="J2">
        <v>5500</v>
      </c>
      <c r="K2" t="s">
        <v>320</v>
      </c>
      <c r="L2" t="s">
        <v>130</v>
      </c>
      <c r="M2" t="s">
        <v>616</v>
      </c>
    </row>
    <row r="3" spans="1:13" x14ac:dyDescent="0.25">
      <c r="A3">
        <v>2</v>
      </c>
      <c r="B3">
        <v>30</v>
      </c>
      <c r="D3">
        <v>2</v>
      </c>
      <c r="E3" t="s">
        <v>373</v>
      </c>
      <c r="F3" t="s">
        <v>543</v>
      </c>
      <c r="G3" t="b">
        <v>0</v>
      </c>
      <c r="H3">
        <v>183.33333333333334</v>
      </c>
      <c r="I3">
        <v>30</v>
      </c>
      <c r="J3">
        <v>5500</v>
      </c>
      <c r="K3" t="s">
        <v>320</v>
      </c>
      <c r="L3" t="s">
        <v>298</v>
      </c>
      <c r="M3" t="s">
        <v>616</v>
      </c>
    </row>
    <row r="4" spans="1:13" x14ac:dyDescent="0.25">
      <c r="A4">
        <v>3</v>
      </c>
      <c r="B4">
        <v>30</v>
      </c>
      <c r="D4">
        <v>3</v>
      </c>
      <c r="E4" t="s">
        <v>311</v>
      </c>
      <c r="F4" t="s">
        <v>84</v>
      </c>
      <c r="H4">
        <v>5500</v>
      </c>
      <c r="K4" t="s">
        <v>320</v>
      </c>
      <c r="L4" t="s">
        <v>130</v>
      </c>
      <c r="M4" t="s">
        <v>616</v>
      </c>
    </row>
    <row r="5" spans="1:13" x14ac:dyDescent="0.25">
      <c r="A5">
        <v>4</v>
      </c>
      <c r="B5">
        <v>30</v>
      </c>
      <c r="D5">
        <v>4</v>
      </c>
      <c r="E5" t="s">
        <v>312</v>
      </c>
      <c r="F5" t="s">
        <v>84</v>
      </c>
      <c r="H5">
        <v>5500</v>
      </c>
      <c r="K5" t="s">
        <v>320</v>
      </c>
      <c r="L5" t="s">
        <v>298</v>
      </c>
      <c r="M5" t="s">
        <v>616</v>
      </c>
    </row>
    <row r="6" spans="1:13" x14ac:dyDescent="0.25">
      <c r="A6">
        <v>5</v>
      </c>
      <c r="B6">
        <v>31</v>
      </c>
      <c r="D6">
        <v>1</v>
      </c>
      <c r="E6" t="s">
        <v>285</v>
      </c>
      <c r="F6" t="s">
        <v>543</v>
      </c>
      <c r="H6">
        <v>73.33</v>
      </c>
      <c r="I6">
        <v>30</v>
      </c>
      <c r="K6">
        <v>18</v>
      </c>
      <c r="L6" t="s">
        <v>134</v>
      </c>
      <c r="M6" t="s">
        <v>616</v>
      </c>
    </row>
    <row r="7" spans="1:13" x14ac:dyDescent="0.25">
      <c r="A7">
        <v>6</v>
      </c>
      <c r="B7">
        <v>31</v>
      </c>
      <c r="D7">
        <v>2</v>
      </c>
      <c r="E7" t="s">
        <v>284</v>
      </c>
      <c r="F7" t="s">
        <v>544</v>
      </c>
      <c r="H7">
        <v>7.3330000000000002</v>
      </c>
      <c r="K7">
        <v>18</v>
      </c>
      <c r="L7" t="s">
        <v>134</v>
      </c>
      <c r="M7" t="s">
        <v>616</v>
      </c>
    </row>
    <row r="8" spans="1:13" x14ac:dyDescent="0.25">
      <c r="A8">
        <v>7</v>
      </c>
      <c r="B8">
        <v>31</v>
      </c>
      <c r="D8">
        <v>3</v>
      </c>
      <c r="E8" t="s">
        <v>281</v>
      </c>
      <c r="F8" t="s">
        <v>543</v>
      </c>
      <c r="H8">
        <v>65</v>
      </c>
      <c r="I8">
        <v>30</v>
      </c>
      <c r="K8">
        <v>18</v>
      </c>
      <c r="L8" t="s">
        <v>156</v>
      </c>
      <c r="M8" t="s">
        <v>616</v>
      </c>
    </row>
    <row r="9" spans="1:13" x14ac:dyDescent="0.25">
      <c r="A9">
        <v>8</v>
      </c>
      <c r="B9">
        <v>31</v>
      </c>
      <c r="D9">
        <v>4</v>
      </c>
      <c r="E9" t="s">
        <v>280</v>
      </c>
      <c r="F9" t="s">
        <v>544</v>
      </c>
      <c r="H9">
        <v>6.5</v>
      </c>
      <c r="K9">
        <v>18</v>
      </c>
      <c r="L9" t="s">
        <v>156</v>
      </c>
      <c r="M9" t="s">
        <v>616</v>
      </c>
    </row>
    <row r="10" spans="1:13" x14ac:dyDescent="0.25">
      <c r="A10">
        <v>9</v>
      </c>
      <c r="B10">
        <v>31</v>
      </c>
      <c r="D10">
        <v>5</v>
      </c>
      <c r="E10" t="s">
        <v>254</v>
      </c>
      <c r="F10" t="s">
        <v>543</v>
      </c>
      <c r="H10">
        <v>73.33</v>
      </c>
      <c r="I10">
        <v>30</v>
      </c>
      <c r="K10">
        <v>18</v>
      </c>
      <c r="L10" t="s">
        <v>136</v>
      </c>
      <c r="M10" t="s">
        <v>616</v>
      </c>
    </row>
    <row r="11" spans="1:13" x14ac:dyDescent="0.25">
      <c r="A11">
        <v>10</v>
      </c>
      <c r="B11">
        <v>31</v>
      </c>
      <c r="D11">
        <v>6</v>
      </c>
      <c r="E11" t="s">
        <v>253</v>
      </c>
      <c r="F11" t="s">
        <v>544</v>
      </c>
      <c r="H11">
        <v>7.3330000000000002</v>
      </c>
      <c r="K11">
        <v>18</v>
      </c>
      <c r="L11" t="s">
        <v>136</v>
      </c>
      <c r="M11" t="s">
        <v>616</v>
      </c>
    </row>
    <row r="12" spans="1:13" x14ac:dyDescent="0.25">
      <c r="A12">
        <v>11</v>
      </c>
      <c r="B12">
        <v>31</v>
      </c>
      <c r="D12">
        <v>7</v>
      </c>
      <c r="E12" t="s">
        <v>244</v>
      </c>
      <c r="F12" t="s">
        <v>543</v>
      </c>
      <c r="H12">
        <v>65</v>
      </c>
      <c r="I12">
        <v>30</v>
      </c>
      <c r="K12" t="s">
        <v>320</v>
      </c>
      <c r="L12" t="s">
        <v>137</v>
      </c>
      <c r="M12" t="s">
        <v>616</v>
      </c>
    </row>
    <row r="13" spans="1:13" x14ac:dyDescent="0.25">
      <c r="A13">
        <v>12</v>
      </c>
      <c r="B13">
        <v>31</v>
      </c>
      <c r="D13">
        <v>8</v>
      </c>
      <c r="E13" t="s">
        <v>243</v>
      </c>
      <c r="F13" t="s">
        <v>544</v>
      </c>
      <c r="H13">
        <v>6.5</v>
      </c>
      <c r="K13" t="s">
        <v>320</v>
      </c>
      <c r="L13" t="s">
        <v>137</v>
      </c>
      <c r="M13" t="s">
        <v>616</v>
      </c>
    </row>
    <row r="14" spans="1:13" x14ac:dyDescent="0.25">
      <c r="A14">
        <v>13</v>
      </c>
      <c r="B14">
        <v>31</v>
      </c>
      <c r="D14">
        <v>9</v>
      </c>
      <c r="E14" t="s">
        <v>275</v>
      </c>
      <c r="F14" t="s">
        <v>543</v>
      </c>
      <c r="H14">
        <v>73.33</v>
      </c>
      <c r="I14">
        <v>30</v>
      </c>
      <c r="K14" t="s">
        <v>320</v>
      </c>
      <c r="L14" t="s">
        <v>135</v>
      </c>
      <c r="M14" t="s">
        <v>616</v>
      </c>
    </row>
    <row r="15" spans="1:13" x14ac:dyDescent="0.25">
      <c r="A15">
        <v>14</v>
      </c>
      <c r="B15">
        <v>31</v>
      </c>
      <c r="D15">
        <v>10</v>
      </c>
      <c r="E15" t="s">
        <v>274</v>
      </c>
      <c r="F15" t="s">
        <v>544</v>
      </c>
      <c r="H15">
        <v>7.3330000000000002</v>
      </c>
      <c r="K15" t="s">
        <v>320</v>
      </c>
      <c r="L15" t="s">
        <v>135</v>
      </c>
      <c r="M15" t="s">
        <v>616</v>
      </c>
    </row>
    <row r="16" spans="1:13" x14ac:dyDescent="0.25">
      <c r="A16">
        <v>15</v>
      </c>
      <c r="B16">
        <v>31</v>
      </c>
      <c r="D16">
        <v>11</v>
      </c>
      <c r="E16" t="s">
        <v>332</v>
      </c>
      <c r="F16" t="s">
        <v>543</v>
      </c>
      <c r="H16">
        <v>55.36</v>
      </c>
      <c r="K16">
        <v>15</v>
      </c>
      <c r="L16" t="s">
        <v>326</v>
      </c>
      <c r="M16" t="s">
        <v>616</v>
      </c>
    </row>
    <row r="17" spans="1:13" x14ac:dyDescent="0.25">
      <c r="A17">
        <v>16</v>
      </c>
      <c r="B17">
        <v>31</v>
      </c>
      <c r="D17">
        <v>12</v>
      </c>
      <c r="E17" t="s">
        <v>333</v>
      </c>
      <c r="F17" t="s">
        <v>544</v>
      </c>
      <c r="H17">
        <v>5.5359999999999996</v>
      </c>
      <c r="K17">
        <v>15</v>
      </c>
      <c r="L17" t="s">
        <v>326</v>
      </c>
      <c r="M17" t="s">
        <v>616</v>
      </c>
    </row>
    <row r="18" spans="1:13" x14ac:dyDescent="0.25">
      <c r="A18">
        <v>17</v>
      </c>
      <c r="B18">
        <v>31</v>
      </c>
      <c r="D18">
        <v>13</v>
      </c>
      <c r="E18" t="s">
        <v>224</v>
      </c>
      <c r="F18" t="s">
        <v>543</v>
      </c>
      <c r="H18">
        <v>46.67</v>
      </c>
      <c r="I18">
        <v>30</v>
      </c>
      <c r="K18">
        <v>15</v>
      </c>
      <c r="L18" t="s">
        <v>157</v>
      </c>
      <c r="M18" t="s">
        <v>616</v>
      </c>
    </row>
    <row r="19" spans="1:13" x14ac:dyDescent="0.25">
      <c r="A19">
        <v>18</v>
      </c>
      <c r="B19">
        <v>31</v>
      </c>
      <c r="D19">
        <v>14</v>
      </c>
      <c r="E19" t="s">
        <v>223</v>
      </c>
      <c r="F19" t="s">
        <v>544</v>
      </c>
      <c r="H19">
        <v>4.6669999999999998</v>
      </c>
      <c r="K19">
        <v>15</v>
      </c>
      <c r="L19" t="s">
        <v>157</v>
      </c>
      <c r="M19" t="s">
        <v>616</v>
      </c>
    </row>
    <row r="20" spans="1:13" x14ac:dyDescent="0.25">
      <c r="A20">
        <v>19</v>
      </c>
      <c r="B20">
        <v>31</v>
      </c>
      <c r="D20">
        <v>15</v>
      </c>
      <c r="E20" t="s">
        <v>222</v>
      </c>
      <c r="F20" t="s">
        <v>543</v>
      </c>
      <c r="H20">
        <v>55.36</v>
      </c>
      <c r="K20">
        <v>15</v>
      </c>
      <c r="L20" t="s">
        <v>138</v>
      </c>
      <c r="M20" t="s">
        <v>616</v>
      </c>
    </row>
    <row r="21" spans="1:13" x14ac:dyDescent="0.25">
      <c r="A21">
        <v>20</v>
      </c>
      <c r="B21">
        <v>31</v>
      </c>
      <c r="D21">
        <v>16</v>
      </c>
      <c r="E21" t="s">
        <v>221</v>
      </c>
      <c r="F21" t="s">
        <v>544</v>
      </c>
      <c r="H21">
        <v>5.5359999999999996</v>
      </c>
      <c r="K21">
        <v>15</v>
      </c>
      <c r="L21" t="s">
        <v>138</v>
      </c>
      <c r="M21" t="s">
        <v>616</v>
      </c>
    </row>
    <row r="22" spans="1:13" x14ac:dyDescent="0.25">
      <c r="A22">
        <v>21</v>
      </c>
      <c r="B22">
        <v>31</v>
      </c>
      <c r="D22">
        <v>17</v>
      </c>
      <c r="E22" t="s">
        <v>297</v>
      </c>
      <c r="F22" t="s">
        <v>543</v>
      </c>
      <c r="H22">
        <v>275</v>
      </c>
      <c r="K22" t="s">
        <v>320</v>
      </c>
      <c r="L22" t="s">
        <v>139</v>
      </c>
      <c r="M22" t="s">
        <v>616</v>
      </c>
    </row>
    <row r="23" spans="1:13" x14ac:dyDescent="0.25">
      <c r="A23">
        <v>22</v>
      </c>
      <c r="B23">
        <v>31</v>
      </c>
      <c r="D23">
        <v>18</v>
      </c>
      <c r="E23" t="s">
        <v>296</v>
      </c>
      <c r="F23" t="s">
        <v>544</v>
      </c>
      <c r="H23">
        <v>27.5</v>
      </c>
      <c r="K23" t="s">
        <v>320</v>
      </c>
      <c r="L23" t="s">
        <v>139</v>
      </c>
      <c r="M23" t="s">
        <v>616</v>
      </c>
    </row>
    <row r="24" spans="1:13" x14ac:dyDescent="0.25">
      <c r="A24">
        <v>23</v>
      </c>
      <c r="B24">
        <v>31</v>
      </c>
      <c r="D24">
        <v>19</v>
      </c>
      <c r="E24" t="s">
        <v>258</v>
      </c>
      <c r="F24" t="s">
        <v>543</v>
      </c>
      <c r="H24">
        <v>58.93</v>
      </c>
      <c r="K24">
        <v>12</v>
      </c>
      <c r="L24" t="s">
        <v>140</v>
      </c>
      <c r="M24" t="s">
        <v>616</v>
      </c>
    </row>
    <row r="25" spans="1:13" x14ac:dyDescent="0.25">
      <c r="A25">
        <v>24</v>
      </c>
      <c r="B25">
        <v>31</v>
      </c>
      <c r="D25">
        <v>20</v>
      </c>
      <c r="E25" t="s">
        <v>257</v>
      </c>
      <c r="F25" t="s">
        <v>544</v>
      </c>
      <c r="H25">
        <v>5.8929999999999998</v>
      </c>
      <c r="K25">
        <v>12</v>
      </c>
      <c r="L25" t="s">
        <v>140</v>
      </c>
      <c r="M25" t="s">
        <v>616</v>
      </c>
    </row>
    <row r="26" spans="1:13" x14ac:dyDescent="0.25">
      <c r="A26">
        <v>25</v>
      </c>
      <c r="B26">
        <v>31</v>
      </c>
      <c r="D26">
        <v>21</v>
      </c>
      <c r="E26" t="s">
        <v>371</v>
      </c>
      <c r="F26" t="s">
        <v>543</v>
      </c>
      <c r="H26">
        <v>96.43</v>
      </c>
      <c r="K26" t="s">
        <v>320</v>
      </c>
      <c r="L26" t="s">
        <v>182</v>
      </c>
      <c r="M26" t="s">
        <v>616</v>
      </c>
    </row>
    <row r="27" spans="1:13" x14ac:dyDescent="0.25">
      <c r="A27">
        <v>26</v>
      </c>
      <c r="B27">
        <v>31</v>
      </c>
      <c r="D27">
        <v>22</v>
      </c>
      <c r="E27" t="s">
        <v>370</v>
      </c>
      <c r="F27" t="s">
        <v>544</v>
      </c>
      <c r="H27">
        <v>9.6430000000000007</v>
      </c>
      <c r="K27" t="s">
        <v>320</v>
      </c>
      <c r="L27" t="s">
        <v>182</v>
      </c>
      <c r="M27" t="s">
        <v>616</v>
      </c>
    </row>
    <row r="28" spans="1:13" x14ac:dyDescent="0.25">
      <c r="A28">
        <v>27</v>
      </c>
      <c r="B28">
        <v>31</v>
      </c>
      <c r="D28">
        <v>23</v>
      </c>
      <c r="E28" t="s">
        <v>369</v>
      </c>
      <c r="F28" t="s">
        <v>543</v>
      </c>
      <c r="H28">
        <v>66.069999999999993</v>
      </c>
      <c r="K28">
        <v>15</v>
      </c>
      <c r="L28" t="s">
        <v>178</v>
      </c>
      <c r="M28" t="s">
        <v>616</v>
      </c>
    </row>
    <row r="29" spans="1:13" x14ac:dyDescent="0.25">
      <c r="A29">
        <v>28</v>
      </c>
      <c r="B29">
        <v>31</v>
      </c>
      <c r="D29">
        <v>24</v>
      </c>
      <c r="E29" t="s">
        <v>368</v>
      </c>
      <c r="F29" t="s">
        <v>544</v>
      </c>
      <c r="H29">
        <v>6.6070000000000002</v>
      </c>
      <c r="K29">
        <v>15</v>
      </c>
      <c r="L29" t="s">
        <v>178</v>
      </c>
      <c r="M29" t="s">
        <v>616</v>
      </c>
    </row>
    <row r="30" spans="1:13" x14ac:dyDescent="0.25">
      <c r="A30">
        <v>29</v>
      </c>
      <c r="B30">
        <v>31</v>
      </c>
      <c r="D30">
        <v>25</v>
      </c>
      <c r="E30" t="s">
        <v>188</v>
      </c>
      <c r="F30" t="s">
        <v>544</v>
      </c>
      <c r="H30">
        <v>5.5359999999999996</v>
      </c>
      <c r="K30">
        <v>15</v>
      </c>
      <c r="L30" t="s">
        <v>152</v>
      </c>
      <c r="M30" t="s">
        <v>616</v>
      </c>
    </row>
    <row r="31" spans="1:13" x14ac:dyDescent="0.25">
      <c r="A31">
        <v>30</v>
      </c>
      <c r="B31">
        <v>31</v>
      </c>
      <c r="D31">
        <v>26</v>
      </c>
      <c r="E31" t="s">
        <v>189</v>
      </c>
      <c r="F31" t="s">
        <v>543</v>
      </c>
      <c r="H31">
        <v>55.36</v>
      </c>
      <c r="K31">
        <v>15</v>
      </c>
      <c r="L31" t="s">
        <v>152</v>
      </c>
      <c r="M31" t="s">
        <v>616</v>
      </c>
    </row>
    <row r="32" spans="1:13" x14ac:dyDescent="0.25">
      <c r="A32">
        <v>31</v>
      </c>
      <c r="B32">
        <v>31</v>
      </c>
      <c r="D32">
        <v>27</v>
      </c>
      <c r="E32" t="s">
        <v>190</v>
      </c>
      <c r="F32" t="s">
        <v>544</v>
      </c>
      <c r="H32">
        <v>5.5359999999999996</v>
      </c>
      <c r="K32">
        <v>15</v>
      </c>
      <c r="L32" t="s">
        <v>184</v>
      </c>
      <c r="M32" t="s">
        <v>616</v>
      </c>
    </row>
    <row r="33" spans="1:13" x14ac:dyDescent="0.25">
      <c r="A33">
        <v>32</v>
      </c>
      <c r="B33">
        <v>31</v>
      </c>
      <c r="D33">
        <v>28</v>
      </c>
      <c r="E33" t="s">
        <v>191</v>
      </c>
      <c r="F33" t="s">
        <v>543</v>
      </c>
      <c r="H33">
        <v>55.36</v>
      </c>
      <c r="K33">
        <v>15</v>
      </c>
      <c r="L33" t="s">
        <v>184</v>
      </c>
      <c r="M33" t="s">
        <v>616</v>
      </c>
    </row>
    <row r="34" spans="1:13" x14ac:dyDescent="0.25">
      <c r="A34">
        <v>33</v>
      </c>
      <c r="B34">
        <v>31</v>
      </c>
      <c r="D34">
        <v>29</v>
      </c>
      <c r="E34" t="s">
        <v>192</v>
      </c>
      <c r="F34" t="s">
        <v>544</v>
      </c>
      <c r="H34">
        <v>5.5359999999999996</v>
      </c>
      <c r="K34">
        <v>15</v>
      </c>
      <c r="L34" t="s">
        <v>155</v>
      </c>
      <c r="M34" t="s">
        <v>616</v>
      </c>
    </row>
    <row r="35" spans="1:13" x14ac:dyDescent="0.25">
      <c r="A35">
        <v>34</v>
      </c>
      <c r="B35">
        <v>31</v>
      </c>
      <c r="D35">
        <v>30</v>
      </c>
      <c r="E35" t="s">
        <v>193</v>
      </c>
      <c r="F35" t="s">
        <v>544</v>
      </c>
      <c r="H35">
        <v>6.25</v>
      </c>
      <c r="K35">
        <v>15</v>
      </c>
      <c r="L35" t="s">
        <v>155</v>
      </c>
      <c r="M35" t="s">
        <v>616</v>
      </c>
    </row>
    <row r="36" spans="1:13" x14ac:dyDescent="0.25">
      <c r="A36">
        <v>35</v>
      </c>
      <c r="B36">
        <v>31</v>
      </c>
      <c r="D36">
        <v>31</v>
      </c>
      <c r="E36" t="s">
        <v>194</v>
      </c>
      <c r="F36" t="s">
        <v>543</v>
      </c>
      <c r="H36">
        <v>55.36</v>
      </c>
      <c r="K36">
        <v>15</v>
      </c>
      <c r="L36" t="s">
        <v>155</v>
      </c>
      <c r="M36" t="s">
        <v>616</v>
      </c>
    </row>
    <row r="37" spans="1:13" x14ac:dyDescent="0.25">
      <c r="A37">
        <v>36</v>
      </c>
      <c r="B37">
        <v>31</v>
      </c>
      <c r="D37">
        <v>32</v>
      </c>
      <c r="E37" t="s">
        <v>195</v>
      </c>
      <c r="F37" t="s">
        <v>543</v>
      </c>
      <c r="H37">
        <v>62.5</v>
      </c>
      <c r="K37">
        <v>15</v>
      </c>
      <c r="L37" t="s">
        <v>155</v>
      </c>
      <c r="M37" t="s">
        <v>616</v>
      </c>
    </row>
    <row r="38" spans="1:13" x14ac:dyDescent="0.25">
      <c r="A38">
        <v>37</v>
      </c>
      <c r="B38">
        <v>31</v>
      </c>
      <c r="D38">
        <v>33</v>
      </c>
      <c r="E38" t="s">
        <v>196</v>
      </c>
      <c r="F38" t="s">
        <v>543</v>
      </c>
      <c r="H38">
        <v>66.67</v>
      </c>
      <c r="I38">
        <v>30</v>
      </c>
      <c r="K38">
        <v>15</v>
      </c>
      <c r="L38" t="s">
        <v>185</v>
      </c>
      <c r="M38" t="s">
        <v>616</v>
      </c>
    </row>
    <row r="39" spans="1:13" x14ac:dyDescent="0.25">
      <c r="A39">
        <v>38</v>
      </c>
      <c r="B39">
        <v>31</v>
      </c>
      <c r="D39">
        <v>34</v>
      </c>
      <c r="E39" t="s">
        <v>197</v>
      </c>
      <c r="F39" t="s">
        <v>544</v>
      </c>
      <c r="H39">
        <v>5.5359999999999996</v>
      </c>
      <c r="K39">
        <v>15</v>
      </c>
      <c r="L39" t="s">
        <v>143</v>
      </c>
      <c r="M39" t="s">
        <v>616</v>
      </c>
    </row>
    <row r="40" spans="1:13" x14ac:dyDescent="0.25">
      <c r="A40">
        <v>39</v>
      </c>
      <c r="B40">
        <v>31</v>
      </c>
      <c r="D40">
        <v>35</v>
      </c>
      <c r="E40" t="s">
        <v>198</v>
      </c>
      <c r="F40" t="s">
        <v>543</v>
      </c>
      <c r="H40">
        <v>55.36</v>
      </c>
      <c r="K40">
        <v>15</v>
      </c>
      <c r="L40" t="s">
        <v>143</v>
      </c>
      <c r="M40" t="s">
        <v>616</v>
      </c>
    </row>
    <row r="41" spans="1:13" x14ac:dyDescent="0.25">
      <c r="A41">
        <v>40</v>
      </c>
      <c r="B41">
        <v>31</v>
      </c>
      <c r="D41">
        <v>36</v>
      </c>
      <c r="E41" t="s">
        <v>199</v>
      </c>
      <c r="F41" t="s">
        <v>544</v>
      </c>
      <c r="H41">
        <v>5.5359999999999996</v>
      </c>
      <c r="K41">
        <v>15</v>
      </c>
      <c r="L41" t="s">
        <v>180</v>
      </c>
      <c r="M41" t="s">
        <v>616</v>
      </c>
    </row>
    <row r="42" spans="1:13" x14ac:dyDescent="0.25">
      <c r="A42">
        <v>41</v>
      </c>
      <c r="B42">
        <v>31</v>
      </c>
      <c r="D42">
        <v>37</v>
      </c>
      <c r="E42" t="s">
        <v>200</v>
      </c>
      <c r="F42" t="s">
        <v>543</v>
      </c>
      <c r="H42">
        <v>55.36</v>
      </c>
      <c r="K42">
        <v>15</v>
      </c>
      <c r="L42" t="s">
        <v>180</v>
      </c>
      <c r="M42" t="s">
        <v>616</v>
      </c>
    </row>
    <row r="43" spans="1:13" x14ac:dyDescent="0.25">
      <c r="A43">
        <v>42</v>
      </c>
      <c r="B43">
        <v>31</v>
      </c>
      <c r="D43">
        <v>38</v>
      </c>
      <c r="E43" t="s">
        <v>201</v>
      </c>
      <c r="F43" t="s">
        <v>544</v>
      </c>
      <c r="H43">
        <v>5.5359999999999996</v>
      </c>
      <c r="K43">
        <v>15</v>
      </c>
      <c r="L43" t="s">
        <v>176</v>
      </c>
      <c r="M43" t="s">
        <v>616</v>
      </c>
    </row>
    <row r="44" spans="1:13" x14ac:dyDescent="0.25">
      <c r="A44">
        <v>43</v>
      </c>
      <c r="B44">
        <v>31</v>
      </c>
      <c r="D44">
        <v>39</v>
      </c>
      <c r="E44" t="s">
        <v>202</v>
      </c>
      <c r="F44" t="s">
        <v>543</v>
      </c>
      <c r="H44">
        <v>55.36</v>
      </c>
      <c r="K44">
        <v>15</v>
      </c>
      <c r="L44" t="s">
        <v>176</v>
      </c>
      <c r="M44" t="s">
        <v>616</v>
      </c>
    </row>
    <row r="45" spans="1:13" x14ac:dyDescent="0.25">
      <c r="A45">
        <v>44</v>
      </c>
      <c r="B45">
        <v>31</v>
      </c>
      <c r="D45">
        <v>40</v>
      </c>
      <c r="E45" t="s">
        <v>203</v>
      </c>
      <c r="F45" t="s">
        <v>544</v>
      </c>
      <c r="H45">
        <v>5.5359999999999996</v>
      </c>
      <c r="K45">
        <v>15</v>
      </c>
      <c r="L45" t="s">
        <v>165</v>
      </c>
      <c r="M45" t="s">
        <v>616</v>
      </c>
    </row>
    <row r="46" spans="1:13" x14ac:dyDescent="0.25">
      <c r="A46">
        <v>45</v>
      </c>
      <c r="B46">
        <v>31</v>
      </c>
      <c r="D46">
        <v>41</v>
      </c>
      <c r="E46" t="s">
        <v>204</v>
      </c>
      <c r="F46" t="s">
        <v>543</v>
      </c>
      <c r="H46">
        <v>55.36</v>
      </c>
      <c r="K46">
        <v>15</v>
      </c>
      <c r="L46" t="s">
        <v>165</v>
      </c>
      <c r="M46" t="s">
        <v>616</v>
      </c>
    </row>
    <row r="47" spans="1:13" x14ac:dyDescent="0.25">
      <c r="A47">
        <v>46</v>
      </c>
      <c r="B47">
        <v>31</v>
      </c>
      <c r="D47">
        <v>42</v>
      </c>
      <c r="E47" t="s">
        <v>205</v>
      </c>
      <c r="F47" t="s">
        <v>544</v>
      </c>
      <c r="H47">
        <v>6.6070000000000002</v>
      </c>
      <c r="K47">
        <v>18</v>
      </c>
      <c r="L47" t="s">
        <v>154</v>
      </c>
      <c r="M47" t="s">
        <v>616</v>
      </c>
    </row>
    <row r="48" spans="1:13" x14ac:dyDescent="0.25">
      <c r="A48">
        <v>47</v>
      </c>
      <c r="B48">
        <v>31</v>
      </c>
      <c r="D48">
        <v>43</v>
      </c>
      <c r="E48" t="s">
        <v>206</v>
      </c>
      <c r="F48" t="s">
        <v>543</v>
      </c>
      <c r="H48">
        <v>66.069999999999993</v>
      </c>
      <c r="K48">
        <v>18</v>
      </c>
      <c r="L48" t="s">
        <v>154</v>
      </c>
      <c r="M48" t="s">
        <v>616</v>
      </c>
    </row>
    <row r="49" spans="1:13" x14ac:dyDescent="0.25">
      <c r="A49">
        <v>48</v>
      </c>
      <c r="B49">
        <v>31</v>
      </c>
      <c r="D49">
        <v>44</v>
      </c>
      <c r="E49" t="s">
        <v>207</v>
      </c>
      <c r="F49" t="s">
        <v>544</v>
      </c>
      <c r="H49">
        <v>5.5359999999999996</v>
      </c>
      <c r="K49">
        <v>15</v>
      </c>
      <c r="L49" t="s">
        <v>153</v>
      </c>
      <c r="M49" t="s">
        <v>616</v>
      </c>
    </row>
    <row r="50" spans="1:13" x14ac:dyDescent="0.25">
      <c r="A50">
        <v>49</v>
      </c>
      <c r="B50">
        <v>31</v>
      </c>
      <c r="D50">
        <v>45</v>
      </c>
      <c r="E50" t="s">
        <v>208</v>
      </c>
      <c r="F50" t="s">
        <v>543</v>
      </c>
      <c r="H50">
        <v>55.36</v>
      </c>
      <c r="K50">
        <v>15</v>
      </c>
      <c r="L50" t="s">
        <v>153</v>
      </c>
      <c r="M50" t="s">
        <v>616</v>
      </c>
    </row>
    <row r="51" spans="1:13" x14ac:dyDescent="0.25">
      <c r="A51">
        <v>50</v>
      </c>
      <c r="B51">
        <v>31</v>
      </c>
      <c r="D51">
        <v>46</v>
      </c>
      <c r="E51" t="s">
        <v>209</v>
      </c>
      <c r="F51" t="s">
        <v>544</v>
      </c>
      <c r="H51">
        <v>5.5359999999999996</v>
      </c>
      <c r="K51">
        <v>14.999999999999998</v>
      </c>
      <c r="L51" t="s">
        <v>162</v>
      </c>
      <c r="M51" t="s">
        <v>616</v>
      </c>
    </row>
    <row r="52" spans="1:13" x14ac:dyDescent="0.25">
      <c r="A52">
        <v>51</v>
      </c>
      <c r="B52">
        <v>31</v>
      </c>
      <c r="D52">
        <v>47</v>
      </c>
      <c r="E52" t="s">
        <v>210</v>
      </c>
      <c r="F52" t="s">
        <v>543</v>
      </c>
      <c r="H52">
        <v>55.36</v>
      </c>
      <c r="K52">
        <v>14.999999999999998</v>
      </c>
      <c r="L52" t="s">
        <v>162</v>
      </c>
      <c r="M52" t="s">
        <v>616</v>
      </c>
    </row>
    <row r="53" spans="1:13" x14ac:dyDescent="0.25">
      <c r="A53">
        <v>52</v>
      </c>
      <c r="B53">
        <v>31</v>
      </c>
      <c r="D53">
        <v>48</v>
      </c>
      <c r="E53" t="s">
        <v>211</v>
      </c>
      <c r="F53" t="s">
        <v>544</v>
      </c>
      <c r="H53">
        <v>6.25</v>
      </c>
      <c r="K53">
        <v>15</v>
      </c>
      <c r="L53" t="s">
        <v>171</v>
      </c>
      <c r="M53" t="s">
        <v>616</v>
      </c>
    </row>
    <row r="54" spans="1:13" x14ac:dyDescent="0.25">
      <c r="A54">
        <v>53</v>
      </c>
      <c r="B54">
        <v>31</v>
      </c>
      <c r="D54">
        <v>49</v>
      </c>
      <c r="E54" t="s">
        <v>212</v>
      </c>
      <c r="F54" t="s">
        <v>543</v>
      </c>
      <c r="H54">
        <v>62.5</v>
      </c>
      <c r="K54">
        <v>15</v>
      </c>
      <c r="L54" t="s">
        <v>171</v>
      </c>
      <c r="M54" t="s">
        <v>616</v>
      </c>
    </row>
    <row r="55" spans="1:13" x14ac:dyDescent="0.25">
      <c r="A55">
        <v>54</v>
      </c>
      <c r="B55">
        <v>31</v>
      </c>
      <c r="D55">
        <v>50</v>
      </c>
      <c r="E55" t="s">
        <v>213</v>
      </c>
      <c r="F55" t="s">
        <v>544</v>
      </c>
      <c r="H55">
        <v>5.5359999999999996</v>
      </c>
      <c r="K55">
        <v>15</v>
      </c>
      <c r="L55" t="s">
        <v>146</v>
      </c>
      <c r="M55" t="s">
        <v>616</v>
      </c>
    </row>
    <row r="56" spans="1:13" x14ac:dyDescent="0.25">
      <c r="A56">
        <v>55</v>
      </c>
      <c r="B56">
        <v>31</v>
      </c>
      <c r="D56">
        <v>51</v>
      </c>
      <c r="E56" t="s">
        <v>214</v>
      </c>
      <c r="F56" t="s">
        <v>543</v>
      </c>
      <c r="H56">
        <v>55.36</v>
      </c>
      <c r="K56">
        <v>15</v>
      </c>
      <c r="L56" t="s">
        <v>146</v>
      </c>
      <c r="M56" t="s">
        <v>616</v>
      </c>
    </row>
    <row r="57" spans="1:13" x14ac:dyDescent="0.25">
      <c r="A57">
        <v>56</v>
      </c>
      <c r="B57">
        <v>31</v>
      </c>
      <c r="D57">
        <v>52</v>
      </c>
      <c r="E57" t="s">
        <v>215</v>
      </c>
      <c r="F57" t="s">
        <v>544</v>
      </c>
      <c r="H57">
        <v>0</v>
      </c>
      <c r="K57">
        <v>15</v>
      </c>
      <c r="L57" t="s">
        <v>150</v>
      </c>
      <c r="M57" t="s">
        <v>616</v>
      </c>
    </row>
    <row r="58" spans="1:13" x14ac:dyDescent="0.25">
      <c r="A58">
        <v>57</v>
      </c>
      <c r="B58">
        <v>31</v>
      </c>
      <c r="D58">
        <v>53</v>
      </c>
      <c r="E58" t="s">
        <v>216</v>
      </c>
      <c r="F58" t="s">
        <v>543</v>
      </c>
      <c r="H58">
        <v>55.36</v>
      </c>
      <c r="K58">
        <v>15</v>
      </c>
      <c r="L58" t="s">
        <v>150</v>
      </c>
      <c r="M58" t="s">
        <v>616</v>
      </c>
    </row>
    <row r="59" spans="1:13" x14ac:dyDescent="0.25">
      <c r="A59">
        <v>58</v>
      </c>
      <c r="B59">
        <v>31</v>
      </c>
      <c r="D59">
        <v>54</v>
      </c>
      <c r="E59" t="s">
        <v>217</v>
      </c>
      <c r="F59" t="s">
        <v>544</v>
      </c>
      <c r="H59">
        <v>5.5359999999999996</v>
      </c>
      <c r="K59">
        <v>15</v>
      </c>
      <c r="L59" t="s">
        <v>181</v>
      </c>
      <c r="M59" t="s">
        <v>616</v>
      </c>
    </row>
    <row r="60" spans="1:13" x14ac:dyDescent="0.25">
      <c r="A60">
        <v>59</v>
      </c>
      <c r="B60">
        <v>31</v>
      </c>
      <c r="D60">
        <v>55</v>
      </c>
      <c r="E60" t="s">
        <v>218</v>
      </c>
      <c r="F60" t="s">
        <v>543</v>
      </c>
      <c r="H60">
        <v>55.36</v>
      </c>
      <c r="K60">
        <v>15</v>
      </c>
      <c r="L60" t="s">
        <v>181</v>
      </c>
      <c r="M60" t="s">
        <v>616</v>
      </c>
    </row>
    <row r="61" spans="1:13" x14ac:dyDescent="0.25">
      <c r="A61">
        <v>60</v>
      </c>
      <c r="B61">
        <v>31</v>
      </c>
      <c r="D61">
        <v>56</v>
      </c>
      <c r="E61" t="s">
        <v>219</v>
      </c>
      <c r="F61" t="s">
        <v>544</v>
      </c>
      <c r="H61">
        <v>5.5359999999999996</v>
      </c>
      <c r="K61">
        <v>15</v>
      </c>
      <c r="L61" t="s">
        <v>161</v>
      </c>
      <c r="M61" t="s">
        <v>616</v>
      </c>
    </row>
    <row r="62" spans="1:13" x14ac:dyDescent="0.25">
      <c r="A62">
        <v>61</v>
      </c>
      <c r="B62">
        <v>31</v>
      </c>
      <c r="D62">
        <v>57</v>
      </c>
      <c r="E62" t="s">
        <v>220</v>
      </c>
      <c r="F62" t="s">
        <v>543</v>
      </c>
      <c r="H62">
        <v>55.36</v>
      </c>
      <c r="K62">
        <v>15</v>
      </c>
      <c r="L62" t="s">
        <v>161</v>
      </c>
      <c r="M62" t="s">
        <v>616</v>
      </c>
    </row>
    <row r="63" spans="1:13" x14ac:dyDescent="0.25">
      <c r="A63">
        <v>62</v>
      </c>
      <c r="B63">
        <v>31</v>
      </c>
      <c r="D63">
        <v>58</v>
      </c>
      <c r="E63" t="s">
        <v>225</v>
      </c>
      <c r="F63" t="s">
        <v>544</v>
      </c>
      <c r="H63">
        <v>5.5359999999999996</v>
      </c>
      <c r="K63">
        <v>15</v>
      </c>
      <c r="L63" t="s">
        <v>145</v>
      </c>
      <c r="M63" t="s">
        <v>616</v>
      </c>
    </row>
    <row r="64" spans="1:13" x14ac:dyDescent="0.25">
      <c r="A64">
        <v>63</v>
      </c>
      <c r="B64">
        <v>31</v>
      </c>
      <c r="D64">
        <v>59</v>
      </c>
      <c r="E64" t="s">
        <v>226</v>
      </c>
      <c r="F64" t="s">
        <v>543</v>
      </c>
      <c r="H64">
        <v>55.36</v>
      </c>
      <c r="K64">
        <v>15</v>
      </c>
      <c r="L64" t="s">
        <v>145</v>
      </c>
      <c r="M64" t="s">
        <v>616</v>
      </c>
    </row>
    <row r="65" spans="1:13" x14ac:dyDescent="0.25">
      <c r="A65">
        <v>64</v>
      </c>
      <c r="B65">
        <v>31</v>
      </c>
      <c r="D65">
        <v>60</v>
      </c>
      <c r="E65" t="s">
        <v>227</v>
      </c>
      <c r="F65" t="s">
        <v>544</v>
      </c>
      <c r="H65">
        <v>5.5359999999999996</v>
      </c>
      <c r="K65">
        <v>15</v>
      </c>
      <c r="L65" t="s">
        <v>141</v>
      </c>
      <c r="M65" t="s">
        <v>616</v>
      </c>
    </row>
    <row r="66" spans="1:13" x14ac:dyDescent="0.25">
      <c r="A66">
        <v>65</v>
      </c>
      <c r="B66">
        <v>31</v>
      </c>
      <c r="D66">
        <v>61</v>
      </c>
      <c r="E66" t="s">
        <v>228</v>
      </c>
      <c r="F66" t="s">
        <v>543</v>
      </c>
      <c r="H66">
        <v>55.36</v>
      </c>
      <c r="K66">
        <v>15</v>
      </c>
      <c r="L66" t="s">
        <v>141</v>
      </c>
      <c r="M66" t="s">
        <v>616</v>
      </c>
    </row>
    <row r="67" spans="1:13" x14ac:dyDescent="0.25">
      <c r="A67">
        <v>66</v>
      </c>
      <c r="B67">
        <v>31</v>
      </c>
      <c r="D67">
        <v>62</v>
      </c>
      <c r="E67" t="s">
        <v>229</v>
      </c>
      <c r="F67" t="s">
        <v>542</v>
      </c>
      <c r="H67">
        <v>91.34</v>
      </c>
      <c r="K67">
        <v>15</v>
      </c>
      <c r="L67" t="s">
        <v>151</v>
      </c>
      <c r="M67" t="s">
        <v>616</v>
      </c>
    </row>
    <row r="68" spans="1:13" x14ac:dyDescent="0.25">
      <c r="A68">
        <v>67</v>
      </c>
      <c r="B68">
        <v>31</v>
      </c>
      <c r="D68">
        <v>63</v>
      </c>
      <c r="E68" t="s">
        <v>230</v>
      </c>
      <c r="F68" t="s">
        <v>542</v>
      </c>
      <c r="H68">
        <v>99.65</v>
      </c>
      <c r="K68">
        <v>15</v>
      </c>
      <c r="L68" t="s">
        <v>151</v>
      </c>
      <c r="M68" t="s">
        <v>616</v>
      </c>
    </row>
    <row r="69" spans="1:13" x14ac:dyDescent="0.25">
      <c r="A69">
        <v>68</v>
      </c>
      <c r="B69">
        <v>31</v>
      </c>
      <c r="D69">
        <v>64</v>
      </c>
      <c r="E69" t="s">
        <v>231</v>
      </c>
      <c r="F69" t="s">
        <v>544</v>
      </c>
      <c r="H69">
        <v>5.5359999999999996</v>
      </c>
      <c r="K69">
        <v>15</v>
      </c>
      <c r="L69" t="s">
        <v>151</v>
      </c>
      <c r="M69" t="s">
        <v>616</v>
      </c>
    </row>
    <row r="70" spans="1:13" x14ac:dyDescent="0.25">
      <c r="A70">
        <v>69</v>
      </c>
      <c r="B70">
        <v>31</v>
      </c>
      <c r="D70">
        <v>65</v>
      </c>
      <c r="E70" t="s">
        <v>232</v>
      </c>
      <c r="F70" t="s">
        <v>543</v>
      </c>
      <c r="H70">
        <v>55.36</v>
      </c>
      <c r="K70">
        <v>15</v>
      </c>
      <c r="L70" t="s">
        <v>151</v>
      </c>
      <c r="M70" t="s">
        <v>616</v>
      </c>
    </row>
    <row r="71" spans="1:13" x14ac:dyDescent="0.25">
      <c r="A71">
        <v>70</v>
      </c>
      <c r="B71">
        <v>31</v>
      </c>
      <c r="D71">
        <v>66</v>
      </c>
      <c r="E71" t="s">
        <v>233</v>
      </c>
      <c r="F71" t="s">
        <v>544</v>
      </c>
      <c r="H71">
        <v>4</v>
      </c>
      <c r="K71" t="s">
        <v>320</v>
      </c>
      <c r="L71" t="s">
        <v>183</v>
      </c>
      <c r="M71" t="s">
        <v>616</v>
      </c>
    </row>
    <row r="72" spans="1:13" x14ac:dyDescent="0.25">
      <c r="A72">
        <v>71</v>
      </c>
      <c r="B72">
        <v>31</v>
      </c>
      <c r="D72">
        <v>67</v>
      </c>
      <c r="E72" t="s">
        <v>234</v>
      </c>
      <c r="F72" t="s">
        <v>543</v>
      </c>
      <c r="H72">
        <v>40</v>
      </c>
      <c r="I72">
        <v>30</v>
      </c>
      <c r="K72" t="s">
        <v>320</v>
      </c>
      <c r="L72" t="s">
        <v>183</v>
      </c>
      <c r="M72" t="s">
        <v>616</v>
      </c>
    </row>
    <row r="73" spans="1:13" x14ac:dyDescent="0.25">
      <c r="A73">
        <v>72</v>
      </c>
      <c r="B73">
        <v>31</v>
      </c>
      <c r="D73">
        <v>68</v>
      </c>
      <c r="E73" t="s">
        <v>235</v>
      </c>
      <c r="F73" t="s">
        <v>544</v>
      </c>
      <c r="H73">
        <v>7.3330000000000002</v>
      </c>
      <c r="K73">
        <v>18</v>
      </c>
      <c r="L73" t="s">
        <v>149</v>
      </c>
      <c r="M73" t="s">
        <v>616</v>
      </c>
    </row>
    <row r="74" spans="1:13" x14ac:dyDescent="0.25">
      <c r="A74">
        <v>73</v>
      </c>
      <c r="B74">
        <v>31</v>
      </c>
      <c r="D74">
        <v>69</v>
      </c>
      <c r="E74" t="s">
        <v>236</v>
      </c>
      <c r="F74" t="s">
        <v>543</v>
      </c>
      <c r="H74">
        <v>73.33</v>
      </c>
      <c r="I74">
        <v>30</v>
      </c>
      <c r="K74">
        <v>18</v>
      </c>
      <c r="L74" t="s">
        <v>149</v>
      </c>
      <c r="M74" t="s">
        <v>616</v>
      </c>
    </row>
    <row r="75" spans="1:13" x14ac:dyDescent="0.25">
      <c r="A75">
        <v>74</v>
      </c>
      <c r="B75">
        <v>31</v>
      </c>
      <c r="D75">
        <v>70</v>
      </c>
      <c r="E75" t="s">
        <v>237</v>
      </c>
      <c r="F75" t="s">
        <v>544</v>
      </c>
      <c r="H75">
        <v>7.3330000000000002</v>
      </c>
      <c r="K75">
        <v>18</v>
      </c>
      <c r="L75" t="s">
        <v>147</v>
      </c>
      <c r="M75" t="s">
        <v>616</v>
      </c>
    </row>
    <row r="76" spans="1:13" x14ac:dyDescent="0.25">
      <c r="A76">
        <v>75</v>
      </c>
      <c r="B76">
        <v>31</v>
      </c>
      <c r="D76">
        <v>71</v>
      </c>
      <c r="E76" t="s">
        <v>238</v>
      </c>
      <c r="F76" t="s">
        <v>543</v>
      </c>
      <c r="H76">
        <v>73.33</v>
      </c>
      <c r="I76">
        <v>30</v>
      </c>
      <c r="K76">
        <v>18</v>
      </c>
      <c r="L76" t="s">
        <v>147</v>
      </c>
      <c r="M76" t="s">
        <v>616</v>
      </c>
    </row>
    <row r="77" spans="1:13" x14ac:dyDescent="0.25">
      <c r="A77">
        <v>76</v>
      </c>
      <c r="B77">
        <v>31</v>
      </c>
      <c r="D77">
        <v>72</v>
      </c>
      <c r="E77" t="s">
        <v>239</v>
      </c>
      <c r="F77" t="s">
        <v>544</v>
      </c>
      <c r="H77">
        <v>7.3330000000000002</v>
      </c>
      <c r="K77">
        <v>17.999999999999996</v>
      </c>
      <c r="L77" t="s">
        <v>173</v>
      </c>
      <c r="M77" t="s">
        <v>616</v>
      </c>
    </row>
    <row r="78" spans="1:13" x14ac:dyDescent="0.25">
      <c r="A78">
        <v>77</v>
      </c>
      <c r="B78">
        <v>31</v>
      </c>
      <c r="D78">
        <v>73</v>
      </c>
      <c r="E78" t="s">
        <v>240</v>
      </c>
      <c r="F78" t="s">
        <v>543</v>
      </c>
      <c r="H78">
        <v>73.33</v>
      </c>
      <c r="I78">
        <v>30</v>
      </c>
      <c r="K78">
        <v>17.999999999999996</v>
      </c>
      <c r="L78" t="s">
        <v>173</v>
      </c>
      <c r="M78" t="s">
        <v>616</v>
      </c>
    </row>
    <row r="79" spans="1:13" x14ac:dyDescent="0.25">
      <c r="A79">
        <v>78</v>
      </c>
      <c r="B79">
        <v>31</v>
      </c>
      <c r="D79">
        <v>74</v>
      </c>
      <c r="E79" t="s">
        <v>241</v>
      </c>
      <c r="F79" t="s">
        <v>544</v>
      </c>
      <c r="H79">
        <v>5.5359999999999996</v>
      </c>
      <c r="K79">
        <v>15</v>
      </c>
      <c r="L79" t="s">
        <v>172</v>
      </c>
      <c r="M79" t="s">
        <v>616</v>
      </c>
    </row>
    <row r="80" spans="1:13" x14ac:dyDescent="0.25">
      <c r="A80">
        <v>79</v>
      </c>
      <c r="B80">
        <v>31</v>
      </c>
      <c r="D80">
        <v>75</v>
      </c>
      <c r="E80" t="s">
        <v>242</v>
      </c>
      <c r="F80" t="s">
        <v>543</v>
      </c>
      <c r="H80">
        <v>55.36</v>
      </c>
      <c r="K80">
        <v>15</v>
      </c>
      <c r="L80" t="s">
        <v>172</v>
      </c>
      <c r="M80" t="s">
        <v>616</v>
      </c>
    </row>
    <row r="81" spans="1:13" x14ac:dyDescent="0.25">
      <c r="A81">
        <v>80</v>
      </c>
      <c r="B81">
        <v>31</v>
      </c>
      <c r="D81">
        <v>76</v>
      </c>
      <c r="E81" t="s">
        <v>245</v>
      </c>
      <c r="F81" t="s">
        <v>544</v>
      </c>
      <c r="H81">
        <v>5.5359999999999996</v>
      </c>
      <c r="K81">
        <v>15</v>
      </c>
      <c r="L81" t="s">
        <v>167</v>
      </c>
      <c r="M81" t="s">
        <v>616</v>
      </c>
    </row>
    <row r="82" spans="1:13" x14ac:dyDescent="0.25">
      <c r="A82">
        <v>81</v>
      </c>
      <c r="B82">
        <v>31</v>
      </c>
      <c r="D82">
        <v>77</v>
      </c>
      <c r="E82" t="s">
        <v>246</v>
      </c>
      <c r="F82" t="s">
        <v>543</v>
      </c>
      <c r="H82">
        <v>55.36</v>
      </c>
      <c r="K82">
        <v>15</v>
      </c>
      <c r="L82" t="s">
        <v>167</v>
      </c>
      <c r="M82" t="s">
        <v>616</v>
      </c>
    </row>
    <row r="83" spans="1:13" x14ac:dyDescent="0.25">
      <c r="A83">
        <v>82</v>
      </c>
      <c r="B83">
        <v>31</v>
      </c>
      <c r="D83">
        <v>78</v>
      </c>
      <c r="E83" t="s">
        <v>247</v>
      </c>
      <c r="F83" t="s">
        <v>544</v>
      </c>
      <c r="H83">
        <v>6.25</v>
      </c>
      <c r="K83">
        <v>15</v>
      </c>
      <c r="L83" t="s">
        <v>177</v>
      </c>
      <c r="M83" t="s">
        <v>616</v>
      </c>
    </row>
    <row r="84" spans="1:13" x14ac:dyDescent="0.25">
      <c r="A84">
        <v>83</v>
      </c>
      <c r="B84">
        <v>31</v>
      </c>
      <c r="D84">
        <v>79</v>
      </c>
      <c r="E84" t="s">
        <v>248</v>
      </c>
      <c r="F84" t="s">
        <v>543</v>
      </c>
      <c r="H84">
        <v>62.5</v>
      </c>
      <c r="K84">
        <v>15</v>
      </c>
      <c r="L84" t="s">
        <v>177</v>
      </c>
      <c r="M84" t="s">
        <v>616</v>
      </c>
    </row>
    <row r="85" spans="1:13" x14ac:dyDescent="0.25">
      <c r="A85">
        <v>84</v>
      </c>
      <c r="B85">
        <v>31</v>
      </c>
      <c r="D85">
        <v>80</v>
      </c>
      <c r="E85" t="s">
        <v>249</v>
      </c>
      <c r="F85" t="s">
        <v>544</v>
      </c>
      <c r="H85">
        <v>5.5359999999999996</v>
      </c>
      <c r="K85">
        <v>14.999999999999998</v>
      </c>
      <c r="L85" t="s">
        <v>169</v>
      </c>
      <c r="M85" t="s">
        <v>616</v>
      </c>
    </row>
    <row r="86" spans="1:13" x14ac:dyDescent="0.25">
      <c r="A86">
        <v>85</v>
      </c>
      <c r="B86">
        <v>31</v>
      </c>
      <c r="D86">
        <v>81</v>
      </c>
      <c r="E86" t="s">
        <v>250</v>
      </c>
      <c r="F86" t="s">
        <v>543</v>
      </c>
      <c r="H86">
        <v>55.36</v>
      </c>
      <c r="K86">
        <v>14.999999999999998</v>
      </c>
      <c r="L86" t="s">
        <v>169</v>
      </c>
      <c r="M86" t="s">
        <v>616</v>
      </c>
    </row>
    <row r="87" spans="1:13" x14ac:dyDescent="0.25">
      <c r="A87">
        <v>86</v>
      </c>
      <c r="B87">
        <v>31</v>
      </c>
      <c r="D87">
        <v>82</v>
      </c>
      <c r="E87" t="s">
        <v>251</v>
      </c>
      <c r="F87" t="s">
        <v>544</v>
      </c>
      <c r="H87">
        <v>7.3330000000000002</v>
      </c>
      <c r="K87">
        <v>17.999999999999996</v>
      </c>
      <c r="L87" t="s">
        <v>170</v>
      </c>
      <c r="M87" t="s">
        <v>616</v>
      </c>
    </row>
    <row r="88" spans="1:13" x14ac:dyDescent="0.25">
      <c r="A88">
        <v>87</v>
      </c>
      <c r="B88">
        <v>31</v>
      </c>
      <c r="D88">
        <v>83</v>
      </c>
      <c r="E88" t="s">
        <v>252</v>
      </c>
      <c r="F88" t="s">
        <v>543</v>
      </c>
      <c r="H88">
        <v>73.33</v>
      </c>
      <c r="I88">
        <v>30</v>
      </c>
      <c r="K88">
        <v>17.999999999999996</v>
      </c>
      <c r="L88" t="s">
        <v>170</v>
      </c>
      <c r="M88" t="s">
        <v>616</v>
      </c>
    </row>
    <row r="89" spans="1:13" x14ac:dyDescent="0.25">
      <c r="A89">
        <v>88</v>
      </c>
      <c r="B89">
        <v>31</v>
      </c>
      <c r="D89">
        <v>84</v>
      </c>
      <c r="E89" t="s">
        <v>255</v>
      </c>
      <c r="F89" t="s">
        <v>544</v>
      </c>
      <c r="H89">
        <v>4</v>
      </c>
      <c r="K89" t="s">
        <v>320</v>
      </c>
      <c r="L89" t="s">
        <v>158</v>
      </c>
      <c r="M89" t="s">
        <v>616</v>
      </c>
    </row>
    <row r="90" spans="1:13" x14ac:dyDescent="0.25">
      <c r="A90">
        <v>89</v>
      </c>
      <c r="B90">
        <v>31</v>
      </c>
      <c r="D90">
        <v>85</v>
      </c>
      <c r="E90" t="s">
        <v>256</v>
      </c>
      <c r="F90" t="s">
        <v>543</v>
      </c>
      <c r="H90">
        <v>40</v>
      </c>
      <c r="I90">
        <v>30</v>
      </c>
      <c r="K90" t="s">
        <v>320</v>
      </c>
      <c r="L90" t="s">
        <v>158</v>
      </c>
      <c r="M90" t="s">
        <v>616</v>
      </c>
    </row>
    <row r="91" spans="1:13" x14ac:dyDescent="0.25">
      <c r="A91">
        <v>90</v>
      </c>
      <c r="B91">
        <v>31</v>
      </c>
      <c r="D91">
        <v>86</v>
      </c>
      <c r="E91" t="s">
        <v>259</v>
      </c>
      <c r="F91" t="s">
        <v>544</v>
      </c>
      <c r="H91">
        <v>5.5359999999999996</v>
      </c>
      <c r="K91">
        <v>15</v>
      </c>
      <c r="L91" t="s">
        <v>166</v>
      </c>
      <c r="M91" t="s">
        <v>616</v>
      </c>
    </row>
    <row r="92" spans="1:13" x14ac:dyDescent="0.25">
      <c r="A92">
        <v>91</v>
      </c>
      <c r="B92">
        <v>31</v>
      </c>
      <c r="D92">
        <v>87</v>
      </c>
      <c r="E92" t="s">
        <v>260</v>
      </c>
      <c r="F92" t="s">
        <v>543</v>
      </c>
      <c r="H92">
        <v>55.36</v>
      </c>
      <c r="K92">
        <v>15</v>
      </c>
      <c r="L92" t="s">
        <v>166</v>
      </c>
      <c r="M92" t="s">
        <v>616</v>
      </c>
    </row>
    <row r="93" spans="1:13" x14ac:dyDescent="0.25">
      <c r="A93">
        <v>92</v>
      </c>
      <c r="B93">
        <v>31</v>
      </c>
      <c r="D93">
        <v>88</v>
      </c>
      <c r="E93" t="s">
        <v>261</v>
      </c>
      <c r="F93" t="s">
        <v>544</v>
      </c>
      <c r="H93">
        <v>4</v>
      </c>
      <c r="K93">
        <v>15</v>
      </c>
      <c r="L93" t="s">
        <v>351</v>
      </c>
      <c r="M93" t="s">
        <v>616</v>
      </c>
    </row>
    <row r="94" spans="1:13" x14ac:dyDescent="0.25">
      <c r="A94">
        <v>93</v>
      </c>
      <c r="B94">
        <v>31</v>
      </c>
      <c r="D94">
        <v>89</v>
      </c>
      <c r="E94" t="s">
        <v>262</v>
      </c>
      <c r="F94" t="s">
        <v>543</v>
      </c>
      <c r="H94">
        <v>40</v>
      </c>
      <c r="K94">
        <v>15</v>
      </c>
      <c r="L94" t="s">
        <v>351</v>
      </c>
      <c r="M94" t="s">
        <v>616</v>
      </c>
    </row>
    <row r="95" spans="1:13" x14ac:dyDescent="0.25">
      <c r="A95">
        <v>94</v>
      </c>
      <c r="B95">
        <v>31</v>
      </c>
      <c r="D95">
        <v>90</v>
      </c>
      <c r="E95" t="s">
        <v>263</v>
      </c>
      <c r="F95" t="s">
        <v>542</v>
      </c>
      <c r="H95">
        <v>91.34</v>
      </c>
      <c r="K95">
        <v>15</v>
      </c>
      <c r="L95" t="s">
        <v>144</v>
      </c>
      <c r="M95" t="s">
        <v>616</v>
      </c>
    </row>
    <row r="96" spans="1:13" x14ac:dyDescent="0.25">
      <c r="A96">
        <v>95</v>
      </c>
      <c r="B96">
        <v>31</v>
      </c>
      <c r="D96">
        <v>91</v>
      </c>
      <c r="E96" t="s">
        <v>264</v>
      </c>
      <c r="F96" t="s">
        <v>542</v>
      </c>
      <c r="H96">
        <v>99.647999999999996</v>
      </c>
      <c r="K96">
        <v>15</v>
      </c>
      <c r="L96" t="s">
        <v>144</v>
      </c>
      <c r="M96" t="s">
        <v>616</v>
      </c>
    </row>
    <row r="97" spans="1:13" x14ac:dyDescent="0.25">
      <c r="A97">
        <v>96</v>
      </c>
      <c r="B97">
        <v>31</v>
      </c>
      <c r="D97">
        <v>92</v>
      </c>
      <c r="E97" t="s">
        <v>265</v>
      </c>
      <c r="F97" t="s">
        <v>544</v>
      </c>
      <c r="H97">
        <v>5.5359999999999996</v>
      </c>
      <c r="K97">
        <v>15</v>
      </c>
      <c r="L97" t="s">
        <v>144</v>
      </c>
      <c r="M97" t="s">
        <v>616</v>
      </c>
    </row>
    <row r="98" spans="1:13" x14ac:dyDescent="0.25">
      <c r="A98">
        <v>97</v>
      </c>
      <c r="B98">
        <v>31</v>
      </c>
      <c r="D98">
        <v>93</v>
      </c>
      <c r="E98" t="s">
        <v>266</v>
      </c>
      <c r="F98" t="s">
        <v>543</v>
      </c>
      <c r="H98">
        <v>55.36</v>
      </c>
      <c r="K98">
        <v>15</v>
      </c>
      <c r="L98" t="s">
        <v>144</v>
      </c>
      <c r="M98" t="s">
        <v>616</v>
      </c>
    </row>
    <row r="99" spans="1:13" x14ac:dyDescent="0.25">
      <c r="A99">
        <v>98</v>
      </c>
      <c r="B99">
        <v>31</v>
      </c>
      <c r="D99">
        <v>94</v>
      </c>
      <c r="E99" t="s">
        <v>268</v>
      </c>
      <c r="F99" t="s">
        <v>543</v>
      </c>
      <c r="H99">
        <v>55.36</v>
      </c>
      <c r="K99">
        <v>15</v>
      </c>
      <c r="L99" t="s">
        <v>129</v>
      </c>
      <c r="M99" t="s">
        <v>616</v>
      </c>
    </row>
    <row r="100" spans="1:13" x14ac:dyDescent="0.25">
      <c r="A100">
        <v>99</v>
      </c>
      <c r="B100">
        <v>31</v>
      </c>
      <c r="D100">
        <v>95</v>
      </c>
      <c r="E100" t="s">
        <v>267</v>
      </c>
      <c r="F100" t="s">
        <v>544</v>
      </c>
      <c r="H100">
        <v>5.5359999999999996</v>
      </c>
      <c r="K100">
        <v>15</v>
      </c>
      <c r="L100" t="s">
        <v>129</v>
      </c>
      <c r="M100" t="s">
        <v>616</v>
      </c>
    </row>
    <row r="101" spans="1:13" x14ac:dyDescent="0.25">
      <c r="A101">
        <v>100</v>
      </c>
      <c r="B101">
        <v>31</v>
      </c>
      <c r="D101">
        <v>96</v>
      </c>
      <c r="E101" t="s">
        <v>269</v>
      </c>
      <c r="F101" t="s">
        <v>544</v>
      </c>
      <c r="H101">
        <v>5.5359999999999996</v>
      </c>
      <c r="K101">
        <v>15</v>
      </c>
      <c r="L101" t="s">
        <v>142</v>
      </c>
      <c r="M101" t="s">
        <v>616</v>
      </c>
    </row>
    <row r="102" spans="1:13" x14ac:dyDescent="0.25">
      <c r="A102">
        <v>101</v>
      </c>
      <c r="B102">
        <v>31</v>
      </c>
      <c r="D102">
        <v>97</v>
      </c>
      <c r="E102" t="s">
        <v>270</v>
      </c>
      <c r="F102" t="s">
        <v>543</v>
      </c>
      <c r="H102">
        <v>55.36</v>
      </c>
      <c r="K102">
        <v>15</v>
      </c>
      <c r="L102" t="s">
        <v>142</v>
      </c>
      <c r="M102" t="s">
        <v>616</v>
      </c>
    </row>
    <row r="103" spans="1:13" x14ac:dyDescent="0.25">
      <c r="A103">
        <v>102</v>
      </c>
      <c r="B103">
        <v>31</v>
      </c>
      <c r="D103">
        <v>98</v>
      </c>
      <c r="E103" t="s">
        <v>271</v>
      </c>
      <c r="F103" t="s">
        <v>542</v>
      </c>
      <c r="H103">
        <v>99.65</v>
      </c>
      <c r="K103">
        <v>15</v>
      </c>
      <c r="L103" t="s">
        <v>159</v>
      </c>
      <c r="M103" t="s">
        <v>616</v>
      </c>
    </row>
    <row r="104" spans="1:13" x14ac:dyDescent="0.25">
      <c r="A104">
        <v>103</v>
      </c>
      <c r="B104">
        <v>31</v>
      </c>
      <c r="D104">
        <v>99</v>
      </c>
      <c r="E104" t="s">
        <v>272</v>
      </c>
      <c r="F104" t="s">
        <v>544</v>
      </c>
      <c r="H104">
        <v>5.5359999999999996</v>
      </c>
      <c r="K104">
        <v>15</v>
      </c>
      <c r="L104" t="s">
        <v>159</v>
      </c>
      <c r="M104" t="s">
        <v>616</v>
      </c>
    </row>
    <row r="105" spans="1:13" x14ac:dyDescent="0.25">
      <c r="A105">
        <v>104</v>
      </c>
      <c r="B105">
        <v>31</v>
      </c>
      <c r="D105">
        <v>100</v>
      </c>
      <c r="E105" t="s">
        <v>273</v>
      </c>
      <c r="F105" t="s">
        <v>543</v>
      </c>
      <c r="H105">
        <v>55.36</v>
      </c>
      <c r="K105">
        <v>15</v>
      </c>
      <c r="L105" t="s">
        <v>159</v>
      </c>
      <c r="M105" t="s">
        <v>616</v>
      </c>
    </row>
    <row r="106" spans="1:13" x14ac:dyDescent="0.25">
      <c r="A106">
        <v>105</v>
      </c>
      <c r="B106">
        <v>31</v>
      </c>
      <c r="D106">
        <v>101</v>
      </c>
      <c r="E106" t="s">
        <v>277</v>
      </c>
      <c r="F106" t="s">
        <v>543</v>
      </c>
      <c r="H106">
        <v>66.069999999999993</v>
      </c>
      <c r="K106">
        <v>15</v>
      </c>
      <c r="L106" t="s">
        <v>175</v>
      </c>
      <c r="M106" t="s">
        <v>616</v>
      </c>
    </row>
    <row r="107" spans="1:13" x14ac:dyDescent="0.25">
      <c r="A107">
        <v>106</v>
      </c>
      <c r="B107">
        <v>31</v>
      </c>
      <c r="D107">
        <v>102</v>
      </c>
      <c r="E107" t="s">
        <v>276</v>
      </c>
      <c r="F107" t="s">
        <v>544</v>
      </c>
      <c r="H107">
        <v>6.6070000000000002</v>
      </c>
      <c r="K107">
        <v>15</v>
      </c>
      <c r="L107" t="s">
        <v>175</v>
      </c>
      <c r="M107" t="s">
        <v>616</v>
      </c>
    </row>
    <row r="108" spans="1:13" x14ac:dyDescent="0.25">
      <c r="A108">
        <v>107</v>
      </c>
      <c r="B108">
        <v>31</v>
      </c>
      <c r="D108">
        <v>103</v>
      </c>
      <c r="E108" t="s">
        <v>278</v>
      </c>
      <c r="F108" t="s">
        <v>544</v>
      </c>
      <c r="H108">
        <v>6.25</v>
      </c>
      <c r="K108">
        <v>15</v>
      </c>
      <c r="L108" t="s">
        <v>179</v>
      </c>
      <c r="M108" t="s">
        <v>616</v>
      </c>
    </row>
    <row r="109" spans="1:13" x14ac:dyDescent="0.25">
      <c r="A109">
        <v>108</v>
      </c>
      <c r="B109">
        <v>31</v>
      </c>
      <c r="D109">
        <v>104</v>
      </c>
      <c r="E109" t="s">
        <v>279</v>
      </c>
      <c r="F109" t="s">
        <v>543</v>
      </c>
      <c r="H109">
        <v>62.5</v>
      </c>
      <c r="K109">
        <v>15</v>
      </c>
      <c r="L109" t="s">
        <v>179</v>
      </c>
      <c r="M109" t="s">
        <v>616</v>
      </c>
    </row>
    <row r="110" spans="1:13" x14ac:dyDescent="0.25">
      <c r="A110">
        <v>109</v>
      </c>
      <c r="B110">
        <v>31</v>
      </c>
      <c r="D110">
        <v>105</v>
      </c>
      <c r="E110" t="s">
        <v>282</v>
      </c>
      <c r="F110" t="s">
        <v>544</v>
      </c>
      <c r="H110">
        <v>5.5359999999999996</v>
      </c>
      <c r="K110">
        <v>15</v>
      </c>
      <c r="L110" t="s">
        <v>168</v>
      </c>
      <c r="M110" t="s">
        <v>616</v>
      </c>
    </row>
    <row r="111" spans="1:13" x14ac:dyDescent="0.25">
      <c r="A111">
        <v>110</v>
      </c>
      <c r="B111">
        <v>31</v>
      </c>
      <c r="D111">
        <v>106</v>
      </c>
      <c r="E111" t="s">
        <v>283</v>
      </c>
      <c r="F111" t="s">
        <v>543</v>
      </c>
      <c r="H111">
        <v>55.36</v>
      </c>
      <c r="K111">
        <v>15</v>
      </c>
      <c r="L111" t="s">
        <v>168</v>
      </c>
      <c r="M111" t="s">
        <v>616</v>
      </c>
    </row>
    <row r="112" spans="1:13" x14ac:dyDescent="0.25">
      <c r="A112">
        <v>111</v>
      </c>
      <c r="B112">
        <v>31</v>
      </c>
      <c r="D112">
        <v>107</v>
      </c>
      <c r="E112" t="s">
        <v>286</v>
      </c>
      <c r="F112" t="s">
        <v>544</v>
      </c>
      <c r="H112">
        <v>5.5359999999999996</v>
      </c>
      <c r="K112">
        <v>15</v>
      </c>
      <c r="L112" t="s">
        <v>163</v>
      </c>
      <c r="M112" t="s">
        <v>616</v>
      </c>
    </row>
    <row r="113" spans="1:13" x14ac:dyDescent="0.25">
      <c r="A113">
        <v>112</v>
      </c>
      <c r="B113">
        <v>31</v>
      </c>
      <c r="D113">
        <v>108</v>
      </c>
      <c r="E113" t="s">
        <v>287</v>
      </c>
      <c r="F113" t="s">
        <v>543</v>
      </c>
      <c r="H113">
        <v>55.36</v>
      </c>
      <c r="K113">
        <v>15</v>
      </c>
      <c r="L113" t="s">
        <v>163</v>
      </c>
      <c r="M113" t="s">
        <v>616</v>
      </c>
    </row>
    <row r="114" spans="1:13" x14ac:dyDescent="0.25">
      <c r="A114">
        <v>113</v>
      </c>
      <c r="B114">
        <v>31</v>
      </c>
      <c r="D114">
        <v>109</v>
      </c>
      <c r="E114" t="s">
        <v>289</v>
      </c>
      <c r="F114" t="s">
        <v>543</v>
      </c>
      <c r="H114">
        <v>55.36</v>
      </c>
      <c r="K114">
        <v>15</v>
      </c>
      <c r="L114" t="s">
        <v>131</v>
      </c>
      <c r="M114" t="s">
        <v>616</v>
      </c>
    </row>
    <row r="115" spans="1:13" x14ac:dyDescent="0.25">
      <c r="A115">
        <v>114</v>
      </c>
      <c r="B115">
        <v>31</v>
      </c>
      <c r="D115">
        <v>110</v>
      </c>
      <c r="E115" t="s">
        <v>288</v>
      </c>
      <c r="F115" t="s">
        <v>544</v>
      </c>
      <c r="H115">
        <v>5.5359999999999996</v>
      </c>
      <c r="K115">
        <v>15</v>
      </c>
      <c r="L115" t="s">
        <v>131</v>
      </c>
      <c r="M115" t="s">
        <v>616</v>
      </c>
    </row>
    <row r="116" spans="1:13" x14ac:dyDescent="0.25">
      <c r="A116">
        <v>115</v>
      </c>
      <c r="B116">
        <v>31</v>
      </c>
      <c r="D116">
        <v>111</v>
      </c>
      <c r="E116" t="s">
        <v>290</v>
      </c>
      <c r="F116" t="s">
        <v>544</v>
      </c>
      <c r="H116">
        <v>5.5359999999999996</v>
      </c>
      <c r="K116">
        <v>15</v>
      </c>
      <c r="L116" t="s">
        <v>148</v>
      </c>
      <c r="M116" t="s">
        <v>616</v>
      </c>
    </row>
    <row r="117" spans="1:13" x14ac:dyDescent="0.25">
      <c r="A117">
        <v>116</v>
      </c>
      <c r="B117">
        <v>31</v>
      </c>
      <c r="D117">
        <v>112</v>
      </c>
      <c r="E117" t="s">
        <v>291</v>
      </c>
      <c r="F117" t="s">
        <v>543</v>
      </c>
      <c r="H117">
        <v>55.36</v>
      </c>
      <c r="K117">
        <v>15</v>
      </c>
      <c r="L117" t="s">
        <v>148</v>
      </c>
      <c r="M117" t="s">
        <v>616</v>
      </c>
    </row>
    <row r="118" spans="1:13" x14ac:dyDescent="0.25">
      <c r="A118">
        <v>117</v>
      </c>
      <c r="B118">
        <v>31</v>
      </c>
      <c r="D118">
        <v>113</v>
      </c>
      <c r="E118" t="s">
        <v>292</v>
      </c>
      <c r="F118" t="s">
        <v>544</v>
      </c>
      <c r="H118">
        <v>5.8929999999999998</v>
      </c>
      <c r="K118">
        <v>12</v>
      </c>
      <c r="L118" t="s">
        <v>174</v>
      </c>
      <c r="M118" t="s">
        <v>616</v>
      </c>
    </row>
    <row r="119" spans="1:13" x14ac:dyDescent="0.25">
      <c r="A119">
        <v>118</v>
      </c>
      <c r="B119">
        <v>31</v>
      </c>
      <c r="D119">
        <v>114</v>
      </c>
      <c r="E119" t="s">
        <v>293</v>
      </c>
      <c r="F119" t="s">
        <v>543</v>
      </c>
      <c r="H119">
        <v>58.93</v>
      </c>
      <c r="K119">
        <v>12</v>
      </c>
      <c r="L119" t="s">
        <v>174</v>
      </c>
      <c r="M119" t="s">
        <v>616</v>
      </c>
    </row>
    <row r="120" spans="1:13" x14ac:dyDescent="0.25">
      <c r="A120">
        <v>119</v>
      </c>
      <c r="B120">
        <v>31</v>
      </c>
      <c r="D120">
        <v>115</v>
      </c>
      <c r="E120" t="s">
        <v>294</v>
      </c>
      <c r="F120" t="s">
        <v>544</v>
      </c>
      <c r="H120">
        <v>5.5359999999999996</v>
      </c>
      <c r="K120">
        <v>15</v>
      </c>
      <c r="L120" t="s">
        <v>164</v>
      </c>
      <c r="M120" t="s">
        <v>616</v>
      </c>
    </row>
    <row r="121" spans="1:13" x14ac:dyDescent="0.25">
      <c r="A121">
        <v>120</v>
      </c>
      <c r="B121">
        <v>31</v>
      </c>
      <c r="D121">
        <v>116</v>
      </c>
      <c r="E121" t="s">
        <v>295</v>
      </c>
      <c r="F121" t="s">
        <v>543</v>
      </c>
      <c r="H121">
        <v>55.36</v>
      </c>
      <c r="K121">
        <v>15</v>
      </c>
      <c r="L121" t="s">
        <v>164</v>
      </c>
      <c r="M121" t="s">
        <v>616</v>
      </c>
    </row>
    <row r="122" spans="1:13" x14ac:dyDescent="0.25">
      <c r="A122">
        <v>121</v>
      </c>
      <c r="B122">
        <v>31</v>
      </c>
      <c r="D122">
        <v>117</v>
      </c>
      <c r="E122" t="s">
        <v>317</v>
      </c>
      <c r="F122" t="s">
        <v>544</v>
      </c>
      <c r="H122">
        <v>27.5</v>
      </c>
      <c r="K122" t="s">
        <v>320</v>
      </c>
      <c r="L122" t="s">
        <v>160</v>
      </c>
      <c r="M122" t="s">
        <v>616</v>
      </c>
    </row>
    <row r="123" spans="1:13" x14ac:dyDescent="0.25">
      <c r="A123">
        <v>122</v>
      </c>
      <c r="B123">
        <v>31</v>
      </c>
      <c r="D123">
        <v>118</v>
      </c>
      <c r="E123" t="s">
        <v>318</v>
      </c>
      <c r="F123" t="s">
        <v>543</v>
      </c>
      <c r="H123">
        <v>275</v>
      </c>
      <c r="K123" t="s">
        <v>320</v>
      </c>
      <c r="L123" t="s">
        <v>160</v>
      </c>
      <c r="M123" t="s">
        <v>616</v>
      </c>
    </row>
    <row r="124" spans="1:13" x14ac:dyDescent="0.25">
      <c r="A124">
        <v>123</v>
      </c>
      <c r="B124">
        <v>31</v>
      </c>
      <c r="D124">
        <v>119</v>
      </c>
      <c r="E124" t="s">
        <v>357</v>
      </c>
      <c r="F124" t="s">
        <v>543</v>
      </c>
      <c r="H124">
        <v>62.5</v>
      </c>
      <c r="K124">
        <v>15</v>
      </c>
      <c r="L124" t="s">
        <v>352</v>
      </c>
      <c r="M124" t="s">
        <v>616</v>
      </c>
    </row>
    <row r="125" spans="1:13" x14ac:dyDescent="0.25">
      <c r="A125">
        <v>124</v>
      </c>
      <c r="B125">
        <v>31</v>
      </c>
      <c r="D125">
        <v>120</v>
      </c>
      <c r="E125" t="s">
        <v>356</v>
      </c>
      <c r="F125" t="s">
        <v>544</v>
      </c>
      <c r="H125">
        <v>6.25</v>
      </c>
      <c r="K125">
        <v>15</v>
      </c>
      <c r="L125" t="s">
        <v>352</v>
      </c>
      <c r="M125" t="s">
        <v>616</v>
      </c>
    </row>
    <row r="126" spans="1:13" x14ac:dyDescent="0.25">
      <c r="A126">
        <v>125</v>
      </c>
      <c r="B126">
        <v>31</v>
      </c>
      <c r="D126">
        <v>121</v>
      </c>
      <c r="E126" t="s">
        <v>359</v>
      </c>
      <c r="F126" t="s">
        <v>543</v>
      </c>
      <c r="H126">
        <v>62.5</v>
      </c>
      <c r="K126">
        <v>15</v>
      </c>
      <c r="L126" t="s">
        <v>354</v>
      </c>
      <c r="M126" t="s">
        <v>616</v>
      </c>
    </row>
    <row r="127" spans="1:13" x14ac:dyDescent="0.25">
      <c r="A127">
        <v>126</v>
      </c>
      <c r="B127">
        <v>31</v>
      </c>
      <c r="D127">
        <v>122</v>
      </c>
      <c r="E127" t="s">
        <v>358</v>
      </c>
      <c r="F127" t="s">
        <v>544</v>
      </c>
      <c r="H127">
        <v>6.25</v>
      </c>
      <c r="K127">
        <v>15</v>
      </c>
      <c r="L127" t="s">
        <v>354</v>
      </c>
      <c r="M127" t="s">
        <v>616</v>
      </c>
    </row>
    <row r="128" spans="1:13" x14ac:dyDescent="0.25">
      <c r="A128">
        <v>127</v>
      </c>
      <c r="B128">
        <v>31</v>
      </c>
      <c r="D128">
        <v>123</v>
      </c>
      <c r="E128" t="s">
        <v>361</v>
      </c>
      <c r="F128" t="s">
        <v>543</v>
      </c>
      <c r="H128">
        <v>55.36</v>
      </c>
      <c r="K128">
        <v>15</v>
      </c>
      <c r="L128" t="s">
        <v>355</v>
      </c>
      <c r="M128" t="s">
        <v>616</v>
      </c>
    </row>
    <row r="129" spans="1:13" x14ac:dyDescent="0.25">
      <c r="A129">
        <v>128</v>
      </c>
      <c r="B129">
        <v>31</v>
      </c>
      <c r="D129">
        <v>124</v>
      </c>
      <c r="E129" t="s">
        <v>360</v>
      </c>
      <c r="F129" t="s">
        <v>544</v>
      </c>
      <c r="H129">
        <v>5.5359999999999996</v>
      </c>
      <c r="K129">
        <v>15</v>
      </c>
      <c r="L129" t="s">
        <v>355</v>
      </c>
      <c r="M129" t="s">
        <v>616</v>
      </c>
    </row>
    <row r="130" spans="1:13" x14ac:dyDescent="0.25">
      <c r="A130">
        <v>129</v>
      </c>
      <c r="B130">
        <v>31</v>
      </c>
      <c r="D130">
        <v>125</v>
      </c>
      <c r="E130" t="s">
        <v>366</v>
      </c>
      <c r="F130" t="s">
        <v>543</v>
      </c>
      <c r="H130">
        <v>96.43</v>
      </c>
      <c r="K130">
        <v>15</v>
      </c>
      <c r="L130" t="s">
        <v>353</v>
      </c>
      <c r="M130" t="s">
        <v>616</v>
      </c>
    </row>
    <row r="131" spans="1:13" x14ac:dyDescent="0.25">
      <c r="A131">
        <v>130</v>
      </c>
      <c r="B131">
        <v>31</v>
      </c>
      <c r="D131">
        <v>126</v>
      </c>
      <c r="E131" t="s">
        <v>367</v>
      </c>
      <c r="F131" t="s">
        <v>544</v>
      </c>
      <c r="H131">
        <v>9.6430000000000007</v>
      </c>
      <c r="K131">
        <v>15</v>
      </c>
      <c r="L131" t="s">
        <v>353</v>
      </c>
      <c r="M131" t="s">
        <v>616</v>
      </c>
    </row>
    <row r="132" spans="1:13" x14ac:dyDescent="0.25">
      <c r="A132">
        <v>131</v>
      </c>
      <c r="B132">
        <v>46</v>
      </c>
      <c r="D132">
        <v>1</v>
      </c>
      <c r="E132" t="s">
        <v>310</v>
      </c>
      <c r="F132" t="s">
        <v>543</v>
      </c>
      <c r="H132">
        <v>214.28571428571428</v>
      </c>
      <c r="I132">
        <v>28</v>
      </c>
      <c r="J132">
        <v>6000</v>
      </c>
      <c r="K132" t="s">
        <v>320</v>
      </c>
      <c r="L132" t="s">
        <v>313</v>
      </c>
      <c r="M132" t="s">
        <v>627</v>
      </c>
    </row>
    <row r="133" spans="1:13" x14ac:dyDescent="0.25">
      <c r="A133">
        <v>132</v>
      </c>
      <c r="B133">
        <v>46</v>
      </c>
      <c r="D133">
        <v>2</v>
      </c>
      <c r="E133" t="s">
        <v>306</v>
      </c>
      <c r="F133" t="s">
        <v>542</v>
      </c>
      <c r="H133">
        <v>385.71444000000002</v>
      </c>
      <c r="K133" t="s">
        <v>320</v>
      </c>
      <c r="L133" t="s">
        <v>313</v>
      </c>
      <c r="M133" t="s">
        <v>627</v>
      </c>
    </row>
    <row r="134" spans="1:13" x14ac:dyDescent="0.25">
      <c r="A134">
        <v>133</v>
      </c>
      <c r="B134">
        <v>46</v>
      </c>
      <c r="D134">
        <v>3</v>
      </c>
      <c r="E134" t="s">
        <v>305</v>
      </c>
      <c r="F134" t="s">
        <v>544</v>
      </c>
      <c r="H134">
        <v>21.42858</v>
      </c>
      <c r="K134" t="s">
        <v>320</v>
      </c>
      <c r="L134" t="s">
        <v>313</v>
      </c>
      <c r="M134" t="s">
        <v>627</v>
      </c>
    </row>
    <row r="135" spans="1:13" x14ac:dyDescent="0.25">
      <c r="A135">
        <v>134</v>
      </c>
      <c r="B135">
        <v>46</v>
      </c>
      <c r="D135">
        <v>4</v>
      </c>
      <c r="E135" t="s">
        <v>307</v>
      </c>
      <c r="F135" t="s">
        <v>543</v>
      </c>
      <c r="H135">
        <v>446.42857142857144</v>
      </c>
      <c r="I135">
        <v>28</v>
      </c>
      <c r="J135">
        <v>12500</v>
      </c>
      <c r="K135" t="s">
        <v>320</v>
      </c>
      <c r="L135" t="s">
        <v>457</v>
      </c>
      <c r="M135" t="s">
        <v>627</v>
      </c>
    </row>
    <row r="136" spans="1:13" x14ac:dyDescent="0.25">
      <c r="A136">
        <v>135</v>
      </c>
      <c r="B136">
        <v>46</v>
      </c>
      <c r="D136">
        <v>5</v>
      </c>
      <c r="E136" t="s">
        <v>308</v>
      </c>
      <c r="F136" t="s">
        <v>542</v>
      </c>
      <c r="H136">
        <v>803.57147999999995</v>
      </c>
      <c r="K136" t="s">
        <v>320</v>
      </c>
      <c r="L136" t="s">
        <v>457</v>
      </c>
      <c r="M136" t="s">
        <v>627</v>
      </c>
    </row>
    <row r="137" spans="1:13" x14ac:dyDescent="0.25">
      <c r="A137">
        <v>136</v>
      </c>
      <c r="B137">
        <v>46</v>
      </c>
      <c r="D137">
        <v>6</v>
      </c>
      <c r="E137" t="s">
        <v>309</v>
      </c>
      <c r="F137" t="s">
        <v>544</v>
      </c>
      <c r="H137">
        <v>44.642859999999999</v>
      </c>
      <c r="K137" t="s">
        <v>320</v>
      </c>
      <c r="L137" t="s">
        <v>457</v>
      </c>
      <c r="M137" t="s">
        <v>627</v>
      </c>
    </row>
    <row r="138" spans="1:13" x14ac:dyDescent="0.25">
      <c r="A138">
        <v>137</v>
      </c>
      <c r="B138">
        <v>46</v>
      </c>
      <c r="D138">
        <v>7</v>
      </c>
      <c r="E138" t="s">
        <v>299</v>
      </c>
      <c r="F138" t="s">
        <v>543</v>
      </c>
      <c r="H138">
        <v>214.28571428571428</v>
      </c>
      <c r="I138">
        <v>28</v>
      </c>
      <c r="J138">
        <v>6000</v>
      </c>
      <c r="K138" t="s">
        <v>320</v>
      </c>
      <c r="L138" t="s">
        <v>314</v>
      </c>
      <c r="M138" t="s">
        <v>627</v>
      </c>
    </row>
    <row r="139" spans="1:13" x14ac:dyDescent="0.25">
      <c r="A139">
        <v>138</v>
      </c>
      <c r="B139">
        <v>46</v>
      </c>
      <c r="D139">
        <v>8</v>
      </c>
      <c r="E139" t="s">
        <v>300</v>
      </c>
      <c r="F139" t="s">
        <v>542</v>
      </c>
      <c r="H139">
        <v>385.71444000000002</v>
      </c>
      <c r="K139" t="s">
        <v>320</v>
      </c>
      <c r="L139" t="s">
        <v>314</v>
      </c>
      <c r="M139" t="s">
        <v>627</v>
      </c>
    </row>
    <row r="140" spans="1:13" x14ac:dyDescent="0.25">
      <c r="A140">
        <v>139</v>
      </c>
      <c r="B140">
        <v>46</v>
      </c>
      <c r="D140">
        <v>9</v>
      </c>
      <c r="E140" t="s">
        <v>301</v>
      </c>
      <c r="F140" t="s">
        <v>544</v>
      </c>
      <c r="H140">
        <v>21.42858</v>
      </c>
      <c r="K140" t="s">
        <v>320</v>
      </c>
      <c r="L140" t="s">
        <v>314</v>
      </c>
      <c r="M140" t="s">
        <v>627</v>
      </c>
    </row>
    <row r="141" spans="1:13" x14ac:dyDescent="0.25">
      <c r="A141">
        <v>140</v>
      </c>
      <c r="B141">
        <v>46</v>
      </c>
      <c r="D141">
        <v>10</v>
      </c>
      <c r="E141" t="s">
        <v>302</v>
      </c>
      <c r="F141" t="s">
        <v>543</v>
      </c>
      <c r="H141">
        <v>185.71430000000001</v>
      </c>
      <c r="I141">
        <v>28</v>
      </c>
      <c r="J141">
        <v>5200</v>
      </c>
      <c r="K141" t="s">
        <v>320</v>
      </c>
      <c r="L141" t="s">
        <v>458</v>
      </c>
      <c r="M141" t="s">
        <v>627</v>
      </c>
    </row>
    <row r="142" spans="1:13" x14ac:dyDescent="0.25">
      <c r="A142">
        <v>141</v>
      </c>
      <c r="B142">
        <v>46</v>
      </c>
      <c r="D142">
        <v>11</v>
      </c>
      <c r="E142" t="s">
        <v>303</v>
      </c>
      <c r="F142" t="s">
        <v>542</v>
      </c>
      <c r="H142">
        <v>334.28574000000003</v>
      </c>
      <c r="K142" t="s">
        <v>320</v>
      </c>
      <c r="L142" t="s">
        <v>458</v>
      </c>
      <c r="M142" t="s">
        <v>627</v>
      </c>
    </row>
    <row r="143" spans="1:13" x14ac:dyDescent="0.25">
      <c r="A143">
        <v>142</v>
      </c>
      <c r="B143">
        <v>46</v>
      </c>
      <c r="D143">
        <v>12</v>
      </c>
      <c r="E143" t="s">
        <v>304</v>
      </c>
      <c r="F143" t="s">
        <v>544</v>
      </c>
      <c r="H143">
        <v>18.571429999999999</v>
      </c>
      <c r="K143" t="s">
        <v>320</v>
      </c>
      <c r="L143" t="s">
        <v>458</v>
      </c>
      <c r="M143" t="s">
        <v>627</v>
      </c>
    </row>
    <row r="144" spans="1:13" x14ac:dyDescent="0.25">
      <c r="A144">
        <v>143</v>
      </c>
      <c r="B144">
        <v>50</v>
      </c>
      <c r="D144">
        <v>1</v>
      </c>
      <c r="E144" t="s">
        <v>461</v>
      </c>
      <c r="F144" t="s">
        <v>543</v>
      </c>
      <c r="H144">
        <v>357.1429</v>
      </c>
      <c r="L144" t="s">
        <v>460</v>
      </c>
      <c r="M144" t="s">
        <v>627</v>
      </c>
    </row>
    <row r="145" spans="1:13" x14ac:dyDescent="0.25">
      <c r="A145">
        <v>144</v>
      </c>
      <c r="B145">
        <v>50</v>
      </c>
      <c r="D145">
        <v>2</v>
      </c>
      <c r="E145" t="s">
        <v>462</v>
      </c>
      <c r="F145" t="s">
        <v>542</v>
      </c>
      <c r="H145">
        <v>678.57159999999999</v>
      </c>
      <c r="L145" t="s">
        <v>460</v>
      </c>
      <c r="M145" t="s">
        <v>627</v>
      </c>
    </row>
    <row r="146" spans="1:13" x14ac:dyDescent="0.25">
      <c r="A146">
        <v>145</v>
      </c>
      <c r="B146">
        <v>51</v>
      </c>
      <c r="D146">
        <v>1</v>
      </c>
      <c r="E146" t="s">
        <v>463</v>
      </c>
      <c r="F146" t="s">
        <v>543</v>
      </c>
      <c r="H146">
        <v>225</v>
      </c>
      <c r="L146" t="s">
        <v>465</v>
      </c>
      <c r="M146" t="s">
        <v>628</v>
      </c>
    </row>
    <row r="147" spans="1:13" x14ac:dyDescent="0.25">
      <c r="A147">
        <v>146</v>
      </c>
      <c r="B147">
        <v>51</v>
      </c>
      <c r="D147">
        <v>2</v>
      </c>
      <c r="E147" t="s">
        <v>464</v>
      </c>
      <c r="F147" t="s">
        <v>544</v>
      </c>
      <c r="H147">
        <v>25</v>
      </c>
      <c r="L147" t="s">
        <v>465</v>
      </c>
      <c r="M147" t="s">
        <v>628</v>
      </c>
    </row>
    <row r="148" spans="1:13" x14ac:dyDescent="0.25">
      <c r="A148">
        <v>147</v>
      </c>
      <c r="B148">
        <v>51</v>
      </c>
      <c r="D148">
        <v>3</v>
      </c>
      <c r="E148" t="s">
        <v>466</v>
      </c>
      <c r="F148" t="s">
        <v>543</v>
      </c>
      <c r="H148">
        <v>235.71</v>
      </c>
      <c r="L148" t="s">
        <v>468</v>
      </c>
      <c r="M148" t="s">
        <v>628</v>
      </c>
    </row>
    <row r="149" spans="1:13" x14ac:dyDescent="0.25">
      <c r="A149">
        <v>148</v>
      </c>
      <c r="B149">
        <v>51</v>
      </c>
      <c r="D149">
        <v>4</v>
      </c>
      <c r="E149" t="s">
        <v>467</v>
      </c>
      <c r="F149" t="s">
        <v>544</v>
      </c>
      <c r="H149">
        <f>H148/10</f>
        <v>23.571000000000002</v>
      </c>
      <c r="L149" t="s">
        <v>468</v>
      </c>
      <c r="M149" t="s">
        <v>628</v>
      </c>
    </row>
    <row r="150" spans="1:13" x14ac:dyDescent="0.25">
      <c r="A150">
        <v>149</v>
      </c>
      <c r="B150">
        <v>52</v>
      </c>
      <c r="D150">
        <v>1</v>
      </c>
      <c r="E150" t="s">
        <v>469</v>
      </c>
      <c r="F150" t="s">
        <v>543</v>
      </c>
      <c r="H150">
        <v>375</v>
      </c>
      <c r="L150" t="s">
        <v>471</v>
      </c>
      <c r="M150" t="s">
        <v>633</v>
      </c>
    </row>
    <row r="151" spans="1:13" x14ac:dyDescent="0.25">
      <c r="A151">
        <v>150</v>
      </c>
      <c r="B151">
        <v>52</v>
      </c>
      <c r="D151">
        <v>2</v>
      </c>
      <c r="E151" t="s">
        <v>472</v>
      </c>
      <c r="F151" t="s">
        <v>544</v>
      </c>
      <c r="H151">
        <v>37.5</v>
      </c>
      <c r="L151" t="s">
        <v>471</v>
      </c>
      <c r="M151" t="s">
        <v>633</v>
      </c>
    </row>
    <row r="152" spans="1:13" x14ac:dyDescent="0.25">
      <c r="A152">
        <v>151</v>
      </c>
      <c r="B152">
        <v>52</v>
      </c>
      <c r="D152">
        <v>3</v>
      </c>
      <c r="E152" t="s">
        <v>473</v>
      </c>
      <c r="F152" t="s">
        <v>543</v>
      </c>
      <c r="H152">
        <v>357.14</v>
      </c>
      <c r="L152" t="s">
        <v>474</v>
      </c>
      <c r="M152" t="s">
        <v>633</v>
      </c>
    </row>
    <row r="153" spans="1:13" x14ac:dyDescent="0.25">
      <c r="A153">
        <v>152</v>
      </c>
      <c r="B153">
        <v>65</v>
      </c>
      <c r="D153">
        <v>1</v>
      </c>
      <c r="E153" t="s">
        <v>475</v>
      </c>
      <c r="F153" t="s">
        <v>543</v>
      </c>
      <c r="H153">
        <v>196.42857142857142</v>
      </c>
      <c r="I153">
        <v>28</v>
      </c>
      <c r="J153">
        <v>5500</v>
      </c>
      <c r="L153" t="s">
        <v>477</v>
      </c>
      <c r="M153" t="s">
        <v>627</v>
      </c>
    </row>
    <row r="154" spans="1:13" x14ac:dyDescent="0.25">
      <c r="A154">
        <v>153</v>
      </c>
      <c r="B154">
        <v>65</v>
      </c>
      <c r="D154">
        <v>2</v>
      </c>
      <c r="E154" t="s">
        <v>476</v>
      </c>
      <c r="F154" t="s">
        <v>543</v>
      </c>
      <c r="H154">
        <v>160.71</v>
      </c>
      <c r="L154" t="s">
        <v>478</v>
      </c>
      <c r="M154" t="s">
        <v>627</v>
      </c>
    </row>
    <row r="155" spans="1:13" x14ac:dyDescent="0.25">
      <c r="A155">
        <v>154</v>
      </c>
      <c r="B155">
        <v>85</v>
      </c>
      <c r="C155">
        <v>0</v>
      </c>
      <c r="D155">
        <v>1</v>
      </c>
      <c r="E155" t="s">
        <v>479</v>
      </c>
      <c r="F155" t="s">
        <v>543</v>
      </c>
      <c r="H155">
        <v>446.43</v>
      </c>
      <c r="L155" t="s">
        <v>481</v>
      </c>
      <c r="M155" t="s">
        <v>628</v>
      </c>
    </row>
    <row r="156" spans="1:13" x14ac:dyDescent="0.25">
      <c r="A156">
        <v>155</v>
      </c>
      <c r="B156">
        <v>85</v>
      </c>
      <c r="C156">
        <v>0</v>
      </c>
      <c r="D156">
        <v>2</v>
      </c>
      <c r="E156" t="s">
        <v>480</v>
      </c>
      <c r="F156" t="s">
        <v>544</v>
      </c>
      <c r="H156">
        <v>44.643000000000001</v>
      </c>
      <c r="L156" t="s">
        <v>481</v>
      </c>
      <c r="M156" t="s">
        <v>628</v>
      </c>
    </row>
    <row r="157" spans="1:13" x14ac:dyDescent="0.25">
      <c r="A157">
        <v>156</v>
      </c>
      <c r="B157">
        <v>91</v>
      </c>
      <c r="D157">
        <v>1</v>
      </c>
      <c r="E157" t="s">
        <v>482</v>
      </c>
      <c r="F157" t="s">
        <v>543</v>
      </c>
      <c r="H157">
        <v>3500</v>
      </c>
      <c r="L157" t="s">
        <v>483</v>
      </c>
      <c r="M157" t="s">
        <v>630</v>
      </c>
    </row>
    <row r="158" spans="1:13" x14ac:dyDescent="0.25">
      <c r="A158">
        <v>157</v>
      </c>
      <c r="B158">
        <v>94</v>
      </c>
      <c r="D158">
        <v>1</v>
      </c>
      <c r="E158" t="s">
        <v>486</v>
      </c>
      <c r="F158" t="s">
        <v>543</v>
      </c>
      <c r="H158">
        <v>125</v>
      </c>
      <c r="L158" t="s">
        <v>491</v>
      </c>
      <c r="M158" t="s">
        <v>629</v>
      </c>
    </row>
    <row r="159" spans="1:13" x14ac:dyDescent="0.25">
      <c r="A159">
        <v>158</v>
      </c>
      <c r="B159">
        <v>94</v>
      </c>
      <c r="D159">
        <v>2</v>
      </c>
      <c r="E159" t="s">
        <v>487</v>
      </c>
      <c r="F159" t="s">
        <v>544</v>
      </c>
      <c r="H159">
        <v>12.5</v>
      </c>
      <c r="L159" t="s">
        <v>491</v>
      </c>
      <c r="M159" t="s">
        <v>629</v>
      </c>
    </row>
    <row r="160" spans="1:13" x14ac:dyDescent="0.25">
      <c r="A160">
        <v>159</v>
      </c>
      <c r="B160">
        <v>94</v>
      </c>
      <c r="D160">
        <v>3</v>
      </c>
      <c r="E160" t="s">
        <v>488</v>
      </c>
      <c r="F160" t="s">
        <v>543</v>
      </c>
      <c r="H160">
        <v>125</v>
      </c>
      <c r="L160" t="s">
        <v>492</v>
      </c>
      <c r="M160" t="s">
        <v>629</v>
      </c>
    </row>
    <row r="161" spans="1:13" x14ac:dyDescent="0.25">
      <c r="A161">
        <v>160</v>
      </c>
      <c r="B161">
        <v>94</v>
      </c>
      <c r="D161">
        <v>4</v>
      </c>
      <c r="E161" t="s">
        <v>489</v>
      </c>
      <c r="F161" t="s">
        <v>543</v>
      </c>
      <c r="H161">
        <v>125</v>
      </c>
      <c r="L161" t="s">
        <v>493</v>
      </c>
      <c r="M161" t="s">
        <v>1113</v>
      </c>
    </row>
    <row r="162" spans="1:13" x14ac:dyDescent="0.25">
      <c r="A162">
        <v>161</v>
      </c>
      <c r="B162">
        <v>94</v>
      </c>
      <c r="D162">
        <v>5</v>
      </c>
      <c r="E162" t="s">
        <v>490</v>
      </c>
      <c r="F162" t="s">
        <v>544</v>
      </c>
      <c r="H162">
        <v>12.5</v>
      </c>
      <c r="L162" t="s">
        <v>493</v>
      </c>
      <c r="M162" t="s">
        <v>1113</v>
      </c>
    </row>
    <row r="163" spans="1:13" x14ac:dyDescent="0.25">
      <c r="A163">
        <v>162</v>
      </c>
      <c r="B163">
        <v>95</v>
      </c>
      <c r="D163">
        <v>1</v>
      </c>
      <c r="E163" t="s">
        <v>495</v>
      </c>
      <c r="F163" t="s">
        <v>543</v>
      </c>
      <c r="H163">
        <v>285.70999999999998</v>
      </c>
      <c r="L163" t="s">
        <v>494</v>
      </c>
      <c r="M163" t="s">
        <v>627</v>
      </c>
    </row>
    <row r="164" spans="1:13" x14ac:dyDescent="0.25">
      <c r="A164">
        <v>163</v>
      </c>
      <c r="B164">
        <v>98</v>
      </c>
      <c r="D164">
        <v>1</v>
      </c>
      <c r="E164" t="s">
        <v>499</v>
      </c>
      <c r="F164" t="s">
        <v>543</v>
      </c>
      <c r="H164">
        <v>107.14</v>
      </c>
      <c r="L164" t="s">
        <v>501</v>
      </c>
      <c r="M164" t="s">
        <v>628</v>
      </c>
    </row>
    <row r="165" spans="1:13" x14ac:dyDescent="0.25">
      <c r="A165">
        <v>164</v>
      </c>
      <c r="B165">
        <v>98</v>
      </c>
      <c r="D165">
        <v>2</v>
      </c>
      <c r="E165" t="s">
        <v>500</v>
      </c>
      <c r="F165" t="s">
        <v>544</v>
      </c>
      <c r="H165">
        <v>10.714</v>
      </c>
      <c r="L165" t="s">
        <v>501</v>
      </c>
      <c r="M165" t="s">
        <v>628</v>
      </c>
    </row>
    <row r="166" spans="1:13" x14ac:dyDescent="0.25">
      <c r="A166">
        <v>165</v>
      </c>
      <c r="B166">
        <v>98</v>
      </c>
      <c r="D166" t="s">
        <v>315</v>
      </c>
      <c r="E166" t="s">
        <v>639</v>
      </c>
      <c r="F166" t="s">
        <v>133</v>
      </c>
      <c r="H166">
        <v>-1</v>
      </c>
      <c r="L166" t="s">
        <v>501</v>
      </c>
      <c r="M166" t="s">
        <v>628</v>
      </c>
    </row>
    <row r="167" spans="1:13" x14ac:dyDescent="0.25">
      <c r="A167">
        <v>166</v>
      </c>
      <c r="B167">
        <v>99</v>
      </c>
      <c r="D167">
        <v>1</v>
      </c>
      <c r="E167" t="s">
        <v>496</v>
      </c>
      <c r="F167" t="s">
        <v>543</v>
      </c>
      <c r="H167">
        <v>125</v>
      </c>
      <c r="L167" t="s">
        <v>498</v>
      </c>
      <c r="M167" t="s">
        <v>629</v>
      </c>
    </row>
    <row r="168" spans="1:13" x14ac:dyDescent="0.25">
      <c r="A168">
        <v>167</v>
      </c>
      <c r="B168">
        <v>99</v>
      </c>
      <c r="D168">
        <v>2</v>
      </c>
      <c r="E168" t="s">
        <v>502</v>
      </c>
      <c r="F168" t="s">
        <v>544</v>
      </c>
      <c r="H168">
        <v>12.5</v>
      </c>
      <c r="L168" t="s">
        <v>498</v>
      </c>
      <c r="M168" t="s">
        <v>629</v>
      </c>
    </row>
    <row r="169" spans="1:13" x14ac:dyDescent="0.25">
      <c r="A169">
        <v>168</v>
      </c>
      <c r="B169">
        <v>100</v>
      </c>
      <c r="D169">
        <v>1</v>
      </c>
      <c r="E169" t="s">
        <v>503</v>
      </c>
      <c r="F169" t="s">
        <v>543</v>
      </c>
      <c r="H169">
        <v>196.43</v>
      </c>
      <c r="L169" t="s">
        <v>504</v>
      </c>
      <c r="M169" t="s">
        <v>627</v>
      </c>
    </row>
    <row r="170" spans="1:13" x14ac:dyDescent="0.25">
      <c r="A170">
        <v>169</v>
      </c>
      <c r="B170">
        <v>102</v>
      </c>
      <c r="D170">
        <v>1</v>
      </c>
      <c r="E170" t="s">
        <v>505</v>
      </c>
      <c r="F170" t="s">
        <v>543</v>
      </c>
      <c r="H170">
        <v>125</v>
      </c>
      <c r="L170" t="s">
        <v>509</v>
      </c>
      <c r="M170" t="s">
        <v>629</v>
      </c>
    </row>
    <row r="171" spans="1:13" x14ac:dyDescent="0.25">
      <c r="A171">
        <v>170</v>
      </c>
      <c r="B171">
        <v>102</v>
      </c>
      <c r="D171">
        <v>2</v>
      </c>
      <c r="E171" t="s">
        <v>506</v>
      </c>
      <c r="F171" t="s">
        <v>544</v>
      </c>
      <c r="H171">
        <v>12.5</v>
      </c>
      <c r="L171" t="s">
        <v>509</v>
      </c>
      <c r="M171" t="s">
        <v>629</v>
      </c>
    </row>
    <row r="172" spans="1:13" x14ac:dyDescent="0.25">
      <c r="A172">
        <v>171</v>
      </c>
      <c r="B172">
        <v>102</v>
      </c>
      <c r="D172">
        <v>3</v>
      </c>
      <c r="E172" t="s">
        <v>507</v>
      </c>
      <c r="F172" t="s">
        <v>543</v>
      </c>
      <c r="H172">
        <v>125</v>
      </c>
      <c r="L172" t="s">
        <v>493</v>
      </c>
      <c r="M172" t="s">
        <v>1113</v>
      </c>
    </row>
    <row r="173" spans="1:13" x14ac:dyDescent="0.25">
      <c r="A173">
        <v>172</v>
      </c>
      <c r="B173">
        <v>102</v>
      </c>
      <c r="D173">
        <v>4</v>
      </c>
      <c r="E173" t="s">
        <v>508</v>
      </c>
      <c r="F173" t="s">
        <v>544</v>
      </c>
      <c r="H173">
        <v>12.5</v>
      </c>
      <c r="L173" t="s">
        <v>493</v>
      </c>
      <c r="M173" t="s">
        <v>1113</v>
      </c>
    </row>
    <row r="174" spans="1:13" x14ac:dyDescent="0.25">
      <c r="A174">
        <v>173</v>
      </c>
      <c r="B174">
        <v>102</v>
      </c>
      <c r="D174">
        <v>5</v>
      </c>
      <c r="E174" t="s">
        <v>486</v>
      </c>
      <c r="F174" t="s">
        <v>543</v>
      </c>
      <c r="H174">
        <v>125</v>
      </c>
      <c r="L174" t="s">
        <v>491</v>
      </c>
      <c r="M174" t="s">
        <v>629</v>
      </c>
    </row>
    <row r="175" spans="1:13" x14ac:dyDescent="0.25">
      <c r="A175">
        <v>174</v>
      </c>
      <c r="B175">
        <v>102</v>
      </c>
      <c r="D175">
        <v>6</v>
      </c>
      <c r="E175" t="s">
        <v>488</v>
      </c>
      <c r="F175" t="s">
        <v>543</v>
      </c>
      <c r="H175">
        <v>125</v>
      </c>
      <c r="L175" t="s">
        <v>492</v>
      </c>
      <c r="M175" t="s">
        <v>629</v>
      </c>
    </row>
    <row r="176" spans="1:13" x14ac:dyDescent="0.25">
      <c r="A176">
        <v>175</v>
      </c>
      <c r="B176">
        <v>110</v>
      </c>
      <c r="D176">
        <v>1</v>
      </c>
      <c r="E176" t="s">
        <v>526</v>
      </c>
      <c r="F176" t="s">
        <v>543</v>
      </c>
      <c r="H176">
        <v>221.42857142857142</v>
      </c>
      <c r="L176" t="s">
        <v>525</v>
      </c>
      <c r="M176" t="s">
        <v>628</v>
      </c>
    </row>
    <row r="177" spans="1:13" x14ac:dyDescent="0.25">
      <c r="A177">
        <v>176</v>
      </c>
      <c r="B177">
        <v>121</v>
      </c>
      <c r="D177">
        <v>1</v>
      </c>
      <c r="E177" t="s">
        <v>528</v>
      </c>
      <c r="F177" t="s">
        <v>543</v>
      </c>
      <c r="H177">
        <v>128.57</v>
      </c>
      <c r="L177" t="s">
        <v>530</v>
      </c>
      <c r="M177" t="s">
        <v>628</v>
      </c>
    </row>
    <row r="178" spans="1:13" x14ac:dyDescent="0.25">
      <c r="A178">
        <v>177</v>
      </c>
      <c r="B178">
        <v>121</v>
      </c>
      <c r="D178">
        <v>2</v>
      </c>
      <c r="E178" t="s">
        <v>529</v>
      </c>
      <c r="F178" t="s">
        <v>544</v>
      </c>
      <c r="H178">
        <v>12.856999999999999</v>
      </c>
      <c r="L178" t="s">
        <v>530</v>
      </c>
      <c r="M178" t="s">
        <v>628</v>
      </c>
    </row>
    <row r="179" spans="1:13" x14ac:dyDescent="0.25">
      <c r="A179">
        <v>178</v>
      </c>
      <c r="B179">
        <v>141</v>
      </c>
      <c r="D179">
        <v>1</v>
      </c>
      <c r="E179" t="s">
        <v>532</v>
      </c>
      <c r="F179" t="s">
        <v>543</v>
      </c>
      <c r="H179">
        <v>214.28571428571428</v>
      </c>
      <c r="L179" t="s">
        <v>531</v>
      </c>
      <c r="M179" t="s">
        <v>627</v>
      </c>
    </row>
    <row r="180" spans="1:13" x14ac:dyDescent="0.25">
      <c r="A180">
        <v>179</v>
      </c>
      <c r="B180">
        <v>141</v>
      </c>
      <c r="D180">
        <v>2</v>
      </c>
      <c r="E180" t="s">
        <v>533</v>
      </c>
      <c r="F180" t="s">
        <v>544</v>
      </c>
      <c r="H180">
        <v>21.428571428571427</v>
      </c>
      <c r="L180" t="s">
        <v>531</v>
      </c>
      <c r="M180" t="s">
        <v>627</v>
      </c>
    </row>
    <row r="181" spans="1:13" x14ac:dyDescent="0.25">
      <c r="A181">
        <v>180</v>
      </c>
      <c r="B181">
        <v>31</v>
      </c>
      <c r="D181">
        <v>127</v>
      </c>
      <c r="E181" t="s">
        <v>546</v>
      </c>
      <c r="F181" t="s">
        <v>599</v>
      </c>
      <c r="H181">
        <v>0.19800000000000001</v>
      </c>
      <c r="K181">
        <v>18</v>
      </c>
      <c r="L181" t="s">
        <v>134</v>
      </c>
      <c r="M181" t="s">
        <v>616</v>
      </c>
    </row>
    <row r="182" spans="1:13" x14ac:dyDescent="0.25">
      <c r="A182">
        <v>181</v>
      </c>
      <c r="B182">
        <v>31</v>
      </c>
      <c r="D182">
        <v>128</v>
      </c>
      <c r="E182" t="s">
        <v>547</v>
      </c>
      <c r="F182" t="s">
        <v>599</v>
      </c>
      <c r="H182">
        <v>0.19800000000000001</v>
      </c>
      <c r="K182">
        <v>18</v>
      </c>
      <c r="L182" t="s">
        <v>156</v>
      </c>
      <c r="M182" t="s">
        <v>616</v>
      </c>
    </row>
    <row r="183" spans="1:13" x14ac:dyDescent="0.25">
      <c r="A183">
        <v>182</v>
      </c>
      <c r="B183">
        <v>31</v>
      </c>
      <c r="D183">
        <v>129</v>
      </c>
      <c r="E183" t="s">
        <v>548</v>
      </c>
      <c r="F183" t="s">
        <v>599</v>
      </c>
      <c r="H183">
        <v>0.19800000000000001</v>
      </c>
      <c r="K183">
        <v>18</v>
      </c>
      <c r="L183" t="s">
        <v>136</v>
      </c>
      <c r="M183" t="s">
        <v>616</v>
      </c>
    </row>
    <row r="184" spans="1:13" x14ac:dyDescent="0.25">
      <c r="A184">
        <v>183</v>
      </c>
      <c r="B184">
        <v>31</v>
      </c>
      <c r="D184">
        <v>130</v>
      </c>
      <c r="E184" t="s">
        <v>549</v>
      </c>
      <c r="F184" t="s">
        <v>599</v>
      </c>
      <c r="H184">
        <v>0.16500000000000001</v>
      </c>
      <c r="K184">
        <v>15</v>
      </c>
      <c r="L184" t="s">
        <v>326</v>
      </c>
      <c r="M184" t="s">
        <v>616</v>
      </c>
    </row>
    <row r="185" spans="1:13" x14ac:dyDescent="0.25">
      <c r="A185">
        <v>184</v>
      </c>
      <c r="B185">
        <v>31</v>
      </c>
      <c r="D185">
        <v>131</v>
      </c>
      <c r="E185" t="s">
        <v>550</v>
      </c>
      <c r="F185" t="s">
        <v>599</v>
      </c>
      <c r="H185">
        <v>0.16500000000000001</v>
      </c>
      <c r="K185">
        <v>15</v>
      </c>
      <c r="L185" t="s">
        <v>157</v>
      </c>
      <c r="M185" t="s">
        <v>616</v>
      </c>
    </row>
    <row r="186" spans="1:13" x14ac:dyDescent="0.25">
      <c r="A186">
        <v>185</v>
      </c>
      <c r="B186">
        <v>31</v>
      </c>
      <c r="D186">
        <v>132</v>
      </c>
      <c r="E186" t="s">
        <v>551</v>
      </c>
      <c r="F186" t="s">
        <v>599</v>
      </c>
      <c r="H186">
        <v>0.16500000000000001</v>
      </c>
      <c r="K186">
        <v>15</v>
      </c>
      <c r="L186" t="s">
        <v>138</v>
      </c>
      <c r="M186" t="s">
        <v>616</v>
      </c>
    </row>
    <row r="187" spans="1:13" x14ac:dyDescent="0.25">
      <c r="A187">
        <v>186</v>
      </c>
      <c r="B187">
        <v>31</v>
      </c>
      <c r="D187">
        <v>133</v>
      </c>
      <c r="E187" t="s">
        <v>552</v>
      </c>
      <c r="F187" t="s">
        <v>599</v>
      </c>
      <c r="H187">
        <v>0.13200000000000001</v>
      </c>
      <c r="K187">
        <v>12</v>
      </c>
      <c r="L187" t="s">
        <v>140</v>
      </c>
      <c r="M187" t="s">
        <v>616</v>
      </c>
    </row>
    <row r="188" spans="1:13" x14ac:dyDescent="0.25">
      <c r="A188">
        <v>187</v>
      </c>
      <c r="B188">
        <v>31</v>
      </c>
      <c r="D188">
        <v>134</v>
      </c>
      <c r="E188" t="s">
        <v>553</v>
      </c>
      <c r="F188" t="s">
        <v>599</v>
      </c>
      <c r="H188">
        <v>0.16500000000000001</v>
      </c>
      <c r="K188">
        <v>15</v>
      </c>
      <c r="L188" t="s">
        <v>178</v>
      </c>
      <c r="M188" t="s">
        <v>616</v>
      </c>
    </row>
    <row r="189" spans="1:13" x14ac:dyDescent="0.25">
      <c r="A189">
        <v>188</v>
      </c>
      <c r="B189">
        <v>31</v>
      </c>
      <c r="D189">
        <v>135</v>
      </c>
      <c r="E189" t="s">
        <v>554</v>
      </c>
      <c r="F189" t="s">
        <v>599</v>
      </c>
      <c r="H189">
        <v>0.16500000000000001</v>
      </c>
      <c r="K189">
        <v>15</v>
      </c>
      <c r="L189" t="s">
        <v>152</v>
      </c>
      <c r="M189" t="s">
        <v>616</v>
      </c>
    </row>
    <row r="190" spans="1:13" x14ac:dyDescent="0.25">
      <c r="A190">
        <v>189</v>
      </c>
      <c r="B190">
        <v>31</v>
      </c>
      <c r="D190">
        <v>136</v>
      </c>
      <c r="E190" t="s">
        <v>555</v>
      </c>
      <c r="F190" t="s">
        <v>599</v>
      </c>
      <c r="H190">
        <v>0.16500000000000001</v>
      </c>
      <c r="K190">
        <v>15</v>
      </c>
      <c r="L190" t="s">
        <v>184</v>
      </c>
      <c r="M190" t="s">
        <v>616</v>
      </c>
    </row>
    <row r="191" spans="1:13" x14ac:dyDescent="0.25">
      <c r="A191">
        <v>190</v>
      </c>
      <c r="B191">
        <v>31</v>
      </c>
      <c r="D191">
        <v>137</v>
      </c>
      <c r="E191" t="s">
        <v>556</v>
      </c>
      <c r="F191" t="s">
        <v>599</v>
      </c>
      <c r="H191">
        <v>0.16500000000000001</v>
      </c>
      <c r="K191">
        <v>15</v>
      </c>
      <c r="L191" t="s">
        <v>155</v>
      </c>
      <c r="M191" t="s">
        <v>616</v>
      </c>
    </row>
    <row r="192" spans="1:13" x14ac:dyDescent="0.25">
      <c r="A192">
        <v>191</v>
      </c>
      <c r="B192">
        <v>31</v>
      </c>
      <c r="D192">
        <v>138</v>
      </c>
      <c r="E192" t="s">
        <v>557</v>
      </c>
      <c r="F192" t="s">
        <v>599</v>
      </c>
      <c r="H192">
        <v>0.16500000000000001</v>
      </c>
      <c r="K192">
        <v>15</v>
      </c>
      <c r="L192" t="s">
        <v>185</v>
      </c>
      <c r="M192" t="s">
        <v>616</v>
      </c>
    </row>
    <row r="193" spans="1:13" x14ac:dyDescent="0.25">
      <c r="A193">
        <v>192</v>
      </c>
      <c r="B193">
        <v>31</v>
      </c>
      <c r="D193">
        <v>139</v>
      </c>
      <c r="E193" t="s">
        <v>558</v>
      </c>
      <c r="F193" t="s">
        <v>599</v>
      </c>
      <c r="H193">
        <v>0.16500000000000001</v>
      </c>
      <c r="K193">
        <v>15</v>
      </c>
      <c r="L193" t="s">
        <v>143</v>
      </c>
      <c r="M193" t="s">
        <v>616</v>
      </c>
    </row>
    <row r="194" spans="1:13" x14ac:dyDescent="0.25">
      <c r="A194">
        <v>193</v>
      </c>
      <c r="B194">
        <v>31</v>
      </c>
      <c r="D194">
        <v>140</v>
      </c>
      <c r="E194" t="s">
        <v>559</v>
      </c>
      <c r="F194" t="s">
        <v>599</v>
      </c>
      <c r="H194">
        <v>0.16500000000000001</v>
      </c>
      <c r="K194">
        <v>15</v>
      </c>
      <c r="L194" t="s">
        <v>180</v>
      </c>
      <c r="M194" t="s">
        <v>616</v>
      </c>
    </row>
    <row r="195" spans="1:13" x14ac:dyDescent="0.25">
      <c r="A195">
        <v>194</v>
      </c>
      <c r="B195">
        <v>31</v>
      </c>
      <c r="D195">
        <v>141</v>
      </c>
      <c r="E195" t="s">
        <v>560</v>
      </c>
      <c r="F195" t="s">
        <v>599</v>
      </c>
      <c r="H195">
        <v>0.14300000000000002</v>
      </c>
      <c r="K195">
        <v>15</v>
      </c>
      <c r="L195" t="s">
        <v>176</v>
      </c>
      <c r="M195" t="s">
        <v>616</v>
      </c>
    </row>
    <row r="196" spans="1:13" x14ac:dyDescent="0.25">
      <c r="A196">
        <v>195</v>
      </c>
      <c r="B196">
        <v>31</v>
      </c>
      <c r="D196">
        <v>142</v>
      </c>
      <c r="E196" t="s">
        <v>561</v>
      </c>
      <c r="F196" t="s">
        <v>599</v>
      </c>
      <c r="H196">
        <v>0.16500000000000001</v>
      </c>
      <c r="K196">
        <v>15</v>
      </c>
      <c r="L196" t="s">
        <v>165</v>
      </c>
      <c r="M196" t="s">
        <v>616</v>
      </c>
    </row>
    <row r="197" spans="1:13" x14ac:dyDescent="0.25">
      <c r="A197">
        <v>196</v>
      </c>
      <c r="B197">
        <v>31</v>
      </c>
      <c r="D197">
        <v>143</v>
      </c>
      <c r="E197" t="s">
        <v>562</v>
      </c>
      <c r="F197" t="s">
        <v>599</v>
      </c>
      <c r="H197">
        <v>0.19800000000000001</v>
      </c>
      <c r="K197">
        <v>18</v>
      </c>
      <c r="L197" t="s">
        <v>154</v>
      </c>
      <c r="M197" t="s">
        <v>616</v>
      </c>
    </row>
    <row r="198" spans="1:13" x14ac:dyDescent="0.25">
      <c r="A198">
        <v>197</v>
      </c>
      <c r="B198">
        <v>31</v>
      </c>
      <c r="D198">
        <v>144</v>
      </c>
      <c r="E198" t="s">
        <v>563</v>
      </c>
      <c r="F198" t="s">
        <v>599</v>
      </c>
      <c r="H198">
        <v>0.16500000000000001</v>
      </c>
      <c r="K198">
        <v>15</v>
      </c>
      <c r="L198" t="s">
        <v>153</v>
      </c>
      <c r="M198" t="s">
        <v>616</v>
      </c>
    </row>
    <row r="199" spans="1:13" x14ac:dyDescent="0.25">
      <c r="A199">
        <v>198</v>
      </c>
      <c r="B199">
        <v>31</v>
      </c>
      <c r="D199">
        <v>145</v>
      </c>
      <c r="E199" t="s">
        <v>564</v>
      </c>
      <c r="F199" t="s">
        <v>599</v>
      </c>
      <c r="H199">
        <v>0.16500000000000001</v>
      </c>
      <c r="K199">
        <v>15</v>
      </c>
      <c r="L199" t="s">
        <v>162</v>
      </c>
      <c r="M199" t="s">
        <v>616</v>
      </c>
    </row>
    <row r="200" spans="1:13" x14ac:dyDescent="0.25">
      <c r="A200">
        <v>199</v>
      </c>
      <c r="B200">
        <v>31</v>
      </c>
      <c r="D200">
        <v>146</v>
      </c>
      <c r="E200" t="s">
        <v>565</v>
      </c>
      <c r="F200" t="s">
        <v>599</v>
      </c>
      <c r="H200">
        <v>0.16500000000000001</v>
      </c>
      <c r="K200">
        <v>15</v>
      </c>
      <c r="L200" t="s">
        <v>171</v>
      </c>
      <c r="M200" t="s">
        <v>616</v>
      </c>
    </row>
    <row r="201" spans="1:13" x14ac:dyDescent="0.25">
      <c r="A201">
        <v>200</v>
      </c>
      <c r="B201">
        <v>31</v>
      </c>
      <c r="D201">
        <v>147</v>
      </c>
      <c r="E201" t="s">
        <v>566</v>
      </c>
      <c r="F201" t="s">
        <v>599</v>
      </c>
      <c r="H201">
        <v>0.16500000000000001</v>
      </c>
      <c r="K201">
        <v>15</v>
      </c>
      <c r="L201" t="s">
        <v>146</v>
      </c>
      <c r="M201" t="s">
        <v>616</v>
      </c>
    </row>
    <row r="202" spans="1:13" x14ac:dyDescent="0.25">
      <c r="A202">
        <v>201</v>
      </c>
      <c r="B202">
        <v>31</v>
      </c>
      <c r="D202">
        <v>148</v>
      </c>
      <c r="E202" t="s">
        <v>567</v>
      </c>
      <c r="F202" t="s">
        <v>599</v>
      </c>
      <c r="H202">
        <v>0.16500000000000001</v>
      </c>
      <c r="K202">
        <v>15</v>
      </c>
      <c r="L202" t="s">
        <v>150</v>
      </c>
      <c r="M202" t="s">
        <v>616</v>
      </c>
    </row>
    <row r="203" spans="1:13" x14ac:dyDescent="0.25">
      <c r="A203">
        <v>202</v>
      </c>
      <c r="B203">
        <v>31</v>
      </c>
      <c r="D203">
        <v>149</v>
      </c>
      <c r="E203" t="s">
        <v>568</v>
      </c>
      <c r="F203" t="s">
        <v>599</v>
      </c>
      <c r="H203">
        <v>0.16500000000000001</v>
      </c>
      <c r="K203">
        <v>15</v>
      </c>
      <c r="L203" t="s">
        <v>181</v>
      </c>
      <c r="M203" t="s">
        <v>616</v>
      </c>
    </row>
    <row r="204" spans="1:13" x14ac:dyDescent="0.25">
      <c r="A204">
        <v>203</v>
      </c>
      <c r="B204">
        <v>31</v>
      </c>
      <c r="D204">
        <v>150</v>
      </c>
      <c r="E204" t="s">
        <v>569</v>
      </c>
      <c r="F204" t="s">
        <v>599</v>
      </c>
      <c r="H204">
        <v>0.13200000000000001</v>
      </c>
      <c r="K204">
        <v>15</v>
      </c>
      <c r="L204" t="s">
        <v>161</v>
      </c>
      <c r="M204" t="s">
        <v>616</v>
      </c>
    </row>
    <row r="205" spans="1:13" x14ac:dyDescent="0.25">
      <c r="A205">
        <v>204</v>
      </c>
      <c r="B205">
        <v>31</v>
      </c>
      <c r="D205">
        <v>151</v>
      </c>
      <c r="E205" t="s">
        <v>570</v>
      </c>
      <c r="F205" t="s">
        <v>599</v>
      </c>
      <c r="H205">
        <v>0.16500000000000001</v>
      </c>
      <c r="K205">
        <v>15</v>
      </c>
      <c r="L205" t="s">
        <v>145</v>
      </c>
      <c r="M205" t="s">
        <v>616</v>
      </c>
    </row>
    <row r="206" spans="1:13" x14ac:dyDescent="0.25">
      <c r="A206">
        <v>205</v>
      </c>
      <c r="B206">
        <v>31</v>
      </c>
      <c r="D206">
        <v>152</v>
      </c>
      <c r="E206" t="s">
        <v>571</v>
      </c>
      <c r="F206" t="s">
        <v>599</v>
      </c>
      <c r="H206">
        <v>0.16500000000000001</v>
      </c>
      <c r="K206">
        <v>15</v>
      </c>
      <c r="L206" t="s">
        <v>141</v>
      </c>
      <c r="M206" t="s">
        <v>616</v>
      </c>
    </row>
    <row r="207" spans="1:13" x14ac:dyDescent="0.25">
      <c r="A207">
        <v>206</v>
      </c>
      <c r="B207">
        <v>31</v>
      </c>
      <c r="D207">
        <v>153</v>
      </c>
      <c r="E207" t="s">
        <v>572</v>
      </c>
      <c r="F207" t="s">
        <v>599</v>
      </c>
      <c r="H207">
        <v>0.13200000000000001</v>
      </c>
      <c r="K207">
        <v>15</v>
      </c>
      <c r="L207" t="s">
        <v>151</v>
      </c>
      <c r="M207" t="s">
        <v>616</v>
      </c>
    </row>
    <row r="208" spans="1:13" x14ac:dyDescent="0.25">
      <c r="A208">
        <v>207</v>
      </c>
      <c r="B208">
        <v>31</v>
      </c>
      <c r="D208">
        <v>154</v>
      </c>
      <c r="E208" t="s">
        <v>573</v>
      </c>
      <c r="F208" t="s">
        <v>599</v>
      </c>
      <c r="H208">
        <v>0.19800000000000001</v>
      </c>
      <c r="K208">
        <v>18</v>
      </c>
      <c r="L208" t="s">
        <v>149</v>
      </c>
      <c r="M208" t="s">
        <v>616</v>
      </c>
    </row>
    <row r="209" spans="1:13" x14ac:dyDescent="0.25">
      <c r="A209">
        <v>208</v>
      </c>
      <c r="B209">
        <v>31</v>
      </c>
      <c r="D209">
        <v>155</v>
      </c>
      <c r="E209" t="s">
        <v>574</v>
      </c>
      <c r="F209" t="s">
        <v>599</v>
      </c>
      <c r="H209">
        <v>0.19800000000000001</v>
      </c>
      <c r="K209">
        <v>18</v>
      </c>
      <c r="L209" t="s">
        <v>147</v>
      </c>
      <c r="M209" t="s">
        <v>616</v>
      </c>
    </row>
    <row r="210" spans="1:13" x14ac:dyDescent="0.25">
      <c r="A210">
        <v>209</v>
      </c>
      <c r="B210">
        <v>31</v>
      </c>
      <c r="D210">
        <v>156</v>
      </c>
      <c r="E210" t="s">
        <v>575</v>
      </c>
      <c r="F210" t="s">
        <v>599</v>
      </c>
      <c r="H210">
        <v>0.19800000000000001</v>
      </c>
      <c r="K210">
        <v>18</v>
      </c>
      <c r="L210" t="s">
        <v>173</v>
      </c>
      <c r="M210" t="s">
        <v>616</v>
      </c>
    </row>
    <row r="211" spans="1:13" x14ac:dyDescent="0.25">
      <c r="A211">
        <v>210</v>
      </c>
      <c r="B211">
        <v>31</v>
      </c>
      <c r="D211">
        <v>157</v>
      </c>
      <c r="E211" t="s">
        <v>576</v>
      </c>
      <c r="F211" t="s">
        <v>599</v>
      </c>
      <c r="H211">
        <v>0.16500000000000001</v>
      </c>
      <c r="K211">
        <v>15</v>
      </c>
      <c r="L211" t="s">
        <v>172</v>
      </c>
      <c r="M211" t="s">
        <v>616</v>
      </c>
    </row>
    <row r="212" spans="1:13" x14ac:dyDescent="0.25">
      <c r="A212">
        <v>211</v>
      </c>
      <c r="B212">
        <v>31</v>
      </c>
      <c r="D212">
        <v>158</v>
      </c>
      <c r="E212" t="s">
        <v>577</v>
      </c>
      <c r="F212" t="s">
        <v>599</v>
      </c>
      <c r="H212">
        <v>0.16500000000000001</v>
      </c>
      <c r="K212">
        <v>15</v>
      </c>
      <c r="L212" t="s">
        <v>167</v>
      </c>
      <c r="M212" t="s">
        <v>616</v>
      </c>
    </row>
    <row r="213" spans="1:13" x14ac:dyDescent="0.25">
      <c r="A213">
        <v>212</v>
      </c>
      <c r="B213">
        <v>31</v>
      </c>
      <c r="D213">
        <v>159</v>
      </c>
      <c r="E213" t="s">
        <v>578</v>
      </c>
      <c r="F213" t="s">
        <v>599</v>
      </c>
      <c r="H213">
        <v>0.16500000000000001</v>
      </c>
      <c r="K213">
        <v>15</v>
      </c>
      <c r="L213" t="s">
        <v>177</v>
      </c>
      <c r="M213" t="s">
        <v>616</v>
      </c>
    </row>
    <row r="214" spans="1:13" x14ac:dyDescent="0.25">
      <c r="A214">
        <v>213</v>
      </c>
      <c r="B214">
        <v>31</v>
      </c>
      <c r="D214">
        <v>160</v>
      </c>
      <c r="E214" t="s">
        <v>579</v>
      </c>
      <c r="F214" t="s">
        <v>599</v>
      </c>
      <c r="H214">
        <v>0.16500000000000001</v>
      </c>
      <c r="K214">
        <v>15</v>
      </c>
      <c r="L214" t="s">
        <v>169</v>
      </c>
      <c r="M214" t="s">
        <v>616</v>
      </c>
    </row>
    <row r="215" spans="1:13" x14ac:dyDescent="0.25">
      <c r="A215">
        <v>214</v>
      </c>
      <c r="B215">
        <v>31</v>
      </c>
      <c r="D215">
        <v>161</v>
      </c>
      <c r="E215" t="s">
        <v>580</v>
      </c>
      <c r="F215" t="s">
        <v>599</v>
      </c>
      <c r="H215">
        <v>0.19800000000000001</v>
      </c>
      <c r="K215">
        <v>18</v>
      </c>
      <c r="L215" t="s">
        <v>170</v>
      </c>
      <c r="M215" t="s">
        <v>616</v>
      </c>
    </row>
    <row r="216" spans="1:13" x14ac:dyDescent="0.25">
      <c r="A216">
        <v>215</v>
      </c>
      <c r="B216">
        <v>31</v>
      </c>
      <c r="D216">
        <v>162</v>
      </c>
      <c r="E216" t="s">
        <v>581</v>
      </c>
      <c r="F216" t="s">
        <v>599</v>
      </c>
      <c r="H216">
        <v>0.16500000000000001</v>
      </c>
      <c r="K216">
        <v>15</v>
      </c>
      <c r="L216" t="s">
        <v>166</v>
      </c>
      <c r="M216" t="s">
        <v>616</v>
      </c>
    </row>
    <row r="217" spans="1:13" x14ac:dyDescent="0.25">
      <c r="A217">
        <v>216</v>
      </c>
      <c r="B217">
        <v>31</v>
      </c>
      <c r="D217">
        <v>163</v>
      </c>
      <c r="E217" t="s">
        <v>582</v>
      </c>
      <c r="F217" t="s">
        <v>599</v>
      </c>
      <c r="H217">
        <v>0.16500000000000001</v>
      </c>
      <c r="K217">
        <v>15</v>
      </c>
      <c r="L217" t="s">
        <v>351</v>
      </c>
      <c r="M217" t="s">
        <v>616</v>
      </c>
    </row>
    <row r="218" spans="1:13" x14ac:dyDescent="0.25">
      <c r="A218">
        <v>217</v>
      </c>
      <c r="B218">
        <v>31</v>
      </c>
      <c r="D218">
        <v>164</v>
      </c>
      <c r="E218" t="s">
        <v>583</v>
      </c>
      <c r="F218" t="s">
        <v>599</v>
      </c>
      <c r="H218">
        <v>0.16500000000000001</v>
      </c>
      <c r="K218">
        <v>15</v>
      </c>
      <c r="L218" t="s">
        <v>144</v>
      </c>
      <c r="M218" t="s">
        <v>616</v>
      </c>
    </row>
    <row r="219" spans="1:13" x14ac:dyDescent="0.25">
      <c r="A219">
        <v>218</v>
      </c>
      <c r="B219">
        <v>31</v>
      </c>
      <c r="D219">
        <v>165</v>
      </c>
      <c r="E219" t="s">
        <v>584</v>
      </c>
      <c r="F219" t="s">
        <v>599</v>
      </c>
      <c r="H219">
        <v>0.16500000000000001</v>
      </c>
      <c r="K219">
        <v>15</v>
      </c>
      <c r="L219" t="s">
        <v>129</v>
      </c>
      <c r="M219" t="s">
        <v>616</v>
      </c>
    </row>
    <row r="220" spans="1:13" x14ac:dyDescent="0.25">
      <c r="A220">
        <v>219</v>
      </c>
      <c r="B220">
        <v>31</v>
      </c>
      <c r="D220">
        <v>166</v>
      </c>
      <c r="E220" t="s">
        <v>585</v>
      </c>
      <c r="F220" t="s">
        <v>599</v>
      </c>
      <c r="H220">
        <v>0.16500000000000001</v>
      </c>
      <c r="K220">
        <v>15</v>
      </c>
      <c r="L220" t="s">
        <v>142</v>
      </c>
      <c r="M220" t="s">
        <v>616</v>
      </c>
    </row>
    <row r="221" spans="1:13" x14ac:dyDescent="0.25">
      <c r="A221">
        <v>220</v>
      </c>
      <c r="B221">
        <v>31</v>
      </c>
      <c r="D221">
        <v>167</v>
      </c>
      <c r="E221" t="s">
        <v>586</v>
      </c>
      <c r="F221" t="s">
        <v>599</v>
      </c>
      <c r="H221">
        <v>0.16500000000000001</v>
      </c>
      <c r="K221">
        <v>15</v>
      </c>
      <c r="L221" t="s">
        <v>159</v>
      </c>
      <c r="M221" t="s">
        <v>616</v>
      </c>
    </row>
    <row r="222" spans="1:13" x14ac:dyDescent="0.25">
      <c r="A222">
        <v>221</v>
      </c>
      <c r="B222">
        <v>31</v>
      </c>
      <c r="D222">
        <v>168</v>
      </c>
      <c r="E222" t="s">
        <v>587</v>
      </c>
      <c r="F222" t="s">
        <v>599</v>
      </c>
      <c r="H222">
        <v>0.16500000000000001</v>
      </c>
      <c r="K222">
        <v>15</v>
      </c>
      <c r="L222" t="s">
        <v>175</v>
      </c>
      <c r="M222" t="s">
        <v>616</v>
      </c>
    </row>
    <row r="223" spans="1:13" x14ac:dyDescent="0.25">
      <c r="A223">
        <v>222</v>
      </c>
      <c r="B223">
        <v>31</v>
      </c>
      <c r="D223">
        <v>169</v>
      </c>
      <c r="E223" t="s">
        <v>588</v>
      </c>
      <c r="F223" t="s">
        <v>599</v>
      </c>
      <c r="H223">
        <v>0.16500000000000001</v>
      </c>
      <c r="K223">
        <v>15</v>
      </c>
      <c r="L223" t="s">
        <v>179</v>
      </c>
      <c r="M223" t="s">
        <v>616</v>
      </c>
    </row>
    <row r="224" spans="1:13" x14ac:dyDescent="0.25">
      <c r="A224">
        <v>223</v>
      </c>
      <c r="B224">
        <v>31</v>
      </c>
      <c r="D224">
        <v>170</v>
      </c>
      <c r="E224" t="s">
        <v>589</v>
      </c>
      <c r="F224" t="s">
        <v>599</v>
      </c>
      <c r="H224">
        <v>0.16500000000000001</v>
      </c>
      <c r="K224">
        <v>15</v>
      </c>
      <c r="L224" t="s">
        <v>168</v>
      </c>
      <c r="M224" t="s">
        <v>616</v>
      </c>
    </row>
    <row r="225" spans="1:13" x14ac:dyDescent="0.25">
      <c r="A225">
        <v>224</v>
      </c>
      <c r="B225">
        <v>31</v>
      </c>
      <c r="D225">
        <v>171</v>
      </c>
      <c r="E225" t="s">
        <v>590</v>
      </c>
      <c r="F225" t="s">
        <v>599</v>
      </c>
      <c r="H225">
        <v>0.16500000000000001</v>
      </c>
      <c r="K225">
        <v>15</v>
      </c>
      <c r="L225" t="s">
        <v>163</v>
      </c>
      <c r="M225" t="s">
        <v>616</v>
      </c>
    </row>
    <row r="226" spans="1:13" x14ac:dyDescent="0.25">
      <c r="A226">
        <v>225</v>
      </c>
      <c r="B226">
        <v>31</v>
      </c>
      <c r="D226">
        <v>172</v>
      </c>
      <c r="E226" t="s">
        <v>591</v>
      </c>
      <c r="F226" t="s">
        <v>599</v>
      </c>
      <c r="H226">
        <v>0.16500000000000001</v>
      </c>
      <c r="K226">
        <v>15</v>
      </c>
      <c r="L226" t="s">
        <v>131</v>
      </c>
      <c r="M226" t="s">
        <v>616</v>
      </c>
    </row>
    <row r="227" spans="1:13" x14ac:dyDescent="0.25">
      <c r="A227">
        <v>226</v>
      </c>
      <c r="B227">
        <v>31</v>
      </c>
      <c r="D227">
        <v>173</v>
      </c>
      <c r="E227" t="s">
        <v>592</v>
      </c>
      <c r="F227" t="s">
        <v>599</v>
      </c>
      <c r="H227">
        <v>0.16500000000000001</v>
      </c>
      <c r="K227">
        <v>15</v>
      </c>
      <c r="L227" t="s">
        <v>148</v>
      </c>
      <c r="M227" t="s">
        <v>616</v>
      </c>
    </row>
    <row r="228" spans="1:13" x14ac:dyDescent="0.25">
      <c r="A228">
        <v>227</v>
      </c>
      <c r="B228">
        <v>31</v>
      </c>
      <c r="D228">
        <v>174</v>
      </c>
      <c r="E228" t="s">
        <v>593</v>
      </c>
      <c r="F228" t="s">
        <v>599</v>
      </c>
      <c r="H228">
        <v>0.13200000000000001</v>
      </c>
      <c r="K228">
        <v>12</v>
      </c>
      <c r="L228" t="s">
        <v>174</v>
      </c>
      <c r="M228" t="s">
        <v>616</v>
      </c>
    </row>
    <row r="229" spans="1:13" x14ac:dyDescent="0.25">
      <c r="A229">
        <v>228</v>
      </c>
      <c r="B229">
        <v>31</v>
      </c>
      <c r="D229">
        <v>175</v>
      </c>
      <c r="E229" t="s">
        <v>594</v>
      </c>
      <c r="F229" t="s">
        <v>599</v>
      </c>
      <c r="H229">
        <v>0.16500000000000001</v>
      </c>
      <c r="K229">
        <v>15</v>
      </c>
      <c r="L229" t="s">
        <v>164</v>
      </c>
      <c r="M229" t="s">
        <v>616</v>
      </c>
    </row>
    <row r="230" spans="1:13" x14ac:dyDescent="0.25">
      <c r="A230">
        <v>229</v>
      </c>
      <c r="B230">
        <v>31</v>
      </c>
      <c r="D230">
        <v>176</v>
      </c>
      <c r="E230" t="s">
        <v>595</v>
      </c>
      <c r="F230" t="s">
        <v>599</v>
      </c>
      <c r="H230">
        <v>0.16500000000000001</v>
      </c>
      <c r="K230">
        <v>15</v>
      </c>
      <c r="L230" t="s">
        <v>352</v>
      </c>
      <c r="M230" t="s">
        <v>616</v>
      </c>
    </row>
    <row r="231" spans="1:13" x14ac:dyDescent="0.25">
      <c r="A231">
        <v>230</v>
      </c>
      <c r="B231">
        <v>31</v>
      </c>
      <c r="D231">
        <v>177</v>
      </c>
      <c r="E231" t="s">
        <v>596</v>
      </c>
      <c r="F231" t="s">
        <v>599</v>
      </c>
      <c r="H231">
        <v>0.16500000000000001</v>
      </c>
      <c r="K231">
        <v>15</v>
      </c>
      <c r="L231" t="s">
        <v>353</v>
      </c>
      <c r="M231" t="s">
        <v>616</v>
      </c>
    </row>
    <row r="232" spans="1:13" x14ac:dyDescent="0.25">
      <c r="A232">
        <v>231</v>
      </c>
      <c r="B232">
        <v>31</v>
      </c>
      <c r="D232">
        <v>178</v>
      </c>
      <c r="E232" t="s">
        <v>597</v>
      </c>
      <c r="F232" t="s">
        <v>599</v>
      </c>
      <c r="H232">
        <v>0.16500000000000001</v>
      </c>
      <c r="K232">
        <v>15</v>
      </c>
      <c r="L232" t="s">
        <v>354</v>
      </c>
      <c r="M232" t="s">
        <v>616</v>
      </c>
    </row>
    <row r="233" spans="1:13" x14ac:dyDescent="0.25">
      <c r="A233">
        <v>232</v>
      </c>
      <c r="B233">
        <v>31</v>
      </c>
      <c r="D233">
        <v>179</v>
      </c>
      <c r="E233" t="s">
        <v>598</v>
      </c>
      <c r="F233" t="s">
        <v>599</v>
      </c>
      <c r="H233">
        <v>0.16500000000000001</v>
      </c>
      <c r="K233">
        <v>15</v>
      </c>
      <c r="L233" t="s">
        <v>355</v>
      </c>
      <c r="M233" t="s">
        <v>616</v>
      </c>
    </row>
    <row r="234" spans="1:13" x14ac:dyDescent="0.25">
      <c r="A234">
        <v>233</v>
      </c>
      <c r="B234">
        <v>51</v>
      </c>
      <c r="D234">
        <v>5</v>
      </c>
      <c r="E234" t="s">
        <v>644</v>
      </c>
      <c r="F234" t="s">
        <v>543</v>
      </c>
      <c r="H234">
        <v>235.71</v>
      </c>
      <c r="L234" t="s">
        <v>638</v>
      </c>
      <c r="M234" t="s">
        <v>628</v>
      </c>
    </row>
    <row r="235" spans="1:13" x14ac:dyDescent="0.25">
      <c r="A235">
        <v>234</v>
      </c>
      <c r="B235">
        <v>51</v>
      </c>
      <c r="D235">
        <v>6</v>
      </c>
      <c r="E235" t="s">
        <v>645</v>
      </c>
      <c r="F235" t="s">
        <v>544</v>
      </c>
      <c r="H235">
        <f>H234/10</f>
        <v>23.571000000000002</v>
      </c>
      <c r="L235" t="s">
        <v>638</v>
      </c>
      <c r="M235" t="s">
        <v>628</v>
      </c>
    </row>
    <row r="236" spans="1:13" x14ac:dyDescent="0.25">
      <c r="A236">
        <v>235</v>
      </c>
      <c r="B236">
        <v>51</v>
      </c>
      <c r="D236">
        <v>7</v>
      </c>
      <c r="E236" t="s">
        <v>635</v>
      </c>
      <c r="F236" t="s">
        <v>543</v>
      </c>
      <c r="H236">
        <v>171.42857142857142</v>
      </c>
      <c r="J236">
        <v>4800</v>
      </c>
      <c r="L236" t="s">
        <v>634</v>
      </c>
      <c r="M236" t="s">
        <v>627</v>
      </c>
    </row>
    <row r="237" spans="1:13" x14ac:dyDescent="0.25">
      <c r="A237">
        <v>236</v>
      </c>
      <c r="B237">
        <v>14</v>
      </c>
      <c r="D237">
        <v>17</v>
      </c>
      <c r="E237" t="s">
        <v>641</v>
      </c>
      <c r="F237" t="s">
        <v>544</v>
      </c>
      <c r="H237" s="61">
        <v>1000</v>
      </c>
      <c r="M237" s="19" t="s">
        <v>615</v>
      </c>
    </row>
    <row r="238" spans="1:13" x14ac:dyDescent="0.25">
      <c r="A238">
        <v>237</v>
      </c>
      <c r="B238">
        <v>14</v>
      </c>
      <c r="D238">
        <v>18</v>
      </c>
      <c r="E238" t="s">
        <v>642</v>
      </c>
      <c r="F238" t="s">
        <v>544</v>
      </c>
      <c r="H238" s="61">
        <v>1000</v>
      </c>
      <c r="M238" s="19" t="s">
        <v>615</v>
      </c>
    </row>
    <row r="239" spans="1:13" x14ac:dyDescent="0.25">
      <c r="A239">
        <v>238</v>
      </c>
      <c r="B239">
        <v>14</v>
      </c>
      <c r="D239">
        <v>19</v>
      </c>
      <c r="E239" t="s">
        <v>640</v>
      </c>
      <c r="F239" t="s">
        <v>544</v>
      </c>
      <c r="H239" s="61">
        <v>600</v>
      </c>
      <c r="M239" s="19" t="s">
        <v>615</v>
      </c>
    </row>
    <row r="240" spans="1:13" x14ac:dyDescent="0.25">
      <c r="A240">
        <v>239</v>
      </c>
      <c r="B240">
        <v>31</v>
      </c>
      <c r="D240">
        <v>180</v>
      </c>
      <c r="E240" t="s">
        <v>646</v>
      </c>
      <c r="F240" t="s">
        <v>543</v>
      </c>
      <c r="H240">
        <v>62.5</v>
      </c>
      <c r="K240">
        <v>18</v>
      </c>
      <c r="L240" t="s">
        <v>648</v>
      </c>
      <c r="M240" t="s">
        <v>616</v>
      </c>
    </row>
    <row r="241" spans="1:13" x14ac:dyDescent="0.25">
      <c r="A241">
        <v>240</v>
      </c>
      <c r="B241">
        <v>31</v>
      </c>
      <c r="D241">
        <v>181</v>
      </c>
      <c r="E241" t="s">
        <v>647</v>
      </c>
      <c r="F241" t="s">
        <v>544</v>
      </c>
      <c r="H241">
        <v>6.25</v>
      </c>
      <c r="K241">
        <v>18</v>
      </c>
      <c r="L241" t="s">
        <v>648</v>
      </c>
      <c r="M241" t="s">
        <v>616</v>
      </c>
    </row>
    <row r="242" spans="1:13" x14ac:dyDescent="0.25">
      <c r="A242">
        <v>241</v>
      </c>
      <c r="B242">
        <v>31</v>
      </c>
      <c r="D242">
        <v>182</v>
      </c>
      <c r="E242" t="s">
        <v>650</v>
      </c>
      <c r="F242" t="s">
        <v>543</v>
      </c>
      <c r="H242">
        <v>96.43</v>
      </c>
      <c r="K242">
        <v>15</v>
      </c>
      <c r="L242" t="s">
        <v>649</v>
      </c>
      <c r="M242" t="s">
        <v>616</v>
      </c>
    </row>
    <row r="243" spans="1:13" x14ac:dyDescent="0.25">
      <c r="A243">
        <v>242</v>
      </c>
      <c r="B243">
        <v>31</v>
      </c>
      <c r="D243">
        <v>183</v>
      </c>
      <c r="E243" t="s">
        <v>651</v>
      </c>
      <c r="F243" t="s">
        <v>544</v>
      </c>
      <c r="H243">
        <v>9.6430000000000007</v>
      </c>
      <c r="K243">
        <v>15</v>
      </c>
      <c r="L243" t="s">
        <v>649</v>
      </c>
      <c r="M243" t="s">
        <v>616</v>
      </c>
    </row>
    <row r="244" spans="1:13" x14ac:dyDescent="0.25">
      <c r="A244">
        <v>243</v>
      </c>
      <c r="B244">
        <v>33</v>
      </c>
      <c r="D244" t="s">
        <v>689</v>
      </c>
      <c r="E244" t="s">
        <v>690</v>
      </c>
      <c r="F244" t="s">
        <v>325</v>
      </c>
      <c r="H244">
        <v>-320</v>
      </c>
      <c r="M244" t="s">
        <v>616</v>
      </c>
    </row>
    <row r="245" spans="1:13" x14ac:dyDescent="0.25">
      <c r="A245">
        <v>244</v>
      </c>
      <c r="B245">
        <v>163</v>
      </c>
      <c r="C245">
        <v>1</v>
      </c>
      <c r="D245">
        <v>1</v>
      </c>
      <c r="E245" s="67" t="s">
        <v>698</v>
      </c>
      <c r="F245" t="s">
        <v>543</v>
      </c>
      <c r="H245" s="61">
        <f>J245/I245</f>
        <v>169.64285714285714</v>
      </c>
      <c r="I245">
        <v>28</v>
      </c>
      <c r="J245">
        <v>4750</v>
      </c>
      <c r="L245" t="s">
        <v>703</v>
      </c>
      <c r="M245" t="s">
        <v>1118</v>
      </c>
    </row>
    <row r="246" spans="1:13" x14ac:dyDescent="0.25">
      <c r="A246">
        <v>245</v>
      </c>
      <c r="B246">
        <v>163</v>
      </c>
      <c r="C246">
        <v>1</v>
      </c>
      <c r="D246">
        <v>2</v>
      </c>
      <c r="E246" s="67" t="s">
        <v>699</v>
      </c>
      <c r="F246" t="s">
        <v>544</v>
      </c>
      <c r="H246" s="61">
        <f>J246/I246/10</f>
        <v>16.964285714285715</v>
      </c>
      <c r="I246">
        <v>28</v>
      </c>
      <c r="J246">
        <v>4750</v>
      </c>
      <c r="L246" t="s">
        <v>703</v>
      </c>
      <c r="M246" t="s">
        <v>1118</v>
      </c>
    </row>
    <row r="247" spans="1:13" x14ac:dyDescent="0.25">
      <c r="A247">
        <v>246</v>
      </c>
      <c r="B247">
        <v>164</v>
      </c>
      <c r="C247">
        <v>1</v>
      </c>
      <c r="D247">
        <v>1</v>
      </c>
      <c r="E247" t="s">
        <v>701</v>
      </c>
      <c r="F247" t="s">
        <v>543</v>
      </c>
      <c r="H247" s="61">
        <f>J247/I247</f>
        <v>392.85714285714283</v>
      </c>
      <c r="I247">
        <v>28</v>
      </c>
      <c r="J247">
        <v>11000</v>
      </c>
      <c r="L247" t="s">
        <v>700</v>
      </c>
      <c r="M247" t="s">
        <v>628</v>
      </c>
    </row>
    <row r="248" spans="1:13" x14ac:dyDescent="0.25">
      <c r="A248">
        <v>247</v>
      </c>
      <c r="B248">
        <v>164</v>
      </c>
      <c r="C248">
        <v>1</v>
      </c>
      <c r="D248">
        <v>2</v>
      </c>
      <c r="E248" t="s">
        <v>702</v>
      </c>
      <c r="F248" t="s">
        <v>544</v>
      </c>
      <c r="H248" s="61">
        <f>J248/I248/10</f>
        <v>39.285714285714285</v>
      </c>
      <c r="I248">
        <v>28</v>
      </c>
      <c r="J248">
        <v>11000</v>
      </c>
      <c r="L248" t="s">
        <v>700</v>
      </c>
      <c r="M248" t="s">
        <v>628</v>
      </c>
    </row>
    <row r="249" spans="1:13" x14ac:dyDescent="0.25">
      <c r="A249">
        <v>248</v>
      </c>
      <c r="B249">
        <v>172</v>
      </c>
      <c r="C249">
        <v>1</v>
      </c>
      <c r="D249">
        <v>1</v>
      </c>
      <c r="E249" t="s">
        <v>696</v>
      </c>
      <c r="F249" t="s">
        <v>543</v>
      </c>
      <c r="H249" s="61">
        <f>J249/I249</f>
        <v>196.42857142857142</v>
      </c>
      <c r="I249">
        <v>28</v>
      </c>
      <c r="J249">
        <v>5500</v>
      </c>
      <c r="L249" t="s">
        <v>704</v>
      </c>
      <c r="M249" t="s">
        <v>627</v>
      </c>
    </row>
    <row r="250" spans="1:13" x14ac:dyDescent="0.25">
      <c r="A250">
        <v>249</v>
      </c>
      <c r="B250">
        <v>172</v>
      </c>
      <c r="C250">
        <v>1</v>
      </c>
      <c r="D250">
        <v>2</v>
      </c>
      <c r="E250" t="s">
        <v>697</v>
      </c>
      <c r="F250" t="s">
        <v>544</v>
      </c>
      <c r="H250" s="61">
        <f>J250/I250/10</f>
        <v>19.642857142857142</v>
      </c>
      <c r="I250">
        <v>28</v>
      </c>
      <c r="J250">
        <v>5500</v>
      </c>
      <c r="L250" t="s">
        <v>704</v>
      </c>
      <c r="M250" t="s">
        <v>627</v>
      </c>
    </row>
    <row r="251" spans="1:13" x14ac:dyDescent="0.25">
      <c r="A251">
        <v>250</v>
      </c>
      <c r="B251">
        <v>31</v>
      </c>
      <c r="C251">
        <v>18</v>
      </c>
      <c r="D251">
        <v>184</v>
      </c>
      <c r="E251" t="s">
        <v>759</v>
      </c>
      <c r="F251" t="s">
        <v>544</v>
      </c>
      <c r="H251">
        <v>62.5</v>
      </c>
      <c r="I251">
        <v>28</v>
      </c>
      <c r="J251">
        <v>1750</v>
      </c>
      <c r="K251">
        <v>15</v>
      </c>
      <c r="L251" t="s">
        <v>751</v>
      </c>
      <c r="M251" t="s">
        <v>616</v>
      </c>
    </row>
    <row r="252" spans="1:13" x14ac:dyDescent="0.25">
      <c r="A252">
        <v>251</v>
      </c>
      <c r="B252">
        <v>31</v>
      </c>
      <c r="C252">
        <v>18</v>
      </c>
      <c r="D252">
        <v>185</v>
      </c>
      <c r="E252" t="s">
        <v>760</v>
      </c>
      <c r="F252" t="s">
        <v>543</v>
      </c>
      <c r="H252">
        <v>6.25</v>
      </c>
      <c r="I252">
        <v>28</v>
      </c>
      <c r="J252">
        <v>1750</v>
      </c>
      <c r="K252">
        <v>15</v>
      </c>
      <c r="L252" t="s">
        <v>751</v>
      </c>
      <c r="M252" t="s">
        <v>616</v>
      </c>
    </row>
    <row r="253" spans="1:13" x14ac:dyDescent="0.25">
      <c r="A253">
        <v>252</v>
      </c>
      <c r="B253">
        <v>31</v>
      </c>
      <c r="C253">
        <v>18</v>
      </c>
      <c r="D253">
        <v>186</v>
      </c>
      <c r="E253" t="s">
        <v>761</v>
      </c>
      <c r="F253" t="s">
        <v>544</v>
      </c>
      <c r="H253">
        <v>62.5</v>
      </c>
      <c r="I253">
        <v>28</v>
      </c>
      <c r="J253">
        <v>1750</v>
      </c>
      <c r="K253">
        <v>15</v>
      </c>
      <c r="L253" t="s">
        <v>752</v>
      </c>
      <c r="M253" t="s">
        <v>616</v>
      </c>
    </row>
    <row r="254" spans="1:13" x14ac:dyDescent="0.25">
      <c r="A254">
        <v>253</v>
      </c>
      <c r="B254">
        <v>31</v>
      </c>
      <c r="C254">
        <v>18</v>
      </c>
      <c r="D254">
        <v>187</v>
      </c>
      <c r="E254" t="s">
        <v>762</v>
      </c>
      <c r="F254" t="s">
        <v>543</v>
      </c>
      <c r="H254">
        <v>6.25</v>
      </c>
      <c r="I254">
        <v>28</v>
      </c>
      <c r="J254">
        <v>1750</v>
      </c>
      <c r="K254">
        <v>15</v>
      </c>
      <c r="L254" t="s">
        <v>752</v>
      </c>
      <c r="M254" t="s">
        <v>616</v>
      </c>
    </row>
    <row r="255" spans="1:13" x14ac:dyDescent="0.25">
      <c r="A255">
        <v>254</v>
      </c>
      <c r="B255">
        <v>31</v>
      </c>
      <c r="C255">
        <v>18</v>
      </c>
      <c r="D255">
        <v>188</v>
      </c>
      <c r="E255" t="s">
        <v>763</v>
      </c>
      <c r="F255" t="s">
        <v>544</v>
      </c>
      <c r="H255">
        <v>62.5</v>
      </c>
      <c r="I255">
        <v>28</v>
      </c>
      <c r="J255">
        <v>1750</v>
      </c>
      <c r="K255">
        <v>15</v>
      </c>
      <c r="L255" t="s">
        <v>753</v>
      </c>
      <c r="M255" t="s">
        <v>616</v>
      </c>
    </row>
    <row r="256" spans="1:13" x14ac:dyDescent="0.25">
      <c r="A256">
        <v>255</v>
      </c>
      <c r="B256">
        <v>31</v>
      </c>
      <c r="C256">
        <v>18</v>
      </c>
      <c r="D256">
        <v>189</v>
      </c>
      <c r="E256" t="s">
        <v>764</v>
      </c>
      <c r="F256" t="s">
        <v>543</v>
      </c>
      <c r="H256">
        <v>6.25</v>
      </c>
      <c r="I256">
        <v>28</v>
      </c>
      <c r="J256">
        <v>1750</v>
      </c>
      <c r="K256">
        <v>15</v>
      </c>
      <c r="L256" t="s">
        <v>753</v>
      </c>
      <c r="M256" t="s">
        <v>616</v>
      </c>
    </row>
    <row r="257" spans="1:13" x14ac:dyDescent="0.25">
      <c r="A257">
        <v>256</v>
      </c>
      <c r="B257">
        <v>31</v>
      </c>
      <c r="C257">
        <v>18</v>
      </c>
      <c r="D257">
        <v>190</v>
      </c>
      <c r="E257" t="s">
        <v>765</v>
      </c>
      <c r="F257" t="s">
        <v>544</v>
      </c>
      <c r="H257">
        <v>55.357142857142854</v>
      </c>
      <c r="I257">
        <v>28</v>
      </c>
      <c r="J257">
        <v>1550</v>
      </c>
      <c r="K257">
        <v>15</v>
      </c>
      <c r="L257" t="s">
        <v>754</v>
      </c>
      <c r="M257" t="s">
        <v>616</v>
      </c>
    </row>
    <row r="258" spans="1:13" x14ac:dyDescent="0.25">
      <c r="A258">
        <v>257</v>
      </c>
      <c r="B258">
        <v>31</v>
      </c>
      <c r="C258">
        <v>18</v>
      </c>
      <c r="D258">
        <v>191</v>
      </c>
      <c r="E258" t="s">
        <v>766</v>
      </c>
      <c r="F258" t="s">
        <v>543</v>
      </c>
      <c r="H258">
        <v>5.5357142857142856</v>
      </c>
      <c r="I258">
        <v>28</v>
      </c>
      <c r="J258">
        <v>1550</v>
      </c>
      <c r="K258">
        <v>15</v>
      </c>
      <c r="L258" t="s">
        <v>754</v>
      </c>
      <c r="M258" t="s">
        <v>616</v>
      </c>
    </row>
    <row r="259" spans="1:13" x14ac:dyDescent="0.25">
      <c r="A259">
        <v>258</v>
      </c>
      <c r="B259">
        <v>31</v>
      </c>
      <c r="C259">
        <v>18</v>
      </c>
      <c r="D259">
        <v>192</v>
      </c>
      <c r="E259" t="s">
        <v>767</v>
      </c>
      <c r="F259" t="s">
        <v>544</v>
      </c>
      <c r="H259">
        <v>62.5</v>
      </c>
      <c r="I259">
        <v>28</v>
      </c>
      <c r="J259">
        <v>1750</v>
      </c>
      <c r="K259">
        <v>15</v>
      </c>
      <c r="L259" t="s">
        <v>755</v>
      </c>
      <c r="M259" t="s">
        <v>616</v>
      </c>
    </row>
    <row r="260" spans="1:13" x14ac:dyDescent="0.25">
      <c r="A260">
        <v>259</v>
      </c>
      <c r="B260">
        <v>31</v>
      </c>
      <c r="C260">
        <v>18</v>
      </c>
      <c r="D260">
        <v>193</v>
      </c>
      <c r="E260" t="s">
        <v>768</v>
      </c>
      <c r="F260" t="s">
        <v>543</v>
      </c>
      <c r="H260">
        <v>6.25</v>
      </c>
      <c r="I260">
        <v>28</v>
      </c>
      <c r="J260">
        <v>1750</v>
      </c>
      <c r="K260">
        <v>15</v>
      </c>
      <c r="L260" t="s">
        <v>755</v>
      </c>
      <c r="M260" t="s">
        <v>616</v>
      </c>
    </row>
    <row r="261" spans="1:13" x14ac:dyDescent="0.25">
      <c r="A261">
        <v>260</v>
      </c>
      <c r="B261">
        <v>31</v>
      </c>
      <c r="C261">
        <v>18</v>
      </c>
      <c r="D261">
        <v>194</v>
      </c>
      <c r="E261" t="s">
        <v>769</v>
      </c>
      <c r="F261" t="s">
        <v>544</v>
      </c>
      <c r="H261">
        <v>50</v>
      </c>
      <c r="I261">
        <v>30</v>
      </c>
      <c r="J261">
        <v>1500</v>
      </c>
      <c r="K261">
        <v>12</v>
      </c>
      <c r="L261" t="s">
        <v>756</v>
      </c>
      <c r="M261" t="s">
        <v>616</v>
      </c>
    </row>
    <row r="262" spans="1:13" x14ac:dyDescent="0.25">
      <c r="A262">
        <v>261</v>
      </c>
      <c r="B262">
        <v>31</v>
      </c>
      <c r="C262">
        <v>18</v>
      </c>
      <c r="D262">
        <v>195</v>
      </c>
      <c r="E262" t="s">
        <v>770</v>
      </c>
      <c r="F262" t="s">
        <v>543</v>
      </c>
      <c r="H262">
        <v>5</v>
      </c>
      <c r="I262">
        <v>30</v>
      </c>
      <c r="J262">
        <v>1500</v>
      </c>
      <c r="K262">
        <v>12</v>
      </c>
      <c r="L262" t="s">
        <v>756</v>
      </c>
      <c r="M262" t="s">
        <v>616</v>
      </c>
    </row>
    <row r="263" spans="1:13" x14ac:dyDescent="0.25">
      <c r="A263">
        <v>262</v>
      </c>
      <c r="B263">
        <v>31</v>
      </c>
      <c r="C263">
        <v>18</v>
      </c>
      <c r="D263">
        <v>196</v>
      </c>
      <c r="E263" t="s">
        <v>771</v>
      </c>
      <c r="F263" t="s">
        <v>544</v>
      </c>
      <c r="H263">
        <v>55.357142857142854</v>
      </c>
      <c r="I263">
        <v>28</v>
      </c>
      <c r="J263">
        <v>1550</v>
      </c>
      <c r="K263">
        <v>15</v>
      </c>
      <c r="L263" t="s">
        <v>757</v>
      </c>
      <c r="M263" t="s">
        <v>616</v>
      </c>
    </row>
    <row r="264" spans="1:13" x14ac:dyDescent="0.25">
      <c r="A264">
        <v>263</v>
      </c>
      <c r="B264">
        <v>31</v>
      </c>
      <c r="C264">
        <v>18</v>
      </c>
      <c r="D264">
        <v>197</v>
      </c>
      <c r="E264" t="s">
        <v>772</v>
      </c>
      <c r="F264" t="s">
        <v>543</v>
      </c>
      <c r="H264">
        <v>5.5357142857142856</v>
      </c>
      <c r="I264">
        <v>28</v>
      </c>
      <c r="J264">
        <v>1550</v>
      </c>
      <c r="K264">
        <v>15</v>
      </c>
      <c r="L264" t="s">
        <v>757</v>
      </c>
      <c r="M264" t="s">
        <v>616</v>
      </c>
    </row>
    <row r="265" spans="1:13" x14ac:dyDescent="0.25">
      <c r="A265">
        <v>264</v>
      </c>
      <c r="B265">
        <v>31</v>
      </c>
      <c r="C265">
        <v>18</v>
      </c>
      <c r="D265">
        <v>198</v>
      </c>
      <c r="E265" t="s">
        <v>773</v>
      </c>
      <c r="F265" t="s">
        <v>544</v>
      </c>
      <c r="H265">
        <v>85</v>
      </c>
      <c r="I265">
        <v>30</v>
      </c>
      <c r="J265">
        <v>2550</v>
      </c>
      <c r="K265">
        <v>12</v>
      </c>
      <c r="L265" t="s">
        <v>758</v>
      </c>
      <c r="M265" t="s">
        <v>616</v>
      </c>
    </row>
    <row r="266" spans="1:13" x14ac:dyDescent="0.25">
      <c r="A266">
        <v>265</v>
      </c>
      <c r="B266">
        <v>31</v>
      </c>
      <c r="C266">
        <v>18</v>
      </c>
      <c r="D266">
        <v>199</v>
      </c>
      <c r="E266" t="s">
        <v>774</v>
      </c>
      <c r="F266" t="s">
        <v>543</v>
      </c>
      <c r="H266">
        <v>8.5</v>
      </c>
      <c r="I266">
        <v>30</v>
      </c>
      <c r="J266">
        <v>2550</v>
      </c>
      <c r="K266">
        <v>12</v>
      </c>
      <c r="L266" t="s">
        <v>758</v>
      </c>
      <c r="M266" t="s">
        <v>616</v>
      </c>
    </row>
    <row r="267" spans="1:13" x14ac:dyDescent="0.25">
      <c r="A267">
        <v>266</v>
      </c>
      <c r="B267">
        <v>31</v>
      </c>
      <c r="C267">
        <v>18</v>
      </c>
      <c r="D267">
        <v>200</v>
      </c>
      <c r="E267" t="s">
        <v>775</v>
      </c>
      <c r="F267" t="s">
        <v>544</v>
      </c>
      <c r="H267">
        <v>89.285714285714292</v>
      </c>
      <c r="I267">
        <v>28</v>
      </c>
      <c r="J267">
        <v>2500</v>
      </c>
      <c r="K267">
        <v>12</v>
      </c>
      <c r="L267" t="s">
        <v>182</v>
      </c>
      <c r="M267" t="s">
        <v>616</v>
      </c>
    </row>
    <row r="268" spans="1:13" x14ac:dyDescent="0.25">
      <c r="A268">
        <v>267</v>
      </c>
      <c r="B268">
        <v>31</v>
      </c>
      <c r="C268">
        <v>18</v>
      </c>
      <c r="D268">
        <v>201</v>
      </c>
      <c r="E268" t="s">
        <v>776</v>
      </c>
      <c r="F268" t="s">
        <v>543</v>
      </c>
      <c r="H268">
        <v>8.9285714285714288</v>
      </c>
      <c r="I268">
        <v>28</v>
      </c>
      <c r="J268">
        <v>2500</v>
      </c>
      <c r="K268">
        <v>12</v>
      </c>
      <c r="L268" t="s">
        <v>182</v>
      </c>
      <c r="M268" t="s">
        <v>616</v>
      </c>
    </row>
    <row r="269" spans="1:13" x14ac:dyDescent="0.25">
      <c r="A269">
        <v>268</v>
      </c>
      <c r="B269">
        <v>31</v>
      </c>
      <c r="C269">
        <v>19</v>
      </c>
      <c r="D269">
        <v>202</v>
      </c>
      <c r="E269" s="67" t="s">
        <v>787</v>
      </c>
      <c r="F269" t="s">
        <v>543</v>
      </c>
      <c r="H269">
        <f>J269/I269</f>
        <v>160.71428571428572</v>
      </c>
      <c r="I269">
        <v>28</v>
      </c>
      <c r="J269">
        <v>4500</v>
      </c>
      <c r="L269" t="s">
        <v>786</v>
      </c>
      <c r="M269" t="s">
        <v>1113</v>
      </c>
    </row>
    <row r="270" spans="1:13" x14ac:dyDescent="0.25">
      <c r="A270">
        <v>269</v>
      </c>
      <c r="B270">
        <v>31</v>
      </c>
      <c r="C270">
        <v>19</v>
      </c>
      <c r="D270">
        <v>203</v>
      </c>
      <c r="E270" s="67" t="s">
        <v>1132</v>
      </c>
      <c r="F270" t="s">
        <v>544</v>
      </c>
      <c r="H270">
        <f>J270/I270/10</f>
        <v>16.071428571428573</v>
      </c>
      <c r="I270">
        <v>28</v>
      </c>
      <c r="J270">
        <v>4500</v>
      </c>
      <c r="L270" t="s">
        <v>786</v>
      </c>
      <c r="M270" t="s">
        <v>1113</v>
      </c>
    </row>
    <row r="271" spans="1:13" x14ac:dyDescent="0.25">
      <c r="A271">
        <v>270</v>
      </c>
      <c r="B271">
        <v>51</v>
      </c>
      <c r="C271">
        <v>6</v>
      </c>
      <c r="D271">
        <v>8</v>
      </c>
      <c r="E271" t="s">
        <v>788</v>
      </c>
      <c r="F271" t="s">
        <v>543</v>
      </c>
      <c r="H271">
        <v>2300</v>
      </c>
      <c r="L271" t="s">
        <v>789</v>
      </c>
      <c r="M271" t="s">
        <v>1113</v>
      </c>
    </row>
    <row r="272" spans="1:13" x14ac:dyDescent="0.25">
      <c r="A272">
        <v>271</v>
      </c>
      <c r="B272">
        <v>51</v>
      </c>
      <c r="C272">
        <v>6</v>
      </c>
      <c r="D272">
        <v>9</v>
      </c>
      <c r="E272" t="s">
        <v>790</v>
      </c>
      <c r="F272" t="s">
        <v>543</v>
      </c>
      <c r="H272">
        <v>2300</v>
      </c>
      <c r="L272" t="s">
        <v>791</v>
      </c>
      <c r="M272" t="s">
        <v>1113</v>
      </c>
    </row>
    <row r="273" spans="1:13" x14ac:dyDescent="0.25">
      <c r="A273">
        <v>272</v>
      </c>
      <c r="B273">
        <v>51</v>
      </c>
      <c r="C273">
        <v>6</v>
      </c>
      <c r="D273">
        <v>10</v>
      </c>
      <c r="E273" t="s">
        <v>792</v>
      </c>
      <c r="F273" t="s">
        <v>543</v>
      </c>
      <c r="H273">
        <v>2300</v>
      </c>
      <c r="L273" t="s">
        <v>791</v>
      </c>
      <c r="M273" t="s">
        <v>1113</v>
      </c>
    </row>
    <row r="274" spans="1:13" x14ac:dyDescent="0.25">
      <c r="A274">
        <v>273</v>
      </c>
      <c r="B274">
        <v>173</v>
      </c>
      <c r="C274">
        <v>1</v>
      </c>
      <c r="D274">
        <v>1</v>
      </c>
      <c r="E274" t="s">
        <v>794</v>
      </c>
      <c r="F274" t="s">
        <v>543</v>
      </c>
      <c r="H274">
        <f>J274/28</f>
        <v>357.14285714285717</v>
      </c>
      <c r="J274">
        <v>10000</v>
      </c>
      <c r="L274" t="s">
        <v>795</v>
      </c>
      <c r="M274" t="s">
        <v>628</v>
      </c>
    </row>
    <row r="275" spans="1:13" x14ac:dyDescent="0.25">
      <c r="A275">
        <v>274</v>
      </c>
      <c r="B275">
        <v>182</v>
      </c>
      <c r="C275">
        <v>1</v>
      </c>
      <c r="D275">
        <v>1</v>
      </c>
      <c r="E275" t="s">
        <v>1115</v>
      </c>
      <c r="F275" t="s">
        <v>543</v>
      </c>
      <c r="H275">
        <v>196.42857142857142</v>
      </c>
      <c r="I275">
        <v>28</v>
      </c>
      <c r="J275">
        <v>5500</v>
      </c>
      <c r="L275" t="s">
        <v>799</v>
      </c>
      <c r="M275" t="s">
        <v>628</v>
      </c>
    </row>
    <row r="276" spans="1:13" x14ac:dyDescent="0.25">
      <c r="A276">
        <v>275</v>
      </c>
      <c r="B276">
        <v>182</v>
      </c>
      <c r="C276">
        <v>1</v>
      </c>
      <c r="D276">
        <v>2</v>
      </c>
      <c r="E276" t="s">
        <v>1114</v>
      </c>
      <c r="F276" t="s">
        <v>543</v>
      </c>
      <c r="H276">
        <v>214.28571428571428</v>
      </c>
      <c r="I276">
        <v>28</v>
      </c>
      <c r="J276">
        <v>6000</v>
      </c>
      <c r="L276" t="s">
        <v>798</v>
      </c>
      <c r="M276" t="s">
        <v>628</v>
      </c>
    </row>
    <row r="277" spans="1:13" x14ac:dyDescent="0.25">
      <c r="A277">
        <v>276</v>
      </c>
      <c r="B277">
        <v>31</v>
      </c>
      <c r="C277">
        <v>19</v>
      </c>
      <c r="D277">
        <v>204</v>
      </c>
      <c r="E277" t="s">
        <v>1129</v>
      </c>
      <c r="F277" t="s">
        <v>544</v>
      </c>
      <c r="H277">
        <v>62.5</v>
      </c>
      <c r="I277">
        <v>28</v>
      </c>
      <c r="J277">
        <v>1750</v>
      </c>
      <c r="K277">
        <v>15</v>
      </c>
      <c r="L277" t="s">
        <v>1131</v>
      </c>
      <c r="M277" t="s">
        <v>616</v>
      </c>
    </row>
    <row r="278" spans="1:13" x14ac:dyDescent="0.25">
      <c r="A278">
        <v>277</v>
      </c>
      <c r="B278">
        <v>31</v>
      </c>
      <c r="C278">
        <v>19</v>
      </c>
      <c r="D278">
        <v>205</v>
      </c>
      <c r="E278" t="s">
        <v>1130</v>
      </c>
      <c r="F278" t="s">
        <v>543</v>
      </c>
      <c r="H278">
        <v>6.25</v>
      </c>
      <c r="I278">
        <v>28</v>
      </c>
      <c r="J278">
        <v>1750</v>
      </c>
      <c r="K278">
        <v>15</v>
      </c>
      <c r="L278" t="s">
        <v>1131</v>
      </c>
      <c r="M278" t="s">
        <v>616</v>
      </c>
    </row>
    <row r="279" spans="1:13" x14ac:dyDescent="0.25">
      <c r="A279">
        <v>278</v>
      </c>
      <c r="B279">
        <v>31</v>
      </c>
      <c r="C279">
        <v>19</v>
      </c>
      <c r="D279">
        <v>206</v>
      </c>
      <c r="E279" t="s">
        <v>1121</v>
      </c>
      <c r="F279" t="s">
        <v>544</v>
      </c>
      <c r="H279">
        <v>62.5</v>
      </c>
      <c r="I279">
        <v>28</v>
      </c>
      <c r="J279">
        <v>1750</v>
      </c>
      <c r="K279">
        <v>15</v>
      </c>
      <c r="L279" t="s">
        <v>1125</v>
      </c>
      <c r="M279" t="s">
        <v>616</v>
      </c>
    </row>
    <row r="280" spans="1:13" x14ac:dyDescent="0.25">
      <c r="A280">
        <v>279</v>
      </c>
      <c r="B280">
        <v>31</v>
      </c>
      <c r="C280">
        <v>19</v>
      </c>
      <c r="D280">
        <v>207</v>
      </c>
      <c r="E280" t="s">
        <v>1122</v>
      </c>
      <c r="F280" t="s">
        <v>543</v>
      </c>
      <c r="H280">
        <v>6.25</v>
      </c>
      <c r="I280">
        <v>28</v>
      </c>
      <c r="J280">
        <v>1750</v>
      </c>
      <c r="K280">
        <v>15</v>
      </c>
      <c r="L280" t="s">
        <v>1125</v>
      </c>
      <c r="M280" t="s">
        <v>616</v>
      </c>
    </row>
    <row r="281" spans="1:13" x14ac:dyDescent="0.25">
      <c r="A281">
        <v>280</v>
      </c>
      <c r="B281">
        <v>31</v>
      </c>
      <c r="C281">
        <v>19</v>
      </c>
      <c r="D281">
        <v>208</v>
      </c>
      <c r="E281" t="s">
        <v>1123</v>
      </c>
      <c r="F281" t="s">
        <v>544</v>
      </c>
      <c r="H281">
        <v>62.5</v>
      </c>
      <c r="I281">
        <v>28</v>
      </c>
      <c r="J281">
        <v>1750</v>
      </c>
      <c r="K281">
        <v>15</v>
      </c>
      <c r="L281" t="s">
        <v>1126</v>
      </c>
      <c r="M281" t="s">
        <v>616</v>
      </c>
    </row>
    <row r="282" spans="1:13" x14ac:dyDescent="0.25">
      <c r="A282">
        <v>281</v>
      </c>
      <c r="B282">
        <v>31</v>
      </c>
      <c r="C282">
        <v>19</v>
      </c>
      <c r="D282">
        <v>209</v>
      </c>
      <c r="E282" t="s">
        <v>1124</v>
      </c>
      <c r="F282" t="s">
        <v>543</v>
      </c>
      <c r="H282">
        <v>6.25</v>
      </c>
      <c r="I282">
        <v>28</v>
      </c>
      <c r="J282">
        <v>1750</v>
      </c>
      <c r="K282">
        <v>15</v>
      </c>
      <c r="L282" t="s">
        <v>1126</v>
      </c>
      <c r="M282" t="s">
        <v>616</v>
      </c>
    </row>
    <row r="283" spans="1:13" x14ac:dyDescent="0.25">
      <c r="A283">
        <v>282</v>
      </c>
      <c r="B283">
        <v>85</v>
      </c>
      <c r="C283">
        <v>1</v>
      </c>
      <c r="D283">
        <v>3</v>
      </c>
      <c r="E283" t="s">
        <v>479</v>
      </c>
      <c r="F283" t="s">
        <v>543</v>
      </c>
      <c r="H283" s="61">
        <f>J283/28</f>
        <v>392.85714285714283</v>
      </c>
      <c r="J283">
        <v>11000</v>
      </c>
      <c r="L283" t="s">
        <v>481</v>
      </c>
      <c r="M283" t="s">
        <v>628</v>
      </c>
    </row>
    <row r="284" spans="1:13" x14ac:dyDescent="0.25">
      <c r="A284">
        <v>283</v>
      </c>
      <c r="B284">
        <v>85</v>
      </c>
      <c r="C284">
        <v>1</v>
      </c>
      <c r="D284">
        <v>4</v>
      </c>
      <c r="E284" t="s">
        <v>480</v>
      </c>
      <c r="F284" t="s">
        <v>544</v>
      </c>
      <c r="H284" s="61">
        <f>J284/28/10</f>
        <v>39.285714285714285</v>
      </c>
      <c r="J284">
        <v>11000</v>
      </c>
      <c r="L284" t="s">
        <v>481</v>
      </c>
      <c r="M284" t="s">
        <v>628</v>
      </c>
    </row>
  </sheetData>
  <autoFilter ref="A1:M284" xr:uid="{ED0007AD-B9AB-40AF-9A55-AD1DD852431D}"/>
  <conditionalFormatting sqref="E237:E239">
    <cfRule type="duplicateValues" dxfId="5" priority="3"/>
  </conditionalFormatting>
  <conditionalFormatting sqref="E245:E250">
    <cfRule type="duplicateValues" dxfId="4" priority="2"/>
  </conditionalFormatting>
  <conditionalFormatting sqref="N1:N104857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0010-9B2F-4050-BAA6-80AF808BAB53}">
  <sheetPr codeName="Sheet6" filterMode="1"/>
  <dimension ref="A1:O377"/>
  <sheetViews>
    <sheetView workbookViewId="0">
      <pane ySplit="1" topLeftCell="A31" activePane="bottomLeft" state="frozen"/>
      <selection activeCell="O1" sqref="O1"/>
      <selection pane="bottomLeft" activeCell="C413" sqref="C413"/>
    </sheetView>
  </sheetViews>
  <sheetFormatPr defaultRowHeight="15" x14ac:dyDescent="0.25"/>
  <cols>
    <col min="1" max="1" width="7.140625" bestFit="1" customWidth="1"/>
    <col min="2" max="2" width="8.140625" customWidth="1"/>
    <col min="3" max="3" width="10.5703125" bestFit="1" customWidth="1"/>
    <col min="5" max="5" width="8.42578125" bestFit="1" customWidth="1"/>
    <col min="6" max="6" width="55.7109375" customWidth="1"/>
    <col min="7" max="7" width="6.7109375" bestFit="1" customWidth="1"/>
    <col min="8" max="8" width="7.85546875" bestFit="1" customWidth="1"/>
    <col min="9" max="9" width="16" style="61" bestFit="1" customWidth="1"/>
    <col min="10" max="10" width="9.85546875" customWidth="1"/>
    <col min="11" max="11" width="10" bestFit="1" customWidth="1"/>
    <col min="12" max="12" width="13.28515625" bestFit="1" customWidth="1"/>
    <col min="13" max="13" width="11.7109375" customWidth="1"/>
    <col min="14" max="14" width="17" style="19" bestFit="1" customWidth="1"/>
    <col min="15" max="15" width="8.42578125" style="19" bestFit="1" customWidth="1"/>
  </cols>
  <sheetData>
    <row r="1" spans="1:15" x14ac:dyDescent="0.25">
      <c r="A1" s="20" t="s">
        <v>69</v>
      </c>
      <c r="B1" s="20" t="s">
        <v>68</v>
      </c>
      <c r="C1" s="20" t="s">
        <v>76</v>
      </c>
      <c r="D1" s="20" t="s">
        <v>87</v>
      </c>
      <c r="E1" s="20" t="s">
        <v>78</v>
      </c>
      <c r="F1" s="20" t="s">
        <v>124</v>
      </c>
      <c r="G1" s="20" t="s">
        <v>81</v>
      </c>
      <c r="H1" s="20" t="s">
        <v>88</v>
      </c>
      <c r="I1" s="60" t="s">
        <v>128</v>
      </c>
      <c r="J1" s="20" t="s">
        <v>125</v>
      </c>
      <c r="K1" s="20" t="s">
        <v>127</v>
      </c>
      <c r="L1" s="20" t="s">
        <v>186</v>
      </c>
      <c r="M1" s="20" t="s">
        <v>604</v>
      </c>
      <c r="N1" s="98" t="s">
        <v>602</v>
      </c>
      <c r="O1" s="98" t="s">
        <v>632</v>
      </c>
    </row>
    <row r="2" spans="1:15" hidden="1" x14ac:dyDescent="0.25">
      <c r="A2" cm="1">
        <f t="array" ref="A2:A377">_xlfn.SEQUENCE(ROWS(_xlfn.ANCHORARRAY(B2)))</f>
        <v>1</v>
      </c>
      <c r="B2" t="str" cm="1">
        <f t="array" ref="B2:B377">_xlfn.DROP(_xlfn._TRO_TRAILING(C:C)&amp;"-"&amp;_xlfn._TRO_TRAILING(E:E),1)</f>
        <v>11-1</v>
      </c>
      <c r="C2">
        <v>11</v>
      </c>
      <c r="D2">
        <v>1</v>
      </c>
      <c r="E2">
        <v>1</v>
      </c>
      <c r="F2" t="s">
        <v>805</v>
      </c>
      <c r="G2" t="s">
        <v>50</v>
      </c>
      <c r="I2" s="61">
        <v>5500</v>
      </c>
      <c r="N2" s="19">
        <v>45646</v>
      </c>
    </row>
    <row r="3" spans="1:15" hidden="1" x14ac:dyDescent="0.25">
      <c r="A3">
        <v>2</v>
      </c>
      <c r="B3" t="str">
        <v>11-2</v>
      </c>
      <c r="C3">
        <v>11</v>
      </c>
      <c r="D3">
        <v>1</v>
      </c>
      <c r="E3">
        <v>2</v>
      </c>
      <c r="F3" t="s">
        <v>806</v>
      </c>
      <c r="G3" t="s">
        <v>53</v>
      </c>
      <c r="I3" s="61">
        <v>200</v>
      </c>
      <c r="N3" s="19">
        <v>45646</v>
      </c>
    </row>
    <row r="4" spans="1:15" hidden="1" x14ac:dyDescent="0.25">
      <c r="A4">
        <v>3</v>
      </c>
      <c r="B4" t="str">
        <v>11-3</v>
      </c>
      <c r="C4">
        <v>11</v>
      </c>
      <c r="D4">
        <v>2</v>
      </c>
      <c r="E4">
        <v>3</v>
      </c>
      <c r="F4" t="s">
        <v>807</v>
      </c>
      <c r="G4" t="s">
        <v>90</v>
      </c>
      <c r="I4" s="61">
        <v>100</v>
      </c>
      <c r="N4" s="19">
        <v>45646</v>
      </c>
    </row>
    <row r="5" spans="1:15" hidden="1" x14ac:dyDescent="0.25">
      <c r="A5">
        <v>4</v>
      </c>
      <c r="B5" t="str">
        <v>11-4</v>
      </c>
      <c r="C5">
        <v>11</v>
      </c>
      <c r="D5">
        <v>3</v>
      </c>
      <c r="E5">
        <v>4</v>
      </c>
      <c r="F5" t="s">
        <v>808</v>
      </c>
      <c r="G5" t="s">
        <v>90</v>
      </c>
      <c r="I5" s="61">
        <v>300</v>
      </c>
      <c r="N5" s="19">
        <v>45646</v>
      </c>
    </row>
    <row r="6" spans="1:15" hidden="1" x14ac:dyDescent="0.25">
      <c r="A6">
        <v>5</v>
      </c>
      <c r="B6" t="str">
        <v>11-5</v>
      </c>
      <c r="C6">
        <v>11</v>
      </c>
      <c r="D6">
        <v>4</v>
      </c>
      <c r="E6">
        <v>5</v>
      </c>
      <c r="F6" t="s">
        <v>809</v>
      </c>
      <c r="G6" t="s">
        <v>90</v>
      </c>
      <c r="I6" s="61">
        <v>540</v>
      </c>
      <c r="N6" s="19">
        <v>45646</v>
      </c>
    </row>
    <row r="7" spans="1:15" hidden="1" x14ac:dyDescent="0.25">
      <c r="A7">
        <v>6</v>
      </c>
      <c r="B7" t="str">
        <v>11-6</v>
      </c>
      <c r="C7">
        <v>11</v>
      </c>
      <c r="D7">
        <v>5</v>
      </c>
      <c r="E7">
        <v>6</v>
      </c>
      <c r="F7" t="s">
        <v>810</v>
      </c>
      <c r="G7" t="s">
        <v>53</v>
      </c>
      <c r="I7" s="61">
        <v>1000</v>
      </c>
      <c r="N7" s="19">
        <v>45646</v>
      </c>
    </row>
    <row r="8" spans="1:15" hidden="1" x14ac:dyDescent="0.25">
      <c r="A8">
        <v>7</v>
      </c>
      <c r="B8" t="str">
        <v>11-7</v>
      </c>
      <c r="C8">
        <v>11</v>
      </c>
      <c r="D8">
        <v>6</v>
      </c>
      <c r="E8">
        <v>7</v>
      </c>
      <c r="F8" t="s">
        <v>812</v>
      </c>
      <c r="G8" t="s">
        <v>90</v>
      </c>
      <c r="I8" s="61">
        <v>110</v>
      </c>
      <c r="N8" s="19">
        <v>45646</v>
      </c>
    </row>
    <row r="9" spans="1:15" hidden="1" x14ac:dyDescent="0.25">
      <c r="A9">
        <v>8</v>
      </c>
      <c r="B9" t="str">
        <v>11-8</v>
      </c>
      <c r="C9">
        <v>11</v>
      </c>
      <c r="D9">
        <v>8</v>
      </c>
      <c r="E9">
        <v>8</v>
      </c>
      <c r="F9" t="s">
        <v>62</v>
      </c>
      <c r="G9" t="s">
        <v>90</v>
      </c>
      <c r="I9" s="61">
        <v>357</v>
      </c>
      <c r="N9" s="19">
        <v>45646</v>
      </c>
    </row>
    <row r="10" spans="1:15" hidden="1" x14ac:dyDescent="0.25">
      <c r="A10">
        <v>9</v>
      </c>
      <c r="B10" t="str">
        <v>11-9</v>
      </c>
      <c r="C10">
        <v>11</v>
      </c>
      <c r="D10">
        <v>7</v>
      </c>
      <c r="E10">
        <v>9</v>
      </c>
      <c r="F10" t="s">
        <v>63</v>
      </c>
      <c r="G10" t="s">
        <v>90</v>
      </c>
      <c r="I10" s="61">
        <v>215</v>
      </c>
      <c r="N10" s="19">
        <v>45646</v>
      </c>
    </row>
    <row r="11" spans="1:15" hidden="1" x14ac:dyDescent="0.25">
      <c r="A11">
        <v>10</v>
      </c>
      <c r="B11" t="str">
        <v>14-1</v>
      </c>
      <c r="C11">
        <v>14</v>
      </c>
      <c r="D11" t="s">
        <v>1433</v>
      </c>
      <c r="E11">
        <v>1</v>
      </c>
      <c r="F11" t="s">
        <v>91</v>
      </c>
      <c r="G11" t="s">
        <v>50</v>
      </c>
      <c r="I11" s="61">
        <v>730</v>
      </c>
      <c r="N11" s="19">
        <v>45652</v>
      </c>
    </row>
    <row r="12" spans="1:15" hidden="1" x14ac:dyDescent="0.25">
      <c r="A12">
        <v>11</v>
      </c>
      <c r="B12" t="str">
        <v>14-2</v>
      </c>
      <c r="C12">
        <v>14</v>
      </c>
      <c r="D12" t="s">
        <v>1433</v>
      </c>
      <c r="E12">
        <v>2</v>
      </c>
      <c r="F12" t="s">
        <v>92</v>
      </c>
      <c r="G12" t="s">
        <v>50</v>
      </c>
      <c r="I12" s="61">
        <v>1100</v>
      </c>
      <c r="N12" s="19">
        <v>45652</v>
      </c>
    </row>
    <row r="13" spans="1:15" hidden="1" x14ac:dyDescent="0.25">
      <c r="A13">
        <v>12</v>
      </c>
      <c r="B13" t="str">
        <v>14-3</v>
      </c>
      <c r="C13">
        <v>14</v>
      </c>
      <c r="D13">
        <v>1</v>
      </c>
      <c r="E13">
        <v>3</v>
      </c>
      <c r="F13" t="s">
        <v>93</v>
      </c>
      <c r="G13" t="s">
        <v>50</v>
      </c>
      <c r="I13" s="61">
        <v>900</v>
      </c>
      <c r="N13" s="19">
        <v>45652</v>
      </c>
    </row>
    <row r="14" spans="1:15" hidden="1" x14ac:dyDescent="0.25">
      <c r="A14">
        <v>13</v>
      </c>
      <c r="B14" t="str">
        <v>14-4</v>
      </c>
      <c r="C14">
        <v>14</v>
      </c>
      <c r="D14" t="s">
        <v>1433</v>
      </c>
      <c r="E14">
        <v>4</v>
      </c>
      <c r="F14" t="s">
        <v>94</v>
      </c>
      <c r="G14" t="s">
        <v>50</v>
      </c>
      <c r="I14" s="61">
        <v>800</v>
      </c>
      <c r="N14" s="19">
        <v>45652</v>
      </c>
    </row>
    <row r="15" spans="1:15" hidden="1" x14ac:dyDescent="0.25">
      <c r="A15">
        <v>14</v>
      </c>
      <c r="B15" t="str">
        <v>14-5</v>
      </c>
      <c r="C15">
        <v>14</v>
      </c>
      <c r="D15" t="s">
        <v>1433</v>
      </c>
      <c r="E15">
        <v>5</v>
      </c>
      <c r="F15" t="s">
        <v>95</v>
      </c>
      <c r="G15" t="s">
        <v>50</v>
      </c>
      <c r="I15" s="61">
        <v>900</v>
      </c>
      <c r="N15" s="19">
        <v>45652</v>
      </c>
    </row>
    <row r="16" spans="1:15" hidden="1" x14ac:dyDescent="0.25">
      <c r="A16">
        <v>15</v>
      </c>
      <c r="B16" t="str">
        <v>14-6</v>
      </c>
      <c r="C16">
        <v>14</v>
      </c>
      <c r="D16">
        <v>1</v>
      </c>
      <c r="E16">
        <v>6</v>
      </c>
      <c r="F16" t="s">
        <v>96</v>
      </c>
      <c r="G16" t="s">
        <v>50</v>
      </c>
      <c r="I16" s="61">
        <v>4000</v>
      </c>
      <c r="N16" s="19">
        <v>45652</v>
      </c>
    </row>
    <row r="17" spans="1:15" hidden="1" x14ac:dyDescent="0.25">
      <c r="A17">
        <v>16</v>
      </c>
      <c r="B17" t="str">
        <v>14-7</v>
      </c>
      <c r="C17">
        <v>14</v>
      </c>
      <c r="D17">
        <v>2</v>
      </c>
      <c r="E17">
        <v>7</v>
      </c>
      <c r="F17" t="s">
        <v>97</v>
      </c>
      <c r="G17" t="s">
        <v>50</v>
      </c>
      <c r="I17" s="61">
        <v>900</v>
      </c>
      <c r="N17" s="19">
        <v>45652</v>
      </c>
    </row>
    <row r="18" spans="1:15" hidden="1" x14ac:dyDescent="0.25">
      <c r="A18">
        <v>17</v>
      </c>
      <c r="B18" t="str">
        <v>14-8</v>
      </c>
      <c r="C18">
        <v>14</v>
      </c>
      <c r="D18" t="s">
        <v>1433</v>
      </c>
      <c r="E18">
        <v>8</v>
      </c>
      <c r="F18" t="s">
        <v>815</v>
      </c>
      <c r="G18" t="s">
        <v>544</v>
      </c>
      <c r="I18" s="61">
        <v>2</v>
      </c>
      <c r="N18" s="19">
        <v>45652</v>
      </c>
    </row>
    <row r="19" spans="1:15" hidden="1" x14ac:dyDescent="0.25">
      <c r="A19">
        <v>18</v>
      </c>
      <c r="B19" t="str">
        <v>14-9</v>
      </c>
      <c r="C19">
        <v>14</v>
      </c>
      <c r="D19" t="s">
        <v>1433</v>
      </c>
      <c r="E19">
        <v>9</v>
      </c>
      <c r="F19" t="s">
        <v>817</v>
      </c>
      <c r="G19" t="s">
        <v>544</v>
      </c>
      <c r="I19" s="61">
        <v>2.5</v>
      </c>
      <c r="N19" s="19">
        <v>45652</v>
      </c>
    </row>
    <row r="20" spans="1:15" hidden="1" x14ac:dyDescent="0.25">
      <c r="A20">
        <v>19</v>
      </c>
      <c r="B20" t="str">
        <v>14-10</v>
      </c>
      <c r="C20">
        <v>14</v>
      </c>
      <c r="D20">
        <v>1</v>
      </c>
      <c r="E20">
        <v>10</v>
      </c>
      <c r="F20" t="s">
        <v>819</v>
      </c>
      <c r="G20" t="s">
        <v>544</v>
      </c>
      <c r="I20" s="61">
        <v>2</v>
      </c>
      <c r="N20" s="19">
        <v>45652</v>
      </c>
    </row>
    <row r="21" spans="1:15" hidden="1" x14ac:dyDescent="0.25">
      <c r="A21">
        <v>20</v>
      </c>
      <c r="B21" t="str">
        <v>14-11</v>
      </c>
      <c r="C21">
        <v>14</v>
      </c>
      <c r="D21" t="s">
        <v>1433</v>
      </c>
      <c r="E21">
        <v>11</v>
      </c>
      <c r="F21" t="s">
        <v>822</v>
      </c>
      <c r="G21" t="s">
        <v>544</v>
      </c>
      <c r="I21" s="61">
        <v>2</v>
      </c>
      <c r="N21" s="19">
        <v>45652</v>
      </c>
    </row>
    <row r="22" spans="1:15" hidden="1" x14ac:dyDescent="0.25">
      <c r="A22">
        <v>21</v>
      </c>
      <c r="B22" t="str">
        <v>14-12</v>
      </c>
      <c r="C22">
        <v>14</v>
      </c>
      <c r="D22" t="s">
        <v>1433</v>
      </c>
      <c r="E22">
        <v>12</v>
      </c>
      <c r="F22" t="s">
        <v>824</v>
      </c>
      <c r="G22" t="s">
        <v>544</v>
      </c>
      <c r="I22" s="61">
        <v>2</v>
      </c>
      <c r="N22" s="19">
        <v>45652</v>
      </c>
    </row>
    <row r="23" spans="1:15" hidden="1" x14ac:dyDescent="0.25">
      <c r="A23">
        <v>22</v>
      </c>
      <c r="B23" t="str">
        <v>14-13</v>
      </c>
      <c r="C23">
        <v>14</v>
      </c>
      <c r="D23">
        <v>1</v>
      </c>
      <c r="E23">
        <v>13</v>
      </c>
      <c r="F23" t="s">
        <v>826</v>
      </c>
      <c r="G23" t="s">
        <v>544</v>
      </c>
      <c r="I23" s="61">
        <v>4</v>
      </c>
      <c r="N23" s="19">
        <v>45652</v>
      </c>
    </row>
    <row r="24" spans="1:15" hidden="1" x14ac:dyDescent="0.25">
      <c r="A24">
        <v>23</v>
      </c>
      <c r="B24" t="str">
        <v>14-14</v>
      </c>
      <c r="C24">
        <v>14</v>
      </c>
      <c r="D24">
        <v>3</v>
      </c>
      <c r="E24">
        <v>14</v>
      </c>
      <c r="F24" t="s">
        <v>1432</v>
      </c>
      <c r="G24" t="s">
        <v>544</v>
      </c>
      <c r="I24" s="61">
        <v>2</v>
      </c>
      <c r="N24" s="19">
        <v>45652</v>
      </c>
    </row>
    <row r="25" spans="1:15" hidden="1" x14ac:dyDescent="0.25">
      <c r="A25">
        <v>24</v>
      </c>
      <c r="B25" t="str">
        <v>14-15</v>
      </c>
      <c r="C25">
        <v>14</v>
      </c>
      <c r="D25">
        <v>2</v>
      </c>
      <c r="E25">
        <v>15</v>
      </c>
      <c r="F25" t="s">
        <v>103</v>
      </c>
      <c r="G25" t="s">
        <v>544</v>
      </c>
      <c r="I25" s="61">
        <v>4000</v>
      </c>
      <c r="N25" s="19">
        <v>45652</v>
      </c>
    </row>
    <row r="26" spans="1:15" hidden="1" x14ac:dyDescent="0.25">
      <c r="A26">
        <v>25</v>
      </c>
      <c r="B26" t="str">
        <v>14-16</v>
      </c>
      <c r="C26">
        <v>14</v>
      </c>
      <c r="D26">
        <v>2</v>
      </c>
      <c r="E26">
        <v>16</v>
      </c>
      <c r="F26" t="s">
        <v>833</v>
      </c>
      <c r="G26" t="s">
        <v>544</v>
      </c>
      <c r="I26" s="61">
        <v>3.5</v>
      </c>
      <c r="N26" s="19">
        <v>45652</v>
      </c>
    </row>
    <row r="27" spans="1:15" hidden="1" x14ac:dyDescent="0.25">
      <c r="A27">
        <v>26</v>
      </c>
      <c r="B27" t="str">
        <v>30-1</v>
      </c>
      <c r="C27">
        <v>30</v>
      </c>
      <c r="D27">
        <v>0</v>
      </c>
      <c r="E27">
        <v>1</v>
      </c>
      <c r="F27" t="s">
        <v>836</v>
      </c>
      <c r="G27" t="s">
        <v>543</v>
      </c>
      <c r="H27" t="b">
        <v>0</v>
      </c>
      <c r="I27" s="61">
        <f>K27/J27</f>
        <v>183.33333333333334</v>
      </c>
      <c r="J27">
        <v>30</v>
      </c>
      <c r="K27">
        <v>5500</v>
      </c>
      <c r="L27" t="s">
        <v>320</v>
      </c>
      <c r="M27" t="s">
        <v>130</v>
      </c>
      <c r="N27" s="19">
        <v>45658</v>
      </c>
      <c r="O27" s="19" t="s">
        <v>616</v>
      </c>
    </row>
    <row r="28" spans="1:15" hidden="1" x14ac:dyDescent="0.25">
      <c r="A28">
        <v>27</v>
      </c>
      <c r="B28" t="str">
        <v>30-2</v>
      </c>
      <c r="C28">
        <v>30</v>
      </c>
      <c r="D28">
        <v>0</v>
      </c>
      <c r="E28">
        <v>2</v>
      </c>
      <c r="F28" t="s">
        <v>838</v>
      </c>
      <c r="G28" t="s">
        <v>543</v>
      </c>
      <c r="H28" t="b">
        <v>0</v>
      </c>
      <c r="I28" s="61">
        <f>K28/J28</f>
        <v>183.33333333333334</v>
      </c>
      <c r="J28">
        <v>30</v>
      </c>
      <c r="K28">
        <v>5500</v>
      </c>
      <c r="L28" t="s">
        <v>320</v>
      </c>
      <c r="M28" t="s">
        <v>298</v>
      </c>
      <c r="N28" s="19">
        <v>45679</v>
      </c>
      <c r="O28" s="19" t="s">
        <v>616</v>
      </c>
    </row>
    <row r="29" spans="1:15" hidden="1" x14ac:dyDescent="0.25">
      <c r="A29">
        <v>28</v>
      </c>
      <c r="B29" t="str">
        <v>30-3</v>
      </c>
      <c r="C29">
        <v>30</v>
      </c>
      <c r="D29">
        <v>0</v>
      </c>
      <c r="E29">
        <v>3</v>
      </c>
      <c r="F29" t="s">
        <v>311</v>
      </c>
      <c r="G29" t="s">
        <v>84</v>
      </c>
      <c r="I29" s="61">
        <v>5500</v>
      </c>
      <c r="L29" t="s">
        <v>320</v>
      </c>
      <c r="M29" t="s">
        <v>130</v>
      </c>
      <c r="N29" s="19">
        <v>45658</v>
      </c>
      <c r="O29" s="19" t="s">
        <v>616</v>
      </c>
    </row>
    <row r="30" spans="1:15" hidden="1" x14ac:dyDescent="0.25">
      <c r="A30">
        <v>29</v>
      </c>
      <c r="B30" t="str">
        <v>30-4</v>
      </c>
      <c r="C30">
        <v>30</v>
      </c>
      <c r="D30">
        <v>0</v>
      </c>
      <c r="E30">
        <v>4</v>
      </c>
      <c r="F30" t="s">
        <v>312</v>
      </c>
      <c r="G30" t="s">
        <v>84</v>
      </c>
      <c r="I30" s="61">
        <v>5500</v>
      </c>
      <c r="L30" t="s">
        <v>320</v>
      </c>
      <c r="M30" t="s">
        <v>298</v>
      </c>
      <c r="N30" s="19">
        <v>45679</v>
      </c>
      <c r="O30" s="19" t="s">
        <v>616</v>
      </c>
    </row>
    <row r="31" spans="1:15" x14ac:dyDescent="0.25">
      <c r="A31">
        <v>30</v>
      </c>
      <c r="B31" t="str">
        <v>31-1</v>
      </c>
      <c r="C31">
        <v>31</v>
      </c>
      <c r="D31">
        <v>1</v>
      </c>
      <c r="E31">
        <v>1</v>
      </c>
      <c r="F31" t="s">
        <v>845</v>
      </c>
      <c r="G31" t="s">
        <v>543</v>
      </c>
      <c r="I31" s="61">
        <v>73.33</v>
      </c>
      <c r="J31">
        <v>30</v>
      </c>
      <c r="L31">
        <v>18</v>
      </c>
      <c r="M31" t="s">
        <v>134</v>
      </c>
      <c r="N31" s="19">
        <v>45658</v>
      </c>
      <c r="O31" s="19" t="s">
        <v>616</v>
      </c>
    </row>
    <row r="32" spans="1:15" x14ac:dyDescent="0.25">
      <c r="A32">
        <v>31</v>
      </c>
      <c r="B32" t="str">
        <v>31-2</v>
      </c>
      <c r="C32">
        <v>31</v>
      </c>
      <c r="D32">
        <v>1</v>
      </c>
      <c r="E32">
        <v>2</v>
      </c>
      <c r="F32" t="s">
        <v>848</v>
      </c>
      <c r="G32" t="s">
        <v>544</v>
      </c>
      <c r="I32" s="61">
        <v>7.3330000000000002</v>
      </c>
      <c r="L32">
        <v>18</v>
      </c>
      <c r="M32" t="s">
        <v>134</v>
      </c>
      <c r="N32" s="19">
        <v>45658</v>
      </c>
      <c r="O32" s="19" t="s">
        <v>616</v>
      </c>
    </row>
    <row r="33" spans="1:15" hidden="1" x14ac:dyDescent="0.25">
      <c r="A33">
        <v>32</v>
      </c>
      <c r="B33" t="str">
        <v>31-3</v>
      </c>
      <c r="C33">
        <v>31</v>
      </c>
      <c r="D33">
        <v>1</v>
      </c>
      <c r="E33">
        <v>3</v>
      </c>
      <c r="F33" t="s">
        <v>850</v>
      </c>
      <c r="G33" t="s">
        <v>543</v>
      </c>
      <c r="I33" s="61">
        <v>65</v>
      </c>
      <c r="J33">
        <v>28</v>
      </c>
      <c r="K33" s="101">
        <f>I33*J33</f>
        <v>1820</v>
      </c>
      <c r="L33">
        <v>18</v>
      </c>
      <c r="M33" t="s">
        <v>156</v>
      </c>
      <c r="N33" s="19">
        <v>45658</v>
      </c>
      <c r="O33" s="19" t="s">
        <v>616</v>
      </c>
    </row>
    <row r="34" spans="1:15" hidden="1" x14ac:dyDescent="0.25">
      <c r="A34">
        <v>33</v>
      </c>
      <c r="B34" t="str">
        <v>31-4</v>
      </c>
      <c r="C34">
        <v>31</v>
      </c>
      <c r="D34">
        <v>1</v>
      </c>
      <c r="E34">
        <v>4</v>
      </c>
      <c r="F34" t="s">
        <v>852</v>
      </c>
      <c r="G34" t="s">
        <v>544</v>
      </c>
      <c r="I34" s="61">
        <v>6.5</v>
      </c>
      <c r="L34">
        <v>18</v>
      </c>
      <c r="M34" t="s">
        <v>156</v>
      </c>
      <c r="N34" s="19">
        <v>45658</v>
      </c>
      <c r="O34" s="19" t="s">
        <v>616</v>
      </c>
    </row>
    <row r="35" spans="1:15" hidden="1" x14ac:dyDescent="0.25">
      <c r="A35">
        <v>34</v>
      </c>
      <c r="B35" t="str">
        <v>31-5</v>
      </c>
      <c r="C35">
        <v>31</v>
      </c>
      <c r="D35">
        <v>1</v>
      </c>
      <c r="E35">
        <v>5</v>
      </c>
      <c r="F35" t="s">
        <v>853</v>
      </c>
      <c r="G35" t="s">
        <v>543</v>
      </c>
      <c r="I35" s="61">
        <v>73.33</v>
      </c>
      <c r="J35">
        <v>30</v>
      </c>
      <c r="L35">
        <v>18</v>
      </c>
      <c r="M35" t="s">
        <v>136</v>
      </c>
      <c r="N35" s="19">
        <v>45658</v>
      </c>
      <c r="O35" s="19" t="s">
        <v>616</v>
      </c>
    </row>
    <row r="36" spans="1:15" hidden="1" x14ac:dyDescent="0.25">
      <c r="A36">
        <v>35</v>
      </c>
      <c r="B36" t="str">
        <v>31-6</v>
      </c>
      <c r="C36">
        <v>31</v>
      </c>
      <c r="D36">
        <v>1</v>
      </c>
      <c r="E36">
        <v>6</v>
      </c>
      <c r="F36" t="s">
        <v>855</v>
      </c>
      <c r="G36" t="s">
        <v>544</v>
      </c>
      <c r="I36" s="61">
        <v>7.3330000000000002</v>
      </c>
      <c r="L36">
        <v>18</v>
      </c>
      <c r="M36" t="s">
        <v>136</v>
      </c>
      <c r="N36" s="19">
        <v>45658</v>
      </c>
      <c r="O36" s="19" t="s">
        <v>616</v>
      </c>
    </row>
    <row r="37" spans="1:15" hidden="1" x14ac:dyDescent="0.25">
      <c r="A37">
        <v>36</v>
      </c>
      <c r="B37" t="str">
        <v>31-7</v>
      </c>
      <c r="C37">
        <v>31</v>
      </c>
      <c r="D37">
        <v>1</v>
      </c>
      <c r="E37">
        <v>7</v>
      </c>
      <c r="F37" t="s">
        <v>858</v>
      </c>
      <c r="G37" t="s">
        <v>543</v>
      </c>
      <c r="I37" s="61">
        <v>65</v>
      </c>
      <c r="J37">
        <v>30</v>
      </c>
      <c r="L37" t="s">
        <v>320</v>
      </c>
      <c r="M37" t="s">
        <v>137</v>
      </c>
      <c r="N37" s="19">
        <v>45658</v>
      </c>
      <c r="O37" s="19" t="s">
        <v>616</v>
      </c>
    </row>
    <row r="38" spans="1:15" hidden="1" x14ac:dyDescent="0.25">
      <c r="A38">
        <v>37</v>
      </c>
      <c r="B38" t="str">
        <v>31-8</v>
      </c>
      <c r="C38">
        <v>31</v>
      </c>
      <c r="D38">
        <v>1</v>
      </c>
      <c r="E38">
        <v>8</v>
      </c>
      <c r="F38" t="s">
        <v>861</v>
      </c>
      <c r="G38" t="s">
        <v>544</v>
      </c>
      <c r="I38" s="61">
        <v>6.5</v>
      </c>
      <c r="L38" t="s">
        <v>320</v>
      </c>
      <c r="M38" t="s">
        <v>137</v>
      </c>
      <c r="N38" s="19">
        <v>45658</v>
      </c>
      <c r="O38" s="19" t="s">
        <v>616</v>
      </c>
    </row>
    <row r="39" spans="1:15" hidden="1" x14ac:dyDescent="0.25">
      <c r="A39">
        <v>38</v>
      </c>
      <c r="B39" t="str">
        <v>31-9</v>
      </c>
      <c r="C39">
        <v>31</v>
      </c>
      <c r="D39">
        <v>1</v>
      </c>
      <c r="E39">
        <v>9</v>
      </c>
      <c r="F39" t="s">
        <v>864</v>
      </c>
      <c r="G39" t="s">
        <v>543</v>
      </c>
      <c r="I39" s="61">
        <v>73.33</v>
      </c>
      <c r="J39">
        <v>30</v>
      </c>
      <c r="L39" t="s">
        <v>320</v>
      </c>
      <c r="M39" t="s">
        <v>135</v>
      </c>
      <c r="N39" s="19">
        <v>45658</v>
      </c>
      <c r="O39" s="19" t="s">
        <v>616</v>
      </c>
    </row>
    <row r="40" spans="1:15" hidden="1" x14ac:dyDescent="0.25">
      <c r="A40">
        <v>39</v>
      </c>
      <c r="B40" t="str">
        <v>31-10</v>
      </c>
      <c r="C40">
        <v>31</v>
      </c>
      <c r="D40">
        <v>1</v>
      </c>
      <c r="E40">
        <v>10</v>
      </c>
      <c r="F40" t="s">
        <v>867</v>
      </c>
      <c r="G40" t="s">
        <v>544</v>
      </c>
      <c r="I40" s="61">
        <v>7.3330000000000002</v>
      </c>
      <c r="L40" t="s">
        <v>320</v>
      </c>
      <c r="M40" t="s">
        <v>135</v>
      </c>
      <c r="N40" s="19">
        <v>45658</v>
      </c>
      <c r="O40" s="19" t="s">
        <v>616</v>
      </c>
    </row>
    <row r="41" spans="1:15" hidden="1" x14ac:dyDescent="0.25">
      <c r="A41">
        <v>40</v>
      </c>
      <c r="B41" t="str">
        <v>31-11</v>
      </c>
      <c r="C41">
        <v>31</v>
      </c>
      <c r="D41">
        <v>1</v>
      </c>
      <c r="E41">
        <v>11</v>
      </c>
      <c r="F41" t="s">
        <v>983</v>
      </c>
      <c r="G41" t="s">
        <v>543</v>
      </c>
      <c r="I41" s="61">
        <v>55.36</v>
      </c>
      <c r="J41">
        <v>28</v>
      </c>
      <c r="L41">
        <v>15</v>
      </c>
      <c r="M41" t="s">
        <v>326</v>
      </c>
      <c r="N41" s="19">
        <v>45658</v>
      </c>
      <c r="O41" s="19" t="s">
        <v>616</v>
      </c>
    </row>
    <row r="42" spans="1:15" hidden="1" x14ac:dyDescent="0.25">
      <c r="A42">
        <v>41</v>
      </c>
      <c r="B42" t="str">
        <v>31-12</v>
      </c>
      <c r="C42">
        <v>31</v>
      </c>
      <c r="D42">
        <v>1</v>
      </c>
      <c r="E42">
        <v>12</v>
      </c>
      <c r="F42" t="s">
        <v>984</v>
      </c>
      <c r="G42" t="s">
        <v>544</v>
      </c>
      <c r="I42" s="61">
        <v>5.5359999999999996</v>
      </c>
      <c r="L42">
        <v>15</v>
      </c>
      <c r="M42" t="s">
        <v>326</v>
      </c>
      <c r="N42" s="19">
        <v>45658</v>
      </c>
      <c r="O42" s="19" t="s">
        <v>616</v>
      </c>
    </row>
    <row r="43" spans="1:15" hidden="1" x14ac:dyDescent="0.25">
      <c r="A43">
        <v>42</v>
      </c>
      <c r="B43" t="str">
        <v>31-13</v>
      </c>
      <c r="C43">
        <v>31</v>
      </c>
      <c r="D43">
        <v>1</v>
      </c>
      <c r="E43">
        <v>13</v>
      </c>
      <c r="F43" t="s">
        <v>874</v>
      </c>
      <c r="G43" t="s">
        <v>543</v>
      </c>
      <c r="I43" s="61">
        <v>46.67</v>
      </c>
      <c r="J43">
        <v>30</v>
      </c>
      <c r="K43" s="101">
        <f>I43*J43</f>
        <v>1400.1000000000001</v>
      </c>
      <c r="L43">
        <v>15</v>
      </c>
      <c r="M43" t="s">
        <v>157</v>
      </c>
      <c r="N43" s="19">
        <v>45658</v>
      </c>
      <c r="O43" s="19" t="s">
        <v>616</v>
      </c>
    </row>
    <row r="44" spans="1:15" hidden="1" x14ac:dyDescent="0.25">
      <c r="A44">
        <v>43</v>
      </c>
      <c r="B44" t="str">
        <v>31-14</v>
      </c>
      <c r="C44">
        <v>31</v>
      </c>
      <c r="D44">
        <v>1</v>
      </c>
      <c r="E44">
        <v>14</v>
      </c>
      <c r="F44" t="s">
        <v>876</v>
      </c>
      <c r="G44" t="s">
        <v>544</v>
      </c>
      <c r="I44" s="61">
        <v>4.6669999999999998</v>
      </c>
      <c r="K44" s="101"/>
      <c r="L44">
        <v>15</v>
      </c>
      <c r="M44" t="s">
        <v>157</v>
      </c>
      <c r="N44" s="19">
        <v>45658</v>
      </c>
      <c r="O44" s="19" t="s">
        <v>616</v>
      </c>
    </row>
    <row r="45" spans="1:15" hidden="1" x14ac:dyDescent="0.25">
      <c r="A45">
        <v>44</v>
      </c>
      <c r="B45" t="str">
        <v>31-15</v>
      </c>
      <c r="C45">
        <v>31</v>
      </c>
      <c r="D45">
        <v>1</v>
      </c>
      <c r="E45">
        <v>15</v>
      </c>
      <c r="F45" t="s">
        <v>985</v>
      </c>
      <c r="G45" t="s">
        <v>543</v>
      </c>
      <c r="I45" s="61">
        <v>55.36</v>
      </c>
      <c r="J45">
        <v>28</v>
      </c>
      <c r="L45">
        <v>15</v>
      </c>
      <c r="M45" t="s">
        <v>138</v>
      </c>
      <c r="N45" s="19">
        <v>45658</v>
      </c>
      <c r="O45" s="19" t="s">
        <v>616</v>
      </c>
    </row>
    <row r="46" spans="1:15" hidden="1" x14ac:dyDescent="0.25">
      <c r="A46">
        <v>45</v>
      </c>
      <c r="B46" t="str">
        <v>31-16</v>
      </c>
      <c r="C46">
        <v>31</v>
      </c>
      <c r="D46">
        <v>1</v>
      </c>
      <c r="E46">
        <v>16</v>
      </c>
      <c r="F46" t="s">
        <v>986</v>
      </c>
      <c r="G46" t="s">
        <v>544</v>
      </c>
      <c r="I46" s="61">
        <v>5.5359999999999996</v>
      </c>
      <c r="L46">
        <v>15</v>
      </c>
      <c r="M46" t="s">
        <v>138</v>
      </c>
      <c r="N46" s="19">
        <v>45658</v>
      </c>
      <c r="O46" s="19" t="s">
        <v>616</v>
      </c>
    </row>
    <row r="47" spans="1:15" hidden="1" x14ac:dyDescent="0.25">
      <c r="A47">
        <v>46</v>
      </c>
      <c r="B47" t="str">
        <v>31-17</v>
      </c>
      <c r="C47">
        <v>31</v>
      </c>
      <c r="D47">
        <v>1</v>
      </c>
      <c r="E47">
        <v>17</v>
      </c>
      <c r="F47" t="s">
        <v>882</v>
      </c>
      <c r="G47" t="s">
        <v>543</v>
      </c>
      <c r="I47" s="61">
        <v>275</v>
      </c>
      <c r="J47">
        <v>28</v>
      </c>
      <c r="L47" t="s">
        <v>320</v>
      </c>
      <c r="M47" t="s">
        <v>139</v>
      </c>
      <c r="N47" s="19">
        <v>45658</v>
      </c>
      <c r="O47" s="19" t="s">
        <v>616</v>
      </c>
    </row>
    <row r="48" spans="1:15" hidden="1" x14ac:dyDescent="0.25">
      <c r="A48">
        <v>47</v>
      </c>
      <c r="B48" t="str">
        <v>31-18</v>
      </c>
      <c r="C48">
        <v>31</v>
      </c>
      <c r="D48">
        <v>1</v>
      </c>
      <c r="E48">
        <v>18</v>
      </c>
      <c r="F48" t="s">
        <v>885</v>
      </c>
      <c r="G48" t="s">
        <v>544</v>
      </c>
      <c r="I48" s="61">
        <v>27.5</v>
      </c>
      <c r="L48" t="s">
        <v>320</v>
      </c>
      <c r="M48" t="s">
        <v>139</v>
      </c>
      <c r="N48" s="19">
        <v>45658</v>
      </c>
      <c r="O48" s="19" t="s">
        <v>616</v>
      </c>
    </row>
    <row r="49" spans="1:15" hidden="1" x14ac:dyDescent="0.25">
      <c r="A49">
        <v>48</v>
      </c>
      <c r="B49" t="str">
        <v>31-19</v>
      </c>
      <c r="C49">
        <v>31</v>
      </c>
      <c r="D49">
        <v>1</v>
      </c>
      <c r="E49">
        <v>19</v>
      </c>
      <c r="F49" t="s">
        <v>888</v>
      </c>
      <c r="G49" t="s">
        <v>543</v>
      </c>
      <c r="I49" s="61">
        <v>58.93</v>
      </c>
      <c r="J49">
        <v>28</v>
      </c>
      <c r="L49">
        <v>12</v>
      </c>
      <c r="M49" t="s">
        <v>140</v>
      </c>
      <c r="N49" s="19">
        <v>45693</v>
      </c>
      <c r="O49" s="19" t="s">
        <v>616</v>
      </c>
    </row>
    <row r="50" spans="1:15" hidden="1" x14ac:dyDescent="0.25">
      <c r="A50">
        <v>49</v>
      </c>
      <c r="B50" t="str">
        <v>31-20</v>
      </c>
      <c r="C50">
        <v>31</v>
      </c>
      <c r="D50">
        <v>1</v>
      </c>
      <c r="E50">
        <v>20</v>
      </c>
      <c r="F50" t="s">
        <v>892</v>
      </c>
      <c r="G50" t="s">
        <v>544</v>
      </c>
      <c r="I50" s="61">
        <v>5.8929999999999998</v>
      </c>
      <c r="L50">
        <v>12</v>
      </c>
      <c r="M50" t="s">
        <v>140</v>
      </c>
      <c r="N50" s="19">
        <v>45693</v>
      </c>
      <c r="O50" s="19" t="s">
        <v>616</v>
      </c>
    </row>
    <row r="51" spans="1:15" hidden="1" x14ac:dyDescent="0.25">
      <c r="A51">
        <v>50</v>
      </c>
      <c r="B51" t="str">
        <v>31-21</v>
      </c>
      <c r="C51">
        <v>31</v>
      </c>
      <c r="D51">
        <v>15</v>
      </c>
      <c r="E51">
        <v>21</v>
      </c>
      <c r="F51" t="s">
        <v>896</v>
      </c>
      <c r="G51" t="s">
        <v>543</v>
      </c>
      <c r="I51" s="61">
        <v>96.43</v>
      </c>
      <c r="J51">
        <v>28</v>
      </c>
      <c r="L51" t="s">
        <v>320</v>
      </c>
      <c r="M51" t="s">
        <v>182</v>
      </c>
      <c r="N51" s="19">
        <v>45693</v>
      </c>
      <c r="O51" s="19" t="s">
        <v>616</v>
      </c>
    </row>
    <row r="52" spans="1:15" hidden="1" x14ac:dyDescent="0.25">
      <c r="A52">
        <v>51</v>
      </c>
      <c r="B52" t="str">
        <v>31-22</v>
      </c>
      <c r="C52">
        <v>31</v>
      </c>
      <c r="D52">
        <v>15</v>
      </c>
      <c r="E52">
        <v>22</v>
      </c>
      <c r="F52" t="s">
        <v>899</v>
      </c>
      <c r="G52" t="s">
        <v>544</v>
      </c>
      <c r="I52" s="61">
        <v>9.6430000000000007</v>
      </c>
      <c r="L52" t="s">
        <v>320</v>
      </c>
      <c r="M52" t="s">
        <v>182</v>
      </c>
      <c r="N52" s="19">
        <v>45693</v>
      </c>
      <c r="O52" s="19" t="s">
        <v>616</v>
      </c>
    </row>
    <row r="53" spans="1:15" hidden="1" x14ac:dyDescent="0.25">
      <c r="A53">
        <v>52</v>
      </c>
      <c r="B53" t="str">
        <v>31-23</v>
      </c>
      <c r="C53">
        <v>31</v>
      </c>
      <c r="D53">
        <v>15</v>
      </c>
      <c r="E53">
        <v>23</v>
      </c>
      <c r="F53" t="s">
        <v>902</v>
      </c>
      <c r="G53" t="s">
        <v>543</v>
      </c>
      <c r="I53" s="61">
        <v>66.069999999999993</v>
      </c>
      <c r="J53">
        <v>28</v>
      </c>
      <c r="L53">
        <v>15</v>
      </c>
      <c r="M53" t="s">
        <v>178</v>
      </c>
      <c r="N53" s="19">
        <v>45693</v>
      </c>
      <c r="O53" s="19" t="s">
        <v>616</v>
      </c>
    </row>
    <row r="54" spans="1:15" hidden="1" x14ac:dyDescent="0.25">
      <c r="A54">
        <v>53</v>
      </c>
      <c r="B54" t="str">
        <v>31-24</v>
      </c>
      <c r="C54">
        <v>31</v>
      </c>
      <c r="D54">
        <v>15</v>
      </c>
      <c r="E54">
        <v>24</v>
      </c>
      <c r="F54" t="s">
        <v>906</v>
      </c>
      <c r="G54" t="s">
        <v>544</v>
      </c>
      <c r="I54" s="61">
        <v>6.6070000000000002</v>
      </c>
      <c r="L54">
        <v>15</v>
      </c>
      <c r="M54" t="s">
        <v>178</v>
      </c>
      <c r="N54" s="19">
        <v>45693</v>
      </c>
      <c r="O54" s="19" t="s">
        <v>616</v>
      </c>
    </row>
    <row r="55" spans="1:15" hidden="1" x14ac:dyDescent="0.25">
      <c r="A55">
        <v>54</v>
      </c>
      <c r="B55" t="str">
        <v>31-25</v>
      </c>
      <c r="C55">
        <v>31</v>
      </c>
      <c r="D55">
        <v>7</v>
      </c>
      <c r="E55">
        <v>25</v>
      </c>
      <c r="F55" t="s">
        <v>987</v>
      </c>
      <c r="G55" t="s">
        <v>544</v>
      </c>
      <c r="I55" s="61">
        <v>5.5359999999999996</v>
      </c>
      <c r="L55">
        <v>15</v>
      </c>
      <c r="M55" t="s">
        <v>152</v>
      </c>
      <c r="N55" s="19">
        <v>45693</v>
      </c>
      <c r="O55" s="19" t="s">
        <v>616</v>
      </c>
    </row>
    <row r="56" spans="1:15" hidden="1" x14ac:dyDescent="0.25">
      <c r="A56">
        <v>55</v>
      </c>
      <c r="B56" t="str">
        <v>31-26</v>
      </c>
      <c r="C56">
        <v>31</v>
      </c>
      <c r="D56">
        <v>7</v>
      </c>
      <c r="E56">
        <v>26</v>
      </c>
      <c r="F56" t="s">
        <v>988</v>
      </c>
      <c r="G56" t="s">
        <v>543</v>
      </c>
      <c r="I56" s="61">
        <v>55.36</v>
      </c>
      <c r="J56">
        <v>28</v>
      </c>
      <c r="L56">
        <v>15</v>
      </c>
      <c r="M56" t="s">
        <v>152</v>
      </c>
      <c r="N56" s="19">
        <v>45693</v>
      </c>
      <c r="O56" s="19" t="s">
        <v>616</v>
      </c>
    </row>
    <row r="57" spans="1:15" hidden="1" x14ac:dyDescent="0.25">
      <c r="A57">
        <v>56</v>
      </c>
      <c r="B57" t="str">
        <v>31-27</v>
      </c>
      <c r="C57">
        <v>31</v>
      </c>
      <c r="D57">
        <v>16</v>
      </c>
      <c r="E57">
        <v>27</v>
      </c>
      <c r="F57" t="s">
        <v>989</v>
      </c>
      <c r="G57" t="s">
        <v>544</v>
      </c>
      <c r="I57" s="61">
        <v>5.5359999999999996</v>
      </c>
      <c r="L57">
        <v>15</v>
      </c>
      <c r="M57" t="s">
        <v>184</v>
      </c>
      <c r="N57" s="19">
        <v>45693</v>
      </c>
      <c r="O57" s="19" t="s">
        <v>616</v>
      </c>
    </row>
    <row r="58" spans="1:15" hidden="1" x14ac:dyDescent="0.25">
      <c r="A58">
        <v>57</v>
      </c>
      <c r="B58" t="str">
        <v>31-28</v>
      </c>
      <c r="C58">
        <v>31</v>
      </c>
      <c r="D58">
        <v>16</v>
      </c>
      <c r="E58">
        <v>28</v>
      </c>
      <c r="F58" t="s">
        <v>990</v>
      </c>
      <c r="G58" t="s">
        <v>543</v>
      </c>
      <c r="I58" s="61">
        <v>55.36</v>
      </c>
      <c r="J58">
        <v>28</v>
      </c>
      <c r="L58">
        <v>15</v>
      </c>
      <c r="M58" t="s">
        <v>184</v>
      </c>
      <c r="N58" s="19">
        <v>45693</v>
      </c>
      <c r="O58" s="19" t="s">
        <v>616</v>
      </c>
    </row>
    <row r="59" spans="1:15" hidden="1" x14ac:dyDescent="0.25">
      <c r="A59">
        <v>58</v>
      </c>
      <c r="B59" t="str">
        <v>31-29</v>
      </c>
      <c r="C59">
        <v>31</v>
      </c>
      <c r="D59">
        <v>2</v>
      </c>
      <c r="E59">
        <v>29</v>
      </c>
      <c r="F59" t="s">
        <v>991</v>
      </c>
      <c r="G59" t="s">
        <v>544</v>
      </c>
      <c r="I59" s="61">
        <v>5.5359999999999996</v>
      </c>
      <c r="L59">
        <v>15</v>
      </c>
      <c r="M59" t="s">
        <v>155</v>
      </c>
      <c r="N59" s="19">
        <v>45693</v>
      </c>
      <c r="O59" s="19" t="s">
        <v>616</v>
      </c>
    </row>
    <row r="60" spans="1:15" hidden="1" x14ac:dyDescent="0.25">
      <c r="A60">
        <v>59</v>
      </c>
      <c r="B60" t="str">
        <v>31-30</v>
      </c>
      <c r="C60">
        <v>31</v>
      </c>
      <c r="D60">
        <v>12</v>
      </c>
      <c r="E60">
        <v>30</v>
      </c>
      <c r="F60" t="s">
        <v>992</v>
      </c>
      <c r="G60" t="s">
        <v>544</v>
      </c>
      <c r="I60" s="61">
        <v>6.25</v>
      </c>
      <c r="L60">
        <v>15</v>
      </c>
      <c r="M60" t="s">
        <v>155</v>
      </c>
      <c r="N60" s="19">
        <v>45870</v>
      </c>
      <c r="O60" s="19" t="s">
        <v>616</v>
      </c>
    </row>
    <row r="61" spans="1:15" hidden="1" x14ac:dyDescent="0.25">
      <c r="A61">
        <v>60</v>
      </c>
      <c r="B61" t="str">
        <v>31-31</v>
      </c>
      <c r="C61">
        <v>31</v>
      </c>
      <c r="D61">
        <v>2</v>
      </c>
      <c r="E61">
        <v>31</v>
      </c>
      <c r="F61" t="s">
        <v>993</v>
      </c>
      <c r="G61" t="s">
        <v>543</v>
      </c>
      <c r="I61" s="61">
        <v>55.36</v>
      </c>
      <c r="J61">
        <v>28</v>
      </c>
      <c r="L61">
        <v>15</v>
      </c>
      <c r="M61" t="s">
        <v>155</v>
      </c>
      <c r="N61" s="19">
        <v>45693</v>
      </c>
      <c r="O61" s="19" t="s">
        <v>616</v>
      </c>
    </row>
    <row r="62" spans="1:15" hidden="1" x14ac:dyDescent="0.25">
      <c r="A62">
        <v>61</v>
      </c>
      <c r="B62" t="str">
        <v>31-32</v>
      </c>
      <c r="C62">
        <v>31</v>
      </c>
      <c r="D62">
        <v>12</v>
      </c>
      <c r="E62">
        <v>32</v>
      </c>
      <c r="F62" t="s">
        <v>994</v>
      </c>
      <c r="G62" t="s">
        <v>543</v>
      </c>
      <c r="I62" s="61">
        <v>62.5</v>
      </c>
      <c r="J62">
        <v>28</v>
      </c>
      <c r="L62">
        <v>15</v>
      </c>
      <c r="M62" t="s">
        <v>155</v>
      </c>
      <c r="N62" s="19">
        <v>45870</v>
      </c>
      <c r="O62" s="19" t="s">
        <v>616</v>
      </c>
    </row>
    <row r="63" spans="1:15" hidden="1" x14ac:dyDescent="0.25">
      <c r="A63">
        <v>62</v>
      </c>
      <c r="B63" t="str">
        <v>31-33</v>
      </c>
      <c r="C63">
        <v>31</v>
      </c>
      <c r="D63">
        <v>16</v>
      </c>
      <c r="E63">
        <v>33</v>
      </c>
      <c r="F63" t="s">
        <v>995</v>
      </c>
      <c r="G63" t="s">
        <v>543</v>
      </c>
      <c r="I63" s="61">
        <v>66.67</v>
      </c>
      <c r="J63">
        <v>30</v>
      </c>
      <c r="L63">
        <v>15</v>
      </c>
      <c r="M63" t="s">
        <v>185</v>
      </c>
      <c r="N63" s="19">
        <v>45693</v>
      </c>
      <c r="O63" s="19" t="s">
        <v>616</v>
      </c>
    </row>
    <row r="64" spans="1:15" hidden="1" x14ac:dyDescent="0.25">
      <c r="A64">
        <v>63</v>
      </c>
      <c r="B64" t="str">
        <v>31-34</v>
      </c>
      <c r="C64">
        <v>31</v>
      </c>
      <c r="D64">
        <v>2</v>
      </c>
      <c r="E64">
        <v>34</v>
      </c>
      <c r="F64" t="s">
        <v>996</v>
      </c>
      <c r="G64" t="s">
        <v>544</v>
      </c>
      <c r="I64" s="61">
        <v>5.5359999999999996</v>
      </c>
      <c r="L64">
        <v>15</v>
      </c>
      <c r="M64" t="s">
        <v>143</v>
      </c>
      <c r="N64" s="19">
        <v>45693</v>
      </c>
      <c r="O64" s="19" t="s">
        <v>616</v>
      </c>
    </row>
    <row r="65" spans="1:15" hidden="1" x14ac:dyDescent="0.25">
      <c r="A65">
        <v>64</v>
      </c>
      <c r="B65" t="str">
        <v>31-35</v>
      </c>
      <c r="C65">
        <v>31</v>
      </c>
      <c r="D65">
        <v>2</v>
      </c>
      <c r="E65">
        <v>35</v>
      </c>
      <c r="F65" t="s">
        <v>997</v>
      </c>
      <c r="G65" t="s">
        <v>543</v>
      </c>
      <c r="I65" s="61">
        <v>55.36</v>
      </c>
      <c r="J65">
        <v>28</v>
      </c>
      <c r="L65">
        <v>15</v>
      </c>
      <c r="M65" t="s">
        <v>143</v>
      </c>
      <c r="N65" s="19">
        <v>45693</v>
      </c>
      <c r="O65" s="19" t="s">
        <v>616</v>
      </c>
    </row>
    <row r="66" spans="1:15" hidden="1" x14ac:dyDescent="0.25">
      <c r="A66">
        <v>65</v>
      </c>
      <c r="B66" t="str">
        <v>31-36</v>
      </c>
      <c r="C66">
        <v>31</v>
      </c>
      <c r="D66">
        <v>15</v>
      </c>
      <c r="E66">
        <v>36</v>
      </c>
      <c r="F66" t="s">
        <v>998</v>
      </c>
      <c r="G66" t="s">
        <v>544</v>
      </c>
      <c r="I66" s="61">
        <v>5.5359999999999996</v>
      </c>
      <c r="L66">
        <v>15</v>
      </c>
      <c r="M66" t="s">
        <v>180</v>
      </c>
      <c r="N66" s="19">
        <v>45693</v>
      </c>
      <c r="O66" s="19" t="s">
        <v>616</v>
      </c>
    </row>
    <row r="67" spans="1:15" hidden="1" x14ac:dyDescent="0.25">
      <c r="A67">
        <v>66</v>
      </c>
      <c r="B67" t="str">
        <v>31-37</v>
      </c>
      <c r="C67">
        <v>31</v>
      </c>
      <c r="D67">
        <v>15</v>
      </c>
      <c r="E67">
        <v>37</v>
      </c>
      <c r="F67" t="s">
        <v>999</v>
      </c>
      <c r="G67" t="s">
        <v>543</v>
      </c>
      <c r="I67" s="61">
        <v>55.36</v>
      </c>
      <c r="J67">
        <v>28</v>
      </c>
      <c r="L67">
        <v>15</v>
      </c>
      <c r="M67" t="s">
        <v>180</v>
      </c>
      <c r="N67" s="19">
        <v>45693</v>
      </c>
      <c r="O67" s="19" t="s">
        <v>616</v>
      </c>
    </row>
    <row r="68" spans="1:15" hidden="1" x14ac:dyDescent="0.25">
      <c r="A68">
        <v>67</v>
      </c>
      <c r="B68" t="str">
        <v>31-38</v>
      </c>
      <c r="C68">
        <v>31</v>
      </c>
      <c r="D68">
        <v>15</v>
      </c>
      <c r="E68">
        <v>38</v>
      </c>
      <c r="F68" t="s">
        <v>1000</v>
      </c>
      <c r="G68" t="s">
        <v>544</v>
      </c>
      <c r="I68" s="61">
        <v>5.5359999999999996</v>
      </c>
      <c r="L68">
        <v>15</v>
      </c>
      <c r="M68" t="s">
        <v>176</v>
      </c>
      <c r="N68" s="19">
        <v>45693</v>
      </c>
      <c r="O68" s="19" t="s">
        <v>616</v>
      </c>
    </row>
    <row r="69" spans="1:15" hidden="1" x14ac:dyDescent="0.25">
      <c r="A69">
        <v>68</v>
      </c>
      <c r="B69" t="str">
        <v>31-39</v>
      </c>
      <c r="C69">
        <v>31</v>
      </c>
      <c r="D69">
        <v>15</v>
      </c>
      <c r="E69">
        <v>39</v>
      </c>
      <c r="F69" t="s">
        <v>1001</v>
      </c>
      <c r="G69" t="s">
        <v>543</v>
      </c>
      <c r="I69" s="61">
        <v>55.36</v>
      </c>
      <c r="J69">
        <v>28</v>
      </c>
      <c r="L69">
        <v>15</v>
      </c>
      <c r="M69" t="s">
        <v>176</v>
      </c>
      <c r="N69" s="19">
        <v>45693</v>
      </c>
      <c r="O69" s="19" t="s">
        <v>616</v>
      </c>
    </row>
    <row r="70" spans="1:15" hidden="1" x14ac:dyDescent="0.25">
      <c r="A70">
        <v>69</v>
      </c>
      <c r="B70" t="str">
        <v>31-40</v>
      </c>
      <c r="C70">
        <v>31</v>
      </c>
      <c r="D70">
        <v>3</v>
      </c>
      <c r="E70">
        <v>40</v>
      </c>
      <c r="F70" t="s">
        <v>1002</v>
      </c>
      <c r="G70" t="s">
        <v>544</v>
      </c>
      <c r="I70" s="61">
        <v>5.5359999999999996</v>
      </c>
      <c r="L70">
        <v>15</v>
      </c>
      <c r="M70" t="s">
        <v>165</v>
      </c>
      <c r="N70" s="19">
        <v>45693</v>
      </c>
      <c r="O70" s="19" t="s">
        <v>616</v>
      </c>
    </row>
    <row r="71" spans="1:15" hidden="1" x14ac:dyDescent="0.25">
      <c r="A71">
        <v>70</v>
      </c>
      <c r="B71" t="str">
        <v>31-41</v>
      </c>
      <c r="C71">
        <v>31</v>
      </c>
      <c r="D71">
        <v>3</v>
      </c>
      <c r="E71">
        <v>41</v>
      </c>
      <c r="F71" t="s">
        <v>1003</v>
      </c>
      <c r="G71" t="s">
        <v>543</v>
      </c>
      <c r="I71" s="61">
        <v>55.36</v>
      </c>
      <c r="J71">
        <v>28</v>
      </c>
      <c r="L71">
        <v>15</v>
      </c>
      <c r="M71" t="s">
        <v>165</v>
      </c>
      <c r="N71" s="19">
        <v>45693</v>
      </c>
      <c r="O71" s="19" t="s">
        <v>616</v>
      </c>
    </row>
    <row r="72" spans="1:15" hidden="1" x14ac:dyDescent="0.25">
      <c r="A72">
        <v>71</v>
      </c>
      <c r="B72" t="str">
        <v>31-42</v>
      </c>
      <c r="C72">
        <v>31</v>
      </c>
      <c r="D72">
        <v>8</v>
      </c>
      <c r="E72">
        <v>42</v>
      </c>
      <c r="F72" t="s">
        <v>1004</v>
      </c>
      <c r="G72" t="s">
        <v>544</v>
      </c>
      <c r="I72" s="61">
        <v>6.6070000000000002</v>
      </c>
      <c r="L72">
        <v>18</v>
      </c>
      <c r="M72" t="s">
        <v>154</v>
      </c>
      <c r="N72" s="19">
        <v>45693</v>
      </c>
      <c r="O72" s="19" t="s">
        <v>616</v>
      </c>
    </row>
    <row r="73" spans="1:15" hidden="1" x14ac:dyDescent="0.25">
      <c r="A73">
        <v>72</v>
      </c>
      <c r="B73" t="str">
        <v>31-43</v>
      </c>
      <c r="C73">
        <v>31</v>
      </c>
      <c r="D73">
        <v>8</v>
      </c>
      <c r="E73">
        <v>43</v>
      </c>
      <c r="F73" t="s">
        <v>1005</v>
      </c>
      <c r="G73" t="s">
        <v>543</v>
      </c>
      <c r="I73" s="61">
        <v>66.069999999999993</v>
      </c>
      <c r="J73">
        <v>28</v>
      </c>
      <c r="L73">
        <v>18</v>
      </c>
      <c r="M73" t="s">
        <v>154</v>
      </c>
      <c r="N73" s="19">
        <v>45693</v>
      </c>
      <c r="O73" s="19" t="s">
        <v>616</v>
      </c>
    </row>
    <row r="74" spans="1:15" hidden="1" x14ac:dyDescent="0.25">
      <c r="A74">
        <v>73</v>
      </c>
      <c r="B74" t="str">
        <v>31-44</v>
      </c>
      <c r="C74">
        <v>31</v>
      </c>
      <c r="D74">
        <v>12</v>
      </c>
      <c r="E74">
        <v>44</v>
      </c>
      <c r="F74" t="s">
        <v>1006</v>
      </c>
      <c r="G74" t="s">
        <v>544</v>
      </c>
      <c r="I74" s="61">
        <v>5.5359999999999996</v>
      </c>
      <c r="L74">
        <v>15</v>
      </c>
      <c r="M74" t="s">
        <v>153</v>
      </c>
      <c r="N74" s="19">
        <v>45693</v>
      </c>
      <c r="O74" s="19" t="s">
        <v>616</v>
      </c>
    </row>
    <row r="75" spans="1:15" hidden="1" x14ac:dyDescent="0.25">
      <c r="A75">
        <v>74</v>
      </c>
      <c r="B75" t="str">
        <v>31-45</v>
      </c>
      <c r="C75">
        <v>31</v>
      </c>
      <c r="D75">
        <v>12</v>
      </c>
      <c r="E75">
        <v>45</v>
      </c>
      <c r="F75" t="s">
        <v>1007</v>
      </c>
      <c r="G75" t="s">
        <v>543</v>
      </c>
      <c r="I75" s="61">
        <v>55.36</v>
      </c>
      <c r="J75">
        <v>28</v>
      </c>
      <c r="L75">
        <v>15</v>
      </c>
      <c r="M75" t="s">
        <v>153</v>
      </c>
      <c r="N75" s="19">
        <v>45693</v>
      </c>
      <c r="O75" s="19" t="s">
        <v>616</v>
      </c>
    </row>
    <row r="76" spans="1:15" hidden="1" x14ac:dyDescent="0.25">
      <c r="A76">
        <v>75</v>
      </c>
      <c r="B76" t="str">
        <v>31-46</v>
      </c>
      <c r="C76">
        <v>31</v>
      </c>
      <c r="D76">
        <v>2</v>
      </c>
      <c r="E76">
        <v>46</v>
      </c>
      <c r="F76" t="s">
        <v>1008</v>
      </c>
      <c r="G76" t="s">
        <v>544</v>
      </c>
      <c r="I76" s="61">
        <v>5.5359999999999996</v>
      </c>
      <c r="L76">
        <v>14.999999999999998</v>
      </c>
      <c r="M76" t="s">
        <v>162</v>
      </c>
      <c r="N76" s="19">
        <v>45693</v>
      </c>
      <c r="O76" s="19" t="s">
        <v>616</v>
      </c>
    </row>
    <row r="77" spans="1:15" hidden="1" x14ac:dyDescent="0.25">
      <c r="A77">
        <v>76</v>
      </c>
      <c r="B77" t="str">
        <v>31-47</v>
      </c>
      <c r="C77">
        <v>31</v>
      </c>
      <c r="D77">
        <v>2</v>
      </c>
      <c r="E77">
        <v>47</v>
      </c>
      <c r="F77" t="s">
        <v>1009</v>
      </c>
      <c r="G77" t="s">
        <v>543</v>
      </c>
      <c r="I77" s="61">
        <v>55.36</v>
      </c>
      <c r="J77">
        <v>28</v>
      </c>
      <c r="L77">
        <v>14.999999999999998</v>
      </c>
      <c r="M77" t="s">
        <v>162</v>
      </c>
      <c r="N77" s="19">
        <v>45693</v>
      </c>
      <c r="O77" s="19" t="s">
        <v>616</v>
      </c>
    </row>
    <row r="78" spans="1:15" hidden="1" x14ac:dyDescent="0.25">
      <c r="A78">
        <v>77</v>
      </c>
      <c r="B78" t="str">
        <v>31-48</v>
      </c>
      <c r="C78">
        <v>31</v>
      </c>
      <c r="D78">
        <v>12</v>
      </c>
      <c r="E78">
        <v>48</v>
      </c>
      <c r="F78" t="s">
        <v>1010</v>
      </c>
      <c r="G78" t="s">
        <v>544</v>
      </c>
      <c r="I78" s="61">
        <v>6.25</v>
      </c>
      <c r="L78">
        <v>15</v>
      </c>
      <c r="M78" t="s">
        <v>171</v>
      </c>
      <c r="N78" s="19">
        <v>45693</v>
      </c>
      <c r="O78" s="19" t="s">
        <v>616</v>
      </c>
    </row>
    <row r="79" spans="1:15" hidden="1" x14ac:dyDescent="0.25">
      <c r="A79">
        <v>78</v>
      </c>
      <c r="B79" t="str">
        <v>31-49</v>
      </c>
      <c r="C79">
        <v>31</v>
      </c>
      <c r="D79">
        <v>12</v>
      </c>
      <c r="E79">
        <v>49</v>
      </c>
      <c r="F79" t="s">
        <v>1011</v>
      </c>
      <c r="G79" t="s">
        <v>543</v>
      </c>
      <c r="I79" s="61">
        <v>62.5</v>
      </c>
      <c r="J79">
        <v>28</v>
      </c>
      <c r="L79">
        <v>15</v>
      </c>
      <c r="M79" t="s">
        <v>171</v>
      </c>
      <c r="N79" s="19">
        <v>45693</v>
      </c>
      <c r="O79" s="19" t="s">
        <v>616</v>
      </c>
    </row>
    <row r="80" spans="1:15" hidden="1" x14ac:dyDescent="0.25">
      <c r="A80">
        <v>79</v>
      </c>
      <c r="B80" t="str">
        <v>31-50</v>
      </c>
      <c r="C80">
        <v>31</v>
      </c>
      <c r="D80">
        <v>2</v>
      </c>
      <c r="E80">
        <v>50</v>
      </c>
      <c r="F80" t="s">
        <v>1012</v>
      </c>
      <c r="G80" t="s">
        <v>544</v>
      </c>
      <c r="I80" s="61">
        <v>5.5359999999999996</v>
      </c>
      <c r="L80">
        <v>15</v>
      </c>
      <c r="M80" t="s">
        <v>146</v>
      </c>
      <c r="N80" s="19">
        <v>45693</v>
      </c>
      <c r="O80" s="19" t="s">
        <v>616</v>
      </c>
    </row>
    <row r="81" spans="1:15" hidden="1" x14ac:dyDescent="0.25">
      <c r="A81">
        <v>80</v>
      </c>
      <c r="B81" t="str">
        <v>31-51</v>
      </c>
      <c r="C81">
        <v>31</v>
      </c>
      <c r="D81">
        <v>2</v>
      </c>
      <c r="E81">
        <v>51</v>
      </c>
      <c r="F81" t="s">
        <v>1013</v>
      </c>
      <c r="G81" t="s">
        <v>543</v>
      </c>
      <c r="I81" s="61">
        <v>55.36</v>
      </c>
      <c r="J81">
        <v>28</v>
      </c>
      <c r="L81">
        <v>15</v>
      </c>
      <c r="M81" t="s">
        <v>146</v>
      </c>
      <c r="N81" s="19">
        <v>45693</v>
      </c>
      <c r="O81" s="19" t="s">
        <v>616</v>
      </c>
    </row>
    <row r="82" spans="1:15" hidden="1" x14ac:dyDescent="0.25">
      <c r="A82">
        <v>81</v>
      </c>
      <c r="B82" t="str">
        <v>31-52</v>
      </c>
      <c r="C82">
        <v>31</v>
      </c>
      <c r="D82">
        <v>4</v>
      </c>
      <c r="E82">
        <v>52</v>
      </c>
      <c r="F82" t="s">
        <v>1014</v>
      </c>
      <c r="G82" t="s">
        <v>544</v>
      </c>
      <c r="I82" s="61">
        <v>0</v>
      </c>
      <c r="L82">
        <v>15</v>
      </c>
      <c r="M82" t="s">
        <v>150</v>
      </c>
      <c r="N82" s="19">
        <v>45693</v>
      </c>
      <c r="O82" s="19" t="s">
        <v>616</v>
      </c>
    </row>
    <row r="83" spans="1:15" hidden="1" x14ac:dyDescent="0.25">
      <c r="A83">
        <v>82</v>
      </c>
      <c r="B83" t="str">
        <v>31-53</v>
      </c>
      <c r="C83">
        <v>31</v>
      </c>
      <c r="D83">
        <v>4</v>
      </c>
      <c r="E83">
        <v>53</v>
      </c>
      <c r="F83" t="s">
        <v>1015</v>
      </c>
      <c r="G83" t="s">
        <v>543</v>
      </c>
      <c r="I83" s="61">
        <v>55.36</v>
      </c>
      <c r="J83">
        <v>28</v>
      </c>
      <c r="L83">
        <v>15</v>
      </c>
      <c r="M83" t="s">
        <v>150</v>
      </c>
      <c r="N83" s="19">
        <v>45693</v>
      </c>
      <c r="O83" s="19" t="s">
        <v>616</v>
      </c>
    </row>
    <row r="84" spans="1:15" hidden="1" x14ac:dyDescent="0.25">
      <c r="A84">
        <v>83</v>
      </c>
      <c r="B84" t="str">
        <v>31-54</v>
      </c>
      <c r="C84">
        <v>31</v>
      </c>
      <c r="D84">
        <v>15</v>
      </c>
      <c r="E84">
        <v>54</v>
      </c>
      <c r="F84" t="s">
        <v>1016</v>
      </c>
      <c r="G84" t="s">
        <v>544</v>
      </c>
      <c r="I84" s="61">
        <v>5.5359999999999996</v>
      </c>
      <c r="L84">
        <v>15</v>
      </c>
      <c r="M84" t="s">
        <v>181</v>
      </c>
      <c r="N84" s="19">
        <v>45693</v>
      </c>
      <c r="O84" s="19" t="s">
        <v>616</v>
      </c>
    </row>
    <row r="85" spans="1:15" hidden="1" x14ac:dyDescent="0.25">
      <c r="A85">
        <v>84</v>
      </c>
      <c r="B85" t="str">
        <v>31-55</v>
      </c>
      <c r="C85">
        <v>31</v>
      </c>
      <c r="D85">
        <v>15</v>
      </c>
      <c r="E85">
        <v>55</v>
      </c>
      <c r="F85" t="s">
        <v>1017</v>
      </c>
      <c r="G85" t="s">
        <v>543</v>
      </c>
      <c r="I85" s="61">
        <v>55.36</v>
      </c>
      <c r="J85">
        <v>28</v>
      </c>
      <c r="L85">
        <v>15</v>
      </c>
      <c r="M85" t="s">
        <v>181</v>
      </c>
      <c r="N85" s="19">
        <v>45693</v>
      </c>
      <c r="O85" s="19" t="s">
        <v>616</v>
      </c>
    </row>
    <row r="86" spans="1:15" hidden="1" x14ac:dyDescent="0.25">
      <c r="A86">
        <v>85</v>
      </c>
      <c r="B86" t="str">
        <v>31-56</v>
      </c>
      <c r="C86">
        <v>31</v>
      </c>
      <c r="D86">
        <v>2</v>
      </c>
      <c r="E86">
        <v>56</v>
      </c>
      <c r="F86" t="s">
        <v>1018</v>
      </c>
      <c r="G86" t="s">
        <v>544</v>
      </c>
      <c r="I86" s="61">
        <v>5.5359999999999996</v>
      </c>
      <c r="L86">
        <v>15</v>
      </c>
      <c r="M86" t="s">
        <v>161</v>
      </c>
      <c r="N86" s="19">
        <v>45693</v>
      </c>
      <c r="O86" s="19" t="s">
        <v>616</v>
      </c>
    </row>
    <row r="87" spans="1:15" hidden="1" x14ac:dyDescent="0.25">
      <c r="A87">
        <v>86</v>
      </c>
      <c r="B87" t="str">
        <v>31-57</v>
      </c>
      <c r="C87">
        <v>31</v>
      </c>
      <c r="D87">
        <v>2</v>
      </c>
      <c r="E87">
        <v>57</v>
      </c>
      <c r="F87" t="s">
        <v>1019</v>
      </c>
      <c r="G87" t="s">
        <v>543</v>
      </c>
      <c r="I87" s="61">
        <v>55.36</v>
      </c>
      <c r="J87">
        <v>28</v>
      </c>
      <c r="K87" s="101">
        <f>I87*J87</f>
        <v>1550.08</v>
      </c>
      <c r="L87">
        <v>15</v>
      </c>
      <c r="M87" t="s">
        <v>161</v>
      </c>
      <c r="N87" s="19">
        <v>45693</v>
      </c>
      <c r="O87" s="19" t="s">
        <v>616</v>
      </c>
    </row>
    <row r="88" spans="1:15" hidden="1" x14ac:dyDescent="0.25">
      <c r="A88">
        <v>87</v>
      </c>
      <c r="B88" t="str">
        <v>31-58</v>
      </c>
      <c r="C88">
        <v>31</v>
      </c>
      <c r="D88">
        <v>2</v>
      </c>
      <c r="E88">
        <v>58</v>
      </c>
      <c r="F88" t="s">
        <v>1020</v>
      </c>
      <c r="G88" t="s">
        <v>544</v>
      </c>
      <c r="I88" s="61">
        <v>5.5359999999999996</v>
      </c>
      <c r="L88">
        <v>15</v>
      </c>
      <c r="M88" t="s">
        <v>145</v>
      </c>
      <c r="N88" s="19">
        <v>45693</v>
      </c>
      <c r="O88" s="19" t="s">
        <v>616</v>
      </c>
    </row>
    <row r="89" spans="1:15" hidden="1" x14ac:dyDescent="0.25">
      <c r="A89">
        <v>88</v>
      </c>
      <c r="B89" t="str">
        <v>31-59</v>
      </c>
      <c r="C89">
        <v>31</v>
      </c>
      <c r="D89">
        <v>2</v>
      </c>
      <c r="E89">
        <v>59</v>
      </c>
      <c r="F89" t="s">
        <v>1021</v>
      </c>
      <c r="G89" t="s">
        <v>543</v>
      </c>
      <c r="I89" s="61">
        <v>55.36</v>
      </c>
      <c r="J89">
        <v>28</v>
      </c>
      <c r="L89">
        <v>15</v>
      </c>
      <c r="M89" t="s">
        <v>145</v>
      </c>
      <c r="N89" s="19">
        <v>45693</v>
      </c>
      <c r="O89" s="19" t="s">
        <v>616</v>
      </c>
    </row>
    <row r="90" spans="1:15" hidden="1" x14ac:dyDescent="0.25">
      <c r="A90">
        <v>89</v>
      </c>
      <c r="B90" t="str">
        <v>31-60</v>
      </c>
      <c r="C90">
        <v>31</v>
      </c>
      <c r="D90">
        <v>2</v>
      </c>
      <c r="E90">
        <v>60</v>
      </c>
      <c r="F90" t="s">
        <v>1022</v>
      </c>
      <c r="G90" t="s">
        <v>544</v>
      </c>
      <c r="I90" s="61">
        <v>5.5359999999999996</v>
      </c>
      <c r="L90">
        <v>15</v>
      </c>
      <c r="M90" t="s">
        <v>141</v>
      </c>
      <c r="N90" s="19">
        <v>45693</v>
      </c>
      <c r="O90" s="19" t="s">
        <v>616</v>
      </c>
    </row>
    <row r="91" spans="1:15" hidden="1" x14ac:dyDescent="0.25">
      <c r="A91">
        <v>90</v>
      </c>
      <c r="B91" t="str">
        <v>31-61</v>
      </c>
      <c r="C91">
        <v>31</v>
      </c>
      <c r="D91">
        <v>2</v>
      </c>
      <c r="E91">
        <v>61</v>
      </c>
      <c r="F91" t="s">
        <v>1023</v>
      </c>
      <c r="G91" t="s">
        <v>543</v>
      </c>
      <c r="I91" s="61">
        <v>55.36</v>
      </c>
      <c r="J91">
        <v>28</v>
      </c>
      <c r="L91">
        <v>15</v>
      </c>
      <c r="M91" t="s">
        <v>141</v>
      </c>
      <c r="N91" s="19">
        <v>45693</v>
      </c>
      <c r="O91" s="19" t="s">
        <v>616</v>
      </c>
    </row>
    <row r="92" spans="1:15" hidden="1" x14ac:dyDescent="0.25">
      <c r="A92">
        <v>91</v>
      </c>
      <c r="B92" t="str">
        <v>31-62</v>
      </c>
      <c r="C92">
        <v>31</v>
      </c>
      <c r="D92">
        <v>7</v>
      </c>
      <c r="E92">
        <v>62</v>
      </c>
      <c r="F92" t="s">
        <v>1024</v>
      </c>
      <c r="G92" t="s">
        <v>542</v>
      </c>
      <c r="I92" s="61">
        <f>K92/J92</f>
        <v>91.339285714285708</v>
      </c>
      <c r="J92">
        <v>28</v>
      </c>
      <c r="K92" s="101">
        <v>2557.5</v>
      </c>
      <c r="L92">
        <v>15</v>
      </c>
      <c r="M92" t="s">
        <v>151</v>
      </c>
      <c r="N92" s="19">
        <v>45809</v>
      </c>
      <c r="O92" s="19" t="s">
        <v>616</v>
      </c>
    </row>
    <row r="93" spans="1:15" hidden="1" x14ac:dyDescent="0.25">
      <c r="A93">
        <v>92</v>
      </c>
      <c r="B93" t="str">
        <v>31-63</v>
      </c>
      <c r="C93">
        <v>31</v>
      </c>
      <c r="D93">
        <v>9</v>
      </c>
      <c r="E93">
        <v>63</v>
      </c>
      <c r="F93" t="s">
        <v>1025</v>
      </c>
      <c r="G93" t="s">
        <v>542</v>
      </c>
      <c r="I93" s="61">
        <f>K93/J93</f>
        <v>99.642857142857139</v>
      </c>
      <c r="J93">
        <v>28</v>
      </c>
      <c r="K93" s="101">
        <v>2790</v>
      </c>
      <c r="L93">
        <v>15</v>
      </c>
      <c r="M93" t="s">
        <v>151</v>
      </c>
      <c r="N93" s="19">
        <v>45839</v>
      </c>
      <c r="O93" s="19" t="s">
        <v>616</v>
      </c>
    </row>
    <row r="94" spans="1:15" hidden="1" x14ac:dyDescent="0.25">
      <c r="A94">
        <v>93</v>
      </c>
      <c r="B94" t="str">
        <v>31-64</v>
      </c>
      <c r="C94">
        <v>31</v>
      </c>
      <c r="D94">
        <v>7</v>
      </c>
      <c r="E94">
        <v>64</v>
      </c>
      <c r="F94" t="s">
        <v>1026</v>
      </c>
      <c r="G94" t="s">
        <v>544</v>
      </c>
      <c r="I94" s="61">
        <f>K94/J94</f>
        <v>5.5357142857142856</v>
      </c>
      <c r="J94">
        <f>28*10</f>
        <v>280</v>
      </c>
      <c r="K94" s="101">
        <v>1550</v>
      </c>
      <c r="L94">
        <v>15</v>
      </c>
      <c r="M94" t="s">
        <v>151</v>
      </c>
      <c r="N94" s="19">
        <v>45693</v>
      </c>
      <c r="O94" s="19" t="s">
        <v>616</v>
      </c>
    </row>
    <row r="95" spans="1:15" hidden="1" x14ac:dyDescent="0.25">
      <c r="A95">
        <v>94</v>
      </c>
      <c r="B95" t="str">
        <v>31-65</v>
      </c>
      <c r="C95">
        <v>31</v>
      </c>
      <c r="D95">
        <v>7</v>
      </c>
      <c r="E95">
        <v>65</v>
      </c>
      <c r="F95" t="s">
        <v>1027</v>
      </c>
      <c r="G95" t="s">
        <v>543</v>
      </c>
      <c r="I95" s="61">
        <f>K95/J95</f>
        <v>55.357142857142854</v>
      </c>
      <c r="J95">
        <v>28</v>
      </c>
      <c r="K95" s="101">
        <v>1550</v>
      </c>
      <c r="L95">
        <v>15</v>
      </c>
      <c r="M95" t="s">
        <v>151</v>
      </c>
      <c r="N95" s="19">
        <v>45693</v>
      </c>
      <c r="O95" s="19" t="s">
        <v>616</v>
      </c>
    </row>
    <row r="96" spans="1:15" hidden="1" x14ac:dyDescent="0.25">
      <c r="A96">
        <v>95</v>
      </c>
      <c r="B96" t="str">
        <v>31-66</v>
      </c>
      <c r="C96">
        <v>31</v>
      </c>
      <c r="D96">
        <v>15</v>
      </c>
      <c r="E96">
        <v>66</v>
      </c>
      <c r="F96" t="s">
        <v>958</v>
      </c>
      <c r="G96" t="s">
        <v>544</v>
      </c>
      <c r="I96" s="61">
        <v>4</v>
      </c>
      <c r="L96" t="s">
        <v>320</v>
      </c>
      <c r="M96" t="s">
        <v>183</v>
      </c>
      <c r="N96" s="19">
        <v>45693</v>
      </c>
      <c r="O96" s="19" t="s">
        <v>616</v>
      </c>
    </row>
    <row r="97" spans="1:15" hidden="1" x14ac:dyDescent="0.25">
      <c r="A97">
        <v>96</v>
      </c>
      <c r="B97" t="str">
        <v>31-67</v>
      </c>
      <c r="C97">
        <v>31</v>
      </c>
      <c r="D97">
        <v>15</v>
      </c>
      <c r="E97">
        <v>67</v>
      </c>
      <c r="F97" t="s">
        <v>961</v>
      </c>
      <c r="G97" t="s">
        <v>543</v>
      </c>
      <c r="I97" s="61">
        <v>40</v>
      </c>
      <c r="J97">
        <v>30</v>
      </c>
      <c r="L97" t="s">
        <v>320</v>
      </c>
      <c r="M97" t="s">
        <v>183</v>
      </c>
      <c r="N97" s="19">
        <v>45693</v>
      </c>
      <c r="O97" s="19" t="s">
        <v>616</v>
      </c>
    </row>
    <row r="98" spans="1:15" hidden="1" x14ac:dyDescent="0.25">
      <c r="A98">
        <v>97</v>
      </c>
      <c r="B98" t="str">
        <v>31-68</v>
      </c>
      <c r="C98">
        <v>31</v>
      </c>
      <c r="D98">
        <v>3</v>
      </c>
      <c r="E98">
        <v>68</v>
      </c>
      <c r="F98" t="s">
        <v>963</v>
      </c>
      <c r="G98" t="s">
        <v>544</v>
      </c>
      <c r="I98" s="61">
        <v>7.3330000000000002</v>
      </c>
      <c r="L98">
        <v>18</v>
      </c>
      <c r="M98" t="s">
        <v>149</v>
      </c>
      <c r="N98" s="19">
        <v>45693</v>
      </c>
      <c r="O98" s="19" t="s">
        <v>616</v>
      </c>
    </row>
    <row r="99" spans="1:15" hidden="1" x14ac:dyDescent="0.25">
      <c r="A99">
        <v>98</v>
      </c>
      <c r="B99" t="str">
        <v>31-69</v>
      </c>
      <c r="C99">
        <v>31</v>
      </c>
      <c r="D99">
        <v>3</v>
      </c>
      <c r="E99">
        <v>69</v>
      </c>
      <c r="F99" t="s">
        <v>965</v>
      </c>
      <c r="G99" t="s">
        <v>543</v>
      </c>
      <c r="I99" s="61">
        <v>73.33</v>
      </c>
      <c r="J99">
        <v>30</v>
      </c>
      <c r="L99">
        <v>18</v>
      </c>
      <c r="M99" t="s">
        <v>149</v>
      </c>
      <c r="N99" s="19">
        <v>45693</v>
      </c>
      <c r="O99" s="19" t="s">
        <v>616</v>
      </c>
    </row>
    <row r="100" spans="1:15" hidden="1" x14ac:dyDescent="0.25">
      <c r="A100">
        <v>99</v>
      </c>
      <c r="B100" t="str">
        <v>31-70</v>
      </c>
      <c r="C100">
        <v>31</v>
      </c>
      <c r="D100">
        <v>2</v>
      </c>
      <c r="E100">
        <v>70</v>
      </c>
      <c r="F100" t="s">
        <v>967</v>
      </c>
      <c r="G100" t="s">
        <v>544</v>
      </c>
      <c r="I100" s="61">
        <v>7.3330000000000002</v>
      </c>
      <c r="L100">
        <v>18</v>
      </c>
      <c r="M100" t="s">
        <v>147</v>
      </c>
      <c r="N100" s="19">
        <v>45693</v>
      </c>
      <c r="O100" s="19" t="s">
        <v>616</v>
      </c>
    </row>
    <row r="101" spans="1:15" hidden="1" x14ac:dyDescent="0.25">
      <c r="A101">
        <v>100</v>
      </c>
      <c r="B101" t="str">
        <v>31-71</v>
      </c>
      <c r="C101">
        <v>31</v>
      </c>
      <c r="D101">
        <v>2</v>
      </c>
      <c r="E101">
        <v>71</v>
      </c>
      <c r="F101" t="s">
        <v>969</v>
      </c>
      <c r="G101" t="s">
        <v>543</v>
      </c>
      <c r="I101" s="61">
        <v>73.33</v>
      </c>
      <c r="J101">
        <v>30</v>
      </c>
      <c r="L101">
        <v>18</v>
      </c>
      <c r="M101" t="s">
        <v>147</v>
      </c>
      <c r="N101" s="19">
        <v>45693</v>
      </c>
      <c r="O101" s="19" t="s">
        <v>616</v>
      </c>
    </row>
    <row r="102" spans="1:15" hidden="1" x14ac:dyDescent="0.25">
      <c r="A102">
        <v>101</v>
      </c>
      <c r="B102" t="str">
        <v>31-72</v>
      </c>
      <c r="C102">
        <v>31</v>
      </c>
      <c r="D102">
        <v>1</v>
      </c>
      <c r="E102">
        <v>72</v>
      </c>
      <c r="F102" t="s">
        <v>811</v>
      </c>
      <c r="G102" t="s">
        <v>544</v>
      </c>
      <c r="I102" s="61">
        <v>7.3330000000000002</v>
      </c>
      <c r="L102">
        <v>17.999999999999996</v>
      </c>
      <c r="M102" t="s">
        <v>173</v>
      </c>
      <c r="N102" s="19">
        <v>45693</v>
      </c>
      <c r="O102" s="19" t="s">
        <v>616</v>
      </c>
    </row>
    <row r="103" spans="1:15" hidden="1" x14ac:dyDescent="0.25">
      <c r="A103">
        <v>102</v>
      </c>
      <c r="B103" t="str">
        <v>31-73</v>
      </c>
      <c r="C103">
        <v>31</v>
      </c>
      <c r="D103">
        <v>1</v>
      </c>
      <c r="E103">
        <v>73</v>
      </c>
      <c r="F103" t="s">
        <v>813</v>
      </c>
      <c r="G103" t="s">
        <v>543</v>
      </c>
      <c r="I103" s="61">
        <v>73.33</v>
      </c>
      <c r="J103">
        <v>30</v>
      </c>
      <c r="L103">
        <v>17.999999999999996</v>
      </c>
      <c r="M103" t="s">
        <v>173</v>
      </c>
      <c r="N103" s="19">
        <v>45693</v>
      </c>
      <c r="O103" s="19" t="s">
        <v>616</v>
      </c>
    </row>
    <row r="104" spans="1:15" hidden="1" x14ac:dyDescent="0.25">
      <c r="A104">
        <v>103</v>
      </c>
      <c r="B104" t="str">
        <v>31-74</v>
      </c>
      <c r="C104">
        <v>31</v>
      </c>
      <c r="D104">
        <v>12</v>
      </c>
      <c r="E104">
        <v>74</v>
      </c>
      <c r="F104" t="s">
        <v>1028</v>
      </c>
      <c r="G104" t="s">
        <v>544</v>
      </c>
      <c r="I104" s="61">
        <v>5.5359999999999996</v>
      </c>
      <c r="L104">
        <v>15</v>
      </c>
      <c r="M104" t="s">
        <v>172</v>
      </c>
      <c r="N104" s="19">
        <v>45693</v>
      </c>
      <c r="O104" s="19" t="s">
        <v>616</v>
      </c>
    </row>
    <row r="105" spans="1:15" hidden="1" x14ac:dyDescent="0.25">
      <c r="A105">
        <v>104</v>
      </c>
      <c r="B105" t="str">
        <v>31-75</v>
      </c>
      <c r="C105">
        <v>31</v>
      </c>
      <c r="D105">
        <v>12</v>
      </c>
      <c r="E105">
        <v>75</v>
      </c>
      <c r="F105" t="s">
        <v>1029</v>
      </c>
      <c r="G105" t="s">
        <v>543</v>
      </c>
      <c r="I105" s="61">
        <v>55.36</v>
      </c>
      <c r="J105">
        <v>28</v>
      </c>
      <c r="L105">
        <v>15</v>
      </c>
      <c r="M105" t="s">
        <v>172</v>
      </c>
      <c r="N105" s="19">
        <v>45693</v>
      </c>
      <c r="O105" s="19" t="s">
        <v>616</v>
      </c>
    </row>
    <row r="106" spans="1:15" hidden="1" x14ac:dyDescent="0.25">
      <c r="A106">
        <v>105</v>
      </c>
      <c r="B106" t="str">
        <v>31-76</v>
      </c>
      <c r="C106">
        <v>31</v>
      </c>
      <c r="D106">
        <v>7</v>
      </c>
      <c r="E106">
        <v>76</v>
      </c>
      <c r="F106" t="s">
        <v>1030</v>
      </c>
      <c r="G106" t="s">
        <v>544</v>
      </c>
      <c r="I106" s="61">
        <v>5.5359999999999996</v>
      </c>
      <c r="L106">
        <v>15</v>
      </c>
      <c r="M106" t="s">
        <v>167</v>
      </c>
      <c r="N106" s="19">
        <v>45693</v>
      </c>
      <c r="O106" s="19" t="s">
        <v>616</v>
      </c>
    </row>
    <row r="107" spans="1:15" hidden="1" x14ac:dyDescent="0.25">
      <c r="A107">
        <v>106</v>
      </c>
      <c r="B107" t="str">
        <v>31-77</v>
      </c>
      <c r="C107">
        <v>31</v>
      </c>
      <c r="D107">
        <v>7</v>
      </c>
      <c r="E107">
        <v>77</v>
      </c>
      <c r="F107" t="s">
        <v>1031</v>
      </c>
      <c r="G107" t="s">
        <v>543</v>
      </c>
      <c r="I107" s="61">
        <v>55.36</v>
      </c>
      <c r="J107">
        <v>28</v>
      </c>
      <c r="L107">
        <v>15</v>
      </c>
      <c r="M107" t="s">
        <v>167</v>
      </c>
      <c r="N107" s="19">
        <v>45693</v>
      </c>
      <c r="O107" s="19" t="s">
        <v>616</v>
      </c>
    </row>
    <row r="108" spans="1:15" hidden="1" x14ac:dyDescent="0.25">
      <c r="A108">
        <v>107</v>
      </c>
      <c r="B108" t="str">
        <v>31-78</v>
      </c>
      <c r="C108">
        <v>31</v>
      </c>
      <c r="D108">
        <v>15</v>
      </c>
      <c r="E108">
        <v>78</v>
      </c>
      <c r="F108" t="s">
        <v>1032</v>
      </c>
      <c r="G108" t="s">
        <v>544</v>
      </c>
      <c r="I108" s="61">
        <v>6.25</v>
      </c>
      <c r="L108">
        <v>15</v>
      </c>
      <c r="M108" t="s">
        <v>177</v>
      </c>
      <c r="N108" s="19">
        <v>45693</v>
      </c>
      <c r="O108" s="19" t="s">
        <v>616</v>
      </c>
    </row>
    <row r="109" spans="1:15" hidden="1" x14ac:dyDescent="0.25">
      <c r="A109">
        <v>108</v>
      </c>
      <c r="B109" t="str">
        <v>31-79</v>
      </c>
      <c r="C109">
        <v>31</v>
      </c>
      <c r="D109">
        <v>15</v>
      </c>
      <c r="E109">
        <v>79</v>
      </c>
      <c r="F109" t="s">
        <v>1033</v>
      </c>
      <c r="G109" t="s">
        <v>543</v>
      </c>
      <c r="I109" s="61">
        <v>62.5</v>
      </c>
      <c r="J109">
        <v>28</v>
      </c>
      <c r="L109">
        <v>15</v>
      </c>
      <c r="M109" t="s">
        <v>177</v>
      </c>
      <c r="N109" s="19">
        <v>45693</v>
      </c>
      <c r="O109" s="19" t="s">
        <v>616</v>
      </c>
    </row>
    <row r="110" spans="1:15" hidden="1" x14ac:dyDescent="0.25">
      <c r="A110">
        <v>109</v>
      </c>
      <c r="B110" t="str">
        <v>31-80</v>
      </c>
      <c r="C110">
        <v>31</v>
      </c>
      <c r="D110">
        <v>8</v>
      </c>
      <c r="E110">
        <v>80</v>
      </c>
      <c r="F110" t="s">
        <v>1034</v>
      </c>
      <c r="G110" t="s">
        <v>544</v>
      </c>
      <c r="I110" s="61">
        <v>5.5359999999999996</v>
      </c>
      <c r="L110">
        <v>14.999999999999998</v>
      </c>
      <c r="M110" t="s">
        <v>169</v>
      </c>
      <c r="N110" s="19">
        <v>45693</v>
      </c>
      <c r="O110" s="19" t="s">
        <v>616</v>
      </c>
    </row>
    <row r="111" spans="1:15" hidden="1" x14ac:dyDescent="0.25">
      <c r="A111">
        <v>110</v>
      </c>
      <c r="B111" t="str">
        <v>31-81</v>
      </c>
      <c r="C111">
        <v>31</v>
      </c>
      <c r="D111">
        <v>8</v>
      </c>
      <c r="E111">
        <v>81</v>
      </c>
      <c r="F111" t="s">
        <v>1035</v>
      </c>
      <c r="G111" t="s">
        <v>543</v>
      </c>
      <c r="I111" s="61">
        <v>55.36</v>
      </c>
      <c r="J111">
        <v>28</v>
      </c>
      <c r="L111">
        <v>14.999999999999998</v>
      </c>
      <c r="M111" t="s">
        <v>169</v>
      </c>
      <c r="N111" s="19">
        <v>45693</v>
      </c>
      <c r="O111" s="19" t="s">
        <v>616</v>
      </c>
    </row>
    <row r="112" spans="1:15" hidden="1" x14ac:dyDescent="0.25">
      <c r="A112">
        <v>111</v>
      </c>
      <c r="B112" t="str">
        <v>31-82</v>
      </c>
      <c r="C112">
        <v>31</v>
      </c>
      <c r="D112">
        <v>11</v>
      </c>
      <c r="E112">
        <v>82</v>
      </c>
      <c r="F112" t="s">
        <v>814</v>
      </c>
      <c r="G112" t="s">
        <v>544</v>
      </c>
      <c r="I112" s="61">
        <f>K112/J112/10</f>
        <v>7.333333333333333</v>
      </c>
      <c r="J112">
        <v>30</v>
      </c>
      <c r="K112" s="101">
        <v>2200</v>
      </c>
      <c r="L112">
        <v>17.999999999999996</v>
      </c>
      <c r="M112" t="s">
        <v>170</v>
      </c>
      <c r="N112" s="19">
        <v>45693</v>
      </c>
      <c r="O112" s="19" t="s">
        <v>616</v>
      </c>
    </row>
    <row r="113" spans="1:15" hidden="1" x14ac:dyDescent="0.25">
      <c r="A113">
        <v>112</v>
      </c>
      <c r="B113" t="str">
        <v>31-83</v>
      </c>
      <c r="C113">
        <v>31</v>
      </c>
      <c r="D113">
        <v>11</v>
      </c>
      <c r="E113">
        <v>83</v>
      </c>
      <c r="F113" t="s">
        <v>816</v>
      </c>
      <c r="G113" t="s">
        <v>543</v>
      </c>
      <c r="I113" s="61">
        <f>K113/J113</f>
        <v>73.333333333333329</v>
      </c>
      <c r="J113">
        <v>30</v>
      </c>
      <c r="K113" s="101">
        <v>2200</v>
      </c>
      <c r="L113">
        <v>17.999999999999996</v>
      </c>
      <c r="M113" t="s">
        <v>170</v>
      </c>
      <c r="N113" s="19">
        <v>45693</v>
      </c>
      <c r="O113" s="19" t="s">
        <v>616</v>
      </c>
    </row>
    <row r="114" spans="1:15" hidden="1" x14ac:dyDescent="0.25">
      <c r="A114">
        <v>113</v>
      </c>
      <c r="B114" t="str">
        <v>31-84</v>
      </c>
      <c r="C114">
        <v>31</v>
      </c>
      <c r="D114">
        <v>5</v>
      </c>
      <c r="E114">
        <v>84</v>
      </c>
      <c r="F114" t="s">
        <v>818</v>
      </c>
      <c r="G114" t="s">
        <v>544</v>
      </c>
      <c r="I114" s="61">
        <v>4</v>
      </c>
      <c r="L114" t="s">
        <v>320</v>
      </c>
      <c r="M114" t="s">
        <v>158</v>
      </c>
      <c r="N114" s="19">
        <v>45693</v>
      </c>
      <c r="O114" s="19" t="s">
        <v>616</v>
      </c>
    </row>
    <row r="115" spans="1:15" hidden="1" x14ac:dyDescent="0.25">
      <c r="A115">
        <v>114</v>
      </c>
      <c r="B115" t="str">
        <v>31-85</v>
      </c>
      <c r="C115">
        <v>31</v>
      </c>
      <c r="D115">
        <v>5</v>
      </c>
      <c r="E115">
        <v>85</v>
      </c>
      <c r="F115" t="s">
        <v>821</v>
      </c>
      <c r="G115" t="s">
        <v>543</v>
      </c>
      <c r="I115" s="61">
        <v>40</v>
      </c>
      <c r="J115">
        <v>30</v>
      </c>
      <c r="L115" t="s">
        <v>320</v>
      </c>
      <c r="M115" t="s">
        <v>158</v>
      </c>
      <c r="N115" s="19">
        <v>45693</v>
      </c>
      <c r="O115" s="19" t="s">
        <v>616</v>
      </c>
    </row>
    <row r="116" spans="1:15" hidden="1" x14ac:dyDescent="0.25">
      <c r="A116">
        <v>115</v>
      </c>
      <c r="B116" t="str">
        <v>31-86</v>
      </c>
      <c r="C116">
        <v>31</v>
      </c>
      <c r="D116">
        <v>4</v>
      </c>
      <c r="E116">
        <v>86</v>
      </c>
      <c r="F116" t="s">
        <v>1036</v>
      </c>
      <c r="G116" t="s">
        <v>544</v>
      </c>
      <c r="I116" s="61">
        <v>5.5359999999999996</v>
      </c>
      <c r="L116">
        <v>15</v>
      </c>
      <c r="M116" t="s">
        <v>166</v>
      </c>
      <c r="N116" s="19">
        <v>45693</v>
      </c>
      <c r="O116" s="19" t="s">
        <v>616</v>
      </c>
    </row>
    <row r="117" spans="1:15" hidden="1" x14ac:dyDescent="0.25">
      <c r="A117">
        <v>116</v>
      </c>
      <c r="B117" t="str">
        <v>31-87</v>
      </c>
      <c r="C117">
        <v>31</v>
      </c>
      <c r="D117">
        <v>4</v>
      </c>
      <c r="E117">
        <v>87</v>
      </c>
      <c r="F117" t="s">
        <v>1037</v>
      </c>
      <c r="G117" t="s">
        <v>543</v>
      </c>
      <c r="I117" s="61">
        <v>55.36</v>
      </c>
      <c r="J117">
        <v>28</v>
      </c>
      <c r="L117">
        <v>15</v>
      </c>
      <c r="M117" t="s">
        <v>166</v>
      </c>
      <c r="N117" s="19">
        <v>45693</v>
      </c>
      <c r="O117" s="19" t="s">
        <v>616</v>
      </c>
    </row>
    <row r="118" spans="1:15" hidden="1" x14ac:dyDescent="0.25">
      <c r="A118">
        <v>117</v>
      </c>
      <c r="B118" t="str">
        <v>31-88</v>
      </c>
      <c r="C118">
        <v>31</v>
      </c>
      <c r="D118">
        <v>14</v>
      </c>
      <c r="E118">
        <v>88</v>
      </c>
      <c r="F118" t="s">
        <v>828</v>
      </c>
      <c r="G118" t="s">
        <v>544</v>
      </c>
      <c r="I118" s="61">
        <v>4</v>
      </c>
      <c r="L118">
        <v>15</v>
      </c>
      <c r="M118" t="s">
        <v>351</v>
      </c>
      <c r="N118" s="19">
        <v>45693</v>
      </c>
      <c r="O118" s="19" t="s">
        <v>616</v>
      </c>
    </row>
    <row r="119" spans="1:15" hidden="1" x14ac:dyDescent="0.25">
      <c r="A119">
        <v>118</v>
      </c>
      <c r="B119" t="str">
        <v>31-89</v>
      </c>
      <c r="C119">
        <v>31</v>
      </c>
      <c r="D119">
        <v>14</v>
      </c>
      <c r="E119">
        <v>89</v>
      </c>
      <c r="F119" t="s">
        <v>830</v>
      </c>
      <c r="G119" t="s">
        <v>543</v>
      </c>
      <c r="I119" s="61">
        <v>40</v>
      </c>
      <c r="J119">
        <v>28</v>
      </c>
      <c r="L119">
        <v>15</v>
      </c>
      <c r="M119" t="s">
        <v>351</v>
      </c>
      <c r="N119" s="19">
        <v>45693</v>
      </c>
      <c r="O119" s="19" t="s">
        <v>616</v>
      </c>
    </row>
    <row r="120" spans="1:15" hidden="1" x14ac:dyDescent="0.25">
      <c r="A120">
        <v>119</v>
      </c>
      <c r="B120" t="str">
        <v>31-90</v>
      </c>
      <c r="C120">
        <v>31</v>
      </c>
      <c r="D120">
        <v>2</v>
      </c>
      <c r="E120">
        <v>90</v>
      </c>
      <c r="F120" t="s">
        <v>1038</v>
      </c>
      <c r="G120" t="s">
        <v>542</v>
      </c>
      <c r="I120" s="61">
        <v>91.34</v>
      </c>
      <c r="L120">
        <v>15</v>
      </c>
      <c r="M120" t="s">
        <v>144</v>
      </c>
      <c r="N120" s="19">
        <v>45809</v>
      </c>
      <c r="O120" s="19" t="s">
        <v>616</v>
      </c>
    </row>
    <row r="121" spans="1:15" hidden="1" x14ac:dyDescent="0.25">
      <c r="A121">
        <v>120</v>
      </c>
      <c r="B121" t="str">
        <v>31-91</v>
      </c>
      <c r="C121">
        <v>31</v>
      </c>
      <c r="D121">
        <v>9</v>
      </c>
      <c r="E121">
        <v>91</v>
      </c>
      <c r="F121" t="s">
        <v>1039</v>
      </c>
      <c r="G121" t="s">
        <v>542</v>
      </c>
      <c r="I121" s="61">
        <v>99.647999999999996</v>
      </c>
      <c r="L121">
        <v>15</v>
      </c>
      <c r="M121" t="s">
        <v>144</v>
      </c>
      <c r="N121" s="19">
        <v>45839</v>
      </c>
      <c r="O121" s="19" t="s">
        <v>616</v>
      </c>
    </row>
    <row r="122" spans="1:15" hidden="1" x14ac:dyDescent="0.25">
      <c r="A122">
        <v>121</v>
      </c>
      <c r="B122" t="str">
        <v>31-92</v>
      </c>
      <c r="C122">
        <v>31</v>
      </c>
      <c r="D122">
        <v>2</v>
      </c>
      <c r="E122">
        <v>92</v>
      </c>
      <c r="F122" t="s">
        <v>1040</v>
      </c>
      <c r="G122" t="s">
        <v>544</v>
      </c>
      <c r="I122" s="61">
        <v>5.5359999999999996</v>
      </c>
      <c r="L122">
        <v>15</v>
      </c>
      <c r="M122" t="s">
        <v>144</v>
      </c>
      <c r="N122" s="19">
        <v>45693</v>
      </c>
      <c r="O122" s="19" t="s">
        <v>616</v>
      </c>
    </row>
    <row r="123" spans="1:15" hidden="1" x14ac:dyDescent="0.25">
      <c r="A123">
        <v>122</v>
      </c>
      <c r="B123" t="str">
        <v>31-93</v>
      </c>
      <c r="C123">
        <v>31</v>
      </c>
      <c r="D123">
        <v>2</v>
      </c>
      <c r="E123">
        <v>93</v>
      </c>
      <c r="F123" t="s">
        <v>1041</v>
      </c>
      <c r="G123" t="s">
        <v>543</v>
      </c>
      <c r="I123" s="61">
        <v>55.36</v>
      </c>
      <c r="J123">
        <v>28</v>
      </c>
      <c r="L123">
        <v>15</v>
      </c>
      <c r="M123" t="s">
        <v>144</v>
      </c>
      <c r="N123" s="19">
        <v>45693</v>
      </c>
      <c r="O123" s="19" t="s">
        <v>616</v>
      </c>
    </row>
    <row r="124" spans="1:15" hidden="1" x14ac:dyDescent="0.25">
      <c r="A124">
        <v>123</v>
      </c>
      <c r="B124" t="str">
        <v>31-94</v>
      </c>
      <c r="C124">
        <v>31</v>
      </c>
      <c r="D124">
        <v>14</v>
      </c>
      <c r="E124">
        <v>94</v>
      </c>
      <c r="F124" t="s">
        <v>1042</v>
      </c>
      <c r="G124" t="s">
        <v>543</v>
      </c>
      <c r="I124" s="61">
        <v>55.36</v>
      </c>
      <c r="J124">
        <v>28</v>
      </c>
      <c r="L124">
        <v>15</v>
      </c>
      <c r="M124" t="s">
        <v>129</v>
      </c>
      <c r="N124" s="19">
        <v>45693</v>
      </c>
      <c r="O124" s="19" t="s">
        <v>616</v>
      </c>
    </row>
    <row r="125" spans="1:15" hidden="1" x14ac:dyDescent="0.25">
      <c r="A125">
        <v>124</v>
      </c>
      <c r="B125" t="str">
        <v>31-95</v>
      </c>
      <c r="C125">
        <v>31</v>
      </c>
      <c r="D125">
        <v>14</v>
      </c>
      <c r="E125">
        <v>95</v>
      </c>
      <c r="F125" t="s">
        <v>1043</v>
      </c>
      <c r="G125" t="s">
        <v>544</v>
      </c>
      <c r="I125" s="61">
        <v>5.5359999999999996</v>
      </c>
      <c r="L125">
        <v>15</v>
      </c>
      <c r="M125" t="s">
        <v>129</v>
      </c>
      <c r="N125" s="19">
        <v>45693</v>
      </c>
      <c r="O125" s="19" t="s">
        <v>616</v>
      </c>
    </row>
    <row r="126" spans="1:15" hidden="1" x14ac:dyDescent="0.25">
      <c r="A126">
        <v>125</v>
      </c>
      <c r="B126" t="str">
        <v>31-96</v>
      </c>
      <c r="C126">
        <v>31</v>
      </c>
      <c r="D126">
        <v>2</v>
      </c>
      <c r="E126">
        <v>96</v>
      </c>
      <c r="F126" t="s">
        <v>1044</v>
      </c>
      <c r="G126" t="s">
        <v>544</v>
      </c>
      <c r="I126" s="61">
        <v>5.5359999999999996</v>
      </c>
      <c r="L126">
        <v>15</v>
      </c>
      <c r="M126" t="s">
        <v>142</v>
      </c>
      <c r="N126" s="19">
        <v>45693</v>
      </c>
      <c r="O126" s="19" t="s">
        <v>616</v>
      </c>
    </row>
    <row r="127" spans="1:15" hidden="1" x14ac:dyDescent="0.25">
      <c r="A127">
        <v>126</v>
      </c>
      <c r="B127" t="str">
        <v>31-97</v>
      </c>
      <c r="C127">
        <v>31</v>
      </c>
      <c r="D127">
        <v>2</v>
      </c>
      <c r="E127">
        <v>97</v>
      </c>
      <c r="F127" t="s">
        <v>1045</v>
      </c>
      <c r="G127" t="s">
        <v>543</v>
      </c>
      <c r="I127" s="61">
        <v>55.36</v>
      </c>
      <c r="J127">
        <v>28</v>
      </c>
      <c r="L127">
        <v>15</v>
      </c>
      <c r="M127" t="s">
        <v>142</v>
      </c>
      <c r="N127" s="19">
        <v>45693</v>
      </c>
      <c r="O127" s="19" t="s">
        <v>616</v>
      </c>
    </row>
    <row r="128" spans="1:15" hidden="1" x14ac:dyDescent="0.25">
      <c r="A128">
        <v>127</v>
      </c>
      <c r="B128" t="str">
        <v>31-98</v>
      </c>
      <c r="C128">
        <v>31</v>
      </c>
      <c r="D128">
        <v>13</v>
      </c>
      <c r="E128">
        <v>98</v>
      </c>
      <c r="F128" t="s">
        <v>1046</v>
      </c>
      <c r="G128" t="s">
        <v>542</v>
      </c>
      <c r="I128" s="61">
        <v>99.65</v>
      </c>
      <c r="L128">
        <v>15</v>
      </c>
      <c r="M128" t="s">
        <v>159</v>
      </c>
      <c r="N128" s="19">
        <v>45693</v>
      </c>
      <c r="O128" s="19" t="s">
        <v>616</v>
      </c>
    </row>
    <row r="129" spans="1:15" hidden="1" x14ac:dyDescent="0.25">
      <c r="A129">
        <v>128</v>
      </c>
      <c r="B129" t="str">
        <v>31-99</v>
      </c>
      <c r="C129">
        <v>31</v>
      </c>
      <c r="D129">
        <v>4</v>
      </c>
      <c r="E129">
        <v>99</v>
      </c>
      <c r="F129" t="s">
        <v>1047</v>
      </c>
      <c r="G129" t="s">
        <v>544</v>
      </c>
      <c r="I129" s="61">
        <v>5.5359999999999996</v>
      </c>
      <c r="L129">
        <v>15</v>
      </c>
      <c r="M129" t="s">
        <v>159</v>
      </c>
      <c r="N129" s="19">
        <v>45693</v>
      </c>
      <c r="O129" s="19" t="s">
        <v>616</v>
      </c>
    </row>
    <row r="130" spans="1:15" hidden="1" x14ac:dyDescent="0.25">
      <c r="A130">
        <v>129</v>
      </c>
      <c r="B130" t="str">
        <v>31-100</v>
      </c>
      <c r="C130">
        <v>31</v>
      </c>
      <c r="D130">
        <v>4</v>
      </c>
      <c r="E130">
        <v>100</v>
      </c>
      <c r="F130" t="s">
        <v>1048</v>
      </c>
      <c r="G130" t="s">
        <v>543</v>
      </c>
      <c r="I130" s="61">
        <v>55.36</v>
      </c>
      <c r="J130">
        <v>28</v>
      </c>
      <c r="L130">
        <v>15</v>
      </c>
      <c r="M130" t="s">
        <v>159</v>
      </c>
      <c r="N130" s="19">
        <v>45693</v>
      </c>
      <c r="O130" s="19" t="s">
        <v>616</v>
      </c>
    </row>
    <row r="131" spans="1:15" hidden="1" x14ac:dyDescent="0.25">
      <c r="A131">
        <v>130</v>
      </c>
      <c r="B131" t="str">
        <v>31-101</v>
      </c>
      <c r="C131">
        <v>31</v>
      </c>
      <c r="D131">
        <v>14</v>
      </c>
      <c r="E131">
        <v>101</v>
      </c>
      <c r="F131" t="s">
        <v>1049</v>
      </c>
      <c r="G131" t="s">
        <v>543</v>
      </c>
      <c r="I131" s="61">
        <f>K131/J131</f>
        <v>66.071428571428569</v>
      </c>
      <c r="J131">
        <v>28</v>
      </c>
      <c r="K131" s="101">
        <v>1850</v>
      </c>
      <c r="L131">
        <v>15</v>
      </c>
      <c r="M131" t="s">
        <v>175</v>
      </c>
      <c r="N131" s="19">
        <v>45693</v>
      </c>
      <c r="O131" s="19" t="s">
        <v>616</v>
      </c>
    </row>
    <row r="132" spans="1:15" hidden="1" x14ac:dyDescent="0.25">
      <c r="A132">
        <v>131</v>
      </c>
      <c r="B132" t="str">
        <v>31-102</v>
      </c>
      <c r="C132">
        <v>31</v>
      </c>
      <c r="D132">
        <v>14</v>
      </c>
      <c r="E132">
        <v>102</v>
      </c>
      <c r="F132" t="s">
        <v>1050</v>
      </c>
      <c r="G132" t="s">
        <v>544</v>
      </c>
      <c r="I132" s="61">
        <f>K132/J132/10</f>
        <v>6.6071428571428568</v>
      </c>
      <c r="J132">
        <v>28</v>
      </c>
      <c r="K132" s="101">
        <v>1850</v>
      </c>
      <c r="L132">
        <v>15</v>
      </c>
      <c r="M132" t="s">
        <v>175</v>
      </c>
      <c r="N132" s="19">
        <v>45693</v>
      </c>
      <c r="O132" s="19" t="s">
        <v>616</v>
      </c>
    </row>
    <row r="133" spans="1:15" hidden="1" x14ac:dyDescent="0.25">
      <c r="A133">
        <v>132</v>
      </c>
      <c r="B133" t="str">
        <v>31-103</v>
      </c>
      <c r="C133">
        <v>31</v>
      </c>
      <c r="D133">
        <v>15</v>
      </c>
      <c r="E133">
        <v>103</v>
      </c>
      <c r="F133" t="s">
        <v>1051</v>
      </c>
      <c r="G133" t="s">
        <v>544</v>
      </c>
      <c r="I133" s="61">
        <v>6.25</v>
      </c>
      <c r="L133">
        <v>15</v>
      </c>
      <c r="M133" t="s">
        <v>179</v>
      </c>
      <c r="N133" s="19">
        <v>45693</v>
      </c>
      <c r="O133" s="19" t="s">
        <v>616</v>
      </c>
    </row>
    <row r="134" spans="1:15" hidden="1" x14ac:dyDescent="0.25">
      <c r="A134">
        <v>133</v>
      </c>
      <c r="B134" t="str">
        <v>31-104</v>
      </c>
      <c r="C134">
        <v>31</v>
      </c>
      <c r="D134">
        <v>15</v>
      </c>
      <c r="E134">
        <v>104</v>
      </c>
      <c r="F134" t="s">
        <v>1052</v>
      </c>
      <c r="G134" t="s">
        <v>543</v>
      </c>
      <c r="I134" s="61">
        <v>62.5</v>
      </c>
      <c r="J134">
        <v>28</v>
      </c>
      <c r="L134">
        <v>15</v>
      </c>
      <c r="M134" t="s">
        <v>179</v>
      </c>
      <c r="N134" s="19">
        <v>45693</v>
      </c>
      <c r="O134" s="19" t="s">
        <v>616</v>
      </c>
    </row>
    <row r="135" spans="1:15" hidden="1" x14ac:dyDescent="0.25">
      <c r="A135">
        <v>134</v>
      </c>
      <c r="B135" t="str">
        <v>31-105</v>
      </c>
      <c r="C135">
        <v>31</v>
      </c>
      <c r="D135">
        <v>7</v>
      </c>
      <c r="E135">
        <v>105</v>
      </c>
      <c r="F135" t="s">
        <v>1053</v>
      </c>
      <c r="G135" t="s">
        <v>544</v>
      </c>
      <c r="I135" s="61">
        <v>5.5359999999999996</v>
      </c>
      <c r="L135">
        <v>15</v>
      </c>
      <c r="M135" t="s">
        <v>168</v>
      </c>
      <c r="N135" s="19">
        <v>45693</v>
      </c>
      <c r="O135" s="19" t="s">
        <v>616</v>
      </c>
    </row>
    <row r="136" spans="1:15" hidden="1" x14ac:dyDescent="0.25">
      <c r="A136">
        <v>135</v>
      </c>
      <c r="B136" t="str">
        <v>31-106</v>
      </c>
      <c r="C136">
        <v>31</v>
      </c>
      <c r="D136">
        <v>7</v>
      </c>
      <c r="E136">
        <v>106</v>
      </c>
      <c r="F136" t="s">
        <v>1054</v>
      </c>
      <c r="G136" t="s">
        <v>543</v>
      </c>
      <c r="I136" s="61">
        <v>55.36</v>
      </c>
      <c r="J136">
        <v>28</v>
      </c>
      <c r="L136">
        <v>15</v>
      </c>
      <c r="M136" t="s">
        <v>168</v>
      </c>
      <c r="N136" s="19">
        <v>45693</v>
      </c>
      <c r="O136" s="19" t="s">
        <v>616</v>
      </c>
    </row>
    <row r="137" spans="1:15" hidden="1" x14ac:dyDescent="0.25">
      <c r="A137">
        <v>136</v>
      </c>
      <c r="B137" t="str">
        <v>31-107</v>
      </c>
      <c r="C137">
        <v>31</v>
      </c>
      <c r="D137">
        <v>2</v>
      </c>
      <c r="E137">
        <v>107</v>
      </c>
      <c r="F137" t="s">
        <v>1055</v>
      </c>
      <c r="G137" t="s">
        <v>544</v>
      </c>
      <c r="I137" s="61">
        <v>5.5359999999999996</v>
      </c>
      <c r="L137">
        <v>15</v>
      </c>
      <c r="M137" t="s">
        <v>163</v>
      </c>
      <c r="N137" s="19">
        <v>45693</v>
      </c>
      <c r="O137" s="19" t="s">
        <v>616</v>
      </c>
    </row>
    <row r="138" spans="1:15" hidden="1" x14ac:dyDescent="0.25">
      <c r="A138">
        <v>137</v>
      </c>
      <c r="B138" t="str">
        <v>31-108</v>
      </c>
      <c r="C138">
        <v>31</v>
      </c>
      <c r="D138">
        <v>2</v>
      </c>
      <c r="E138">
        <v>108</v>
      </c>
      <c r="F138" t="s">
        <v>1056</v>
      </c>
      <c r="G138" t="s">
        <v>543</v>
      </c>
      <c r="I138" s="61">
        <v>55.36</v>
      </c>
      <c r="J138">
        <v>28</v>
      </c>
      <c r="L138">
        <v>15</v>
      </c>
      <c r="M138" t="s">
        <v>163</v>
      </c>
      <c r="N138" s="19">
        <v>45693</v>
      </c>
      <c r="O138" s="19" t="s">
        <v>616</v>
      </c>
    </row>
    <row r="139" spans="1:15" hidden="1" x14ac:dyDescent="0.25">
      <c r="A139">
        <v>138</v>
      </c>
      <c r="B139" t="str">
        <v>31-109</v>
      </c>
      <c r="C139">
        <v>31</v>
      </c>
      <c r="D139">
        <v>14</v>
      </c>
      <c r="E139">
        <v>109</v>
      </c>
      <c r="F139" t="s">
        <v>1057</v>
      </c>
      <c r="G139" t="s">
        <v>543</v>
      </c>
      <c r="I139" s="61">
        <v>55.36</v>
      </c>
      <c r="J139">
        <v>28</v>
      </c>
      <c r="L139">
        <v>15</v>
      </c>
      <c r="M139" t="s">
        <v>131</v>
      </c>
      <c r="N139" s="19">
        <v>45693</v>
      </c>
      <c r="O139" s="19" t="s">
        <v>616</v>
      </c>
    </row>
    <row r="140" spans="1:15" hidden="1" x14ac:dyDescent="0.25">
      <c r="A140">
        <v>139</v>
      </c>
      <c r="B140" t="str">
        <v>31-110</v>
      </c>
      <c r="C140">
        <v>31</v>
      </c>
      <c r="D140">
        <v>14</v>
      </c>
      <c r="E140">
        <v>110</v>
      </c>
      <c r="F140" t="s">
        <v>1058</v>
      </c>
      <c r="G140" t="s">
        <v>544</v>
      </c>
      <c r="I140" s="61">
        <v>5.5359999999999996</v>
      </c>
      <c r="L140">
        <v>15</v>
      </c>
      <c r="M140" t="s">
        <v>131</v>
      </c>
      <c r="N140" s="19">
        <v>45693</v>
      </c>
      <c r="O140" s="19" t="s">
        <v>616</v>
      </c>
    </row>
    <row r="141" spans="1:15" hidden="1" x14ac:dyDescent="0.25">
      <c r="A141">
        <v>140</v>
      </c>
      <c r="B141" t="str">
        <v>31-111</v>
      </c>
      <c r="C141">
        <v>31</v>
      </c>
      <c r="D141">
        <v>2</v>
      </c>
      <c r="E141">
        <v>111</v>
      </c>
      <c r="F141" t="s">
        <v>1059</v>
      </c>
      <c r="G141" t="s">
        <v>544</v>
      </c>
      <c r="I141" s="61">
        <v>5.5359999999999996</v>
      </c>
      <c r="L141">
        <v>15</v>
      </c>
      <c r="M141" t="s">
        <v>148</v>
      </c>
      <c r="N141" s="19">
        <v>45693</v>
      </c>
      <c r="O141" s="19" t="s">
        <v>616</v>
      </c>
    </row>
    <row r="142" spans="1:15" hidden="1" x14ac:dyDescent="0.25">
      <c r="A142">
        <v>141</v>
      </c>
      <c r="B142" t="str">
        <v>31-112</v>
      </c>
      <c r="C142">
        <v>31</v>
      </c>
      <c r="D142">
        <v>2</v>
      </c>
      <c r="E142">
        <v>112</v>
      </c>
      <c r="F142" t="s">
        <v>1060</v>
      </c>
      <c r="G142" t="s">
        <v>543</v>
      </c>
      <c r="I142" s="61">
        <v>55.36</v>
      </c>
      <c r="J142">
        <v>28</v>
      </c>
      <c r="L142">
        <v>15</v>
      </c>
      <c r="M142" t="s">
        <v>148</v>
      </c>
      <c r="N142" s="19">
        <v>45693</v>
      </c>
      <c r="O142" s="19" t="s">
        <v>616</v>
      </c>
    </row>
    <row r="143" spans="1:15" hidden="1" x14ac:dyDescent="0.25">
      <c r="A143">
        <v>142</v>
      </c>
      <c r="B143" t="str">
        <v>31-113</v>
      </c>
      <c r="C143">
        <v>31</v>
      </c>
      <c r="D143">
        <v>14</v>
      </c>
      <c r="E143">
        <v>113</v>
      </c>
      <c r="F143" t="s">
        <v>891</v>
      </c>
      <c r="G143" t="s">
        <v>544</v>
      </c>
      <c r="I143" s="61">
        <v>5.8929999999999998</v>
      </c>
      <c r="L143">
        <v>12</v>
      </c>
      <c r="M143" t="s">
        <v>174</v>
      </c>
      <c r="N143" s="19">
        <v>45693</v>
      </c>
      <c r="O143" s="19" t="s">
        <v>616</v>
      </c>
    </row>
    <row r="144" spans="1:15" hidden="1" x14ac:dyDescent="0.25">
      <c r="A144">
        <v>143</v>
      </c>
      <c r="B144" t="str">
        <v>31-114</v>
      </c>
      <c r="C144">
        <v>31</v>
      </c>
      <c r="D144">
        <v>14</v>
      </c>
      <c r="E144">
        <v>114</v>
      </c>
      <c r="F144" t="s">
        <v>895</v>
      </c>
      <c r="G144" t="s">
        <v>543</v>
      </c>
      <c r="I144" s="61">
        <v>58.93</v>
      </c>
      <c r="J144">
        <v>28</v>
      </c>
      <c r="L144">
        <v>12</v>
      </c>
      <c r="M144" t="s">
        <v>174</v>
      </c>
      <c r="N144" s="19">
        <v>45693</v>
      </c>
      <c r="O144" s="19" t="s">
        <v>616</v>
      </c>
    </row>
    <row r="145" spans="1:15" hidden="1" x14ac:dyDescent="0.25">
      <c r="A145">
        <v>144</v>
      </c>
      <c r="B145" t="str">
        <v>31-115</v>
      </c>
      <c r="C145">
        <v>31</v>
      </c>
      <c r="D145">
        <v>2</v>
      </c>
      <c r="E145">
        <v>115</v>
      </c>
      <c r="F145" t="s">
        <v>1061</v>
      </c>
      <c r="G145" t="s">
        <v>544</v>
      </c>
      <c r="I145" s="61">
        <f>K145/J145/10</f>
        <v>5.5357142857142856</v>
      </c>
      <c r="J145">
        <v>28</v>
      </c>
      <c r="K145" s="101">
        <v>1550</v>
      </c>
      <c r="L145">
        <v>15</v>
      </c>
      <c r="M145" t="s">
        <v>164</v>
      </c>
      <c r="N145" s="19">
        <v>45693</v>
      </c>
      <c r="O145" s="19" t="s">
        <v>616</v>
      </c>
    </row>
    <row r="146" spans="1:15" hidden="1" x14ac:dyDescent="0.25">
      <c r="A146">
        <v>145</v>
      </c>
      <c r="B146" t="str">
        <v>31-116</v>
      </c>
      <c r="C146">
        <v>31</v>
      </c>
      <c r="D146">
        <v>2</v>
      </c>
      <c r="E146">
        <v>116</v>
      </c>
      <c r="F146" t="s">
        <v>1062</v>
      </c>
      <c r="G146" t="s">
        <v>543</v>
      </c>
      <c r="I146" s="61">
        <f>K146/J146</f>
        <v>55.357142857142854</v>
      </c>
      <c r="J146">
        <v>28</v>
      </c>
      <c r="K146" s="101">
        <v>1550</v>
      </c>
      <c r="L146">
        <v>15</v>
      </c>
      <c r="M146" t="s">
        <v>164</v>
      </c>
      <c r="N146" s="19">
        <v>45693</v>
      </c>
      <c r="O146" s="19" t="s">
        <v>616</v>
      </c>
    </row>
    <row r="147" spans="1:15" hidden="1" x14ac:dyDescent="0.25">
      <c r="A147">
        <v>146</v>
      </c>
      <c r="B147" t="str">
        <v>31-117</v>
      </c>
      <c r="C147">
        <v>31</v>
      </c>
      <c r="D147">
        <v>8</v>
      </c>
      <c r="E147">
        <v>117</v>
      </c>
      <c r="F147" t="s">
        <v>905</v>
      </c>
      <c r="G147" t="s">
        <v>544</v>
      </c>
      <c r="I147" s="61">
        <v>27.5</v>
      </c>
      <c r="L147">
        <v>15</v>
      </c>
      <c r="M147" t="s">
        <v>160</v>
      </c>
      <c r="N147" s="19">
        <v>45693</v>
      </c>
      <c r="O147" s="19" t="s">
        <v>616</v>
      </c>
    </row>
    <row r="148" spans="1:15" hidden="1" x14ac:dyDescent="0.25">
      <c r="A148">
        <v>147</v>
      </c>
      <c r="B148" t="str">
        <v>31-118</v>
      </c>
      <c r="C148">
        <v>31</v>
      </c>
      <c r="D148">
        <v>8</v>
      </c>
      <c r="E148">
        <v>118</v>
      </c>
      <c r="F148" t="s">
        <v>909</v>
      </c>
      <c r="G148" t="s">
        <v>543</v>
      </c>
      <c r="I148" s="61">
        <v>275</v>
      </c>
      <c r="J148">
        <v>28</v>
      </c>
      <c r="L148">
        <v>15</v>
      </c>
      <c r="M148" t="s">
        <v>160</v>
      </c>
      <c r="N148" s="19">
        <v>45693</v>
      </c>
      <c r="O148" s="19" t="s">
        <v>616</v>
      </c>
    </row>
    <row r="149" spans="1:15" hidden="1" x14ac:dyDescent="0.25">
      <c r="A149">
        <v>148</v>
      </c>
      <c r="B149" t="str">
        <v>31-119</v>
      </c>
      <c r="C149">
        <v>31</v>
      </c>
      <c r="D149">
        <v>16</v>
      </c>
      <c r="E149">
        <v>119</v>
      </c>
      <c r="F149" t="s">
        <v>1063</v>
      </c>
      <c r="G149" t="s">
        <v>543</v>
      </c>
      <c r="I149" s="61">
        <v>62.5</v>
      </c>
      <c r="J149">
        <v>28</v>
      </c>
      <c r="L149">
        <v>15</v>
      </c>
      <c r="M149" t="s">
        <v>352</v>
      </c>
      <c r="N149" s="19">
        <v>45693</v>
      </c>
      <c r="O149" s="19" t="s">
        <v>616</v>
      </c>
    </row>
    <row r="150" spans="1:15" hidden="1" x14ac:dyDescent="0.25">
      <c r="A150">
        <v>149</v>
      </c>
      <c r="B150" t="str">
        <v>31-120</v>
      </c>
      <c r="C150">
        <v>31</v>
      </c>
      <c r="D150">
        <v>16</v>
      </c>
      <c r="E150">
        <v>120</v>
      </c>
      <c r="F150" t="s">
        <v>1064</v>
      </c>
      <c r="G150" t="s">
        <v>544</v>
      </c>
      <c r="I150" s="61">
        <v>6.25</v>
      </c>
      <c r="L150">
        <v>15</v>
      </c>
      <c r="M150" t="s">
        <v>352</v>
      </c>
      <c r="N150" s="19">
        <v>45693</v>
      </c>
      <c r="O150" s="19" t="s">
        <v>616</v>
      </c>
    </row>
    <row r="151" spans="1:15" hidden="1" x14ac:dyDescent="0.25">
      <c r="A151">
        <v>150</v>
      </c>
      <c r="B151" t="str">
        <v>31-121</v>
      </c>
      <c r="C151">
        <v>31</v>
      </c>
      <c r="D151">
        <v>16</v>
      </c>
      <c r="E151">
        <v>121</v>
      </c>
      <c r="F151" t="s">
        <v>1065</v>
      </c>
      <c r="G151" t="s">
        <v>543</v>
      </c>
      <c r="I151" s="61">
        <v>62.5</v>
      </c>
      <c r="J151">
        <v>28</v>
      </c>
      <c r="L151">
        <v>15</v>
      </c>
      <c r="M151" t="s">
        <v>354</v>
      </c>
      <c r="N151" s="19">
        <v>45693</v>
      </c>
      <c r="O151" s="19" t="s">
        <v>616</v>
      </c>
    </row>
    <row r="152" spans="1:15" hidden="1" x14ac:dyDescent="0.25">
      <c r="A152">
        <v>151</v>
      </c>
      <c r="B152" t="str">
        <v>31-122</v>
      </c>
      <c r="C152">
        <v>31</v>
      </c>
      <c r="D152">
        <v>16</v>
      </c>
      <c r="E152">
        <v>122</v>
      </c>
      <c r="F152" t="s">
        <v>1066</v>
      </c>
      <c r="G152" t="s">
        <v>544</v>
      </c>
      <c r="I152" s="61">
        <v>6.25</v>
      </c>
      <c r="L152">
        <v>15</v>
      </c>
      <c r="M152" t="s">
        <v>354</v>
      </c>
      <c r="N152" s="19">
        <v>45693</v>
      </c>
      <c r="O152" s="19" t="s">
        <v>616</v>
      </c>
    </row>
    <row r="153" spans="1:15" hidden="1" x14ac:dyDescent="0.25">
      <c r="A153">
        <v>152</v>
      </c>
      <c r="B153" t="str">
        <v>31-123</v>
      </c>
      <c r="C153">
        <v>31</v>
      </c>
      <c r="D153">
        <v>16</v>
      </c>
      <c r="E153">
        <v>123</v>
      </c>
      <c r="F153" t="s">
        <v>1067</v>
      </c>
      <c r="G153" t="s">
        <v>543</v>
      </c>
      <c r="I153" s="61">
        <v>55.36</v>
      </c>
      <c r="J153">
        <v>28</v>
      </c>
      <c r="L153">
        <v>15</v>
      </c>
      <c r="M153" t="s">
        <v>355</v>
      </c>
      <c r="N153" s="19">
        <v>45693</v>
      </c>
      <c r="O153" s="19" t="s">
        <v>616</v>
      </c>
    </row>
    <row r="154" spans="1:15" hidden="1" x14ac:dyDescent="0.25">
      <c r="A154">
        <v>153</v>
      </c>
      <c r="B154" t="str">
        <v>31-124</v>
      </c>
      <c r="C154">
        <v>31</v>
      </c>
      <c r="D154">
        <v>16</v>
      </c>
      <c r="E154">
        <v>124</v>
      </c>
      <c r="F154" t="s">
        <v>1068</v>
      </c>
      <c r="G154" t="s">
        <v>544</v>
      </c>
      <c r="I154" s="61">
        <v>5.5359999999999996</v>
      </c>
      <c r="L154">
        <v>15</v>
      </c>
      <c r="M154" t="s">
        <v>355</v>
      </c>
      <c r="N154" s="19">
        <v>45693</v>
      </c>
      <c r="O154" s="19" t="s">
        <v>616</v>
      </c>
    </row>
    <row r="155" spans="1:15" hidden="1" x14ac:dyDescent="0.25">
      <c r="A155">
        <v>154</v>
      </c>
      <c r="B155" t="str">
        <v>31-125</v>
      </c>
      <c r="C155">
        <v>31</v>
      </c>
      <c r="D155">
        <v>16</v>
      </c>
      <c r="E155">
        <v>125</v>
      </c>
      <c r="F155" t="s">
        <v>922</v>
      </c>
      <c r="G155" t="s">
        <v>543</v>
      </c>
      <c r="I155" s="61">
        <v>96.43</v>
      </c>
      <c r="J155">
        <v>28</v>
      </c>
      <c r="L155">
        <v>15</v>
      </c>
      <c r="M155" t="s">
        <v>353</v>
      </c>
      <c r="N155" s="19">
        <v>45693</v>
      </c>
      <c r="O155" s="19" t="s">
        <v>616</v>
      </c>
    </row>
    <row r="156" spans="1:15" hidden="1" x14ac:dyDescent="0.25">
      <c r="A156">
        <v>155</v>
      </c>
      <c r="B156" t="str">
        <v>31-126</v>
      </c>
      <c r="C156">
        <v>31</v>
      </c>
      <c r="D156">
        <v>16</v>
      </c>
      <c r="E156">
        <v>126</v>
      </c>
      <c r="F156" t="s">
        <v>924</v>
      </c>
      <c r="G156" t="s">
        <v>544</v>
      </c>
      <c r="I156" s="61">
        <v>9.6430000000000007</v>
      </c>
      <c r="L156">
        <v>15</v>
      </c>
      <c r="M156" t="s">
        <v>353</v>
      </c>
      <c r="N156" s="19">
        <v>45693</v>
      </c>
      <c r="O156" s="19" t="s">
        <v>616</v>
      </c>
    </row>
    <row r="157" spans="1:15" hidden="1" x14ac:dyDescent="0.25">
      <c r="A157">
        <v>156</v>
      </c>
      <c r="B157" t="str">
        <v>31-M-1</v>
      </c>
      <c r="C157">
        <v>31</v>
      </c>
      <c r="D157">
        <v>0</v>
      </c>
      <c r="E157" t="s">
        <v>319</v>
      </c>
      <c r="F157" t="s">
        <v>925</v>
      </c>
      <c r="G157" t="s">
        <v>133</v>
      </c>
      <c r="I157" s="61">
        <v>1</v>
      </c>
      <c r="L157" t="s">
        <v>320</v>
      </c>
      <c r="N157" s="19">
        <v>45693</v>
      </c>
    </row>
    <row r="158" spans="1:15" hidden="1" x14ac:dyDescent="0.25">
      <c r="A158">
        <v>157</v>
      </c>
      <c r="B158" t="str">
        <v>31-R-1</v>
      </c>
      <c r="C158">
        <v>31</v>
      </c>
      <c r="D158">
        <v>0</v>
      </c>
      <c r="E158" t="s">
        <v>315</v>
      </c>
      <c r="F158" t="s">
        <v>623</v>
      </c>
      <c r="G158" t="s">
        <v>133</v>
      </c>
      <c r="I158" s="61">
        <v>-1</v>
      </c>
      <c r="L158" t="s">
        <v>320</v>
      </c>
      <c r="N158" s="19">
        <v>45693</v>
      </c>
    </row>
    <row r="159" spans="1:15" hidden="1" x14ac:dyDescent="0.25">
      <c r="A159">
        <v>158</v>
      </c>
      <c r="B159" t="str">
        <v>31-R-2</v>
      </c>
      <c r="C159">
        <v>31</v>
      </c>
      <c r="D159">
        <v>0</v>
      </c>
      <c r="E159" t="s">
        <v>324</v>
      </c>
      <c r="F159" t="s">
        <v>927</v>
      </c>
      <c r="G159" t="s">
        <v>325</v>
      </c>
      <c r="I159" s="61">
        <v>-1</v>
      </c>
      <c r="N159" s="19">
        <v>45693</v>
      </c>
    </row>
    <row r="160" spans="1:15" hidden="1" x14ac:dyDescent="0.25">
      <c r="A160">
        <v>159</v>
      </c>
      <c r="B160" t="str">
        <v>31-R-3</v>
      </c>
      <c r="C160">
        <v>31</v>
      </c>
      <c r="D160">
        <v>0</v>
      </c>
      <c r="E160" t="s">
        <v>362</v>
      </c>
      <c r="F160" t="s">
        <v>624</v>
      </c>
      <c r="G160" t="s">
        <v>543</v>
      </c>
      <c r="I160" s="61">
        <v>-55.36</v>
      </c>
      <c r="J160">
        <v>28</v>
      </c>
      <c r="N160" s="19">
        <v>45693</v>
      </c>
    </row>
    <row r="161" spans="1:14" hidden="1" x14ac:dyDescent="0.25">
      <c r="A161">
        <v>160</v>
      </c>
      <c r="B161" t="str">
        <v>31-R-4</v>
      </c>
      <c r="C161">
        <v>31</v>
      </c>
      <c r="D161">
        <v>0</v>
      </c>
      <c r="E161" t="s">
        <v>363</v>
      </c>
      <c r="F161" t="s">
        <v>625</v>
      </c>
      <c r="G161" t="s">
        <v>544</v>
      </c>
      <c r="I161" s="61">
        <v>-5.5359999999999996</v>
      </c>
      <c r="N161" s="19">
        <v>45693</v>
      </c>
    </row>
    <row r="162" spans="1:14" hidden="1" x14ac:dyDescent="0.25">
      <c r="A162">
        <v>161</v>
      </c>
      <c r="B162" t="str">
        <v>33-1</v>
      </c>
      <c r="C162">
        <v>33</v>
      </c>
      <c r="D162">
        <v>0</v>
      </c>
      <c r="E162">
        <v>1</v>
      </c>
      <c r="F162" t="s">
        <v>930</v>
      </c>
      <c r="G162" t="s">
        <v>445</v>
      </c>
      <c r="I162" s="61">
        <v>1.5</v>
      </c>
      <c r="N162" s="19">
        <v>45658</v>
      </c>
    </row>
    <row r="163" spans="1:14" hidden="1" x14ac:dyDescent="0.25">
      <c r="A163">
        <v>162</v>
      </c>
      <c r="B163" t="str">
        <v>33-2</v>
      </c>
      <c r="C163">
        <v>33</v>
      </c>
      <c r="D163">
        <v>0</v>
      </c>
      <c r="E163">
        <v>2</v>
      </c>
      <c r="F163" t="s">
        <v>931</v>
      </c>
      <c r="G163" t="s">
        <v>445</v>
      </c>
      <c r="I163" s="61">
        <v>4.7</v>
      </c>
      <c r="N163" s="19">
        <v>45658</v>
      </c>
    </row>
    <row r="164" spans="1:14" hidden="1" x14ac:dyDescent="0.25">
      <c r="A164">
        <v>163</v>
      </c>
      <c r="B164" t="str">
        <v>33-3</v>
      </c>
      <c r="C164">
        <v>33</v>
      </c>
      <c r="D164">
        <v>0</v>
      </c>
      <c r="E164">
        <v>3</v>
      </c>
      <c r="F164" t="s">
        <v>932</v>
      </c>
      <c r="G164" t="s">
        <v>445</v>
      </c>
      <c r="I164" s="61">
        <v>4.7</v>
      </c>
      <c r="N164" s="19">
        <v>45658</v>
      </c>
    </row>
    <row r="165" spans="1:14" hidden="1" x14ac:dyDescent="0.25">
      <c r="A165">
        <v>164</v>
      </c>
      <c r="B165" t="str">
        <v>33-4</v>
      </c>
      <c r="C165">
        <v>33</v>
      </c>
      <c r="D165">
        <v>0</v>
      </c>
      <c r="E165">
        <v>4</v>
      </c>
      <c r="F165" t="s">
        <v>933</v>
      </c>
      <c r="G165" t="s">
        <v>445</v>
      </c>
      <c r="I165" s="61">
        <v>4.7</v>
      </c>
      <c r="N165" s="19">
        <v>45658</v>
      </c>
    </row>
    <row r="166" spans="1:14" hidden="1" x14ac:dyDescent="0.25">
      <c r="A166">
        <v>165</v>
      </c>
      <c r="B166" t="str">
        <v>33-5</v>
      </c>
      <c r="C166">
        <v>33</v>
      </c>
      <c r="D166">
        <v>0</v>
      </c>
      <c r="E166">
        <v>5</v>
      </c>
      <c r="F166" t="s">
        <v>934</v>
      </c>
      <c r="G166" t="s">
        <v>445</v>
      </c>
      <c r="I166" s="61">
        <v>3.85</v>
      </c>
      <c r="N166" s="19">
        <v>45658</v>
      </c>
    </row>
    <row r="167" spans="1:14" hidden="1" x14ac:dyDescent="0.25">
      <c r="A167">
        <v>166</v>
      </c>
      <c r="B167" t="str">
        <v>33-6</v>
      </c>
      <c r="C167">
        <v>33</v>
      </c>
      <c r="D167">
        <v>0</v>
      </c>
      <c r="E167">
        <v>6</v>
      </c>
      <c r="F167" t="s">
        <v>935</v>
      </c>
      <c r="G167" t="s">
        <v>445</v>
      </c>
      <c r="I167" s="61">
        <v>1.5</v>
      </c>
      <c r="N167" s="19">
        <v>45658</v>
      </c>
    </row>
    <row r="168" spans="1:14" hidden="1" x14ac:dyDescent="0.25">
      <c r="A168">
        <v>167</v>
      </c>
      <c r="B168" t="str">
        <v>33-7</v>
      </c>
      <c r="C168">
        <v>33</v>
      </c>
      <c r="D168">
        <v>0</v>
      </c>
      <c r="E168">
        <v>7</v>
      </c>
      <c r="F168" t="s">
        <v>936</v>
      </c>
      <c r="G168" t="s">
        <v>445</v>
      </c>
      <c r="I168" s="61">
        <v>1.45</v>
      </c>
      <c r="N168" s="19">
        <v>45689</v>
      </c>
    </row>
    <row r="169" spans="1:14" hidden="1" x14ac:dyDescent="0.25">
      <c r="A169">
        <v>168</v>
      </c>
      <c r="B169" t="str">
        <v>33-8</v>
      </c>
      <c r="C169">
        <v>33</v>
      </c>
      <c r="D169">
        <v>0</v>
      </c>
      <c r="E169">
        <v>8</v>
      </c>
      <c r="F169" t="s">
        <v>937</v>
      </c>
      <c r="G169" t="s">
        <v>445</v>
      </c>
      <c r="I169" s="61">
        <v>4.2</v>
      </c>
      <c r="N169" s="19">
        <v>45689</v>
      </c>
    </row>
    <row r="170" spans="1:14" hidden="1" x14ac:dyDescent="0.25">
      <c r="A170">
        <v>169</v>
      </c>
      <c r="B170" t="str">
        <v>33-9</v>
      </c>
      <c r="C170">
        <v>33</v>
      </c>
      <c r="D170">
        <v>0</v>
      </c>
      <c r="E170">
        <v>9</v>
      </c>
      <c r="F170" t="s">
        <v>938</v>
      </c>
      <c r="G170" t="s">
        <v>445</v>
      </c>
      <c r="I170" s="61">
        <v>4.2</v>
      </c>
      <c r="N170" s="19">
        <v>45689</v>
      </c>
    </row>
    <row r="171" spans="1:14" hidden="1" x14ac:dyDescent="0.25">
      <c r="A171">
        <v>170</v>
      </c>
      <c r="B171" t="str">
        <v>33-10</v>
      </c>
      <c r="C171">
        <v>33</v>
      </c>
      <c r="D171">
        <v>0</v>
      </c>
      <c r="E171">
        <v>10</v>
      </c>
      <c r="F171" t="s">
        <v>939</v>
      </c>
      <c r="G171" t="s">
        <v>445</v>
      </c>
      <c r="I171" s="61">
        <v>4.2</v>
      </c>
      <c r="N171" s="19">
        <v>45778</v>
      </c>
    </row>
    <row r="172" spans="1:14" hidden="1" x14ac:dyDescent="0.25">
      <c r="A172">
        <v>171</v>
      </c>
      <c r="B172" t="str">
        <v>33-11</v>
      </c>
      <c r="C172">
        <v>33</v>
      </c>
      <c r="D172">
        <v>0</v>
      </c>
      <c r="E172">
        <v>11</v>
      </c>
      <c r="F172" t="s">
        <v>940</v>
      </c>
      <c r="G172" t="s">
        <v>445</v>
      </c>
      <c r="I172" s="61">
        <v>3.5</v>
      </c>
      <c r="N172" s="19">
        <v>45689</v>
      </c>
    </row>
    <row r="173" spans="1:14" hidden="1" x14ac:dyDescent="0.25">
      <c r="A173">
        <v>172</v>
      </c>
      <c r="B173" t="str">
        <v>33-12</v>
      </c>
      <c r="C173">
        <v>33</v>
      </c>
      <c r="D173">
        <v>1</v>
      </c>
      <c r="E173">
        <v>12</v>
      </c>
      <c r="F173" t="s">
        <v>941</v>
      </c>
      <c r="G173" t="s">
        <v>445</v>
      </c>
      <c r="I173" s="61">
        <v>1.56</v>
      </c>
      <c r="N173" s="19">
        <v>45778</v>
      </c>
    </row>
    <row r="174" spans="1:14" hidden="1" x14ac:dyDescent="0.25">
      <c r="A174">
        <v>173</v>
      </c>
      <c r="B174" t="str">
        <v>33-13</v>
      </c>
      <c r="C174">
        <v>33</v>
      </c>
      <c r="D174">
        <v>1</v>
      </c>
      <c r="E174">
        <v>13</v>
      </c>
      <c r="F174" t="s">
        <v>942</v>
      </c>
      <c r="G174" t="s">
        <v>445</v>
      </c>
      <c r="I174" s="61">
        <v>4.53</v>
      </c>
      <c r="N174" s="19">
        <v>45778</v>
      </c>
    </row>
    <row r="175" spans="1:14" hidden="1" x14ac:dyDescent="0.25">
      <c r="A175">
        <v>174</v>
      </c>
      <c r="B175" t="str">
        <v>33-14</v>
      </c>
      <c r="C175">
        <v>33</v>
      </c>
      <c r="D175">
        <v>1</v>
      </c>
      <c r="E175">
        <v>14</v>
      </c>
      <c r="F175" t="s">
        <v>943</v>
      </c>
      <c r="G175" t="s">
        <v>445</v>
      </c>
      <c r="I175" s="61">
        <v>4.53</v>
      </c>
      <c r="N175" s="19">
        <v>45778</v>
      </c>
    </row>
    <row r="176" spans="1:14" hidden="1" x14ac:dyDescent="0.25">
      <c r="A176">
        <v>175</v>
      </c>
      <c r="B176" t="str">
        <v>33-15</v>
      </c>
      <c r="C176">
        <v>33</v>
      </c>
      <c r="D176">
        <v>1</v>
      </c>
      <c r="E176">
        <v>15</v>
      </c>
      <c r="F176" t="s">
        <v>944</v>
      </c>
      <c r="G176" t="s">
        <v>445</v>
      </c>
      <c r="I176" s="61">
        <v>4.53</v>
      </c>
      <c r="N176" s="19">
        <v>45778</v>
      </c>
    </row>
    <row r="177" spans="1:15" hidden="1" x14ac:dyDescent="0.25">
      <c r="A177">
        <v>176</v>
      </c>
      <c r="B177" t="str">
        <v>33-16</v>
      </c>
      <c r="C177">
        <v>33</v>
      </c>
      <c r="D177">
        <v>1</v>
      </c>
      <c r="E177">
        <v>16</v>
      </c>
      <c r="F177" t="s">
        <v>945</v>
      </c>
      <c r="G177" t="s">
        <v>445</v>
      </c>
      <c r="I177" s="61">
        <v>3.77</v>
      </c>
      <c r="N177" s="19">
        <v>45778</v>
      </c>
    </row>
    <row r="178" spans="1:15" hidden="1" x14ac:dyDescent="0.25">
      <c r="A178">
        <v>177</v>
      </c>
      <c r="B178" t="str">
        <v>33-R-1</v>
      </c>
      <c r="C178">
        <v>33</v>
      </c>
      <c r="D178">
        <v>0</v>
      </c>
      <c r="E178" t="s">
        <v>315</v>
      </c>
      <c r="F178" t="s">
        <v>619</v>
      </c>
      <c r="G178" t="s">
        <v>450</v>
      </c>
      <c r="I178" s="61">
        <v>-80</v>
      </c>
      <c r="N178" s="19">
        <v>45658</v>
      </c>
    </row>
    <row r="179" spans="1:15" hidden="1" x14ac:dyDescent="0.25">
      <c r="A179">
        <v>178</v>
      </c>
      <c r="B179" t="str">
        <v>33-R-2</v>
      </c>
      <c r="C179">
        <v>33</v>
      </c>
      <c r="D179">
        <v>0</v>
      </c>
      <c r="E179" t="s">
        <v>324</v>
      </c>
      <c r="F179" t="s">
        <v>620</v>
      </c>
      <c r="G179" t="s">
        <v>450</v>
      </c>
      <c r="I179" s="61">
        <v>-80</v>
      </c>
      <c r="N179" s="19">
        <v>45658</v>
      </c>
    </row>
    <row r="180" spans="1:15" hidden="1" x14ac:dyDescent="0.25">
      <c r="A180">
        <v>179</v>
      </c>
      <c r="B180" t="str">
        <v>33-R-3</v>
      </c>
      <c r="C180">
        <v>33</v>
      </c>
      <c r="D180">
        <v>0</v>
      </c>
      <c r="E180" t="s">
        <v>362</v>
      </c>
      <c r="F180" t="s">
        <v>621</v>
      </c>
      <c r="G180" t="s">
        <v>456</v>
      </c>
      <c r="I180" s="61">
        <v>-680</v>
      </c>
      <c r="N180" s="19">
        <v>45658</v>
      </c>
    </row>
    <row r="181" spans="1:15" hidden="1" x14ac:dyDescent="0.25">
      <c r="A181">
        <v>180</v>
      </c>
      <c r="B181" t="str">
        <v>33-R-4</v>
      </c>
      <c r="C181">
        <v>33</v>
      </c>
      <c r="D181">
        <v>0</v>
      </c>
      <c r="E181" t="s">
        <v>363</v>
      </c>
      <c r="F181" t="s">
        <v>622</v>
      </c>
      <c r="G181" t="s">
        <v>456</v>
      </c>
      <c r="I181" s="61">
        <v>-1</v>
      </c>
      <c r="N181" s="19">
        <v>45658</v>
      </c>
    </row>
    <row r="182" spans="1:15" hidden="1" x14ac:dyDescent="0.25">
      <c r="A182">
        <v>181</v>
      </c>
      <c r="B182" t="str">
        <v>46-1</v>
      </c>
      <c r="C182">
        <v>46</v>
      </c>
      <c r="D182">
        <v>5</v>
      </c>
      <c r="E182">
        <v>1</v>
      </c>
      <c r="F182" t="s">
        <v>948</v>
      </c>
      <c r="G182" t="s">
        <v>543</v>
      </c>
      <c r="I182" s="61">
        <f>K182/J182</f>
        <v>214.28571428571428</v>
      </c>
      <c r="J182">
        <v>28</v>
      </c>
      <c r="K182">
        <v>6000</v>
      </c>
      <c r="L182" t="s">
        <v>320</v>
      </c>
      <c r="M182" t="s">
        <v>313</v>
      </c>
      <c r="N182" s="19">
        <v>45778</v>
      </c>
      <c r="O182" s="19" t="s">
        <v>627</v>
      </c>
    </row>
    <row r="183" spans="1:15" hidden="1" x14ac:dyDescent="0.25">
      <c r="A183">
        <v>182</v>
      </c>
      <c r="B183" t="str">
        <v>46-2</v>
      </c>
      <c r="C183">
        <v>46</v>
      </c>
      <c r="D183">
        <v>5</v>
      </c>
      <c r="E183">
        <v>2</v>
      </c>
      <c r="F183" t="s">
        <v>950</v>
      </c>
      <c r="G183" t="s">
        <v>542</v>
      </c>
      <c r="I183" s="61">
        <v>385.71444000000002</v>
      </c>
      <c r="L183" t="s">
        <v>320</v>
      </c>
      <c r="M183" t="s">
        <v>313</v>
      </c>
      <c r="N183" s="19">
        <v>45778</v>
      </c>
      <c r="O183" s="19" t="s">
        <v>627</v>
      </c>
    </row>
    <row r="184" spans="1:15" hidden="1" x14ac:dyDescent="0.25">
      <c r="A184">
        <v>183</v>
      </c>
      <c r="B184" t="str">
        <v>46-3</v>
      </c>
      <c r="C184">
        <v>46</v>
      </c>
      <c r="D184">
        <v>5</v>
      </c>
      <c r="E184">
        <v>3</v>
      </c>
      <c r="F184" t="s">
        <v>951</v>
      </c>
      <c r="G184" t="s">
        <v>544</v>
      </c>
      <c r="I184" s="61">
        <v>21.42858</v>
      </c>
      <c r="L184" t="s">
        <v>320</v>
      </c>
      <c r="M184" t="s">
        <v>313</v>
      </c>
      <c r="N184" s="19">
        <v>45778</v>
      </c>
      <c r="O184" s="19" t="s">
        <v>627</v>
      </c>
    </row>
    <row r="185" spans="1:15" hidden="1" x14ac:dyDescent="0.25">
      <c r="A185">
        <v>184</v>
      </c>
      <c r="B185" t="str">
        <v>46-4</v>
      </c>
      <c r="C185">
        <v>46</v>
      </c>
      <c r="D185">
        <v>2</v>
      </c>
      <c r="E185">
        <v>4</v>
      </c>
      <c r="F185" t="s">
        <v>952</v>
      </c>
      <c r="G185" t="s">
        <v>543</v>
      </c>
      <c r="I185" s="61">
        <f>K185/J185</f>
        <v>446.42857142857144</v>
      </c>
      <c r="J185">
        <v>28</v>
      </c>
      <c r="K185">
        <v>12500</v>
      </c>
      <c r="L185" t="s">
        <v>320</v>
      </c>
      <c r="M185" s="99" t="s">
        <v>457</v>
      </c>
      <c r="N185" s="19">
        <v>45778</v>
      </c>
      <c r="O185" s="19" t="s">
        <v>627</v>
      </c>
    </row>
    <row r="186" spans="1:15" hidden="1" x14ac:dyDescent="0.25">
      <c r="A186">
        <v>185</v>
      </c>
      <c r="B186" t="str">
        <v>46-5</v>
      </c>
      <c r="C186">
        <v>46</v>
      </c>
      <c r="D186">
        <v>2</v>
      </c>
      <c r="E186">
        <v>5</v>
      </c>
      <c r="F186" t="s">
        <v>953</v>
      </c>
      <c r="G186" t="s">
        <v>542</v>
      </c>
      <c r="I186" s="61">
        <v>803.57147999999995</v>
      </c>
      <c r="L186" t="s">
        <v>320</v>
      </c>
      <c r="M186" t="s">
        <v>457</v>
      </c>
      <c r="N186" s="19">
        <v>45778</v>
      </c>
      <c r="O186" s="19" t="s">
        <v>627</v>
      </c>
    </row>
    <row r="187" spans="1:15" hidden="1" x14ac:dyDescent="0.25">
      <c r="A187">
        <v>186</v>
      </c>
      <c r="B187" t="str">
        <v>46-6</v>
      </c>
      <c r="C187">
        <v>46</v>
      </c>
      <c r="D187">
        <v>2</v>
      </c>
      <c r="E187">
        <v>6</v>
      </c>
      <c r="F187" t="s">
        <v>954</v>
      </c>
      <c r="G187" t="s">
        <v>544</v>
      </c>
      <c r="I187" s="61">
        <v>44.642859999999999</v>
      </c>
      <c r="L187" t="s">
        <v>320</v>
      </c>
      <c r="M187" t="s">
        <v>457</v>
      </c>
      <c r="N187" s="19">
        <v>45778</v>
      </c>
      <c r="O187" s="19" t="s">
        <v>627</v>
      </c>
    </row>
    <row r="188" spans="1:15" hidden="1" x14ac:dyDescent="0.25">
      <c r="A188">
        <v>187</v>
      </c>
      <c r="B188" t="str">
        <v>46-7</v>
      </c>
      <c r="C188">
        <v>46</v>
      </c>
      <c r="D188">
        <v>7</v>
      </c>
      <c r="E188">
        <v>7</v>
      </c>
      <c r="F188" t="s">
        <v>956</v>
      </c>
      <c r="G188" t="s">
        <v>543</v>
      </c>
      <c r="I188" s="61">
        <f>K188/J188</f>
        <v>214.28571428571428</v>
      </c>
      <c r="J188">
        <v>28</v>
      </c>
      <c r="K188">
        <v>6000</v>
      </c>
      <c r="L188" t="s">
        <v>320</v>
      </c>
      <c r="M188" t="s">
        <v>314</v>
      </c>
      <c r="N188" s="19">
        <v>45778</v>
      </c>
      <c r="O188" s="19" t="s">
        <v>627</v>
      </c>
    </row>
    <row r="189" spans="1:15" hidden="1" x14ac:dyDescent="0.25">
      <c r="A189">
        <v>188</v>
      </c>
      <c r="B189" t="str">
        <v>46-8</v>
      </c>
      <c r="C189">
        <v>46</v>
      </c>
      <c r="D189">
        <v>7</v>
      </c>
      <c r="E189">
        <v>8</v>
      </c>
      <c r="F189" t="s">
        <v>957</v>
      </c>
      <c r="G189" t="s">
        <v>542</v>
      </c>
      <c r="I189" s="61">
        <v>385.71444000000002</v>
      </c>
      <c r="L189" t="s">
        <v>320</v>
      </c>
      <c r="M189" t="s">
        <v>314</v>
      </c>
      <c r="N189" s="19">
        <v>45778</v>
      </c>
      <c r="O189" s="19" t="s">
        <v>627</v>
      </c>
    </row>
    <row r="190" spans="1:15" hidden="1" x14ac:dyDescent="0.25">
      <c r="A190">
        <v>189</v>
      </c>
      <c r="B190" t="str">
        <v>46-9</v>
      </c>
      <c r="C190">
        <v>46</v>
      </c>
      <c r="D190">
        <v>7</v>
      </c>
      <c r="E190">
        <v>9</v>
      </c>
      <c r="F190" t="s">
        <v>960</v>
      </c>
      <c r="G190" t="s">
        <v>544</v>
      </c>
      <c r="I190" s="61">
        <v>21.42858</v>
      </c>
      <c r="L190" t="s">
        <v>320</v>
      </c>
      <c r="M190" t="s">
        <v>314</v>
      </c>
      <c r="N190" s="19">
        <v>45778</v>
      </c>
      <c r="O190" s="19" t="s">
        <v>627</v>
      </c>
    </row>
    <row r="191" spans="1:15" hidden="1" x14ac:dyDescent="0.25">
      <c r="A191">
        <v>190</v>
      </c>
      <c r="B191" t="str">
        <v>46-10</v>
      </c>
      <c r="C191">
        <v>46</v>
      </c>
      <c r="D191">
        <v>8</v>
      </c>
      <c r="E191">
        <v>10</v>
      </c>
      <c r="F191" t="s">
        <v>962</v>
      </c>
      <c r="G191" t="s">
        <v>543</v>
      </c>
      <c r="I191" s="61">
        <v>185.71430000000001</v>
      </c>
      <c r="J191">
        <v>28</v>
      </c>
      <c r="K191">
        <v>5200</v>
      </c>
      <c r="L191" t="s">
        <v>320</v>
      </c>
      <c r="M191" t="s">
        <v>458</v>
      </c>
      <c r="N191" s="19">
        <v>45778</v>
      </c>
      <c r="O191" s="19" t="s">
        <v>627</v>
      </c>
    </row>
    <row r="192" spans="1:15" hidden="1" x14ac:dyDescent="0.25">
      <c r="A192">
        <v>191</v>
      </c>
      <c r="B192" t="str">
        <v>46-11</v>
      </c>
      <c r="C192">
        <v>46</v>
      </c>
      <c r="D192">
        <v>8</v>
      </c>
      <c r="E192">
        <v>11</v>
      </c>
      <c r="F192" t="s">
        <v>964</v>
      </c>
      <c r="G192" t="s">
        <v>542</v>
      </c>
      <c r="I192" s="61">
        <v>334.28574000000003</v>
      </c>
      <c r="L192" t="s">
        <v>320</v>
      </c>
      <c r="M192" t="s">
        <v>458</v>
      </c>
      <c r="N192" s="19">
        <v>45778</v>
      </c>
      <c r="O192" s="19" t="s">
        <v>627</v>
      </c>
    </row>
    <row r="193" spans="1:15" hidden="1" x14ac:dyDescent="0.25">
      <c r="A193">
        <v>192</v>
      </c>
      <c r="B193" t="str">
        <v>46-12</v>
      </c>
      <c r="C193">
        <v>46</v>
      </c>
      <c r="D193">
        <v>8</v>
      </c>
      <c r="E193">
        <v>12</v>
      </c>
      <c r="F193" t="s">
        <v>966</v>
      </c>
      <c r="G193" t="s">
        <v>544</v>
      </c>
      <c r="I193" s="61">
        <v>18.571429999999999</v>
      </c>
      <c r="L193" t="s">
        <v>320</v>
      </c>
      <c r="M193" t="s">
        <v>458</v>
      </c>
      <c r="N193" s="19">
        <v>45778</v>
      </c>
      <c r="O193" s="19" t="s">
        <v>627</v>
      </c>
    </row>
    <row r="194" spans="1:15" hidden="1" x14ac:dyDescent="0.25">
      <c r="A194">
        <v>193</v>
      </c>
      <c r="B194" t="str">
        <v>50-1</v>
      </c>
      <c r="C194">
        <v>50</v>
      </c>
      <c r="D194">
        <v>0</v>
      </c>
      <c r="E194">
        <v>1</v>
      </c>
      <c r="F194" t="s">
        <v>968</v>
      </c>
      <c r="G194" t="s">
        <v>543</v>
      </c>
      <c r="I194" s="61">
        <f>K194/J194</f>
        <v>357.14285714285717</v>
      </c>
      <c r="J194">
        <v>28</v>
      </c>
      <c r="K194">
        <v>10000</v>
      </c>
      <c r="M194" t="s">
        <v>460</v>
      </c>
      <c r="N194" s="19">
        <v>45748</v>
      </c>
      <c r="O194" s="19" t="s">
        <v>627</v>
      </c>
    </row>
    <row r="195" spans="1:15" hidden="1" x14ac:dyDescent="0.25">
      <c r="A195">
        <v>194</v>
      </c>
      <c r="B195" t="str">
        <v>50-2</v>
      </c>
      <c r="C195">
        <v>50</v>
      </c>
      <c r="D195">
        <v>0</v>
      </c>
      <c r="E195">
        <v>2</v>
      </c>
      <c r="F195" t="s">
        <v>970</v>
      </c>
      <c r="G195" t="s">
        <v>542</v>
      </c>
      <c r="I195" s="61">
        <f>K195/J195</f>
        <v>678.57142857142856</v>
      </c>
      <c r="J195">
        <v>28</v>
      </c>
      <c r="K195">
        <v>19000</v>
      </c>
      <c r="M195" t="s">
        <v>460</v>
      </c>
      <c r="N195" s="19">
        <v>45748</v>
      </c>
      <c r="O195" s="19" t="s">
        <v>627</v>
      </c>
    </row>
    <row r="196" spans="1:15" hidden="1" x14ac:dyDescent="0.25">
      <c r="A196">
        <v>195</v>
      </c>
      <c r="B196" t="str">
        <v>51-1</v>
      </c>
      <c r="C196">
        <v>51</v>
      </c>
      <c r="D196">
        <v>0</v>
      </c>
      <c r="E196">
        <v>1</v>
      </c>
      <c r="F196" t="s">
        <v>971</v>
      </c>
      <c r="G196" t="s">
        <v>543</v>
      </c>
      <c r="I196" s="61">
        <v>225</v>
      </c>
      <c r="M196" t="s">
        <v>465</v>
      </c>
      <c r="N196" s="19">
        <v>45761</v>
      </c>
      <c r="O196" s="19" t="s">
        <v>628</v>
      </c>
    </row>
    <row r="197" spans="1:15" hidden="1" x14ac:dyDescent="0.25">
      <c r="A197">
        <v>196</v>
      </c>
      <c r="B197" t="str">
        <v>51-2</v>
      </c>
      <c r="C197">
        <v>51</v>
      </c>
      <c r="D197">
        <v>0</v>
      </c>
      <c r="E197">
        <v>2</v>
      </c>
      <c r="F197" t="s">
        <v>972</v>
      </c>
      <c r="G197" t="s">
        <v>544</v>
      </c>
      <c r="I197" s="61">
        <v>25</v>
      </c>
      <c r="M197" t="s">
        <v>465</v>
      </c>
      <c r="N197" s="19">
        <v>45761</v>
      </c>
      <c r="O197" s="19" t="s">
        <v>628</v>
      </c>
    </row>
    <row r="198" spans="1:15" hidden="1" x14ac:dyDescent="0.25">
      <c r="A198">
        <v>197</v>
      </c>
      <c r="B198" t="str">
        <v>51-3</v>
      </c>
      <c r="C198">
        <v>51</v>
      </c>
      <c r="D198">
        <v>2</v>
      </c>
      <c r="E198">
        <v>3</v>
      </c>
      <c r="F198" t="s">
        <v>973</v>
      </c>
      <c r="G198" t="s">
        <v>543</v>
      </c>
      <c r="I198" s="61">
        <v>235.71</v>
      </c>
      <c r="M198" t="s">
        <v>468</v>
      </c>
      <c r="N198" s="19">
        <v>45761</v>
      </c>
      <c r="O198" s="19" t="s">
        <v>628</v>
      </c>
    </row>
    <row r="199" spans="1:15" hidden="1" x14ac:dyDescent="0.25">
      <c r="A199">
        <v>198</v>
      </c>
      <c r="B199" t="str">
        <v>51-4</v>
      </c>
      <c r="C199">
        <v>51</v>
      </c>
      <c r="D199">
        <v>2</v>
      </c>
      <c r="E199">
        <v>4</v>
      </c>
      <c r="F199" t="s">
        <v>974</v>
      </c>
      <c r="G199" t="s">
        <v>544</v>
      </c>
      <c r="I199" s="61">
        <v>26.071000000000002</v>
      </c>
      <c r="M199" t="s">
        <v>468</v>
      </c>
      <c r="N199" s="19">
        <v>45761</v>
      </c>
      <c r="O199" s="19" t="s">
        <v>628</v>
      </c>
    </row>
    <row r="200" spans="1:15" hidden="1" x14ac:dyDescent="0.25">
      <c r="A200">
        <v>199</v>
      </c>
      <c r="B200" t="str">
        <v>52-1</v>
      </c>
      <c r="C200">
        <v>52</v>
      </c>
      <c r="D200">
        <v>1</v>
      </c>
      <c r="E200">
        <v>1</v>
      </c>
      <c r="F200" t="s">
        <v>975</v>
      </c>
      <c r="G200" t="s">
        <v>543</v>
      </c>
      <c r="I200" s="61">
        <v>375</v>
      </c>
      <c r="M200" t="s">
        <v>471</v>
      </c>
      <c r="N200" s="19">
        <v>45748</v>
      </c>
      <c r="O200" s="19" t="s">
        <v>633</v>
      </c>
    </row>
    <row r="201" spans="1:15" hidden="1" x14ac:dyDescent="0.25">
      <c r="A201">
        <v>200</v>
      </c>
      <c r="B201" t="str">
        <v>52-2</v>
      </c>
      <c r="C201">
        <v>52</v>
      </c>
      <c r="D201">
        <v>1</v>
      </c>
      <c r="E201">
        <v>2</v>
      </c>
      <c r="F201" t="s">
        <v>977</v>
      </c>
      <c r="G201" t="s">
        <v>544</v>
      </c>
      <c r="I201" s="61">
        <v>37.5</v>
      </c>
      <c r="M201" t="s">
        <v>471</v>
      </c>
      <c r="N201" s="19">
        <v>45748</v>
      </c>
      <c r="O201" s="19" t="s">
        <v>633</v>
      </c>
    </row>
    <row r="202" spans="1:15" hidden="1" x14ac:dyDescent="0.25">
      <c r="A202">
        <v>201</v>
      </c>
      <c r="B202" t="str">
        <v>52-3</v>
      </c>
      <c r="C202">
        <v>52</v>
      </c>
      <c r="D202">
        <v>1</v>
      </c>
      <c r="E202">
        <v>3</v>
      </c>
      <c r="F202" t="s">
        <v>820</v>
      </c>
      <c r="G202" t="s">
        <v>543</v>
      </c>
      <c r="I202" s="61">
        <v>357.14</v>
      </c>
      <c r="M202" t="s">
        <v>474</v>
      </c>
      <c r="N202" s="19">
        <v>45762</v>
      </c>
      <c r="O202" s="19" t="s">
        <v>633</v>
      </c>
    </row>
    <row r="203" spans="1:15" hidden="1" x14ac:dyDescent="0.25">
      <c r="A203">
        <v>202</v>
      </c>
      <c r="B203" t="str">
        <v>65-1</v>
      </c>
      <c r="C203">
        <v>65</v>
      </c>
      <c r="D203">
        <v>0</v>
      </c>
      <c r="E203">
        <v>1</v>
      </c>
      <c r="F203" t="s">
        <v>823</v>
      </c>
      <c r="G203" t="s">
        <v>543</v>
      </c>
      <c r="I203" s="61">
        <f>K203/J203</f>
        <v>196.42857142857142</v>
      </c>
      <c r="J203">
        <v>28</v>
      </c>
      <c r="K203">
        <v>5500</v>
      </c>
      <c r="M203" t="s">
        <v>477</v>
      </c>
      <c r="N203" s="19">
        <v>45778</v>
      </c>
      <c r="O203" s="19" t="s">
        <v>627</v>
      </c>
    </row>
    <row r="204" spans="1:15" hidden="1" x14ac:dyDescent="0.25">
      <c r="A204">
        <v>203</v>
      </c>
      <c r="B204" t="str">
        <v>65-2</v>
      </c>
      <c r="C204">
        <v>65</v>
      </c>
      <c r="D204">
        <v>0</v>
      </c>
      <c r="E204">
        <v>2</v>
      </c>
      <c r="F204" t="s">
        <v>825</v>
      </c>
      <c r="G204" t="s">
        <v>543</v>
      </c>
      <c r="I204" s="61">
        <v>160.71</v>
      </c>
      <c r="M204" t="s">
        <v>478</v>
      </c>
      <c r="N204" s="19">
        <v>45778</v>
      </c>
      <c r="O204" s="19" t="s">
        <v>627</v>
      </c>
    </row>
    <row r="205" spans="1:15" ht="30" hidden="1" x14ac:dyDescent="0.25">
      <c r="A205">
        <v>204</v>
      </c>
      <c r="B205" t="str">
        <v>85-1</v>
      </c>
      <c r="C205">
        <v>85</v>
      </c>
      <c r="D205">
        <v>0</v>
      </c>
      <c r="E205">
        <v>1</v>
      </c>
      <c r="F205" s="67" t="s">
        <v>827</v>
      </c>
      <c r="G205" t="s">
        <v>543</v>
      </c>
      <c r="I205" s="61">
        <v>446.43</v>
      </c>
      <c r="M205" t="s">
        <v>481</v>
      </c>
      <c r="N205" s="19">
        <v>45809</v>
      </c>
      <c r="O205" s="19" t="s">
        <v>628</v>
      </c>
    </row>
    <row r="206" spans="1:15" ht="30" hidden="1" x14ac:dyDescent="0.25">
      <c r="A206">
        <v>205</v>
      </c>
      <c r="B206" t="str">
        <v>85-2</v>
      </c>
      <c r="C206">
        <v>85</v>
      </c>
      <c r="D206">
        <v>0</v>
      </c>
      <c r="E206">
        <v>2</v>
      </c>
      <c r="F206" s="67" t="s">
        <v>829</v>
      </c>
      <c r="G206" t="s">
        <v>544</v>
      </c>
      <c r="I206" s="61">
        <v>44.643000000000001</v>
      </c>
      <c r="M206" t="s">
        <v>481</v>
      </c>
      <c r="N206" s="19">
        <v>45809</v>
      </c>
      <c r="O206" s="19" t="s">
        <v>628</v>
      </c>
    </row>
    <row r="207" spans="1:15" hidden="1" x14ac:dyDescent="0.25">
      <c r="A207">
        <v>206</v>
      </c>
      <c r="B207" t="str">
        <v>91-1</v>
      </c>
      <c r="C207">
        <v>91</v>
      </c>
      <c r="D207">
        <v>0</v>
      </c>
      <c r="E207">
        <v>1</v>
      </c>
      <c r="F207" t="s">
        <v>832</v>
      </c>
      <c r="G207" t="s">
        <v>543</v>
      </c>
      <c r="I207" s="61">
        <v>3500</v>
      </c>
      <c r="M207" t="s">
        <v>483</v>
      </c>
      <c r="N207" s="19">
        <v>45834</v>
      </c>
      <c r="O207" s="19" t="s">
        <v>630</v>
      </c>
    </row>
    <row r="208" spans="1:15" hidden="1" x14ac:dyDescent="0.25">
      <c r="A208">
        <v>207</v>
      </c>
      <c r="B208" t="str">
        <v>94-1</v>
      </c>
      <c r="C208">
        <v>94</v>
      </c>
      <c r="E208">
        <v>1</v>
      </c>
      <c r="F208" t="s">
        <v>835</v>
      </c>
      <c r="G208" t="s">
        <v>543</v>
      </c>
      <c r="I208" s="61">
        <v>125</v>
      </c>
      <c r="M208" t="s">
        <v>491</v>
      </c>
      <c r="N208" s="19">
        <v>45809</v>
      </c>
      <c r="O208" s="19" t="s">
        <v>629</v>
      </c>
    </row>
    <row r="209" spans="1:15" hidden="1" x14ac:dyDescent="0.25">
      <c r="A209">
        <v>208</v>
      </c>
      <c r="B209" t="str">
        <v>94-2</v>
      </c>
      <c r="C209">
        <v>94</v>
      </c>
      <c r="E209">
        <v>2</v>
      </c>
      <c r="F209" t="s">
        <v>837</v>
      </c>
      <c r="G209" t="s">
        <v>544</v>
      </c>
      <c r="I209" s="61">
        <v>12.5</v>
      </c>
      <c r="M209" t="s">
        <v>491</v>
      </c>
      <c r="N209" s="19">
        <v>45809</v>
      </c>
      <c r="O209" s="19" t="s">
        <v>629</v>
      </c>
    </row>
    <row r="210" spans="1:15" hidden="1" x14ac:dyDescent="0.25">
      <c r="A210">
        <v>209</v>
      </c>
      <c r="B210" t="str">
        <v>94-3</v>
      </c>
      <c r="C210">
        <v>94</v>
      </c>
      <c r="E210">
        <v>3</v>
      </c>
      <c r="F210" t="s">
        <v>840</v>
      </c>
      <c r="G210" t="s">
        <v>543</v>
      </c>
      <c r="I210" s="61">
        <v>125</v>
      </c>
      <c r="M210" t="s">
        <v>492</v>
      </c>
      <c r="N210" s="19">
        <v>45809</v>
      </c>
      <c r="O210" s="19" t="s">
        <v>629</v>
      </c>
    </row>
    <row r="211" spans="1:15" hidden="1" x14ac:dyDescent="0.25">
      <c r="A211">
        <v>210</v>
      </c>
      <c r="B211" t="str">
        <v>94-4</v>
      </c>
      <c r="C211">
        <v>94</v>
      </c>
      <c r="E211">
        <v>4</v>
      </c>
      <c r="F211" t="s">
        <v>842</v>
      </c>
      <c r="G211" t="s">
        <v>543</v>
      </c>
      <c r="I211" s="61">
        <v>125</v>
      </c>
      <c r="M211" t="s">
        <v>493</v>
      </c>
      <c r="N211" s="19">
        <v>45809</v>
      </c>
      <c r="O211" s="19" t="s">
        <v>1113</v>
      </c>
    </row>
    <row r="212" spans="1:15" hidden="1" x14ac:dyDescent="0.25">
      <c r="A212">
        <v>211</v>
      </c>
      <c r="B212" t="str">
        <v>94-5</v>
      </c>
      <c r="C212">
        <v>94</v>
      </c>
      <c r="E212">
        <v>5</v>
      </c>
      <c r="F212" t="s">
        <v>844</v>
      </c>
      <c r="G212" t="s">
        <v>544</v>
      </c>
      <c r="I212" s="61">
        <v>12.5</v>
      </c>
      <c r="M212" t="s">
        <v>493</v>
      </c>
      <c r="N212" s="19">
        <v>45809</v>
      </c>
      <c r="O212" s="19" t="s">
        <v>1113</v>
      </c>
    </row>
    <row r="213" spans="1:15" hidden="1" x14ac:dyDescent="0.25">
      <c r="A213">
        <v>212</v>
      </c>
      <c r="B213" t="str">
        <v>95-1</v>
      </c>
      <c r="C213">
        <v>95</v>
      </c>
      <c r="E213">
        <v>1</v>
      </c>
      <c r="F213" t="s">
        <v>847</v>
      </c>
      <c r="G213" t="s">
        <v>543</v>
      </c>
      <c r="I213" s="61">
        <v>285.70999999999998</v>
      </c>
      <c r="M213" t="s">
        <v>494</v>
      </c>
      <c r="N213" s="19">
        <v>45839</v>
      </c>
      <c r="O213" s="19" t="s">
        <v>627</v>
      </c>
    </row>
    <row r="214" spans="1:15" hidden="1" x14ac:dyDescent="0.25">
      <c r="A214">
        <v>213</v>
      </c>
      <c r="B214" t="str">
        <v>98-1</v>
      </c>
      <c r="C214">
        <v>98</v>
      </c>
      <c r="E214">
        <v>1</v>
      </c>
      <c r="F214" t="s">
        <v>849</v>
      </c>
      <c r="G214" t="s">
        <v>543</v>
      </c>
      <c r="I214" s="61">
        <v>107.14</v>
      </c>
      <c r="M214" t="s">
        <v>501</v>
      </c>
      <c r="N214" s="19">
        <v>45839</v>
      </c>
      <c r="O214" s="19" t="s">
        <v>628</v>
      </c>
    </row>
    <row r="215" spans="1:15" hidden="1" x14ac:dyDescent="0.25">
      <c r="A215">
        <v>214</v>
      </c>
      <c r="B215" t="str">
        <v>98-2</v>
      </c>
      <c r="C215">
        <v>98</v>
      </c>
      <c r="E215">
        <v>2</v>
      </c>
      <c r="F215" t="s">
        <v>851</v>
      </c>
      <c r="G215" t="s">
        <v>544</v>
      </c>
      <c r="I215" s="61">
        <v>10.714</v>
      </c>
      <c r="M215" t="s">
        <v>501</v>
      </c>
      <c r="N215" s="19">
        <v>45839</v>
      </c>
      <c r="O215" s="19" t="s">
        <v>628</v>
      </c>
    </row>
    <row r="216" spans="1:15" hidden="1" x14ac:dyDescent="0.25">
      <c r="A216">
        <v>215</v>
      </c>
      <c r="B216" t="str">
        <v>98-R-1</v>
      </c>
      <c r="C216">
        <v>98</v>
      </c>
      <c r="D216">
        <v>0</v>
      </c>
      <c r="E216" t="s">
        <v>315</v>
      </c>
      <c r="F216" t="s">
        <v>623</v>
      </c>
      <c r="G216" t="s">
        <v>133</v>
      </c>
      <c r="I216" s="61">
        <v>-1</v>
      </c>
      <c r="M216" t="s">
        <v>501</v>
      </c>
      <c r="N216" s="19">
        <v>45839</v>
      </c>
      <c r="O216" s="19" t="s">
        <v>628</v>
      </c>
    </row>
    <row r="217" spans="1:15" hidden="1" x14ac:dyDescent="0.25">
      <c r="A217">
        <v>216</v>
      </c>
      <c r="B217" t="str">
        <v>99-1</v>
      </c>
      <c r="C217">
        <v>99</v>
      </c>
      <c r="E217">
        <v>1</v>
      </c>
      <c r="F217" t="s">
        <v>857</v>
      </c>
      <c r="G217" t="s">
        <v>543</v>
      </c>
      <c r="I217" s="61">
        <v>125</v>
      </c>
      <c r="M217" t="s">
        <v>498</v>
      </c>
      <c r="N217" s="19">
        <v>45839</v>
      </c>
      <c r="O217" s="19" t="s">
        <v>629</v>
      </c>
    </row>
    <row r="218" spans="1:15" hidden="1" x14ac:dyDescent="0.25">
      <c r="A218">
        <v>217</v>
      </c>
      <c r="B218" t="str">
        <v>99-2</v>
      </c>
      <c r="C218">
        <v>99</v>
      </c>
      <c r="E218">
        <v>2</v>
      </c>
      <c r="F218" t="s">
        <v>860</v>
      </c>
      <c r="G218" t="s">
        <v>544</v>
      </c>
      <c r="I218" s="61">
        <v>12.5</v>
      </c>
      <c r="M218" t="s">
        <v>498</v>
      </c>
      <c r="N218" s="19">
        <v>45839</v>
      </c>
      <c r="O218" s="19" t="s">
        <v>629</v>
      </c>
    </row>
    <row r="219" spans="1:15" hidden="1" x14ac:dyDescent="0.25">
      <c r="A219">
        <v>218</v>
      </c>
      <c r="B219" t="str">
        <v>100-1</v>
      </c>
      <c r="C219">
        <v>100</v>
      </c>
      <c r="E219">
        <v>1</v>
      </c>
      <c r="F219" t="s">
        <v>863</v>
      </c>
      <c r="G219" t="s">
        <v>543</v>
      </c>
      <c r="I219" s="61">
        <f>K219/28</f>
        <v>196.42857142857142</v>
      </c>
      <c r="K219">
        <v>5500</v>
      </c>
      <c r="M219" t="s">
        <v>504</v>
      </c>
      <c r="N219" s="19">
        <v>45839</v>
      </c>
      <c r="O219" s="19" t="s">
        <v>627</v>
      </c>
    </row>
    <row r="220" spans="1:15" hidden="1" x14ac:dyDescent="0.25">
      <c r="A220">
        <v>219</v>
      </c>
      <c r="B220" t="str">
        <v>102-1</v>
      </c>
      <c r="C220">
        <v>102</v>
      </c>
      <c r="E220">
        <v>1</v>
      </c>
      <c r="F220" t="s">
        <v>866</v>
      </c>
      <c r="G220" t="s">
        <v>543</v>
      </c>
      <c r="I220" s="61">
        <v>125</v>
      </c>
      <c r="M220" t="s">
        <v>509</v>
      </c>
      <c r="N220" s="19">
        <v>45870</v>
      </c>
      <c r="O220" s="19" t="s">
        <v>629</v>
      </c>
    </row>
    <row r="221" spans="1:15" hidden="1" x14ac:dyDescent="0.25">
      <c r="A221">
        <v>220</v>
      </c>
      <c r="B221" t="str">
        <v>102-2</v>
      </c>
      <c r="C221">
        <v>102</v>
      </c>
      <c r="E221">
        <v>2</v>
      </c>
      <c r="F221" t="s">
        <v>869</v>
      </c>
      <c r="G221" t="s">
        <v>544</v>
      </c>
      <c r="I221" s="61">
        <v>12.5</v>
      </c>
      <c r="M221" t="s">
        <v>509</v>
      </c>
      <c r="N221" s="19">
        <v>45870</v>
      </c>
      <c r="O221" s="19" t="s">
        <v>629</v>
      </c>
    </row>
    <row r="222" spans="1:15" hidden="1" x14ac:dyDescent="0.25">
      <c r="A222">
        <v>221</v>
      </c>
      <c r="B222" t="str">
        <v>102-3</v>
      </c>
      <c r="C222">
        <v>102</v>
      </c>
      <c r="E222">
        <v>3</v>
      </c>
      <c r="F222" t="s">
        <v>871</v>
      </c>
      <c r="G222" t="s">
        <v>543</v>
      </c>
      <c r="I222" s="61">
        <v>125</v>
      </c>
      <c r="M222" t="s">
        <v>493</v>
      </c>
      <c r="N222" s="19">
        <v>45870</v>
      </c>
      <c r="O222" s="19" t="s">
        <v>1113</v>
      </c>
    </row>
    <row r="223" spans="1:15" hidden="1" x14ac:dyDescent="0.25">
      <c r="A223">
        <v>222</v>
      </c>
      <c r="B223" t="str">
        <v>102-4</v>
      </c>
      <c r="C223">
        <v>102</v>
      </c>
      <c r="E223">
        <v>4</v>
      </c>
      <c r="F223" t="s">
        <v>873</v>
      </c>
      <c r="G223" t="s">
        <v>544</v>
      </c>
      <c r="I223" s="61">
        <v>12.5</v>
      </c>
      <c r="M223" t="s">
        <v>493</v>
      </c>
      <c r="N223" s="19">
        <v>45870</v>
      </c>
      <c r="O223" s="19" t="s">
        <v>1113</v>
      </c>
    </row>
    <row r="224" spans="1:15" hidden="1" x14ac:dyDescent="0.25">
      <c r="A224">
        <v>223</v>
      </c>
      <c r="B224" t="str">
        <v>102-5</v>
      </c>
      <c r="C224">
        <v>102</v>
      </c>
      <c r="E224">
        <v>5</v>
      </c>
      <c r="F224" t="s">
        <v>835</v>
      </c>
      <c r="G224" t="s">
        <v>543</v>
      </c>
      <c r="I224" s="61">
        <v>125</v>
      </c>
      <c r="M224" t="s">
        <v>491</v>
      </c>
      <c r="N224" s="19">
        <v>45870</v>
      </c>
      <c r="O224" s="19" t="s">
        <v>629</v>
      </c>
    </row>
    <row r="225" spans="1:15" hidden="1" x14ac:dyDescent="0.25">
      <c r="A225">
        <v>224</v>
      </c>
      <c r="B225" t="str">
        <v>102-6</v>
      </c>
      <c r="C225">
        <v>102</v>
      </c>
      <c r="E225">
        <v>6</v>
      </c>
      <c r="F225" t="s">
        <v>840</v>
      </c>
      <c r="G225" t="s">
        <v>543</v>
      </c>
      <c r="I225" s="61">
        <v>125</v>
      </c>
      <c r="M225" t="s">
        <v>492</v>
      </c>
      <c r="N225" s="19">
        <v>45870</v>
      </c>
      <c r="O225" s="19" t="s">
        <v>629</v>
      </c>
    </row>
    <row r="226" spans="1:15" ht="45" hidden="1" x14ac:dyDescent="0.25">
      <c r="A226">
        <v>225</v>
      </c>
      <c r="B226" t="str">
        <v>103-1</v>
      </c>
      <c r="C226">
        <v>103</v>
      </c>
      <c r="E226">
        <v>1</v>
      </c>
      <c r="F226" s="67" t="s">
        <v>879</v>
      </c>
      <c r="G226" t="s">
        <v>512</v>
      </c>
      <c r="I226" s="61">
        <v>3400</v>
      </c>
      <c r="N226" s="19">
        <v>45880</v>
      </c>
    </row>
    <row r="227" spans="1:15" ht="30" hidden="1" x14ac:dyDescent="0.25">
      <c r="A227">
        <v>226</v>
      </c>
      <c r="B227" t="str">
        <v>107-1</v>
      </c>
      <c r="C227">
        <v>107</v>
      </c>
      <c r="E227">
        <v>1</v>
      </c>
      <c r="F227" s="67" t="s">
        <v>881</v>
      </c>
      <c r="G227" t="s">
        <v>517</v>
      </c>
      <c r="I227" s="61">
        <v>3300</v>
      </c>
      <c r="N227" s="19">
        <v>45856</v>
      </c>
    </row>
    <row r="228" spans="1:15" ht="30" hidden="1" x14ac:dyDescent="0.25">
      <c r="A228">
        <v>227</v>
      </c>
      <c r="B228" t="str">
        <v>107-2</v>
      </c>
      <c r="C228">
        <v>107</v>
      </c>
      <c r="E228">
        <v>2</v>
      </c>
      <c r="F228" s="67" t="s">
        <v>884</v>
      </c>
      <c r="G228" t="s">
        <v>517</v>
      </c>
      <c r="I228" s="61">
        <v>3300</v>
      </c>
      <c r="N228" s="19">
        <v>45856</v>
      </c>
    </row>
    <row r="229" spans="1:15" ht="30" hidden="1" x14ac:dyDescent="0.25">
      <c r="A229">
        <v>228</v>
      </c>
      <c r="B229" t="str">
        <v>107-3</v>
      </c>
      <c r="C229">
        <v>107</v>
      </c>
      <c r="E229">
        <v>3</v>
      </c>
      <c r="F229" s="67" t="s">
        <v>887</v>
      </c>
      <c r="G229" t="s">
        <v>517</v>
      </c>
      <c r="I229" s="61">
        <v>3300</v>
      </c>
      <c r="N229" s="19">
        <v>45856</v>
      </c>
    </row>
    <row r="230" spans="1:15" hidden="1" x14ac:dyDescent="0.25">
      <c r="A230">
        <v>229</v>
      </c>
      <c r="B230" t="str">
        <v>107-4</v>
      </c>
      <c r="C230">
        <v>107</v>
      </c>
      <c r="E230">
        <v>4</v>
      </c>
      <c r="F230" t="s">
        <v>890</v>
      </c>
      <c r="I230" s="61">
        <v>3750</v>
      </c>
      <c r="N230" s="19">
        <v>45856</v>
      </c>
    </row>
    <row r="231" spans="1:15" hidden="1" x14ac:dyDescent="0.25">
      <c r="A231">
        <v>230</v>
      </c>
      <c r="B231" t="str">
        <v>107-5</v>
      </c>
      <c r="C231">
        <v>107</v>
      </c>
      <c r="E231">
        <v>5</v>
      </c>
      <c r="F231" t="s">
        <v>894</v>
      </c>
      <c r="I231" s="61">
        <v>3750</v>
      </c>
      <c r="N231" s="19">
        <v>45856</v>
      </c>
    </row>
    <row r="232" spans="1:15" hidden="1" x14ac:dyDescent="0.25">
      <c r="A232">
        <v>231</v>
      </c>
      <c r="B232" t="str">
        <v>107-6</v>
      </c>
      <c r="C232">
        <v>107</v>
      </c>
      <c r="E232">
        <v>6</v>
      </c>
      <c r="F232" t="s">
        <v>898</v>
      </c>
      <c r="I232" s="61">
        <v>350</v>
      </c>
      <c r="N232" s="19">
        <v>45856</v>
      </c>
    </row>
    <row r="233" spans="1:15" hidden="1" x14ac:dyDescent="0.25">
      <c r="A233">
        <v>232</v>
      </c>
      <c r="B233" t="str">
        <v>107-7</v>
      </c>
      <c r="C233">
        <v>107</v>
      </c>
      <c r="E233">
        <v>7</v>
      </c>
      <c r="F233" t="s">
        <v>901</v>
      </c>
      <c r="I233" s="61">
        <v>350</v>
      </c>
      <c r="N233" s="19">
        <v>45856</v>
      </c>
    </row>
    <row r="234" spans="1:15" hidden="1" x14ac:dyDescent="0.25">
      <c r="A234">
        <v>233</v>
      </c>
      <c r="B234" t="str">
        <v>107-8</v>
      </c>
      <c r="C234">
        <v>107</v>
      </c>
      <c r="E234">
        <v>8</v>
      </c>
      <c r="F234" t="s">
        <v>904</v>
      </c>
      <c r="I234" s="61">
        <v>500</v>
      </c>
      <c r="N234" s="19">
        <v>45856</v>
      </c>
    </row>
    <row r="235" spans="1:15" ht="30" hidden="1" x14ac:dyDescent="0.25">
      <c r="A235">
        <v>234</v>
      </c>
      <c r="B235" t="str">
        <v>110-1</v>
      </c>
      <c r="C235">
        <v>110</v>
      </c>
      <c r="E235">
        <v>1</v>
      </c>
      <c r="F235" s="67" t="s">
        <v>908</v>
      </c>
      <c r="G235" t="s">
        <v>543</v>
      </c>
      <c r="I235" s="61">
        <v>221.42857142857142</v>
      </c>
      <c r="M235" t="s">
        <v>525</v>
      </c>
      <c r="N235" s="19">
        <v>45870</v>
      </c>
      <c r="O235" s="19" t="s">
        <v>628</v>
      </c>
    </row>
    <row r="236" spans="1:15" hidden="1" x14ac:dyDescent="0.25">
      <c r="A236">
        <v>235</v>
      </c>
      <c r="B236" t="str">
        <v>121-1</v>
      </c>
      <c r="C236">
        <v>121</v>
      </c>
      <c r="E236">
        <v>1</v>
      </c>
      <c r="F236" t="s">
        <v>911</v>
      </c>
      <c r="G236" t="s">
        <v>543</v>
      </c>
      <c r="I236" s="61">
        <v>128.57</v>
      </c>
      <c r="M236" t="s">
        <v>530</v>
      </c>
      <c r="N236" s="19">
        <v>45925</v>
      </c>
      <c r="O236" s="19" t="s">
        <v>628</v>
      </c>
    </row>
    <row r="237" spans="1:15" hidden="1" x14ac:dyDescent="0.25">
      <c r="A237">
        <v>236</v>
      </c>
      <c r="B237" t="str">
        <v>121-2</v>
      </c>
      <c r="C237">
        <v>121</v>
      </c>
      <c r="E237">
        <v>2</v>
      </c>
      <c r="F237" t="s">
        <v>913</v>
      </c>
      <c r="G237" t="s">
        <v>544</v>
      </c>
      <c r="I237" s="61">
        <v>12.856999999999999</v>
      </c>
      <c r="M237" t="s">
        <v>530</v>
      </c>
      <c r="N237" s="19">
        <v>45925</v>
      </c>
      <c r="O237" s="19" t="s">
        <v>628</v>
      </c>
    </row>
    <row r="238" spans="1:15" hidden="1" x14ac:dyDescent="0.25">
      <c r="A238">
        <v>237</v>
      </c>
      <c r="B238" t="str">
        <v>141-1</v>
      </c>
      <c r="C238">
        <v>141</v>
      </c>
      <c r="E238">
        <v>1</v>
      </c>
      <c r="F238" t="s">
        <v>915</v>
      </c>
      <c r="G238" t="s">
        <v>543</v>
      </c>
      <c r="I238" s="61">
        <v>214.28571428571428</v>
      </c>
      <c r="M238" t="s">
        <v>531</v>
      </c>
      <c r="N238" s="19">
        <v>45601</v>
      </c>
      <c r="O238" s="19" t="s">
        <v>627</v>
      </c>
    </row>
    <row r="239" spans="1:15" hidden="1" x14ac:dyDescent="0.25">
      <c r="A239">
        <v>238</v>
      </c>
      <c r="B239" t="str">
        <v>141-2</v>
      </c>
      <c r="C239">
        <v>141</v>
      </c>
      <c r="E239">
        <v>2</v>
      </c>
      <c r="F239" t="s">
        <v>917</v>
      </c>
      <c r="G239" t="s">
        <v>544</v>
      </c>
      <c r="I239" s="61">
        <v>21.428571428571427</v>
      </c>
      <c r="M239" t="s">
        <v>531</v>
      </c>
      <c r="N239" s="19">
        <v>45601</v>
      </c>
      <c r="O239" s="19" t="s">
        <v>627</v>
      </c>
    </row>
    <row r="240" spans="1:15" hidden="1" x14ac:dyDescent="0.25">
      <c r="A240">
        <v>239</v>
      </c>
      <c r="B240" t="str">
        <v>150-1</v>
      </c>
      <c r="C240">
        <v>150</v>
      </c>
      <c r="E240">
        <v>1</v>
      </c>
      <c r="F240" t="s">
        <v>1164</v>
      </c>
      <c r="G240" t="s">
        <v>535</v>
      </c>
      <c r="I240" s="61">
        <v>220</v>
      </c>
      <c r="N240" s="19">
        <v>45989</v>
      </c>
    </row>
    <row r="241" spans="1:15" x14ac:dyDescent="0.25">
      <c r="A241">
        <v>240</v>
      </c>
      <c r="B241" t="str">
        <v>31-127</v>
      </c>
      <c r="C241">
        <v>31</v>
      </c>
      <c r="D241">
        <v>1</v>
      </c>
      <c r="E241">
        <v>127</v>
      </c>
      <c r="F241" t="s">
        <v>920</v>
      </c>
      <c r="G241" t="s">
        <v>599</v>
      </c>
      <c r="I241" s="61">
        <f>L241*1.1/100</f>
        <v>0.19800000000000001</v>
      </c>
      <c r="L241">
        <v>18</v>
      </c>
      <c r="M241" t="s">
        <v>134</v>
      </c>
      <c r="N241" s="19">
        <v>46023</v>
      </c>
      <c r="O241" s="19" t="s">
        <v>616</v>
      </c>
    </row>
    <row r="242" spans="1:15" hidden="1" x14ac:dyDescent="0.25">
      <c r="A242">
        <v>241</v>
      </c>
      <c r="B242" t="str">
        <v>31-128</v>
      </c>
      <c r="C242">
        <v>31</v>
      </c>
      <c r="D242">
        <v>1</v>
      </c>
      <c r="E242">
        <v>128</v>
      </c>
      <c r="F242" t="s">
        <v>921</v>
      </c>
      <c r="G242" t="s">
        <v>599</v>
      </c>
      <c r="I242" s="61">
        <f t="shared" ref="I242:I293" si="0">L242*1.1/100</f>
        <v>0.19800000000000001</v>
      </c>
      <c r="L242">
        <v>18</v>
      </c>
      <c r="M242" t="s">
        <v>156</v>
      </c>
      <c r="N242" s="19">
        <v>46023</v>
      </c>
      <c r="O242" s="19" t="s">
        <v>616</v>
      </c>
    </row>
    <row r="243" spans="1:15" hidden="1" x14ac:dyDescent="0.25">
      <c r="A243">
        <v>242</v>
      </c>
      <c r="B243" t="str">
        <v>31-129</v>
      </c>
      <c r="C243">
        <v>31</v>
      </c>
      <c r="D243">
        <v>1</v>
      </c>
      <c r="E243">
        <v>129</v>
      </c>
      <c r="F243" t="s">
        <v>923</v>
      </c>
      <c r="G243" t="s">
        <v>599</v>
      </c>
      <c r="I243" s="61">
        <f t="shared" si="0"/>
        <v>0.19800000000000001</v>
      </c>
      <c r="L243">
        <v>18</v>
      </c>
      <c r="M243" t="s">
        <v>136</v>
      </c>
      <c r="N243" s="19">
        <v>46023</v>
      </c>
      <c r="O243" s="19" t="s">
        <v>616</v>
      </c>
    </row>
    <row r="244" spans="1:15" hidden="1" x14ac:dyDescent="0.25">
      <c r="A244">
        <v>243</v>
      </c>
      <c r="B244" t="str">
        <v>31-130</v>
      </c>
      <c r="C244">
        <v>31</v>
      </c>
      <c r="D244">
        <v>1</v>
      </c>
      <c r="E244">
        <v>130</v>
      </c>
      <c r="F244" t="s">
        <v>1069</v>
      </c>
      <c r="G244" t="s">
        <v>599</v>
      </c>
      <c r="I244" s="61">
        <f t="shared" si="0"/>
        <v>0.16500000000000001</v>
      </c>
      <c r="L244">
        <v>15</v>
      </c>
      <c r="M244" t="s">
        <v>326</v>
      </c>
      <c r="N244" s="19">
        <v>46023</v>
      </c>
      <c r="O244" s="19" t="s">
        <v>616</v>
      </c>
    </row>
    <row r="245" spans="1:15" hidden="1" x14ac:dyDescent="0.25">
      <c r="A245">
        <v>244</v>
      </c>
      <c r="B245" t="str">
        <v>31-131</v>
      </c>
      <c r="C245">
        <v>31</v>
      </c>
      <c r="D245">
        <v>1</v>
      </c>
      <c r="E245">
        <v>131</v>
      </c>
      <c r="F245" t="s">
        <v>926</v>
      </c>
      <c r="G245" t="s">
        <v>599</v>
      </c>
      <c r="I245" s="61">
        <f t="shared" si="0"/>
        <v>0.16500000000000001</v>
      </c>
      <c r="L245">
        <v>15</v>
      </c>
      <c r="M245" t="s">
        <v>157</v>
      </c>
      <c r="N245" s="19">
        <v>46023</v>
      </c>
      <c r="O245" s="19" t="s">
        <v>616</v>
      </c>
    </row>
    <row r="246" spans="1:15" hidden="1" x14ac:dyDescent="0.25">
      <c r="A246">
        <v>245</v>
      </c>
      <c r="B246" t="str">
        <v>31-132</v>
      </c>
      <c r="C246">
        <v>31</v>
      </c>
      <c r="D246">
        <v>1</v>
      </c>
      <c r="E246">
        <v>132</v>
      </c>
      <c r="F246" t="s">
        <v>1070</v>
      </c>
      <c r="G246" t="s">
        <v>599</v>
      </c>
      <c r="I246" s="61">
        <f t="shared" si="0"/>
        <v>0.16500000000000001</v>
      </c>
      <c r="L246">
        <v>15</v>
      </c>
      <c r="M246" t="s">
        <v>138</v>
      </c>
      <c r="N246" s="19">
        <v>46023</v>
      </c>
      <c r="O246" s="19" t="s">
        <v>616</v>
      </c>
    </row>
    <row r="247" spans="1:15" hidden="1" x14ac:dyDescent="0.25">
      <c r="A247">
        <v>246</v>
      </c>
      <c r="B247" t="str">
        <v>31-133</v>
      </c>
      <c r="C247">
        <v>31</v>
      </c>
      <c r="D247">
        <v>1</v>
      </c>
      <c r="E247">
        <v>133</v>
      </c>
      <c r="F247" t="s">
        <v>928</v>
      </c>
      <c r="G247" t="s">
        <v>599</v>
      </c>
      <c r="I247" s="61">
        <f t="shared" si="0"/>
        <v>0.13200000000000001</v>
      </c>
      <c r="L247">
        <v>12</v>
      </c>
      <c r="M247" t="s">
        <v>140</v>
      </c>
      <c r="N247" s="19">
        <v>46023</v>
      </c>
      <c r="O247" s="19" t="s">
        <v>616</v>
      </c>
    </row>
    <row r="248" spans="1:15" hidden="1" x14ac:dyDescent="0.25">
      <c r="A248">
        <v>247</v>
      </c>
      <c r="B248" t="str">
        <v>31-134</v>
      </c>
      <c r="C248">
        <v>31</v>
      </c>
      <c r="D248">
        <v>15</v>
      </c>
      <c r="E248">
        <v>134</v>
      </c>
      <c r="F248" t="s">
        <v>929</v>
      </c>
      <c r="G248" t="s">
        <v>599</v>
      </c>
      <c r="I248" s="61">
        <f t="shared" si="0"/>
        <v>0.16500000000000001</v>
      </c>
      <c r="L248">
        <v>15</v>
      </c>
      <c r="M248" t="s">
        <v>178</v>
      </c>
      <c r="N248" s="19">
        <v>46023</v>
      </c>
      <c r="O248" s="19" t="s">
        <v>616</v>
      </c>
    </row>
    <row r="249" spans="1:15" hidden="1" x14ac:dyDescent="0.25">
      <c r="A249">
        <v>248</v>
      </c>
      <c r="B249" t="str">
        <v>31-135</v>
      </c>
      <c r="C249">
        <v>31</v>
      </c>
      <c r="D249">
        <v>7</v>
      </c>
      <c r="E249">
        <v>135</v>
      </c>
      <c r="F249" t="s">
        <v>1071</v>
      </c>
      <c r="G249" t="s">
        <v>599</v>
      </c>
      <c r="I249" s="61">
        <f t="shared" si="0"/>
        <v>0.16500000000000001</v>
      </c>
      <c r="L249">
        <v>15</v>
      </c>
      <c r="M249" t="s">
        <v>152</v>
      </c>
      <c r="N249" s="19">
        <v>46023</v>
      </c>
      <c r="O249" s="19" t="s">
        <v>616</v>
      </c>
    </row>
    <row r="250" spans="1:15" hidden="1" x14ac:dyDescent="0.25">
      <c r="A250">
        <v>249</v>
      </c>
      <c r="B250" t="str">
        <v>31-136</v>
      </c>
      <c r="C250">
        <v>31</v>
      </c>
      <c r="D250">
        <v>16</v>
      </c>
      <c r="E250">
        <v>136</v>
      </c>
      <c r="F250" t="s">
        <v>1072</v>
      </c>
      <c r="G250" t="s">
        <v>599</v>
      </c>
      <c r="I250" s="61">
        <f t="shared" si="0"/>
        <v>0.16500000000000001</v>
      </c>
      <c r="L250">
        <v>15</v>
      </c>
      <c r="M250" t="s">
        <v>184</v>
      </c>
      <c r="N250" s="19">
        <v>46023</v>
      </c>
      <c r="O250" s="19" t="s">
        <v>616</v>
      </c>
    </row>
    <row r="251" spans="1:15" hidden="1" x14ac:dyDescent="0.25">
      <c r="A251">
        <v>250</v>
      </c>
      <c r="B251" t="str">
        <v>31-137</v>
      </c>
      <c r="C251">
        <v>31</v>
      </c>
      <c r="D251">
        <v>2</v>
      </c>
      <c r="E251">
        <v>137</v>
      </c>
      <c r="F251" t="s">
        <v>1073</v>
      </c>
      <c r="G251" t="s">
        <v>599</v>
      </c>
      <c r="I251" s="61">
        <f t="shared" si="0"/>
        <v>0.16500000000000001</v>
      </c>
      <c r="L251">
        <v>15</v>
      </c>
      <c r="M251" t="s">
        <v>155</v>
      </c>
      <c r="N251" s="19">
        <v>46023</v>
      </c>
      <c r="O251" s="19" t="s">
        <v>616</v>
      </c>
    </row>
    <row r="252" spans="1:15" hidden="1" x14ac:dyDescent="0.25">
      <c r="A252">
        <v>251</v>
      </c>
      <c r="B252" t="str">
        <v>31-138</v>
      </c>
      <c r="C252">
        <v>31</v>
      </c>
      <c r="D252">
        <v>16</v>
      </c>
      <c r="E252">
        <v>138</v>
      </c>
      <c r="F252" t="s">
        <v>1074</v>
      </c>
      <c r="G252" t="s">
        <v>599</v>
      </c>
      <c r="I252" s="61">
        <f t="shared" si="0"/>
        <v>0.16500000000000001</v>
      </c>
      <c r="L252">
        <v>15</v>
      </c>
      <c r="M252" t="s">
        <v>185</v>
      </c>
      <c r="N252" s="19">
        <v>46023</v>
      </c>
      <c r="O252" s="19" t="s">
        <v>616</v>
      </c>
    </row>
    <row r="253" spans="1:15" hidden="1" x14ac:dyDescent="0.25">
      <c r="A253">
        <v>252</v>
      </c>
      <c r="B253" t="str">
        <v>31-139</v>
      </c>
      <c r="C253">
        <v>31</v>
      </c>
      <c r="D253">
        <v>2</v>
      </c>
      <c r="E253">
        <v>139</v>
      </c>
      <c r="F253" t="s">
        <v>1075</v>
      </c>
      <c r="G253" t="s">
        <v>599</v>
      </c>
      <c r="I253" s="61">
        <f t="shared" si="0"/>
        <v>0.16500000000000001</v>
      </c>
      <c r="L253">
        <v>15</v>
      </c>
      <c r="M253" t="s">
        <v>143</v>
      </c>
      <c r="N253" s="19">
        <v>46023</v>
      </c>
      <c r="O253" s="19" t="s">
        <v>616</v>
      </c>
    </row>
    <row r="254" spans="1:15" hidden="1" x14ac:dyDescent="0.25">
      <c r="A254">
        <v>253</v>
      </c>
      <c r="B254" t="str">
        <v>31-140</v>
      </c>
      <c r="C254">
        <v>31</v>
      </c>
      <c r="D254">
        <v>15</v>
      </c>
      <c r="E254">
        <v>140</v>
      </c>
      <c r="F254" t="s">
        <v>1076</v>
      </c>
      <c r="G254" t="s">
        <v>599</v>
      </c>
      <c r="I254" s="61">
        <f t="shared" si="0"/>
        <v>0.16500000000000001</v>
      </c>
      <c r="L254">
        <v>15</v>
      </c>
      <c r="M254" t="s">
        <v>180</v>
      </c>
      <c r="N254" s="19">
        <v>46023</v>
      </c>
      <c r="O254" s="19" t="s">
        <v>616</v>
      </c>
    </row>
    <row r="255" spans="1:15" hidden="1" x14ac:dyDescent="0.25">
      <c r="A255">
        <v>254</v>
      </c>
      <c r="B255" t="str">
        <v>31-141</v>
      </c>
      <c r="C255">
        <v>31</v>
      </c>
      <c r="D255">
        <v>15</v>
      </c>
      <c r="E255">
        <v>141</v>
      </c>
      <c r="F255" t="s">
        <v>1077</v>
      </c>
      <c r="G255" t="s">
        <v>599</v>
      </c>
      <c r="I255" s="61">
        <f t="shared" si="0"/>
        <v>0.16500000000000001</v>
      </c>
      <c r="L255">
        <v>15</v>
      </c>
      <c r="M255" t="s">
        <v>176</v>
      </c>
      <c r="N255" s="19">
        <v>46023</v>
      </c>
      <c r="O255" s="19" t="s">
        <v>616</v>
      </c>
    </row>
    <row r="256" spans="1:15" hidden="1" x14ac:dyDescent="0.25">
      <c r="A256">
        <v>255</v>
      </c>
      <c r="B256" t="str">
        <v>31-142</v>
      </c>
      <c r="C256">
        <v>31</v>
      </c>
      <c r="D256">
        <v>3</v>
      </c>
      <c r="E256">
        <v>142</v>
      </c>
      <c r="F256" t="s">
        <v>1078</v>
      </c>
      <c r="G256" t="s">
        <v>599</v>
      </c>
      <c r="I256" s="61">
        <f t="shared" si="0"/>
        <v>0.16500000000000001</v>
      </c>
      <c r="L256">
        <v>15</v>
      </c>
      <c r="M256" t="s">
        <v>165</v>
      </c>
      <c r="N256" s="19">
        <v>46023</v>
      </c>
      <c r="O256" s="19" t="s">
        <v>616</v>
      </c>
    </row>
    <row r="257" spans="1:15" hidden="1" x14ac:dyDescent="0.25">
      <c r="A257">
        <v>256</v>
      </c>
      <c r="B257" t="str">
        <v>31-143</v>
      </c>
      <c r="C257">
        <v>31</v>
      </c>
      <c r="D257">
        <v>8</v>
      </c>
      <c r="E257">
        <v>143</v>
      </c>
      <c r="F257" t="s">
        <v>1079</v>
      </c>
      <c r="G257" t="s">
        <v>599</v>
      </c>
      <c r="I257" s="61">
        <f t="shared" si="0"/>
        <v>0.19800000000000001</v>
      </c>
      <c r="L257">
        <v>18</v>
      </c>
      <c r="M257" t="s">
        <v>154</v>
      </c>
      <c r="N257" s="19">
        <v>46023</v>
      </c>
      <c r="O257" s="19" t="s">
        <v>616</v>
      </c>
    </row>
    <row r="258" spans="1:15" hidden="1" x14ac:dyDescent="0.25">
      <c r="A258">
        <v>257</v>
      </c>
      <c r="B258" t="str">
        <v>31-144</v>
      </c>
      <c r="C258">
        <v>31</v>
      </c>
      <c r="D258">
        <v>12</v>
      </c>
      <c r="E258">
        <v>144</v>
      </c>
      <c r="F258" t="s">
        <v>1080</v>
      </c>
      <c r="G258" t="s">
        <v>599</v>
      </c>
      <c r="I258" s="61">
        <f t="shared" si="0"/>
        <v>0.16500000000000001</v>
      </c>
      <c r="L258">
        <v>15</v>
      </c>
      <c r="M258" t="s">
        <v>153</v>
      </c>
      <c r="N258" s="19">
        <v>46023</v>
      </c>
      <c r="O258" s="19" t="s">
        <v>616</v>
      </c>
    </row>
    <row r="259" spans="1:15" hidden="1" x14ac:dyDescent="0.25">
      <c r="A259">
        <v>258</v>
      </c>
      <c r="B259" t="str">
        <v>31-145</v>
      </c>
      <c r="C259">
        <v>31</v>
      </c>
      <c r="D259">
        <v>2</v>
      </c>
      <c r="E259">
        <v>145</v>
      </c>
      <c r="F259" t="s">
        <v>1081</v>
      </c>
      <c r="G259" t="s">
        <v>599</v>
      </c>
      <c r="I259" s="61">
        <f t="shared" si="0"/>
        <v>0.16500000000000001</v>
      </c>
      <c r="L259">
        <v>15</v>
      </c>
      <c r="M259" t="s">
        <v>162</v>
      </c>
      <c r="N259" s="19">
        <v>46023</v>
      </c>
      <c r="O259" s="19" t="s">
        <v>616</v>
      </c>
    </row>
    <row r="260" spans="1:15" hidden="1" x14ac:dyDescent="0.25">
      <c r="A260">
        <v>259</v>
      </c>
      <c r="B260" t="str">
        <v>31-146</v>
      </c>
      <c r="C260">
        <v>31</v>
      </c>
      <c r="D260">
        <v>12</v>
      </c>
      <c r="E260">
        <v>146</v>
      </c>
      <c r="F260" t="s">
        <v>1082</v>
      </c>
      <c r="G260" t="s">
        <v>599</v>
      </c>
      <c r="I260" s="61">
        <f t="shared" si="0"/>
        <v>0.16500000000000001</v>
      </c>
      <c r="L260">
        <v>15</v>
      </c>
      <c r="M260" t="s">
        <v>171</v>
      </c>
      <c r="N260" s="19">
        <v>46023</v>
      </c>
      <c r="O260" s="19" t="s">
        <v>616</v>
      </c>
    </row>
    <row r="261" spans="1:15" hidden="1" x14ac:dyDescent="0.25">
      <c r="A261">
        <v>260</v>
      </c>
      <c r="B261" t="str">
        <v>31-147</v>
      </c>
      <c r="C261">
        <v>31</v>
      </c>
      <c r="D261">
        <v>2</v>
      </c>
      <c r="E261">
        <v>147</v>
      </c>
      <c r="F261" t="s">
        <v>1083</v>
      </c>
      <c r="G261" t="s">
        <v>599</v>
      </c>
      <c r="I261" s="61">
        <f t="shared" si="0"/>
        <v>0.16500000000000001</v>
      </c>
      <c r="L261">
        <v>15</v>
      </c>
      <c r="M261" t="s">
        <v>146</v>
      </c>
      <c r="N261" s="19">
        <v>46023</v>
      </c>
      <c r="O261" s="19" t="s">
        <v>616</v>
      </c>
    </row>
    <row r="262" spans="1:15" hidden="1" x14ac:dyDescent="0.25">
      <c r="A262">
        <v>261</v>
      </c>
      <c r="B262" t="str">
        <v>31-148</v>
      </c>
      <c r="C262">
        <v>31</v>
      </c>
      <c r="D262">
        <v>4</v>
      </c>
      <c r="E262">
        <v>148</v>
      </c>
      <c r="F262" t="s">
        <v>1084</v>
      </c>
      <c r="G262" t="s">
        <v>599</v>
      </c>
      <c r="I262" s="61">
        <f t="shared" si="0"/>
        <v>0.16500000000000001</v>
      </c>
      <c r="L262">
        <v>15</v>
      </c>
      <c r="M262" t="s">
        <v>150</v>
      </c>
      <c r="N262" s="19">
        <v>46023</v>
      </c>
      <c r="O262" s="19" t="s">
        <v>616</v>
      </c>
    </row>
    <row r="263" spans="1:15" hidden="1" x14ac:dyDescent="0.25">
      <c r="A263">
        <v>262</v>
      </c>
      <c r="B263" t="str">
        <v>31-149</v>
      </c>
      <c r="C263">
        <v>31</v>
      </c>
      <c r="D263">
        <v>15</v>
      </c>
      <c r="E263">
        <v>149</v>
      </c>
      <c r="F263" t="s">
        <v>1085</v>
      </c>
      <c r="G263" t="s">
        <v>599</v>
      </c>
      <c r="I263" s="61">
        <f t="shared" si="0"/>
        <v>0.16500000000000001</v>
      </c>
      <c r="L263">
        <v>15</v>
      </c>
      <c r="M263" t="s">
        <v>181</v>
      </c>
      <c r="N263" s="19">
        <v>46023</v>
      </c>
      <c r="O263" s="19" t="s">
        <v>616</v>
      </c>
    </row>
    <row r="264" spans="1:15" hidden="1" x14ac:dyDescent="0.25">
      <c r="A264">
        <v>263</v>
      </c>
      <c r="B264" t="str">
        <v>31-150</v>
      </c>
      <c r="C264">
        <v>31</v>
      </c>
      <c r="D264">
        <v>2</v>
      </c>
      <c r="E264">
        <v>150</v>
      </c>
      <c r="F264" t="s">
        <v>1086</v>
      </c>
      <c r="G264" t="s">
        <v>599</v>
      </c>
      <c r="I264" s="61">
        <f t="shared" si="0"/>
        <v>0.16500000000000001</v>
      </c>
      <c r="L264">
        <v>15</v>
      </c>
      <c r="M264" t="s">
        <v>161</v>
      </c>
      <c r="N264" s="19">
        <v>46023</v>
      </c>
      <c r="O264" s="19" t="s">
        <v>616</v>
      </c>
    </row>
    <row r="265" spans="1:15" hidden="1" x14ac:dyDescent="0.25">
      <c r="A265">
        <v>264</v>
      </c>
      <c r="B265" t="str">
        <v>31-151</v>
      </c>
      <c r="C265">
        <v>31</v>
      </c>
      <c r="D265">
        <v>2</v>
      </c>
      <c r="E265">
        <v>151</v>
      </c>
      <c r="F265" t="s">
        <v>1087</v>
      </c>
      <c r="G265" t="s">
        <v>599</v>
      </c>
      <c r="I265" s="61">
        <f t="shared" si="0"/>
        <v>0.16500000000000001</v>
      </c>
      <c r="L265">
        <v>15</v>
      </c>
      <c r="M265" t="s">
        <v>145</v>
      </c>
      <c r="N265" s="19">
        <v>46023</v>
      </c>
      <c r="O265" s="19" t="s">
        <v>616</v>
      </c>
    </row>
    <row r="266" spans="1:15" hidden="1" x14ac:dyDescent="0.25">
      <c r="A266">
        <v>265</v>
      </c>
      <c r="B266" t="str">
        <v>31-152</v>
      </c>
      <c r="C266">
        <v>31</v>
      </c>
      <c r="D266">
        <v>2</v>
      </c>
      <c r="E266">
        <v>152</v>
      </c>
      <c r="F266" t="s">
        <v>1088</v>
      </c>
      <c r="G266" t="s">
        <v>599</v>
      </c>
      <c r="I266" s="61">
        <f t="shared" si="0"/>
        <v>0.16500000000000001</v>
      </c>
      <c r="L266">
        <v>15</v>
      </c>
      <c r="M266" t="s">
        <v>141</v>
      </c>
      <c r="N266" s="19">
        <v>46023</v>
      </c>
      <c r="O266" s="19" t="s">
        <v>616</v>
      </c>
    </row>
    <row r="267" spans="1:15" hidden="1" x14ac:dyDescent="0.25">
      <c r="A267">
        <v>266</v>
      </c>
      <c r="B267" t="str">
        <v>31-153</v>
      </c>
      <c r="C267">
        <v>31</v>
      </c>
      <c r="D267">
        <v>7</v>
      </c>
      <c r="E267">
        <v>153</v>
      </c>
      <c r="F267" t="s">
        <v>1089</v>
      </c>
      <c r="G267" t="s">
        <v>599</v>
      </c>
      <c r="I267" s="61">
        <f t="shared" si="0"/>
        <v>0.16500000000000001</v>
      </c>
      <c r="K267" s="101"/>
      <c r="L267">
        <v>15</v>
      </c>
      <c r="M267" t="s">
        <v>151</v>
      </c>
      <c r="N267" s="19">
        <v>46023</v>
      </c>
      <c r="O267" s="19" t="s">
        <v>616</v>
      </c>
    </row>
    <row r="268" spans="1:15" hidden="1" x14ac:dyDescent="0.25">
      <c r="A268">
        <v>267</v>
      </c>
      <c r="B268" t="str">
        <v>31-154</v>
      </c>
      <c r="C268">
        <v>31</v>
      </c>
      <c r="D268">
        <v>3</v>
      </c>
      <c r="E268">
        <v>154</v>
      </c>
      <c r="F268" t="s">
        <v>946</v>
      </c>
      <c r="G268" t="s">
        <v>599</v>
      </c>
      <c r="I268" s="61">
        <f t="shared" si="0"/>
        <v>0.19800000000000001</v>
      </c>
      <c r="L268">
        <v>18</v>
      </c>
      <c r="M268" t="s">
        <v>149</v>
      </c>
      <c r="N268" s="19">
        <v>46023</v>
      </c>
      <c r="O268" s="19" t="s">
        <v>616</v>
      </c>
    </row>
    <row r="269" spans="1:15" hidden="1" x14ac:dyDescent="0.25">
      <c r="A269">
        <v>268</v>
      </c>
      <c r="B269" t="str">
        <v>31-155</v>
      </c>
      <c r="C269">
        <v>31</v>
      </c>
      <c r="D269">
        <v>2</v>
      </c>
      <c r="E269">
        <v>155</v>
      </c>
      <c r="F269" t="s">
        <v>947</v>
      </c>
      <c r="G269" t="s">
        <v>599</v>
      </c>
      <c r="I269" s="61">
        <f t="shared" si="0"/>
        <v>0.19800000000000001</v>
      </c>
      <c r="L269">
        <v>18</v>
      </c>
      <c r="M269" t="s">
        <v>147</v>
      </c>
      <c r="N269" s="19">
        <v>46023</v>
      </c>
      <c r="O269" s="19" t="s">
        <v>616</v>
      </c>
    </row>
    <row r="270" spans="1:15" hidden="1" x14ac:dyDescent="0.25">
      <c r="A270">
        <v>269</v>
      </c>
      <c r="B270" t="str">
        <v>31-156</v>
      </c>
      <c r="C270">
        <v>31</v>
      </c>
      <c r="D270">
        <v>1</v>
      </c>
      <c r="E270">
        <v>156</v>
      </c>
      <c r="F270" t="s">
        <v>949</v>
      </c>
      <c r="G270" t="s">
        <v>599</v>
      </c>
      <c r="I270" s="61">
        <f t="shared" si="0"/>
        <v>0.19800000000000001</v>
      </c>
      <c r="L270">
        <v>18</v>
      </c>
      <c r="M270" t="s">
        <v>173</v>
      </c>
      <c r="N270" s="19">
        <v>46023</v>
      </c>
      <c r="O270" s="19" t="s">
        <v>616</v>
      </c>
    </row>
    <row r="271" spans="1:15" hidden="1" x14ac:dyDescent="0.25">
      <c r="A271">
        <v>270</v>
      </c>
      <c r="B271" t="str">
        <v>31-157</v>
      </c>
      <c r="C271">
        <v>31</v>
      </c>
      <c r="D271">
        <v>12</v>
      </c>
      <c r="E271">
        <v>157</v>
      </c>
      <c r="F271" t="s">
        <v>1090</v>
      </c>
      <c r="G271" t="s">
        <v>599</v>
      </c>
      <c r="I271" s="61">
        <f t="shared" si="0"/>
        <v>0.16500000000000001</v>
      </c>
      <c r="L271">
        <v>15</v>
      </c>
      <c r="M271" t="s">
        <v>172</v>
      </c>
      <c r="N271" s="19">
        <v>46023</v>
      </c>
      <c r="O271" s="19" t="s">
        <v>616</v>
      </c>
    </row>
    <row r="272" spans="1:15" hidden="1" x14ac:dyDescent="0.25">
      <c r="A272">
        <v>271</v>
      </c>
      <c r="B272" t="str">
        <v>31-158</v>
      </c>
      <c r="C272">
        <v>31</v>
      </c>
      <c r="D272">
        <v>7</v>
      </c>
      <c r="E272">
        <v>158</v>
      </c>
      <c r="F272" t="s">
        <v>1091</v>
      </c>
      <c r="G272" t="s">
        <v>599</v>
      </c>
      <c r="I272" s="61">
        <f t="shared" si="0"/>
        <v>0.16500000000000001</v>
      </c>
      <c r="L272">
        <v>15</v>
      </c>
      <c r="M272" t="s">
        <v>167</v>
      </c>
      <c r="N272" s="19">
        <v>46023</v>
      </c>
      <c r="O272" s="19" t="s">
        <v>616</v>
      </c>
    </row>
    <row r="273" spans="1:15" hidden="1" x14ac:dyDescent="0.25">
      <c r="A273">
        <v>272</v>
      </c>
      <c r="B273" t="str">
        <v>31-159</v>
      </c>
      <c r="C273">
        <v>31</v>
      </c>
      <c r="D273">
        <v>15</v>
      </c>
      <c r="E273">
        <v>159</v>
      </c>
      <c r="F273" t="s">
        <v>1092</v>
      </c>
      <c r="G273" t="s">
        <v>599</v>
      </c>
      <c r="I273" s="61">
        <f t="shared" si="0"/>
        <v>0.16500000000000001</v>
      </c>
      <c r="L273">
        <v>15</v>
      </c>
      <c r="M273" t="s">
        <v>177</v>
      </c>
      <c r="N273" s="19">
        <v>46023</v>
      </c>
      <c r="O273" s="19" t="s">
        <v>616</v>
      </c>
    </row>
    <row r="274" spans="1:15" hidden="1" x14ac:dyDescent="0.25">
      <c r="A274">
        <v>273</v>
      </c>
      <c r="B274" t="str">
        <v>31-160</v>
      </c>
      <c r="C274">
        <v>31</v>
      </c>
      <c r="D274">
        <v>8</v>
      </c>
      <c r="E274">
        <v>160</v>
      </c>
      <c r="F274" t="s">
        <v>1093</v>
      </c>
      <c r="G274" t="s">
        <v>599</v>
      </c>
      <c r="I274" s="61">
        <f t="shared" si="0"/>
        <v>0.16500000000000001</v>
      </c>
      <c r="L274">
        <v>15</v>
      </c>
      <c r="M274" t="s">
        <v>169</v>
      </c>
      <c r="N274" s="19">
        <v>46023</v>
      </c>
      <c r="O274" s="19" t="s">
        <v>616</v>
      </c>
    </row>
    <row r="275" spans="1:15" hidden="1" x14ac:dyDescent="0.25">
      <c r="A275">
        <v>274</v>
      </c>
      <c r="B275" t="str">
        <v>31-161</v>
      </c>
      <c r="C275">
        <v>31</v>
      </c>
      <c r="D275">
        <v>11</v>
      </c>
      <c r="E275">
        <v>161</v>
      </c>
      <c r="F275" t="s">
        <v>955</v>
      </c>
      <c r="G275" t="s">
        <v>599</v>
      </c>
      <c r="I275" s="61">
        <f t="shared" si="0"/>
        <v>0.19800000000000001</v>
      </c>
      <c r="L275">
        <v>18</v>
      </c>
      <c r="M275" t="s">
        <v>170</v>
      </c>
      <c r="N275" s="19">
        <v>46023</v>
      </c>
      <c r="O275" s="19" t="s">
        <v>616</v>
      </c>
    </row>
    <row r="276" spans="1:15" hidden="1" x14ac:dyDescent="0.25">
      <c r="A276">
        <v>275</v>
      </c>
      <c r="B276" t="str">
        <v>31-162</v>
      </c>
      <c r="C276">
        <v>31</v>
      </c>
      <c r="D276">
        <v>4</v>
      </c>
      <c r="E276">
        <v>162</v>
      </c>
      <c r="F276" t="s">
        <v>1094</v>
      </c>
      <c r="G276" t="s">
        <v>599</v>
      </c>
      <c r="I276" s="61">
        <f t="shared" si="0"/>
        <v>0.16500000000000001</v>
      </c>
      <c r="L276">
        <v>15</v>
      </c>
      <c r="M276" t="s">
        <v>166</v>
      </c>
      <c r="N276" s="19">
        <v>46023</v>
      </c>
      <c r="O276" s="19" t="s">
        <v>616</v>
      </c>
    </row>
    <row r="277" spans="1:15" hidden="1" x14ac:dyDescent="0.25">
      <c r="A277">
        <v>276</v>
      </c>
      <c r="B277" t="str">
        <v>31-163</v>
      </c>
      <c r="C277">
        <v>31</v>
      </c>
      <c r="D277">
        <v>14</v>
      </c>
      <c r="E277">
        <v>163</v>
      </c>
      <c r="F277" t="s">
        <v>959</v>
      </c>
      <c r="G277" t="s">
        <v>599</v>
      </c>
      <c r="I277" s="61">
        <f t="shared" si="0"/>
        <v>0.16500000000000001</v>
      </c>
      <c r="L277">
        <v>15</v>
      </c>
      <c r="M277" t="s">
        <v>351</v>
      </c>
      <c r="N277" s="19">
        <v>46023</v>
      </c>
      <c r="O277" s="19" t="s">
        <v>616</v>
      </c>
    </row>
    <row r="278" spans="1:15" hidden="1" x14ac:dyDescent="0.25">
      <c r="A278">
        <v>277</v>
      </c>
      <c r="B278" t="str">
        <v>31-164</v>
      </c>
      <c r="C278">
        <v>31</v>
      </c>
      <c r="D278">
        <v>2</v>
      </c>
      <c r="E278">
        <v>164</v>
      </c>
      <c r="F278" t="s">
        <v>1095</v>
      </c>
      <c r="G278" t="s">
        <v>599</v>
      </c>
      <c r="I278" s="61">
        <f t="shared" si="0"/>
        <v>0.16500000000000001</v>
      </c>
      <c r="L278">
        <v>15</v>
      </c>
      <c r="M278" t="s">
        <v>144</v>
      </c>
      <c r="N278" s="19">
        <v>46023</v>
      </c>
      <c r="O278" s="19" t="s">
        <v>616</v>
      </c>
    </row>
    <row r="279" spans="1:15" hidden="1" x14ac:dyDescent="0.25">
      <c r="A279">
        <v>278</v>
      </c>
      <c r="B279" t="str">
        <v>31-165</v>
      </c>
      <c r="C279">
        <v>31</v>
      </c>
      <c r="D279">
        <v>14</v>
      </c>
      <c r="E279">
        <v>165</v>
      </c>
      <c r="F279" t="s">
        <v>1096</v>
      </c>
      <c r="G279" t="s">
        <v>599</v>
      </c>
      <c r="I279" s="61">
        <f t="shared" si="0"/>
        <v>0.16500000000000001</v>
      </c>
      <c r="L279">
        <v>15</v>
      </c>
      <c r="M279" t="s">
        <v>129</v>
      </c>
      <c r="N279" s="19">
        <v>46023</v>
      </c>
      <c r="O279" s="19" t="s">
        <v>616</v>
      </c>
    </row>
    <row r="280" spans="1:15" hidden="1" x14ac:dyDescent="0.25">
      <c r="A280">
        <v>279</v>
      </c>
      <c r="B280" t="str">
        <v>31-166</v>
      </c>
      <c r="C280">
        <v>31</v>
      </c>
      <c r="D280">
        <v>2</v>
      </c>
      <c r="E280">
        <v>166</v>
      </c>
      <c r="F280" t="s">
        <v>1097</v>
      </c>
      <c r="G280" t="s">
        <v>599</v>
      </c>
      <c r="I280" s="61">
        <f t="shared" si="0"/>
        <v>0.16500000000000001</v>
      </c>
      <c r="L280">
        <v>15</v>
      </c>
      <c r="M280" t="s">
        <v>142</v>
      </c>
      <c r="N280" s="19">
        <v>46023</v>
      </c>
      <c r="O280" s="19" t="s">
        <v>616</v>
      </c>
    </row>
    <row r="281" spans="1:15" hidden="1" x14ac:dyDescent="0.25">
      <c r="A281">
        <v>280</v>
      </c>
      <c r="B281" t="str">
        <v>31-167</v>
      </c>
      <c r="C281">
        <v>31</v>
      </c>
      <c r="D281">
        <v>4</v>
      </c>
      <c r="E281">
        <v>167</v>
      </c>
      <c r="F281" t="s">
        <v>1098</v>
      </c>
      <c r="G281" t="s">
        <v>599</v>
      </c>
      <c r="I281" s="61">
        <f t="shared" si="0"/>
        <v>0.16500000000000001</v>
      </c>
      <c r="L281">
        <v>15</v>
      </c>
      <c r="M281" t="s">
        <v>159</v>
      </c>
      <c r="N281" s="19">
        <v>46023</v>
      </c>
      <c r="O281" s="19" t="s">
        <v>616</v>
      </c>
    </row>
    <row r="282" spans="1:15" hidden="1" x14ac:dyDescent="0.25">
      <c r="A282">
        <v>281</v>
      </c>
      <c r="B282" t="str">
        <v>31-168</v>
      </c>
      <c r="C282">
        <v>31</v>
      </c>
      <c r="D282">
        <v>14</v>
      </c>
      <c r="E282">
        <v>168</v>
      </c>
      <c r="F282" t="s">
        <v>1099</v>
      </c>
      <c r="G282" t="s">
        <v>599</v>
      </c>
      <c r="I282" s="61">
        <f t="shared" si="0"/>
        <v>0.16500000000000001</v>
      </c>
      <c r="L282">
        <v>15</v>
      </c>
      <c r="M282" t="s">
        <v>175</v>
      </c>
      <c r="N282" s="19">
        <v>46023</v>
      </c>
      <c r="O282" s="19" t="s">
        <v>616</v>
      </c>
    </row>
    <row r="283" spans="1:15" hidden="1" x14ac:dyDescent="0.25">
      <c r="A283">
        <v>282</v>
      </c>
      <c r="B283" t="str">
        <v>31-169</v>
      </c>
      <c r="C283">
        <v>31</v>
      </c>
      <c r="D283">
        <v>15</v>
      </c>
      <c r="E283">
        <v>169</v>
      </c>
      <c r="F283" t="s">
        <v>1100</v>
      </c>
      <c r="G283" t="s">
        <v>599</v>
      </c>
      <c r="I283" s="61">
        <f t="shared" si="0"/>
        <v>0.16500000000000001</v>
      </c>
      <c r="L283">
        <v>15</v>
      </c>
      <c r="M283" t="s">
        <v>179</v>
      </c>
      <c r="N283" s="19">
        <v>46023</v>
      </c>
      <c r="O283" s="19" t="s">
        <v>616</v>
      </c>
    </row>
    <row r="284" spans="1:15" hidden="1" x14ac:dyDescent="0.25">
      <c r="A284">
        <v>283</v>
      </c>
      <c r="B284" t="str">
        <v>31-170</v>
      </c>
      <c r="C284">
        <v>31</v>
      </c>
      <c r="D284">
        <v>7</v>
      </c>
      <c r="E284">
        <v>170</v>
      </c>
      <c r="F284" t="s">
        <v>1101</v>
      </c>
      <c r="G284" t="s">
        <v>599</v>
      </c>
      <c r="I284" s="61">
        <f t="shared" si="0"/>
        <v>0.16500000000000001</v>
      </c>
      <c r="L284">
        <v>15</v>
      </c>
      <c r="M284" t="s">
        <v>168</v>
      </c>
      <c r="N284" s="19">
        <v>46023</v>
      </c>
      <c r="O284" s="19" t="s">
        <v>616</v>
      </c>
    </row>
    <row r="285" spans="1:15" hidden="1" x14ac:dyDescent="0.25">
      <c r="A285">
        <v>284</v>
      </c>
      <c r="B285" t="str">
        <v>31-171</v>
      </c>
      <c r="C285">
        <v>31</v>
      </c>
      <c r="D285">
        <v>2</v>
      </c>
      <c r="E285">
        <v>171</v>
      </c>
      <c r="F285" t="s">
        <v>1102</v>
      </c>
      <c r="G285" t="s">
        <v>599</v>
      </c>
      <c r="I285" s="61">
        <f t="shared" si="0"/>
        <v>0.16500000000000001</v>
      </c>
      <c r="L285">
        <v>15</v>
      </c>
      <c r="M285" t="s">
        <v>163</v>
      </c>
      <c r="N285" s="19">
        <v>46023</v>
      </c>
      <c r="O285" s="19" t="s">
        <v>616</v>
      </c>
    </row>
    <row r="286" spans="1:15" hidden="1" x14ac:dyDescent="0.25">
      <c r="A286">
        <v>285</v>
      </c>
      <c r="B286" t="str">
        <v>31-172</v>
      </c>
      <c r="C286">
        <v>31</v>
      </c>
      <c r="D286">
        <v>14</v>
      </c>
      <c r="E286">
        <v>172</v>
      </c>
      <c r="F286" t="s">
        <v>1103</v>
      </c>
      <c r="G286" t="s">
        <v>599</v>
      </c>
      <c r="I286" s="61">
        <f t="shared" si="0"/>
        <v>0.16500000000000001</v>
      </c>
      <c r="L286">
        <v>15</v>
      </c>
      <c r="M286" t="s">
        <v>131</v>
      </c>
      <c r="N286" s="19">
        <v>46023</v>
      </c>
      <c r="O286" s="19" t="s">
        <v>616</v>
      </c>
    </row>
    <row r="287" spans="1:15" hidden="1" x14ac:dyDescent="0.25">
      <c r="A287">
        <v>286</v>
      </c>
      <c r="B287" t="str">
        <v>31-173</v>
      </c>
      <c r="C287">
        <v>31</v>
      </c>
      <c r="D287">
        <v>2</v>
      </c>
      <c r="E287">
        <v>173</v>
      </c>
      <c r="F287" t="s">
        <v>1104</v>
      </c>
      <c r="G287" t="s">
        <v>599</v>
      </c>
      <c r="I287" s="61">
        <f t="shared" si="0"/>
        <v>0.16500000000000001</v>
      </c>
      <c r="L287">
        <v>15</v>
      </c>
      <c r="M287" t="s">
        <v>148</v>
      </c>
      <c r="N287" s="19">
        <v>46023</v>
      </c>
      <c r="O287" s="19" t="s">
        <v>616</v>
      </c>
    </row>
    <row r="288" spans="1:15" hidden="1" x14ac:dyDescent="0.25">
      <c r="A288">
        <v>287</v>
      </c>
      <c r="B288" t="str">
        <v>31-174</v>
      </c>
      <c r="C288">
        <v>31</v>
      </c>
      <c r="D288">
        <v>14</v>
      </c>
      <c r="E288">
        <v>174</v>
      </c>
      <c r="F288" t="s">
        <v>976</v>
      </c>
      <c r="G288" t="s">
        <v>599</v>
      </c>
      <c r="I288" s="61">
        <f t="shared" si="0"/>
        <v>0.13200000000000001</v>
      </c>
      <c r="L288">
        <v>12</v>
      </c>
      <c r="M288" t="s">
        <v>174</v>
      </c>
      <c r="N288" s="19">
        <v>46023</v>
      </c>
      <c r="O288" s="19" t="s">
        <v>616</v>
      </c>
    </row>
    <row r="289" spans="1:15" hidden="1" x14ac:dyDescent="0.25">
      <c r="A289">
        <v>288</v>
      </c>
      <c r="B289" t="str">
        <v>31-175</v>
      </c>
      <c r="C289">
        <v>31</v>
      </c>
      <c r="D289">
        <v>2</v>
      </c>
      <c r="E289">
        <v>175</v>
      </c>
      <c r="F289" t="s">
        <v>1105</v>
      </c>
      <c r="G289" t="s">
        <v>599</v>
      </c>
      <c r="I289" s="61">
        <f t="shared" si="0"/>
        <v>0.16500000000000001</v>
      </c>
      <c r="L289">
        <v>15</v>
      </c>
      <c r="M289" t="s">
        <v>164</v>
      </c>
      <c r="N289" s="19">
        <v>46023</v>
      </c>
      <c r="O289" s="19" t="s">
        <v>616</v>
      </c>
    </row>
    <row r="290" spans="1:15" hidden="1" x14ac:dyDescent="0.25">
      <c r="A290">
        <v>289</v>
      </c>
      <c r="B290" t="str">
        <v>31-176</v>
      </c>
      <c r="C290">
        <v>31</v>
      </c>
      <c r="D290">
        <v>16</v>
      </c>
      <c r="E290">
        <v>176</v>
      </c>
      <c r="F290" t="s">
        <v>1106</v>
      </c>
      <c r="G290" t="s">
        <v>599</v>
      </c>
      <c r="I290" s="61">
        <f t="shared" si="0"/>
        <v>0.16500000000000001</v>
      </c>
      <c r="L290">
        <v>15</v>
      </c>
      <c r="M290" t="s">
        <v>352</v>
      </c>
      <c r="N290" s="19">
        <v>46023</v>
      </c>
      <c r="O290" s="19" t="s">
        <v>616</v>
      </c>
    </row>
    <row r="291" spans="1:15" hidden="1" x14ac:dyDescent="0.25">
      <c r="A291">
        <v>290</v>
      </c>
      <c r="B291" t="str">
        <v>31-177</v>
      </c>
      <c r="C291">
        <v>31</v>
      </c>
      <c r="D291">
        <v>16</v>
      </c>
      <c r="E291">
        <v>177</v>
      </c>
      <c r="F291" t="s">
        <v>1107</v>
      </c>
      <c r="G291" t="s">
        <v>599</v>
      </c>
      <c r="I291" s="61">
        <f t="shared" si="0"/>
        <v>0.16500000000000001</v>
      </c>
      <c r="L291">
        <v>15</v>
      </c>
      <c r="M291" t="s">
        <v>353</v>
      </c>
      <c r="N291" s="19">
        <v>46023</v>
      </c>
      <c r="O291" s="19" t="s">
        <v>616</v>
      </c>
    </row>
    <row r="292" spans="1:15" hidden="1" x14ac:dyDescent="0.25">
      <c r="A292">
        <v>291</v>
      </c>
      <c r="B292" t="str">
        <v>31-178</v>
      </c>
      <c r="C292">
        <v>31</v>
      </c>
      <c r="D292">
        <v>16</v>
      </c>
      <c r="E292">
        <v>178</v>
      </c>
      <c r="F292" t="s">
        <v>1108</v>
      </c>
      <c r="G292" t="s">
        <v>599</v>
      </c>
      <c r="I292" s="61">
        <f t="shared" si="0"/>
        <v>0.16500000000000001</v>
      </c>
      <c r="L292">
        <v>15</v>
      </c>
      <c r="M292" t="s">
        <v>354</v>
      </c>
      <c r="N292" s="19">
        <v>46023</v>
      </c>
      <c r="O292" s="19" t="s">
        <v>616</v>
      </c>
    </row>
    <row r="293" spans="1:15" hidden="1" x14ac:dyDescent="0.25">
      <c r="A293">
        <v>292</v>
      </c>
      <c r="B293" t="str">
        <v>31-179</v>
      </c>
      <c r="C293">
        <v>31</v>
      </c>
      <c r="D293">
        <v>16</v>
      </c>
      <c r="E293">
        <v>179</v>
      </c>
      <c r="F293" t="s">
        <v>598</v>
      </c>
      <c r="G293" t="s">
        <v>599</v>
      </c>
      <c r="I293" s="61">
        <f t="shared" si="0"/>
        <v>0.16500000000000001</v>
      </c>
      <c r="L293">
        <v>15</v>
      </c>
      <c r="M293" t="s">
        <v>355</v>
      </c>
      <c r="N293" s="19">
        <v>46023</v>
      </c>
      <c r="O293" s="19" t="s">
        <v>616</v>
      </c>
    </row>
    <row r="294" spans="1:15" hidden="1" x14ac:dyDescent="0.25">
      <c r="A294">
        <v>293</v>
      </c>
      <c r="B294" t="str">
        <v>91-R-1</v>
      </c>
      <c r="C294">
        <v>91</v>
      </c>
      <c r="D294">
        <v>0</v>
      </c>
      <c r="E294" t="s">
        <v>315</v>
      </c>
      <c r="F294" t="s">
        <v>978</v>
      </c>
      <c r="G294" t="s">
        <v>325</v>
      </c>
      <c r="I294" s="61">
        <v>-1</v>
      </c>
      <c r="M294" t="s">
        <v>483</v>
      </c>
      <c r="N294" s="19">
        <v>45834</v>
      </c>
    </row>
    <row r="295" spans="1:15" hidden="1" x14ac:dyDescent="0.25">
      <c r="A295">
        <v>294</v>
      </c>
      <c r="B295" t="str">
        <v>14-17</v>
      </c>
      <c r="C295">
        <v>14</v>
      </c>
      <c r="D295">
        <v>3</v>
      </c>
      <c r="E295">
        <v>17</v>
      </c>
      <c r="F295" t="s">
        <v>641</v>
      </c>
      <c r="G295" t="s">
        <v>544</v>
      </c>
      <c r="I295" s="61">
        <v>1000</v>
      </c>
      <c r="N295" s="19">
        <v>45992</v>
      </c>
      <c r="O295" s="19" t="s">
        <v>615</v>
      </c>
    </row>
    <row r="296" spans="1:15" hidden="1" x14ac:dyDescent="0.25">
      <c r="A296">
        <v>295</v>
      </c>
      <c r="B296" t="str">
        <v>14-18</v>
      </c>
      <c r="C296">
        <v>14</v>
      </c>
      <c r="D296">
        <v>3</v>
      </c>
      <c r="E296">
        <v>18</v>
      </c>
      <c r="F296" t="s">
        <v>642</v>
      </c>
      <c r="G296" t="s">
        <v>544</v>
      </c>
      <c r="I296" s="61">
        <v>1000</v>
      </c>
      <c r="N296" s="19">
        <v>45992</v>
      </c>
      <c r="O296" s="19" t="s">
        <v>615</v>
      </c>
    </row>
    <row r="297" spans="1:15" hidden="1" x14ac:dyDescent="0.25">
      <c r="A297">
        <v>296</v>
      </c>
      <c r="B297" t="str">
        <v>14-19</v>
      </c>
      <c r="C297">
        <v>14</v>
      </c>
      <c r="D297">
        <v>3</v>
      </c>
      <c r="E297">
        <v>19</v>
      </c>
      <c r="F297" t="s">
        <v>979</v>
      </c>
      <c r="G297" t="s">
        <v>544</v>
      </c>
      <c r="I297" s="61">
        <v>600</v>
      </c>
      <c r="N297" s="19">
        <v>45992</v>
      </c>
      <c r="O297" s="19" t="s">
        <v>615</v>
      </c>
    </row>
    <row r="298" spans="1:15" hidden="1" x14ac:dyDescent="0.25">
      <c r="A298">
        <v>297</v>
      </c>
      <c r="B298" t="str">
        <v>51-5</v>
      </c>
      <c r="C298">
        <v>51</v>
      </c>
      <c r="D298">
        <v>4</v>
      </c>
      <c r="E298">
        <v>5</v>
      </c>
      <c r="F298" t="s">
        <v>980</v>
      </c>
      <c r="G298" t="s">
        <v>543</v>
      </c>
      <c r="I298" s="61">
        <v>235.71</v>
      </c>
      <c r="M298" t="s">
        <v>638</v>
      </c>
      <c r="N298" s="19">
        <v>45962</v>
      </c>
      <c r="O298" s="19" t="s">
        <v>628</v>
      </c>
    </row>
    <row r="299" spans="1:15" hidden="1" x14ac:dyDescent="0.25">
      <c r="A299">
        <v>298</v>
      </c>
      <c r="B299" t="str">
        <v>51-6</v>
      </c>
      <c r="C299">
        <v>51</v>
      </c>
      <c r="D299">
        <v>4</v>
      </c>
      <c r="E299">
        <v>6</v>
      </c>
      <c r="F299" t="s">
        <v>981</v>
      </c>
      <c r="G299" t="s">
        <v>544</v>
      </c>
      <c r="I299" s="61">
        <v>26.071000000000002</v>
      </c>
      <c r="M299" t="s">
        <v>638</v>
      </c>
      <c r="N299" s="19">
        <v>45962</v>
      </c>
      <c r="O299" s="19" t="s">
        <v>1431</v>
      </c>
    </row>
    <row r="300" spans="1:15" hidden="1" x14ac:dyDescent="0.25">
      <c r="A300">
        <v>299</v>
      </c>
      <c r="B300" t="str">
        <v>51-7</v>
      </c>
      <c r="C300">
        <v>51</v>
      </c>
      <c r="D300">
        <v>5</v>
      </c>
      <c r="E300">
        <v>7</v>
      </c>
      <c r="F300" t="s">
        <v>982</v>
      </c>
      <c r="G300" t="s">
        <v>543</v>
      </c>
      <c r="I300" s="61">
        <v>171.42857142857142</v>
      </c>
      <c r="K300">
        <v>4800</v>
      </c>
      <c r="M300" t="s">
        <v>634</v>
      </c>
      <c r="N300" s="19">
        <v>45992</v>
      </c>
      <c r="O300" s="19" t="s">
        <v>1431</v>
      </c>
    </row>
    <row r="301" spans="1:15" hidden="1" x14ac:dyDescent="0.25">
      <c r="A301">
        <v>300</v>
      </c>
      <c r="B301" t="str">
        <v>31-180</v>
      </c>
      <c r="C301">
        <v>31</v>
      </c>
      <c r="D301">
        <v>17</v>
      </c>
      <c r="E301">
        <v>180</v>
      </c>
      <c r="F301" t="s">
        <v>1109</v>
      </c>
      <c r="G301" t="s">
        <v>543</v>
      </c>
      <c r="I301" s="61">
        <f>K301/28</f>
        <v>78.571428571428569</v>
      </c>
      <c r="J301">
        <v>28</v>
      </c>
      <c r="K301">
        <v>2200</v>
      </c>
      <c r="L301">
        <v>18</v>
      </c>
      <c r="M301" t="s">
        <v>648</v>
      </c>
      <c r="N301" s="19">
        <v>45992</v>
      </c>
      <c r="O301" s="19" t="s">
        <v>616</v>
      </c>
    </row>
    <row r="302" spans="1:15" hidden="1" x14ac:dyDescent="0.25">
      <c r="A302">
        <v>301</v>
      </c>
      <c r="B302" t="str">
        <v>31-181</v>
      </c>
      <c r="C302">
        <v>31</v>
      </c>
      <c r="D302">
        <v>17</v>
      </c>
      <c r="E302">
        <v>181</v>
      </c>
      <c r="F302" t="s">
        <v>1110</v>
      </c>
      <c r="G302" t="s">
        <v>544</v>
      </c>
      <c r="I302" s="61">
        <f>K302/28/10</f>
        <v>7.8571428571428568</v>
      </c>
      <c r="K302">
        <v>2200</v>
      </c>
      <c r="L302">
        <v>18</v>
      </c>
      <c r="M302" t="s">
        <v>648</v>
      </c>
      <c r="N302" s="19">
        <v>45992</v>
      </c>
      <c r="O302" s="19" t="s">
        <v>616</v>
      </c>
    </row>
    <row r="303" spans="1:15" hidden="1" x14ac:dyDescent="0.25">
      <c r="A303">
        <v>302</v>
      </c>
      <c r="B303" t="str">
        <v>31-182</v>
      </c>
      <c r="C303">
        <v>31</v>
      </c>
      <c r="D303">
        <v>17</v>
      </c>
      <c r="E303">
        <v>182</v>
      </c>
      <c r="F303" t="s">
        <v>831</v>
      </c>
      <c r="G303" t="s">
        <v>543</v>
      </c>
      <c r="I303" s="61">
        <f>K303/28</f>
        <v>96.428571428571431</v>
      </c>
      <c r="J303">
        <v>28</v>
      </c>
      <c r="K303">
        <v>2700</v>
      </c>
      <c r="L303">
        <v>15</v>
      </c>
      <c r="M303" t="s">
        <v>649</v>
      </c>
      <c r="N303" s="19">
        <v>45992</v>
      </c>
      <c r="O303" s="19" t="s">
        <v>616</v>
      </c>
    </row>
    <row r="304" spans="1:15" hidden="1" x14ac:dyDescent="0.25">
      <c r="A304">
        <v>303</v>
      </c>
      <c r="B304" t="str">
        <v>31-183</v>
      </c>
      <c r="C304">
        <v>31</v>
      </c>
      <c r="D304">
        <v>17</v>
      </c>
      <c r="E304">
        <v>183</v>
      </c>
      <c r="F304" t="s">
        <v>834</v>
      </c>
      <c r="G304" t="s">
        <v>544</v>
      </c>
      <c r="I304" s="61">
        <f>K304/28/10</f>
        <v>9.6428571428571423</v>
      </c>
      <c r="K304">
        <v>2700</v>
      </c>
      <c r="L304">
        <v>15</v>
      </c>
      <c r="M304" t="s">
        <v>649</v>
      </c>
      <c r="N304" s="19">
        <v>45992</v>
      </c>
      <c r="O304" s="19" t="s">
        <v>616</v>
      </c>
    </row>
    <row r="305" spans="1:15" hidden="1" x14ac:dyDescent="0.25">
      <c r="A305">
        <v>304</v>
      </c>
      <c r="B305" t="str">
        <v>33-R-5</v>
      </c>
      <c r="C305">
        <v>33</v>
      </c>
      <c r="D305">
        <v>0</v>
      </c>
      <c r="E305" t="s">
        <v>689</v>
      </c>
      <c r="F305" t="s">
        <v>690</v>
      </c>
      <c r="G305" t="s">
        <v>325</v>
      </c>
      <c r="I305" s="61">
        <v>-320</v>
      </c>
      <c r="N305" s="19">
        <v>45748</v>
      </c>
      <c r="O305" s="19" t="s">
        <v>616</v>
      </c>
    </row>
    <row r="306" spans="1:15" hidden="1" x14ac:dyDescent="0.25">
      <c r="A306">
        <v>305</v>
      </c>
      <c r="B306" t="str">
        <v>163-1</v>
      </c>
      <c r="C306">
        <v>163</v>
      </c>
      <c r="D306">
        <v>1</v>
      </c>
      <c r="E306">
        <v>1</v>
      </c>
      <c r="F306" s="67" t="s">
        <v>839</v>
      </c>
      <c r="G306" t="s">
        <v>543</v>
      </c>
      <c r="I306" s="61">
        <f>K306/J306</f>
        <v>169.64285714285714</v>
      </c>
      <c r="J306">
        <v>28</v>
      </c>
      <c r="K306">
        <v>4750</v>
      </c>
      <c r="M306" t="s">
        <v>703</v>
      </c>
      <c r="N306" s="19">
        <v>46023</v>
      </c>
      <c r="O306" s="19" t="s">
        <v>1118</v>
      </c>
    </row>
    <row r="307" spans="1:15" hidden="1" x14ac:dyDescent="0.25">
      <c r="A307">
        <v>306</v>
      </c>
      <c r="B307" t="str">
        <v>163-2</v>
      </c>
      <c r="C307">
        <v>163</v>
      </c>
      <c r="D307">
        <v>1</v>
      </c>
      <c r="E307">
        <v>2</v>
      </c>
      <c r="F307" s="67" t="s">
        <v>841</v>
      </c>
      <c r="G307" t="s">
        <v>544</v>
      </c>
      <c r="I307" s="61">
        <f>K307/J307/10</f>
        <v>16.964285714285715</v>
      </c>
      <c r="J307">
        <v>28</v>
      </c>
      <c r="K307">
        <v>4750</v>
      </c>
      <c r="M307" t="s">
        <v>703</v>
      </c>
      <c r="N307" s="19">
        <v>46023</v>
      </c>
      <c r="O307" s="19" t="s">
        <v>1118</v>
      </c>
    </row>
    <row r="308" spans="1:15" hidden="1" x14ac:dyDescent="0.25">
      <c r="A308">
        <v>307</v>
      </c>
      <c r="B308" t="str">
        <v>164-1</v>
      </c>
      <c r="C308">
        <v>164</v>
      </c>
      <c r="D308">
        <v>1</v>
      </c>
      <c r="E308">
        <v>1</v>
      </c>
      <c r="F308" t="s">
        <v>843</v>
      </c>
      <c r="G308" t="s">
        <v>543</v>
      </c>
      <c r="I308" s="61">
        <f>K308/J308</f>
        <v>392.85714285714283</v>
      </c>
      <c r="J308">
        <v>28</v>
      </c>
      <c r="K308">
        <v>11000</v>
      </c>
      <c r="M308" t="s">
        <v>700</v>
      </c>
      <c r="N308" s="19">
        <v>46023</v>
      </c>
      <c r="O308" s="19" t="s">
        <v>628</v>
      </c>
    </row>
    <row r="309" spans="1:15" hidden="1" x14ac:dyDescent="0.25">
      <c r="A309">
        <v>308</v>
      </c>
      <c r="B309" t="str">
        <v>164-2</v>
      </c>
      <c r="C309">
        <v>164</v>
      </c>
      <c r="D309">
        <v>1</v>
      </c>
      <c r="E309">
        <v>2</v>
      </c>
      <c r="F309" t="s">
        <v>846</v>
      </c>
      <c r="G309" t="s">
        <v>544</v>
      </c>
      <c r="I309" s="61">
        <f>K309/J309/10</f>
        <v>39.285714285714285</v>
      </c>
      <c r="J309">
        <v>28</v>
      </c>
      <c r="K309">
        <v>11000</v>
      </c>
      <c r="M309" t="s">
        <v>700</v>
      </c>
      <c r="N309" s="19">
        <v>46023</v>
      </c>
      <c r="O309" s="19" t="s">
        <v>628</v>
      </c>
    </row>
    <row r="310" spans="1:15" hidden="1" x14ac:dyDescent="0.25">
      <c r="A310">
        <v>309</v>
      </c>
      <c r="B310" t="str">
        <v>172-1</v>
      </c>
      <c r="C310">
        <v>172</v>
      </c>
      <c r="D310">
        <v>1</v>
      </c>
      <c r="E310">
        <v>1</v>
      </c>
      <c r="F310" t="s">
        <v>696</v>
      </c>
      <c r="G310" t="s">
        <v>543</v>
      </c>
      <c r="I310" s="61">
        <f>K310/J310</f>
        <v>196.42857142857142</v>
      </c>
      <c r="J310">
        <v>28</v>
      </c>
      <c r="K310">
        <v>5500</v>
      </c>
      <c r="M310" t="s">
        <v>704</v>
      </c>
      <c r="N310" s="19">
        <v>46023</v>
      </c>
      <c r="O310" s="19" t="s">
        <v>627</v>
      </c>
    </row>
    <row r="311" spans="1:15" hidden="1" x14ac:dyDescent="0.25">
      <c r="A311">
        <v>310</v>
      </c>
      <c r="B311" t="str">
        <v>172-2</v>
      </c>
      <c r="C311">
        <v>172</v>
      </c>
      <c r="D311">
        <v>1</v>
      </c>
      <c r="E311">
        <v>2</v>
      </c>
      <c r="F311" t="s">
        <v>697</v>
      </c>
      <c r="G311" t="s">
        <v>544</v>
      </c>
      <c r="I311" s="61">
        <f>K311/J311/10</f>
        <v>19.642857142857142</v>
      </c>
      <c r="J311">
        <v>28</v>
      </c>
      <c r="K311">
        <v>5500</v>
      </c>
      <c r="M311" t="s">
        <v>704</v>
      </c>
      <c r="N311" s="19">
        <v>46023</v>
      </c>
      <c r="O311" s="19" t="s">
        <v>627</v>
      </c>
    </row>
    <row r="312" spans="1:15" hidden="1" x14ac:dyDescent="0.25">
      <c r="A312">
        <v>311</v>
      </c>
      <c r="B312" t="str">
        <v>98-R-2</v>
      </c>
      <c r="C312">
        <v>98</v>
      </c>
      <c r="D312">
        <v>0</v>
      </c>
      <c r="E312" t="s">
        <v>324</v>
      </c>
      <c r="F312" t="s">
        <v>854</v>
      </c>
      <c r="G312" t="s">
        <v>133</v>
      </c>
      <c r="I312" s="61">
        <v>-1</v>
      </c>
      <c r="M312" t="s">
        <v>501</v>
      </c>
      <c r="N312" s="19">
        <v>45839</v>
      </c>
    </row>
    <row r="313" spans="1:15" hidden="1" x14ac:dyDescent="0.25">
      <c r="A313">
        <v>312</v>
      </c>
      <c r="B313" t="str">
        <v>98-R-3</v>
      </c>
      <c r="C313">
        <v>98</v>
      </c>
      <c r="D313">
        <v>0</v>
      </c>
      <c r="E313" t="s">
        <v>362</v>
      </c>
      <c r="F313" t="s">
        <v>856</v>
      </c>
      <c r="G313" t="s">
        <v>133</v>
      </c>
      <c r="I313" s="61">
        <v>-1</v>
      </c>
      <c r="M313" t="s">
        <v>501</v>
      </c>
      <c r="N313" s="19">
        <v>45839</v>
      </c>
    </row>
    <row r="314" spans="1:15" hidden="1" x14ac:dyDescent="0.25">
      <c r="A314">
        <v>313</v>
      </c>
      <c r="B314" t="str">
        <v>31-184</v>
      </c>
      <c r="C314">
        <v>31</v>
      </c>
      <c r="D314">
        <v>18</v>
      </c>
      <c r="E314">
        <v>184</v>
      </c>
      <c r="F314" t="s">
        <v>859</v>
      </c>
      <c r="G314" t="s">
        <v>543</v>
      </c>
      <c r="I314" s="61">
        <v>62.5</v>
      </c>
      <c r="J314">
        <v>28</v>
      </c>
      <c r="K314">
        <v>1750</v>
      </c>
      <c r="L314">
        <v>15</v>
      </c>
      <c r="M314" t="s">
        <v>751</v>
      </c>
      <c r="N314" s="19">
        <v>46023</v>
      </c>
      <c r="O314" s="19" t="s">
        <v>616</v>
      </c>
    </row>
    <row r="315" spans="1:15" hidden="1" x14ac:dyDescent="0.25">
      <c r="A315">
        <v>314</v>
      </c>
      <c r="B315" t="str">
        <v>31-185</v>
      </c>
      <c r="C315">
        <v>31</v>
      </c>
      <c r="D315">
        <v>18</v>
      </c>
      <c r="E315">
        <v>185</v>
      </c>
      <c r="F315" t="s">
        <v>862</v>
      </c>
      <c r="G315" t="s">
        <v>544</v>
      </c>
      <c r="I315" s="61">
        <v>6.25</v>
      </c>
      <c r="K315">
        <v>1750</v>
      </c>
      <c r="L315">
        <v>15</v>
      </c>
      <c r="M315" t="s">
        <v>751</v>
      </c>
      <c r="N315" s="19">
        <v>46023</v>
      </c>
      <c r="O315" s="19" t="s">
        <v>616</v>
      </c>
    </row>
    <row r="316" spans="1:15" hidden="1" x14ac:dyDescent="0.25">
      <c r="A316">
        <v>315</v>
      </c>
      <c r="B316" t="str">
        <v>31-186</v>
      </c>
      <c r="C316">
        <v>31</v>
      </c>
      <c r="D316">
        <v>18</v>
      </c>
      <c r="E316">
        <v>186</v>
      </c>
      <c r="F316" t="s">
        <v>865</v>
      </c>
      <c r="G316" t="s">
        <v>543</v>
      </c>
      <c r="I316" s="61">
        <v>62.5</v>
      </c>
      <c r="J316">
        <v>28</v>
      </c>
      <c r="K316">
        <v>1750</v>
      </c>
      <c r="L316">
        <v>15</v>
      </c>
      <c r="M316" t="s">
        <v>752</v>
      </c>
      <c r="N316" s="19">
        <v>46023</v>
      </c>
      <c r="O316" s="19" t="s">
        <v>616</v>
      </c>
    </row>
    <row r="317" spans="1:15" hidden="1" x14ac:dyDescent="0.25">
      <c r="A317">
        <v>316</v>
      </c>
      <c r="B317" t="str">
        <v>31-187</v>
      </c>
      <c r="C317">
        <v>31</v>
      </c>
      <c r="D317">
        <v>18</v>
      </c>
      <c r="E317">
        <v>187</v>
      </c>
      <c r="F317" t="s">
        <v>868</v>
      </c>
      <c r="G317" t="s">
        <v>544</v>
      </c>
      <c r="I317" s="61">
        <v>6.25</v>
      </c>
      <c r="K317">
        <v>1750</v>
      </c>
      <c r="L317">
        <v>15</v>
      </c>
      <c r="M317" t="s">
        <v>752</v>
      </c>
      <c r="N317" s="19">
        <v>46023</v>
      </c>
      <c r="O317" s="19" t="s">
        <v>616</v>
      </c>
    </row>
    <row r="318" spans="1:15" hidden="1" x14ac:dyDescent="0.25">
      <c r="A318">
        <v>317</v>
      </c>
      <c r="B318" t="str">
        <v>31-188</v>
      </c>
      <c r="C318">
        <v>31</v>
      </c>
      <c r="D318">
        <v>18</v>
      </c>
      <c r="E318">
        <v>188</v>
      </c>
      <c r="F318" t="s">
        <v>870</v>
      </c>
      <c r="G318" t="s">
        <v>543</v>
      </c>
      <c r="I318" s="61">
        <v>62.5</v>
      </c>
      <c r="J318">
        <v>28</v>
      </c>
      <c r="K318">
        <v>1750</v>
      </c>
      <c r="L318">
        <v>15</v>
      </c>
      <c r="M318" t="s">
        <v>753</v>
      </c>
      <c r="N318" s="19">
        <v>46023</v>
      </c>
      <c r="O318" s="19" t="s">
        <v>616</v>
      </c>
    </row>
    <row r="319" spans="1:15" hidden="1" x14ac:dyDescent="0.25">
      <c r="A319">
        <v>318</v>
      </c>
      <c r="B319" t="str">
        <v>31-189</v>
      </c>
      <c r="C319">
        <v>31</v>
      </c>
      <c r="D319">
        <v>18</v>
      </c>
      <c r="E319">
        <v>189</v>
      </c>
      <c r="F319" t="s">
        <v>872</v>
      </c>
      <c r="G319" t="s">
        <v>544</v>
      </c>
      <c r="I319" s="61">
        <v>6.25</v>
      </c>
      <c r="K319">
        <v>1750</v>
      </c>
      <c r="L319">
        <v>15</v>
      </c>
      <c r="M319" t="s">
        <v>753</v>
      </c>
      <c r="N319" s="19">
        <v>46023</v>
      </c>
      <c r="O319" s="19" t="s">
        <v>616</v>
      </c>
    </row>
    <row r="320" spans="1:15" hidden="1" x14ac:dyDescent="0.25">
      <c r="A320">
        <v>319</v>
      </c>
      <c r="B320" t="str">
        <v>31-190</v>
      </c>
      <c r="C320">
        <v>31</v>
      </c>
      <c r="D320">
        <v>18</v>
      </c>
      <c r="E320">
        <v>190</v>
      </c>
      <c r="F320" t="s">
        <v>875</v>
      </c>
      <c r="G320" t="s">
        <v>543</v>
      </c>
      <c r="I320" s="61">
        <v>55.357142857142854</v>
      </c>
      <c r="J320">
        <v>28</v>
      </c>
      <c r="K320">
        <v>1550</v>
      </c>
      <c r="L320">
        <v>15</v>
      </c>
      <c r="M320" t="s">
        <v>754</v>
      </c>
      <c r="N320" s="19">
        <v>46023</v>
      </c>
      <c r="O320" s="19" t="s">
        <v>616</v>
      </c>
    </row>
    <row r="321" spans="1:15" hidden="1" x14ac:dyDescent="0.25">
      <c r="A321">
        <v>320</v>
      </c>
      <c r="B321" t="str">
        <v>31-191</v>
      </c>
      <c r="C321">
        <v>31</v>
      </c>
      <c r="D321">
        <v>18</v>
      </c>
      <c r="E321">
        <v>191</v>
      </c>
      <c r="F321" t="s">
        <v>877</v>
      </c>
      <c r="G321" t="s">
        <v>544</v>
      </c>
      <c r="I321" s="61">
        <v>5.5357142857142856</v>
      </c>
      <c r="K321">
        <v>1550</v>
      </c>
      <c r="L321">
        <v>15</v>
      </c>
      <c r="M321" t="s">
        <v>754</v>
      </c>
      <c r="N321" s="19">
        <v>46023</v>
      </c>
      <c r="O321" s="19" t="s">
        <v>616</v>
      </c>
    </row>
    <row r="322" spans="1:15" hidden="1" x14ac:dyDescent="0.25">
      <c r="A322">
        <v>321</v>
      </c>
      <c r="B322" t="str">
        <v>31-192</v>
      </c>
      <c r="C322">
        <v>31</v>
      </c>
      <c r="D322">
        <v>18</v>
      </c>
      <c r="E322">
        <v>192</v>
      </c>
      <c r="F322" t="s">
        <v>878</v>
      </c>
      <c r="G322" t="s">
        <v>543</v>
      </c>
      <c r="I322" s="61">
        <v>62.5</v>
      </c>
      <c r="J322">
        <v>28</v>
      </c>
      <c r="K322">
        <v>1750</v>
      </c>
      <c r="L322">
        <v>15</v>
      </c>
      <c r="M322" t="s">
        <v>755</v>
      </c>
      <c r="N322" s="19">
        <v>46023</v>
      </c>
      <c r="O322" s="19" t="s">
        <v>616</v>
      </c>
    </row>
    <row r="323" spans="1:15" hidden="1" x14ac:dyDescent="0.25">
      <c r="A323">
        <v>322</v>
      </c>
      <c r="B323" t="str">
        <v>31-193</v>
      </c>
      <c r="C323">
        <v>31</v>
      </c>
      <c r="D323">
        <v>18</v>
      </c>
      <c r="E323">
        <v>193</v>
      </c>
      <c r="F323" t="s">
        <v>880</v>
      </c>
      <c r="G323" t="s">
        <v>544</v>
      </c>
      <c r="I323" s="61">
        <v>6.25</v>
      </c>
      <c r="K323">
        <v>1750</v>
      </c>
      <c r="L323">
        <v>15</v>
      </c>
      <c r="M323" t="s">
        <v>755</v>
      </c>
      <c r="N323" s="19">
        <v>46023</v>
      </c>
      <c r="O323" s="19" t="s">
        <v>616</v>
      </c>
    </row>
    <row r="324" spans="1:15" hidden="1" x14ac:dyDescent="0.25">
      <c r="A324">
        <v>323</v>
      </c>
      <c r="B324" t="str">
        <v>31-194</v>
      </c>
      <c r="C324">
        <v>31</v>
      </c>
      <c r="D324">
        <v>18</v>
      </c>
      <c r="E324">
        <v>194</v>
      </c>
      <c r="F324" t="s">
        <v>886</v>
      </c>
      <c r="G324" t="s">
        <v>543</v>
      </c>
      <c r="I324" s="61">
        <v>50</v>
      </c>
      <c r="J324">
        <v>30</v>
      </c>
      <c r="K324">
        <v>1500</v>
      </c>
      <c r="L324">
        <v>12</v>
      </c>
      <c r="M324" t="s">
        <v>756</v>
      </c>
      <c r="N324" s="19">
        <v>46023</v>
      </c>
      <c r="O324" s="19" t="s">
        <v>616</v>
      </c>
    </row>
    <row r="325" spans="1:15" hidden="1" x14ac:dyDescent="0.25">
      <c r="A325">
        <v>324</v>
      </c>
      <c r="B325" t="str">
        <v>31-195</v>
      </c>
      <c r="C325">
        <v>31</v>
      </c>
      <c r="D325">
        <v>18</v>
      </c>
      <c r="E325">
        <v>195</v>
      </c>
      <c r="F325" t="s">
        <v>883</v>
      </c>
      <c r="G325" t="s">
        <v>544</v>
      </c>
      <c r="I325" s="61">
        <v>5</v>
      </c>
      <c r="K325">
        <v>1500</v>
      </c>
      <c r="L325">
        <v>12</v>
      </c>
      <c r="M325" t="s">
        <v>756</v>
      </c>
      <c r="N325" s="19">
        <v>46023</v>
      </c>
      <c r="O325" s="19" t="s">
        <v>616</v>
      </c>
    </row>
    <row r="326" spans="1:15" hidden="1" x14ac:dyDescent="0.25">
      <c r="A326">
        <v>325</v>
      </c>
      <c r="B326" t="str">
        <v>31-196</v>
      </c>
      <c r="C326">
        <v>31</v>
      </c>
      <c r="D326">
        <v>18</v>
      </c>
      <c r="E326">
        <v>196</v>
      </c>
      <c r="F326" t="s">
        <v>893</v>
      </c>
      <c r="G326" t="s">
        <v>543</v>
      </c>
      <c r="I326" s="61">
        <v>55.357142857142854</v>
      </c>
      <c r="J326">
        <v>28</v>
      </c>
      <c r="K326">
        <v>1550</v>
      </c>
      <c r="L326">
        <v>15</v>
      </c>
      <c r="M326" t="s">
        <v>757</v>
      </c>
      <c r="N326" s="19">
        <v>46023</v>
      </c>
      <c r="O326" s="19" t="s">
        <v>616</v>
      </c>
    </row>
    <row r="327" spans="1:15" hidden="1" x14ac:dyDescent="0.25">
      <c r="A327">
        <v>326</v>
      </c>
      <c r="B327" t="str">
        <v>31-197</v>
      </c>
      <c r="C327">
        <v>31</v>
      </c>
      <c r="D327">
        <v>18</v>
      </c>
      <c r="E327">
        <v>197</v>
      </c>
      <c r="F327" t="s">
        <v>889</v>
      </c>
      <c r="G327" t="s">
        <v>544</v>
      </c>
      <c r="I327" s="61">
        <v>5.5357142857142856</v>
      </c>
      <c r="K327">
        <v>1550</v>
      </c>
      <c r="L327">
        <v>15</v>
      </c>
      <c r="M327" t="s">
        <v>757</v>
      </c>
      <c r="N327" s="19">
        <v>46023</v>
      </c>
      <c r="O327" s="19" t="s">
        <v>616</v>
      </c>
    </row>
    <row r="328" spans="1:15" hidden="1" x14ac:dyDescent="0.25">
      <c r="A328">
        <v>327</v>
      </c>
      <c r="B328" t="str">
        <v>31-198</v>
      </c>
      <c r="C328">
        <v>31</v>
      </c>
      <c r="D328">
        <v>18</v>
      </c>
      <c r="E328">
        <v>198</v>
      </c>
      <c r="F328" t="s">
        <v>897</v>
      </c>
      <c r="G328" t="s">
        <v>543</v>
      </c>
      <c r="I328" s="61">
        <v>85</v>
      </c>
      <c r="J328">
        <v>30</v>
      </c>
      <c r="K328">
        <v>2550</v>
      </c>
      <c r="L328">
        <v>12</v>
      </c>
      <c r="M328" t="s">
        <v>758</v>
      </c>
      <c r="N328" s="19">
        <v>46023</v>
      </c>
      <c r="O328" s="19" t="s">
        <v>616</v>
      </c>
    </row>
    <row r="329" spans="1:15" hidden="1" x14ac:dyDescent="0.25">
      <c r="A329">
        <v>328</v>
      </c>
      <c r="B329" t="str">
        <v>31-199</v>
      </c>
      <c r="C329">
        <v>31</v>
      </c>
      <c r="D329">
        <v>18</v>
      </c>
      <c r="E329">
        <v>199</v>
      </c>
      <c r="F329" t="s">
        <v>900</v>
      </c>
      <c r="G329" t="s">
        <v>544</v>
      </c>
      <c r="I329" s="61">
        <v>8.5</v>
      </c>
      <c r="K329">
        <v>2550</v>
      </c>
      <c r="L329">
        <v>12</v>
      </c>
      <c r="M329" t="s">
        <v>758</v>
      </c>
      <c r="N329" s="19">
        <v>46023</v>
      </c>
      <c r="O329" s="19" t="s">
        <v>616</v>
      </c>
    </row>
    <row r="330" spans="1:15" hidden="1" x14ac:dyDescent="0.25">
      <c r="A330">
        <v>329</v>
      </c>
      <c r="B330" t="str">
        <v>31-200</v>
      </c>
      <c r="C330">
        <v>31</v>
      </c>
      <c r="D330">
        <v>18</v>
      </c>
      <c r="E330">
        <v>200</v>
      </c>
      <c r="F330" t="s">
        <v>903</v>
      </c>
      <c r="G330" t="s">
        <v>543</v>
      </c>
      <c r="I330" s="61">
        <v>89.285714285714292</v>
      </c>
      <c r="J330">
        <v>28</v>
      </c>
      <c r="K330">
        <v>2500</v>
      </c>
      <c r="L330">
        <v>12</v>
      </c>
      <c r="M330" t="s">
        <v>182</v>
      </c>
      <c r="N330" s="19">
        <v>46023</v>
      </c>
      <c r="O330" s="19" t="s">
        <v>616</v>
      </c>
    </row>
    <row r="331" spans="1:15" hidden="1" x14ac:dyDescent="0.25">
      <c r="A331">
        <v>330</v>
      </c>
      <c r="B331" t="str">
        <v>31-201</v>
      </c>
      <c r="C331">
        <v>31</v>
      </c>
      <c r="D331">
        <v>18</v>
      </c>
      <c r="E331">
        <v>201</v>
      </c>
      <c r="F331" t="s">
        <v>907</v>
      </c>
      <c r="G331" t="s">
        <v>544</v>
      </c>
      <c r="I331" s="61">
        <v>8.9285714285714288</v>
      </c>
      <c r="K331">
        <v>2500</v>
      </c>
      <c r="L331">
        <v>12</v>
      </c>
      <c r="M331" t="s">
        <v>182</v>
      </c>
      <c r="N331" s="19">
        <v>46023</v>
      </c>
      <c r="O331" s="19" t="s">
        <v>616</v>
      </c>
    </row>
    <row r="332" spans="1:15" hidden="1" x14ac:dyDescent="0.25">
      <c r="A332">
        <v>331</v>
      </c>
      <c r="B332" t="str">
        <v>31-202</v>
      </c>
      <c r="C332">
        <v>31</v>
      </c>
      <c r="D332">
        <v>19</v>
      </c>
      <c r="E332">
        <v>202</v>
      </c>
      <c r="F332" s="67" t="s">
        <v>910</v>
      </c>
      <c r="G332" t="s">
        <v>543</v>
      </c>
      <c r="I332">
        <f>K332/J332</f>
        <v>160.71428571428572</v>
      </c>
      <c r="J332">
        <v>28</v>
      </c>
      <c r="K332">
        <v>4500</v>
      </c>
      <c r="M332" t="s">
        <v>786</v>
      </c>
      <c r="N332" s="19">
        <v>46054</v>
      </c>
      <c r="O332" s="19" t="s">
        <v>1431</v>
      </c>
    </row>
    <row r="333" spans="1:15" hidden="1" x14ac:dyDescent="0.25">
      <c r="A333">
        <v>332</v>
      </c>
      <c r="B333" t="str">
        <v>31-203</v>
      </c>
      <c r="C333">
        <v>31</v>
      </c>
      <c r="D333">
        <v>19</v>
      </c>
      <c r="E333">
        <v>203</v>
      </c>
      <c r="F333" s="67" t="s">
        <v>912</v>
      </c>
      <c r="G333" t="s">
        <v>544</v>
      </c>
      <c r="I333">
        <f>K333/J333/10</f>
        <v>16.071428571428573</v>
      </c>
      <c r="J333">
        <v>28</v>
      </c>
      <c r="K333">
        <v>4500</v>
      </c>
      <c r="M333" t="s">
        <v>786</v>
      </c>
      <c r="N333" s="19">
        <v>46054</v>
      </c>
      <c r="O333" s="19" t="s">
        <v>1431</v>
      </c>
    </row>
    <row r="334" spans="1:15" hidden="1" x14ac:dyDescent="0.25">
      <c r="A334">
        <v>333</v>
      </c>
      <c r="B334" t="str">
        <v>51-8</v>
      </c>
      <c r="C334">
        <v>51</v>
      </c>
      <c r="D334">
        <v>6</v>
      </c>
      <c r="E334">
        <v>8</v>
      </c>
      <c r="F334" t="s">
        <v>914</v>
      </c>
      <c r="G334" t="s">
        <v>84</v>
      </c>
      <c r="I334">
        <v>2300</v>
      </c>
      <c r="J334">
        <v>30</v>
      </c>
      <c r="K334">
        <v>2300</v>
      </c>
      <c r="M334" t="s">
        <v>789</v>
      </c>
      <c r="N334" s="19">
        <v>46054</v>
      </c>
      <c r="O334" s="19" t="s">
        <v>1431</v>
      </c>
    </row>
    <row r="335" spans="1:15" hidden="1" x14ac:dyDescent="0.25">
      <c r="A335">
        <v>334</v>
      </c>
      <c r="B335" t="str">
        <v>51-9</v>
      </c>
      <c r="C335">
        <v>51</v>
      </c>
      <c r="D335">
        <v>6</v>
      </c>
      <c r="E335">
        <v>9</v>
      </c>
      <c r="F335" t="s">
        <v>916</v>
      </c>
      <c r="G335" t="s">
        <v>84</v>
      </c>
      <c r="I335">
        <v>2300</v>
      </c>
      <c r="J335">
        <v>30</v>
      </c>
      <c r="K335">
        <v>2300</v>
      </c>
      <c r="M335" t="s">
        <v>791</v>
      </c>
      <c r="N335" s="19">
        <v>46054</v>
      </c>
      <c r="O335" s="19" t="s">
        <v>1431</v>
      </c>
    </row>
    <row r="336" spans="1:15" hidden="1" x14ac:dyDescent="0.25">
      <c r="A336">
        <v>335</v>
      </c>
      <c r="B336" t="str">
        <v>51-10</v>
      </c>
      <c r="C336">
        <v>51</v>
      </c>
      <c r="D336">
        <v>6</v>
      </c>
      <c r="E336">
        <v>10</v>
      </c>
      <c r="F336" t="s">
        <v>918</v>
      </c>
      <c r="G336" t="s">
        <v>84</v>
      </c>
      <c r="I336">
        <v>2300</v>
      </c>
      <c r="J336">
        <v>30</v>
      </c>
      <c r="K336">
        <v>2300</v>
      </c>
      <c r="M336" t="s">
        <v>791</v>
      </c>
      <c r="N336" s="19">
        <v>46054</v>
      </c>
      <c r="O336" s="19" t="s">
        <v>1431</v>
      </c>
    </row>
    <row r="337" spans="1:15" hidden="1" x14ac:dyDescent="0.25">
      <c r="A337">
        <v>336</v>
      </c>
      <c r="B337" t="str">
        <v>173-1</v>
      </c>
      <c r="C337">
        <v>173</v>
      </c>
      <c r="D337">
        <v>1</v>
      </c>
      <c r="E337">
        <v>1</v>
      </c>
      <c r="F337" t="s">
        <v>796</v>
      </c>
      <c r="G337" t="s">
        <v>543</v>
      </c>
      <c r="I337" s="61">
        <v>357.14285714285717</v>
      </c>
      <c r="K337">
        <v>10000</v>
      </c>
      <c r="M337" t="s">
        <v>795</v>
      </c>
      <c r="N337" s="19">
        <v>46054</v>
      </c>
      <c r="O337" s="19" t="s">
        <v>628</v>
      </c>
    </row>
    <row r="338" spans="1:15" hidden="1" x14ac:dyDescent="0.25">
      <c r="A338">
        <v>337</v>
      </c>
      <c r="B338" t="str">
        <v>173-1</v>
      </c>
      <c r="C338">
        <v>173</v>
      </c>
      <c r="D338">
        <v>1</v>
      </c>
      <c r="E338">
        <v>1</v>
      </c>
      <c r="F338" t="s">
        <v>797</v>
      </c>
      <c r="G338" t="s">
        <v>544</v>
      </c>
      <c r="I338" s="61">
        <v>35.714285714285701</v>
      </c>
      <c r="K338">
        <v>10000</v>
      </c>
      <c r="M338" t="s">
        <v>795</v>
      </c>
      <c r="N338" s="19">
        <v>46054</v>
      </c>
      <c r="O338" s="19" t="s">
        <v>628</v>
      </c>
    </row>
    <row r="339" spans="1:15" hidden="1" x14ac:dyDescent="0.25">
      <c r="A339">
        <v>338</v>
      </c>
      <c r="B339" t="str">
        <v>182-1</v>
      </c>
      <c r="C339">
        <v>182</v>
      </c>
      <c r="D339">
        <v>1</v>
      </c>
      <c r="E339">
        <v>1</v>
      </c>
      <c r="F339" t="s">
        <v>1163</v>
      </c>
      <c r="G339" t="s">
        <v>543</v>
      </c>
      <c r="I339" s="61">
        <f>K339/J339</f>
        <v>214.28571428571428</v>
      </c>
      <c r="J339">
        <v>28</v>
      </c>
      <c r="K339">
        <v>6000</v>
      </c>
      <c r="M339" t="s">
        <v>798</v>
      </c>
      <c r="N339" s="19">
        <v>46054</v>
      </c>
      <c r="O339" s="19" t="s">
        <v>1431</v>
      </c>
    </row>
    <row r="340" spans="1:15" hidden="1" x14ac:dyDescent="0.25">
      <c r="A340">
        <v>339</v>
      </c>
      <c r="B340" t="str">
        <v>182-2</v>
      </c>
      <c r="C340">
        <v>182</v>
      </c>
      <c r="D340">
        <v>1</v>
      </c>
      <c r="E340">
        <v>2</v>
      </c>
      <c r="F340" t="s">
        <v>1161</v>
      </c>
      <c r="G340" t="s">
        <v>543</v>
      </c>
      <c r="I340" s="61">
        <f>K340/J340</f>
        <v>196.42857142857142</v>
      </c>
      <c r="J340">
        <v>28</v>
      </c>
      <c r="K340">
        <v>5500</v>
      </c>
      <c r="M340" t="s">
        <v>799</v>
      </c>
      <c r="N340" s="19">
        <v>46054</v>
      </c>
      <c r="O340" s="19" t="s">
        <v>1431</v>
      </c>
    </row>
    <row r="341" spans="1:15" hidden="1" x14ac:dyDescent="0.25">
      <c r="A341">
        <v>340</v>
      </c>
      <c r="B341" t="str">
        <v>110-R-2</v>
      </c>
      <c r="C341">
        <v>110</v>
      </c>
      <c r="D341">
        <v>0</v>
      </c>
      <c r="E341" t="s">
        <v>324</v>
      </c>
      <c r="F341" t="s">
        <v>623</v>
      </c>
      <c r="G341" t="s">
        <v>133</v>
      </c>
      <c r="I341" s="61">
        <v>-1.1000000000000001</v>
      </c>
      <c r="M341" t="s">
        <v>525</v>
      </c>
      <c r="N341" s="19">
        <v>46054</v>
      </c>
    </row>
    <row r="342" spans="1:15" hidden="1" x14ac:dyDescent="0.25">
      <c r="A342">
        <v>341</v>
      </c>
      <c r="B342" t="str">
        <v>31-204</v>
      </c>
      <c r="C342">
        <v>31</v>
      </c>
      <c r="D342">
        <v>19</v>
      </c>
      <c r="E342">
        <v>204</v>
      </c>
      <c r="F342" t="s">
        <v>1434</v>
      </c>
      <c r="G342" t="s">
        <v>543</v>
      </c>
      <c r="I342" s="61">
        <v>62.5</v>
      </c>
      <c r="J342">
        <v>28</v>
      </c>
      <c r="K342">
        <v>1750</v>
      </c>
      <c r="L342">
        <v>15</v>
      </c>
      <c r="M342" t="s">
        <v>1131</v>
      </c>
      <c r="N342" s="19">
        <v>46054</v>
      </c>
      <c r="O342" s="19" t="s">
        <v>616</v>
      </c>
    </row>
    <row r="343" spans="1:15" hidden="1" x14ac:dyDescent="0.25">
      <c r="A343">
        <v>342</v>
      </c>
      <c r="B343" t="str">
        <v>31-205</v>
      </c>
      <c r="C343">
        <v>31</v>
      </c>
      <c r="D343">
        <v>19</v>
      </c>
      <c r="E343">
        <v>205</v>
      </c>
      <c r="F343" t="s">
        <v>1435</v>
      </c>
      <c r="G343" t="s">
        <v>544</v>
      </c>
      <c r="I343" s="61">
        <v>6.25</v>
      </c>
      <c r="J343">
        <v>28</v>
      </c>
      <c r="K343">
        <v>1750</v>
      </c>
      <c r="L343">
        <v>15</v>
      </c>
      <c r="M343" t="s">
        <v>1131</v>
      </c>
      <c r="N343" s="19">
        <v>46054</v>
      </c>
      <c r="O343" s="19" t="s">
        <v>616</v>
      </c>
    </row>
    <row r="344" spans="1:15" hidden="1" x14ac:dyDescent="0.25">
      <c r="A344">
        <v>343</v>
      </c>
      <c r="B344" t="str">
        <v>31-206</v>
      </c>
      <c r="C344">
        <v>31</v>
      </c>
      <c r="D344">
        <v>19</v>
      </c>
      <c r="E344">
        <v>206</v>
      </c>
      <c r="F344" t="s">
        <v>1436</v>
      </c>
      <c r="G344" t="s">
        <v>543</v>
      </c>
      <c r="I344" s="61">
        <v>62.5</v>
      </c>
      <c r="J344">
        <v>28</v>
      </c>
      <c r="K344">
        <v>1750</v>
      </c>
      <c r="L344">
        <v>15</v>
      </c>
      <c r="M344" t="s">
        <v>1125</v>
      </c>
      <c r="N344" s="19">
        <v>46054</v>
      </c>
      <c r="O344" s="19" t="s">
        <v>616</v>
      </c>
    </row>
    <row r="345" spans="1:15" hidden="1" x14ac:dyDescent="0.25">
      <c r="A345">
        <v>344</v>
      </c>
      <c r="B345" t="str">
        <v>31-207</v>
      </c>
      <c r="C345">
        <v>31</v>
      </c>
      <c r="D345">
        <v>19</v>
      </c>
      <c r="E345">
        <v>207</v>
      </c>
      <c r="F345" t="s">
        <v>1437</v>
      </c>
      <c r="G345" t="s">
        <v>544</v>
      </c>
      <c r="I345" s="61">
        <v>6.25</v>
      </c>
      <c r="J345">
        <v>28</v>
      </c>
      <c r="K345">
        <v>1750</v>
      </c>
      <c r="L345">
        <v>15</v>
      </c>
      <c r="M345" t="s">
        <v>1125</v>
      </c>
      <c r="N345" s="19">
        <v>46054</v>
      </c>
      <c r="O345" s="19" t="s">
        <v>616</v>
      </c>
    </row>
    <row r="346" spans="1:15" hidden="1" x14ac:dyDescent="0.25">
      <c r="A346">
        <v>345</v>
      </c>
      <c r="B346" t="str">
        <v>31-208</v>
      </c>
      <c r="C346">
        <v>31</v>
      </c>
      <c r="D346">
        <v>19</v>
      </c>
      <c r="E346">
        <v>208</v>
      </c>
      <c r="F346" t="s">
        <v>1438</v>
      </c>
      <c r="G346" t="s">
        <v>543</v>
      </c>
      <c r="I346" s="61">
        <v>62.5</v>
      </c>
      <c r="J346">
        <v>28</v>
      </c>
      <c r="K346">
        <v>1750</v>
      </c>
      <c r="L346">
        <v>15</v>
      </c>
      <c r="M346" t="s">
        <v>1126</v>
      </c>
      <c r="N346" s="19">
        <v>46054</v>
      </c>
      <c r="O346" s="19" t="s">
        <v>616</v>
      </c>
    </row>
    <row r="347" spans="1:15" hidden="1" x14ac:dyDescent="0.25">
      <c r="A347">
        <v>346</v>
      </c>
      <c r="B347" t="str">
        <v>31-209</v>
      </c>
      <c r="C347">
        <v>31</v>
      </c>
      <c r="D347">
        <v>19</v>
      </c>
      <c r="E347">
        <v>209</v>
      </c>
      <c r="F347" t="s">
        <v>1439</v>
      </c>
      <c r="G347" t="s">
        <v>544</v>
      </c>
      <c r="I347" s="61">
        <v>6.25</v>
      </c>
      <c r="J347">
        <v>28</v>
      </c>
      <c r="K347">
        <v>1750</v>
      </c>
      <c r="L347">
        <v>15</v>
      </c>
      <c r="M347" t="s">
        <v>1126</v>
      </c>
      <c r="N347" s="19">
        <v>46054</v>
      </c>
      <c r="O347" s="19" t="s">
        <v>616</v>
      </c>
    </row>
    <row r="348" spans="1:15" hidden="1" x14ac:dyDescent="0.25">
      <c r="A348">
        <v>347</v>
      </c>
      <c r="B348" t="str">
        <v>85-3</v>
      </c>
      <c r="C348">
        <v>85</v>
      </c>
      <c r="D348">
        <v>1</v>
      </c>
      <c r="E348">
        <v>3</v>
      </c>
      <c r="F348" t="s">
        <v>479</v>
      </c>
      <c r="G348" t="s">
        <v>543</v>
      </c>
      <c r="I348" s="61">
        <v>392.85714285714283</v>
      </c>
      <c r="K348">
        <v>11000</v>
      </c>
      <c r="M348" t="s">
        <v>481</v>
      </c>
      <c r="N348" s="19">
        <v>46054</v>
      </c>
      <c r="O348" s="19" t="s">
        <v>628</v>
      </c>
    </row>
    <row r="349" spans="1:15" hidden="1" x14ac:dyDescent="0.25">
      <c r="A349">
        <v>348</v>
      </c>
      <c r="B349" t="str">
        <v>85-4</v>
      </c>
      <c r="C349">
        <v>85</v>
      </c>
      <c r="D349">
        <v>1</v>
      </c>
      <c r="E349">
        <v>4</v>
      </c>
      <c r="F349" t="s">
        <v>480</v>
      </c>
      <c r="G349" t="s">
        <v>544</v>
      </c>
      <c r="I349" s="61">
        <v>39.285714285714285</v>
      </c>
      <c r="K349">
        <v>11000</v>
      </c>
      <c r="M349" t="s">
        <v>481</v>
      </c>
      <c r="N349" s="19">
        <v>46054</v>
      </c>
      <c r="O349" s="19" t="s">
        <v>628</v>
      </c>
    </row>
    <row r="350" spans="1:15" hidden="1" x14ac:dyDescent="0.25">
      <c r="A350">
        <v>349</v>
      </c>
      <c r="B350" t="str">
        <v>179-1</v>
      </c>
      <c r="C350">
        <v>179</v>
      </c>
      <c r="D350">
        <v>1</v>
      </c>
      <c r="E350">
        <v>1</v>
      </c>
      <c r="F350" t="s">
        <v>1150</v>
      </c>
      <c r="G350" t="s">
        <v>543</v>
      </c>
      <c r="I350" s="61">
        <v>178.57142857142858</v>
      </c>
      <c r="J350">
        <v>28</v>
      </c>
      <c r="K350">
        <v>5000</v>
      </c>
      <c r="M350" t="s">
        <v>1151</v>
      </c>
      <c r="N350" s="19">
        <v>46054</v>
      </c>
      <c r="O350" s="19" t="s">
        <v>1146</v>
      </c>
    </row>
    <row r="351" spans="1:15" hidden="1" x14ac:dyDescent="0.25">
      <c r="A351">
        <v>350</v>
      </c>
      <c r="B351" t="str">
        <v>14-20</v>
      </c>
      <c r="C351">
        <v>14</v>
      </c>
      <c r="D351">
        <v>3</v>
      </c>
      <c r="E351">
        <v>20</v>
      </c>
      <c r="F351" t="s">
        <v>1152</v>
      </c>
      <c r="G351" t="s">
        <v>544</v>
      </c>
      <c r="I351" s="61">
        <v>1.5</v>
      </c>
      <c r="N351" s="19">
        <v>45652</v>
      </c>
    </row>
    <row r="352" spans="1:15" hidden="1" x14ac:dyDescent="0.25">
      <c r="A352">
        <v>351</v>
      </c>
      <c r="B352" t="str">
        <v>11-10</v>
      </c>
      <c r="C352">
        <v>11</v>
      </c>
      <c r="D352">
        <v>10</v>
      </c>
      <c r="E352">
        <v>10</v>
      </c>
      <c r="F352" t="s">
        <v>1154</v>
      </c>
      <c r="G352" t="s">
        <v>1153</v>
      </c>
      <c r="I352" s="61">
        <v>67</v>
      </c>
      <c r="N352" s="19">
        <v>46054</v>
      </c>
    </row>
    <row r="353" spans="1:15" hidden="1" x14ac:dyDescent="0.25">
      <c r="A353">
        <v>352</v>
      </c>
      <c r="B353" t="str">
        <v>11-11</v>
      </c>
      <c r="C353">
        <v>11</v>
      </c>
      <c r="D353">
        <v>10</v>
      </c>
      <c r="E353">
        <v>11</v>
      </c>
      <c r="F353" t="s">
        <v>1155</v>
      </c>
      <c r="G353" t="s">
        <v>1153</v>
      </c>
      <c r="I353" s="61">
        <v>62</v>
      </c>
      <c r="N353" s="19">
        <v>46054</v>
      </c>
    </row>
    <row r="354" spans="1:15" hidden="1" x14ac:dyDescent="0.25">
      <c r="A354">
        <v>353</v>
      </c>
      <c r="B354" t="str">
        <v>11-12</v>
      </c>
      <c r="C354">
        <v>11</v>
      </c>
      <c r="D354">
        <v>10</v>
      </c>
      <c r="E354">
        <v>12</v>
      </c>
      <c r="F354" t="s">
        <v>1156</v>
      </c>
      <c r="G354" t="s">
        <v>1153</v>
      </c>
      <c r="I354" s="61">
        <v>67</v>
      </c>
      <c r="N354" s="19">
        <v>46054</v>
      </c>
    </row>
    <row r="355" spans="1:15" hidden="1" x14ac:dyDescent="0.25">
      <c r="A355">
        <v>354</v>
      </c>
      <c r="B355" t="str">
        <v>11-13</v>
      </c>
      <c r="C355">
        <v>11</v>
      </c>
      <c r="D355">
        <v>10</v>
      </c>
      <c r="E355">
        <v>13</v>
      </c>
      <c r="F355" t="s">
        <v>1157</v>
      </c>
      <c r="G355" t="s">
        <v>1153</v>
      </c>
      <c r="I355" s="61">
        <v>75</v>
      </c>
      <c r="N355" s="19">
        <v>46054</v>
      </c>
    </row>
    <row r="356" spans="1:15" hidden="1" x14ac:dyDescent="0.25">
      <c r="A356">
        <v>355</v>
      </c>
      <c r="B356" t="str">
        <v>11-14</v>
      </c>
      <c r="C356">
        <v>11</v>
      </c>
      <c r="D356">
        <v>10</v>
      </c>
      <c r="E356">
        <v>14</v>
      </c>
      <c r="F356" t="s">
        <v>1158</v>
      </c>
      <c r="G356" t="s">
        <v>1153</v>
      </c>
      <c r="I356" s="61">
        <v>58</v>
      </c>
      <c r="N356" s="19">
        <v>46054</v>
      </c>
    </row>
    <row r="357" spans="1:15" hidden="1" x14ac:dyDescent="0.25">
      <c r="A357">
        <v>356</v>
      </c>
      <c r="B357" t="str">
        <v>100-2</v>
      </c>
      <c r="C357">
        <v>100</v>
      </c>
      <c r="D357">
        <v>1</v>
      </c>
      <c r="E357">
        <v>2</v>
      </c>
      <c r="F357" t="s">
        <v>1159</v>
      </c>
      <c r="G357" t="s">
        <v>543</v>
      </c>
      <c r="I357" s="61">
        <f>K357/28</f>
        <v>196.42857142857142</v>
      </c>
      <c r="K357">
        <v>5500</v>
      </c>
      <c r="M357" t="s">
        <v>1144</v>
      </c>
      <c r="N357" s="19">
        <v>46082</v>
      </c>
      <c r="O357" s="19" t="s">
        <v>627</v>
      </c>
    </row>
    <row r="358" spans="1:15" hidden="1" x14ac:dyDescent="0.25">
      <c r="A358">
        <v>357</v>
      </c>
      <c r="B358" t="str">
        <v>95-2</v>
      </c>
      <c r="C358">
        <v>95</v>
      </c>
      <c r="D358">
        <v>1</v>
      </c>
      <c r="E358">
        <v>2</v>
      </c>
      <c r="F358" t="s">
        <v>1160</v>
      </c>
      <c r="G358" t="s">
        <v>544</v>
      </c>
      <c r="I358" s="61">
        <f>285.71/10</f>
        <v>28.570999999999998</v>
      </c>
      <c r="M358" t="s">
        <v>494</v>
      </c>
      <c r="N358" s="19">
        <v>45839</v>
      </c>
      <c r="O358" s="19" t="s">
        <v>627</v>
      </c>
    </row>
    <row r="359" spans="1:15" hidden="1" x14ac:dyDescent="0.25">
      <c r="A359">
        <v>358</v>
      </c>
      <c r="B359" t="str">
        <v>150-2</v>
      </c>
      <c r="C359">
        <v>150</v>
      </c>
      <c r="E359">
        <v>2</v>
      </c>
      <c r="F359" t="s">
        <v>919</v>
      </c>
      <c r="G359" t="s">
        <v>535</v>
      </c>
      <c r="I359" s="61">
        <v>270</v>
      </c>
      <c r="N359" s="19">
        <v>45989</v>
      </c>
    </row>
    <row r="360" spans="1:15" hidden="1" x14ac:dyDescent="0.25">
      <c r="A360">
        <v>359</v>
      </c>
      <c r="B360" t="str">
        <v>182-3</v>
      </c>
      <c r="C360">
        <v>182</v>
      </c>
      <c r="D360">
        <v>1</v>
      </c>
      <c r="E360">
        <v>3</v>
      </c>
      <c r="F360" t="s">
        <v>1163</v>
      </c>
      <c r="G360" t="s">
        <v>543</v>
      </c>
      <c r="I360" s="61">
        <f>K360/J360</f>
        <v>196.42857142857142</v>
      </c>
      <c r="J360">
        <v>28</v>
      </c>
      <c r="K360">
        <v>5500</v>
      </c>
      <c r="M360" t="s">
        <v>798</v>
      </c>
      <c r="N360" s="19">
        <v>46082</v>
      </c>
      <c r="O360" s="19" t="s">
        <v>1431</v>
      </c>
    </row>
    <row r="361" spans="1:15" hidden="1" x14ac:dyDescent="0.25">
      <c r="A361">
        <v>360</v>
      </c>
      <c r="B361" t="str">
        <v>182-4</v>
      </c>
      <c r="C361">
        <v>182</v>
      </c>
      <c r="D361">
        <v>1</v>
      </c>
      <c r="E361">
        <v>4</v>
      </c>
      <c r="F361" t="s">
        <v>1161</v>
      </c>
      <c r="G361" t="s">
        <v>543</v>
      </c>
      <c r="I361" s="61">
        <f>K361/J361</f>
        <v>214.28571428571428</v>
      </c>
      <c r="J361">
        <v>28</v>
      </c>
      <c r="K361">
        <v>6000</v>
      </c>
      <c r="M361" t="s">
        <v>799</v>
      </c>
      <c r="N361" s="19">
        <v>46082</v>
      </c>
      <c r="O361" s="19" t="s">
        <v>1431</v>
      </c>
    </row>
    <row r="362" spans="1:15" hidden="1" x14ac:dyDescent="0.25">
      <c r="A362">
        <v>361</v>
      </c>
      <c r="B362" t="str">
        <v>182-5</v>
      </c>
      <c r="C362">
        <v>182</v>
      </c>
      <c r="D362">
        <v>1</v>
      </c>
      <c r="E362">
        <v>5</v>
      </c>
      <c r="F362" t="s">
        <v>1162</v>
      </c>
      <c r="G362" t="s">
        <v>544</v>
      </c>
      <c r="I362" s="61">
        <f>K362/J362/10</f>
        <v>21.428571428571427</v>
      </c>
      <c r="J362">
        <v>28</v>
      </c>
      <c r="K362">
        <v>6000</v>
      </c>
      <c r="M362" t="s">
        <v>799</v>
      </c>
      <c r="N362" s="19">
        <v>46082</v>
      </c>
      <c r="O362" s="19" t="s">
        <v>1431</v>
      </c>
    </row>
    <row r="363" spans="1:15" hidden="1" x14ac:dyDescent="0.25">
      <c r="A363">
        <v>362</v>
      </c>
      <c r="B363" t="str">
        <v>182-R-1</v>
      </c>
      <c r="C363">
        <v>182</v>
      </c>
      <c r="D363">
        <v>0</v>
      </c>
      <c r="E363" t="s">
        <v>315</v>
      </c>
      <c r="F363" t="s">
        <v>1166</v>
      </c>
      <c r="G363" t="s">
        <v>325</v>
      </c>
      <c r="I363" s="61">
        <v>-1</v>
      </c>
      <c r="N363" s="19">
        <v>46082</v>
      </c>
      <c r="O363" s="19" t="s">
        <v>616</v>
      </c>
    </row>
    <row r="364" spans="1:15" hidden="1" x14ac:dyDescent="0.25">
      <c r="A364">
        <v>363</v>
      </c>
      <c r="B364" t="str">
        <v>31-210</v>
      </c>
      <c r="C364">
        <v>31</v>
      </c>
      <c r="D364">
        <v>20</v>
      </c>
      <c r="E364">
        <v>210</v>
      </c>
      <c r="F364" t="s">
        <v>1440</v>
      </c>
      <c r="G364" t="s">
        <v>543</v>
      </c>
      <c r="I364" s="61">
        <v>63.333333333333336</v>
      </c>
      <c r="J364">
        <v>30</v>
      </c>
      <c r="K364">
        <v>1900</v>
      </c>
      <c r="M364" t="s">
        <v>1454</v>
      </c>
      <c r="N364" s="19">
        <v>46082</v>
      </c>
      <c r="O364" s="19" t="s">
        <v>616</v>
      </c>
    </row>
    <row r="365" spans="1:15" hidden="1" x14ac:dyDescent="0.25">
      <c r="A365">
        <v>364</v>
      </c>
      <c r="B365" t="str">
        <v>31-211</v>
      </c>
      <c r="C365">
        <v>31</v>
      </c>
      <c r="D365">
        <v>20</v>
      </c>
      <c r="E365">
        <v>211</v>
      </c>
      <c r="F365" t="s">
        <v>1441</v>
      </c>
      <c r="G365" t="s">
        <v>543</v>
      </c>
      <c r="I365" s="61">
        <v>62.5</v>
      </c>
      <c r="J365">
        <v>28</v>
      </c>
      <c r="K365">
        <v>1750</v>
      </c>
      <c r="M365" t="s">
        <v>1455</v>
      </c>
      <c r="N365" s="19">
        <v>46082</v>
      </c>
      <c r="O365" s="19" t="s">
        <v>616</v>
      </c>
    </row>
    <row r="366" spans="1:15" hidden="1" x14ac:dyDescent="0.25">
      <c r="A366">
        <v>365</v>
      </c>
      <c r="B366" t="str">
        <v>31-212</v>
      </c>
      <c r="C366">
        <v>31</v>
      </c>
      <c r="D366">
        <v>20</v>
      </c>
      <c r="E366">
        <v>212</v>
      </c>
      <c r="F366" t="s">
        <v>1442</v>
      </c>
      <c r="G366" t="s">
        <v>544</v>
      </c>
      <c r="I366" s="61">
        <v>6.25</v>
      </c>
      <c r="J366">
        <v>280</v>
      </c>
      <c r="K366">
        <v>1750</v>
      </c>
      <c r="M366" t="s">
        <v>1455</v>
      </c>
      <c r="N366" s="19">
        <v>46082</v>
      </c>
      <c r="O366" s="19" t="s">
        <v>616</v>
      </c>
    </row>
    <row r="367" spans="1:15" hidden="1" x14ac:dyDescent="0.25">
      <c r="A367">
        <v>366</v>
      </c>
      <c r="B367" t="str">
        <v>31-213</v>
      </c>
      <c r="C367">
        <v>31</v>
      </c>
      <c r="D367">
        <v>20</v>
      </c>
      <c r="E367">
        <v>213</v>
      </c>
      <c r="F367" t="s">
        <v>1443</v>
      </c>
      <c r="G367" t="s">
        <v>543</v>
      </c>
      <c r="I367" s="61">
        <v>78.571428571428569</v>
      </c>
      <c r="J367">
        <v>28</v>
      </c>
      <c r="K367">
        <v>2200</v>
      </c>
      <c r="M367" t="s">
        <v>1456</v>
      </c>
      <c r="N367" s="19">
        <v>46082</v>
      </c>
      <c r="O367" s="19" t="s">
        <v>616</v>
      </c>
    </row>
    <row r="368" spans="1:15" hidden="1" x14ac:dyDescent="0.25">
      <c r="A368">
        <v>367</v>
      </c>
      <c r="B368" t="str">
        <v>31-214</v>
      </c>
      <c r="C368">
        <v>31</v>
      </c>
      <c r="D368">
        <v>20</v>
      </c>
      <c r="E368">
        <v>214</v>
      </c>
      <c r="F368" t="s">
        <v>1444</v>
      </c>
      <c r="G368" t="s">
        <v>544</v>
      </c>
      <c r="I368" s="61">
        <v>7.8571428571428568</v>
      </c>
      <c r="J368">
        <v>280</v>
      </c>
      <c r="K368">
        <v>2200</v>
      </c>
      <c r="M368" t="s">
        <v>1456</v>
      </c>
      <c r="N368" s="19">
        <v>46082</v>
      </c>
      <c r="O368" s="19" t="s">
        <v>616</v>
      </c>
    </row>
    <row r="369" spans="1:15" x14ac:dyDescent="0.25">
      <c r="A369">
        <v>368</v>
      </c>
      <c r="B369" t="str">
        <v>31-215</v>
      </c>
      <c r="C369">
        <v>31</v>
      </c>
      <c r="D369">
        <v>20</v>
      </c>
      <c r="E369">
        <v>215</v>
      </c>
      <c r="F369" t="s">
        <v>1445</v>
      </c>
      <c r="G369" t="s">
        <v>543</v>
      </c>
      <c r="I369" s="61">
        <v>78.571428571428569</v>
      </c>
      <c r="J369">
        <v>28</v>
      </c>
      <c r="K369">
        <v>2200</v>
      </c>
      <c r="M369" t="s">
        <v>134</v>
      </c>
      <c r="N369" s="19">
        <v>46082</v>
      </c>
      <c r="O369" s="19" t="s">
        <v>616</v>
      </c>
    </row>
    <row r="370" spans="1:15" x14ac:dyDescent="0.25">
      <c r="A370">
        <v>369</v>
      </c>
      <c r="B370" t="str">
        <v>31-216</v>
      </c>
      <c r="C370">
        <v>31</v>
      </c>
      <c r="D370">
        <v>20</v>
      </c>
      <c r="E370">
        <v>216</v>
      </c>
      <c r="F370" t="s">
        <v>1446</v>
      </c>
      <c r="G370" t="s">
        <v>544</v>
      </c>
      <c r="I370" s="61">
        <v>7.8571428571428568</v>
      </c>
      <c r="J370">
        <v>280</v>
      </c>
      <c r="K370">
        <v>2200</v>
      </c>
      <c r="M370" t="s">
        <v>134</v>
      </c>
      <c r="N370" s="19">
        <v>46082</v>
      </c>
      <c r="O370" s="19" t="s">
        <v>616</v>
      </c>
    </row>
    <row r="371" spans="1:15" hidden="1" x14ac:dyDescent="0.25">
      <c r="A371">
        <v>370</v>
      </c>
      <c r="B371" t="str">
        <v>31-217</v>
      </c>
      <c r="C371">
        <v>31</v>
      </c>
      <c r="D371">
        <v>20</v>
      </c>
      <c r="E371">
        <v>217</v>
      </c>
      <c r="F371" t="s">
        <v>1447</v>
      </c>
      <c r="G371" t="s">
        <v>543</v>
      </c>
      <c r="I371" s="61">
        <v>66.071428571428569</v>
      </c>
      <c r="J371">
        <v>28</v>
      </c>
      <c r="K371">
        <v>1850</v>
      </c>
      <c r="M371" t="s">
        <v>1457</v>
      </c>
      <c r="N371" s="19">
        <v>46082</v>
      </c>
      <c r="O371" s="19" t="s">
        <v>616</v>
      </c>
    </row>
    <row r="372" spans="1:15" hidden="1" x14ac:dyDescent="0.25">
      <c r="A372">
        <v>371</v>
      </c>
      <c r="B372" t="str">
        <v>31-218</v>
      </c>
      <c r="C372">
        <v>31</v>
      </c>
      <c r="D372">
        <v>20</v>
      </c>
      <c r="E372">
        <v>218</v>
      </c>
      <c r="F372" t="s">
        <v>1448</v>
      </c>
      <c r="G372" t="s">
        <v>544</v>
      </c>
      <c r="I372" s="61">
        <v>6.6071428571428568</v>
      </c>
      <c r="J372">
        <v>280</v>
      </c>
      <c r="K372">
        <v>1850</v>
      </c>
      <c r="M372" t="s">
        <v>1457</v>
      </c>
      <c r="N372" s="19">
        <v>46082</v>
      </c>
      <c r="O372" s="19" t="s">
        <v>616</v>
      </c>
    </row>
    <row r="373" spans="1:15" hidden="1" x14ac:dyDescent="0.25">
      <c r="A373">
        <v>372</v>
      </c>
      <c r="B373" t="str">
        <v>31-219</v>
      </c>
      <c r="C373">
        <v>31</v>
      </c>
      <c r="D373">
        <v>20</v>
      </c>
      <c r="E373">
        <v>219</v>
      </c>
      <c r="F373" t="s">
        <v>1449</v>
      </c>
      <c r="G373" t="s">
        <v>543</v>
      </c>
      <c r="I373" s="61">
        <v>66.071428571428569</v>
      </c>
      <c r="J373">
        <v>28</v>
      </c>
      <c r="K373">
        <v>1850</v>
      </c>
      <c r="M373" t="s">
        <v>1458</v>
      </c>
      <c r="N373" s="19">
        <v>46082</v>
      </c>
      <c r="O373" s="19" t="s">
        <v>616</v>
      </c>
    </row>
    <row r="374" spans="1:15" hidden="1" x14ac:dyDescent="0.25">
      <c r="A374">
        <v>373</v>
      </c>
      <c r="B374" t="str">
        <v>31-220</v>
      </c>
      <c r="C374">
        <v>31</v>
      </c>
      <c r="D374">
        <v>20</v>
      </c>
      <c r="E374">
        <v>220</v>
      </c>
      <c r="F374" t="s">
        <v>1450</v>
      </c>
      <c r="G374" t="s">
        <v>544</v>
      </c>
      <c r="I374" s="61">
        <v>6.6071428571428568</v>
      </c>
      <c r="J374">
        <v>280</v>
      </c>
      <c r="K374">
        <v>1850</v>
      </c>
      <c r="M374" t="s">
        <v>1458</v>
      </c>
      <c r="N374" s="19">
        <v>46082</v>
      </c>
      <c r="O374" s="19" t="s">
        <v>616</v>
      </c>
    </row>
    <row r="375" spans="1:15" hidden="1" x14ac:dyDescent="0.25">
      <c r="A375">
        <v>374</v>
      </c>
      <c r="B375" t="str">
        <v>31-221</v>
      </c>
      <c r="C375">
        <v>31</v>
      </c>
      <c r="D375">
        <v>20</v>
      </c>
      <c r="E375">
        <v>221</v>
      </c>
      <c r="F375" t="s">
        <v>1451</v>
      </c>
      <c r="G375" t="s">
        <v>543</v>
      </c>
      <c r="I375" s="61">
        <v>55.357142857142854</v>
      </c>
      <c r="J375">
        <v>28</v>
      </c>
      <c r="K375">
        <v>1550</v>
      </c>
      <c r="M375" t="s">
        <v>1459</v>
      </c>
      <c r="N375" s="19">
        <v>46082</v>
      </c>
      <c r="O375" s="19" t="s">
        <v>616</v>
      </c>
    </row>
    <row r="376" spans="1:15" hidden="1" x14ac:dyDescent="0.25">
      <c r="A376">
        <v>375</v>
      </c>
      <c r="B376" t="str">
        <v>31-222</v>
      </c>
      <c r="C376">
        <v>31</v>
      </c>
      <c r="D376">
        <v>20</v>
      </c>
      <c r="E376">
        <v>222</v>
      </c>
      <c r="F376" t="s">
        <v>1452</v>
      </c>
      <c r="G376" t="s">
        <v>542</v>
      </c>
      <c r="I376" s="61">
        <v>99.642857142857139</v>
      </c>
      <c r="J376">
        <v>28</v>
      </c>
      <c r="K376">
        <v>2790</v>
      </c>
      <c r="M376" t="s">
        <v>1459</v>
      </c>
      <c r="N376" s="19">
        <v>46082</v>
      </c>
      <c r="O376" s="19" t="s">
        <v>616</v>
      </c>
    </row>
    <row r="377" spans="1:15" hidden="1" x14ac:dyDescent="0.25">
      <c r="A377">
        <v>376</v>
      </c>
      <c r="B377" t="str">
        <v>31-223</v>
      </c>
      <c r="C377">
        <v>31</v>
      </c>
      <c r="D377">
        <v>20</v>
      </c>
      <c r="E377">
        <v>223</v>
      </c>
      <c r="F377" t="s">
        <v>1453</v>
      </c>
      <c r="G377" t="s">
        <v>544</v>
      </c>
      <c r="I377" s="61">
        <v>5.5357142857142856</v>
      </c>
      <c r="J377">
        <v>280</v>
      </c>
      <c r="K377">
        <v>1550</v>
      </c>
      <c r="M377" t="s">
        <v>1459</v>
      </c>
      <c r="N377" s="19">
        <v>46082</v>
      </c>
      <c r="O377" s="19" t="s">
        <v>616</v>
      </c>
    </row>
  </sheetData>
  <autoFilter ref="A1:O377" xr:uid="{E8600010-9B2F-4050-BAA6-80AF808BAB53}">
    <filterColumn colId="12">
      <filters>
        <filter val="99LT168"/>
      </filters>
    </filterColumn>
  </autoFilter>
  <phoneticPr fontId="15" type="noConversion"/>
  <conditionalFormatting sqref="F1:F172 F180:F300 F305:F331 F334:F338 F341:F359 F363:F1048576">
    <cfRule type="duplicateValues" dxfId="2" priority="47"/>
  </conditionalFormatting>
  <conditionalFormatting sqref="M241:M293">
    <cfRule type="duplicateValues" dxfId="1" priority="21"/>
  </conditionalFormatting>
  <conditionalFormatting sqref="R1:R1048576">
    <cfRule type="duplicateValues" dxfId="0" priority="1"/>
  </conditionalFormatting>
  <dataValidations disablePrompts="1" count="1">
    <dataValidation type="list" allowBlank="1" showInputMessage="1" showErrorMessage="1" sqref="M149:M156" xr:uid="{A259BE84-144E-43E1-9E0B-67AC735FCA21}">
      <formula1>$R:$R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32AC-7F6A-473A-A693-E61BB51AD79F}">
  <sheetPr codeName="Sheet10"/>
  <dimension ref="A1:G855"/>
  <sheetViews>
    <sheetView workbookViewId="0">
      <pane ySplit="1" topLeftCell="A841" activePane="bottomLeft" state="frozen"/>
      <selection activeCell="O1" sqref="O1"/>
      <selection pane="bottomLeft" activeCell="O1" sqref="O1"/>
    </sheetView>
  </sheetViews>
  <sheetFormatPr defaultRowHeight="15" x14ac:dyDescent="0.25"/>
  <cols>
    <col min="1" max="1" width="12.5703125" style="109" customWidth="1"/>
    <col min="3" max="3" width="11" bestFit="1" customWidth="1"/>
    <col min="4" max="5" width="12" customWidth="1"/>
  </cols>
  <sheetData>
    <row r="1" spans="1:6" x14ac:dyDescent="0.25">
      <c r="A1" s="110" t="s">
        <v>322</v>
      </c>
      <c r="B1" s="20" t="s">
        <v>779</v>
      </c>
      <c r="C1" s="111" t="s">
        <v>604</v>
      </c>
      <c r="D1" s="111" t="s">
        <v>323</v>
      </c>
      <c r="E1" s="111" t="s">
        <v>610</v>
      </c>
      <c r="F1" s="20" t="s">
        <v>781</v>
      </c>
    </row>
    <row r="2" spans="1:6" x14ac:dyDescent="0.25">
      <c r="A2" s="109">
        <v>45992</v>
      </c>
      <c r="B2">
        <v>31</v>
      </c>
      <c r="C2" t="s">
        <v>353</v>
      </c>
      <c r="D2">
        <v>28</v>
      </c>
      <c r="E2" cm="1">
        <f t="array" ref="E2:E301">D2:D301*1</f>
        <v>28</v>
      </c>
    </row>
    <row r="3" spans="1:6" x14ac:dyDescent="0.25">
      <c r="A3" s="109">
        <v>45992</v>
      </c>
      <c r="B3">
        <v>31</v>
      </c>
      <c r="C3" t="s">
        <v>155</v>
      </c>
      <c r="D3">
        <v>65</v>
      </c>
      <c r="E3">
        <v>65</v>
      </c>
    </row>
    <row r="4" spans="1:6" x14ac:dyDescent="0.25">
      <c r="A4" s="109">
        <v>45992</v>
      </c>
      <c r="B4">
        <v>31</v>
      </c>
      <c r="C4" t="s">
        <v>174</v>
      </c>
      <c r="D4">
        <v>55</v>
      </c>
      <c r="E4">
        <v>55</v>
      </c>
    </row>
    <row r="5" spans="1:6" x14ac:dyDescent="0.25">
      <c r="A5" s="109">
        <v>45992</v>
      </c>
      <c r="B5">
        <v>31</v>
      </c>
      <c r="C5" t="s">
        <v>181</v>
      </c>
      <c r="D5">
        <v>66</v>
      </c>
      <c r="E5">
        <v>66</v>
      </c>
    </row>
    <row r="6" spans="1:6" x14ac:dyDescent="0.25">
      <c r="A6" s="109">
        <v>45992</v>
      </c>
      <c r="B6">
        <v>31</v>
      </c>
      <c r="C6" t="s">
        <v>162</v>
      </c>
      <c r="D6">
        <v>52</v>
      </c>
      <c r="E6">
        <v>52</v>
      </c>
    </row>
    <row r="7" spans="1:6" x14ac:dyDescent="0.25">
      <c r="A7" s="109">
        <v>45992</v>
      </c>
      <c r="B7">
        <v>31</v>
      </c>
      <c r="C7" t="s">
        <v>164</v>
      </c>
      <c r="D7">
        <v>46</v>
      </c>
      <c r="E7">
        <v>46</v>
      </c>
    </row>
    <row r="8" spans="1:6" x14ac:dyDescent="0.25">
      <c r="A8" s="109">
        <v>45992</v>
      </c>
      <c r="B8">
        <v>31</v>
      </c>
      <c r="C8" t="s">
        <v>176</v>
      </c>
      <c r="D8">
        <v>33</v>
      </c>
      <c r="E8">
        <v>33</v>
      </c>
    </row>
    <row r="9" spans="1:6" x14ac:dyDescent="0.25">
      <c r="A9" s="109">
        <v>45992</v>
      </c>
      <c r="B9">
        <v>31</v>
      </c>
      <c r="C9" t="s">
        <v>163</v>
      </c>
      <c r="D9">
        <v>49</v>
      </c>
      <c r="E9">
        <v>49</v>
      </c>
    </row>
    <row r="10" spans="1:6" x14ac:dyDescent="0.25">
      <c r="A10" s="109">
        <v>45992</v>
      </c>
      <c r="B10">
        <v>31</v>
      </c>
      <c r="C10" t="s">
        <v>154</v>
      </c>
      <c r="D10">
        <v>42</v>
      </c>
      <c r="E10">
        <v>42</v>
      </c>
    </row>
    <row r="11" spans="1:6" x14ac:dyDescent="0.25">
      <c r="A11" s="109">
        <v>45992</v>
      </c>
      <c r="B11">
        <v>31</v>
      </c>
      <c r="C11" t="s">
        <v>142</v>
      </c>
      <c r="D11">
        <v>15</v>
      </c>
      <c r="E11">
        <v>15</v>
      </c>
    </row>
    <row r="12" spans="1:6" x14ac:dyDescent="0.25">
      <c r="A12" s="109">
        <v>45993</v>
      </c>
      <c r="B12">
        <v>31</v>
      </c>
      <c r="C12" t="s">
        <v>161</v>
      </c>
      <c r="D12">
        <v>53</v>
      </c>
      <c r="E12">
        <v>53</v>
      </c>
    </row>
    <row r="13" spans="1:6" x14ac:dyDescent="0.25">
      <c r="A13" s="109">
        <v>45993</v>
      </c>
      <c r="B13">
        <v>31</v>
      </c>
      <c r="C13" t="s">
        <v>171</v>
      </c>
      <c r="D13">
        <v>38</v>
      </c>
      <c r="E13">
        <v>38</v>
      </c>
    </row>
    <row r="14" spans="1:6" x14ac:dyDescent="0.25">
      <c r="A14" s="109">
        <v>45993</v>
      </c>
      <c r="B14">
        <v>31</v>
      </c>
      <c r="C14" t="s">
        <v>175</v>
      </c>
      <c r="D14">
        <v>80</v>
      </c>
      <c r="E14">
        <v>80</v>
      </c>
    </row>
    <row r="15" spans="1:6" x14ac:dyDescent="0.25">
      <c r="A15" s="109">
        <v>45993</v>
      </c>
      <c r="B15">
        <v>31</v>
      </c>
      <c r="C15" t="s">
        <v>172</v>
      </c>
      <c r="D15">
        <v>47</v>
      </c>
      <c r="E15">
        <v>47</v>
      </c>
    </row>
    <row r="16" spans="1:6" x14ac:dyDescent="0.25">
      <c r="A16" s="109">
        <v>45993</v>
      </c>
      <c r="B16">
        <v>31</v>
      </c>
      <c r="C16" t="s">
        <v>179</v>
      </c>
      <c r="D16">
        <v>46</v>
      </c>
      <c r="E16">
        <v>46</v>
      </c>
    </row>
    <row r="17" spans="1:5" x14ac:dyDescent="0.25">
      <c r="A17" s="109">
        <v>45993</v>
      </c>
      <c r="B17">
        <v>31</v>
      </c>
      <c r="C17" t="s">
        <v>184</v>
      </c>
      <c r="D17">
        <v>48</v>
      </c>
      <c r="E17">
        <v>48</v>
      </c>
    </row>
    <row r="18" spans="1:5" x14ac:dyDescent="0.25">
      <c r="A18" s="109">
        <v>45993</v>
      </c>
      <c r="B18">
        <v>31</v>
      </c>
      <c r="C18" t="s">
        <v>174</v>
      </c>
      <c r="D18">
        <v>25</v>
      </c>
      <c r="E18">
        <v>25</v>
      </c>
    </row>
    <row r="19" spans="1:5" x14ac:dyDescent="0.25">
      <c r="A19" s="109">
        <v>45993</v>
      </c>
      <c r="B19">
        <v>31</v>
      </c>
      <c r="C19" t="s">
        <v>176</v>
      </c>
      <c r="D19">
        <v>19</v>
      </c>
      <c r="E19">
        <v>19</v>
      </c>
    </row>
    <row r="20" spans="1:5" x14ac:dyDescent="0.25">
      <c r="A20" s="109">
        <v>45993</v>
      </c>
      <c r="B20">
        <v>31</v>
      </c>
      <c r="C20" t="s">
        <v>156</v>
      </c>
      <c r="D20">
        <v>59</v>
      </c>
      <c r="E20">
        <v>59</v>
      </c>
    </row>
    <row r="21" spans="1:5" x14ac:dyDescent="0.25">
      <c r="A21" s="109">
        <v>45994</v>
      </c>
      <c r="B21">
        <v>31</v>
      </c>
      <c r="C21" t="s">
        <v>178</v>
      </c>
      <c r="D21">
        <v>76</v>
      </c>
      <c r="E21">
        <v>76</v>
      </c>
    </row>
    <row r="22" spans="1:5" x14ac:dyDescent="0.25">
      <c r="A22" s="109">
        <v>45994</v>
      </c>
      <c r="B22">
        <v>31</v>
      </c>
      <c r="C22" t="s">
        <v>177</v>
      </c>
      <c r="D22">
        <v>46</v>
      </c>
      <c r="E22">
        <v>46</v>
      </c>
    </row>
    <row r="23" spans="1:5" x14ac:dyDescent="0.25">
      <c r="A23" s="109">
        <v>45994</v>
      </c>
      <c r="B23">
        <v>31</v>
      </c>
      <c r="C23" t="s">
        <v>144</v>
      </c>
      <c r="D23">
        <v>59</v>
      </c>
      <c r="E23">
        <v>59</v>
      </c>
    </row>
    <row r="24" spans="1:5" x14ac:dyDescent="0.25">
      <c r="A24" s="109">
        <v>45994</v>
      </c>
      <c r="B24">
        <v>31</v>
      </c>
      <c r="C24" t="s">
        <v>163</v>
      </c>
      <c r="D24">
        <v>44</v>
      </c>
      <c r="E24">
        <v>44</v>
      </c>
    </row>
    <row r="25" spans="1:5" x14ac:dyDescent="0.25">
      <c r="A25" s="109">
        <v>45994</v>
      </c>
      <c r="B25">
        <v>31</v>
      </c>
      <c r="C25" t="s">
        <v>168</v>
      </c>
      <c r="D25">
        <v>50</v>
      </c>
      <c r="E25">
        <v>50</v>
      </c>
    </row>
    <row r="26" spans="1:5" x14ac:dyDescent="0.25">
      <c r="A26" s="109">
        <v>45994</v>
      </c>
      <c r="B26">
        <v>31</v>
      </c>
      <c r="C26" t="s">
        <v>174</v>
      </c>
      <c r="D26">
        <v>46</v>
      </c>
      <c r="E26">
        <v>46</v>
      </c>
    </row>
    <row r="27" spans="1:5" x14ac:dyDescent="0.25">
      <c r="A27" s="109">
        <v>45994</v>
      </c>
      <c r="B27">
        <v>31</v>
      </c>
      <c r="C27" t="s">
        <v>159</v>
      </c>
      <c r="D27">
        <v>35</v>
      </c>
      <c r="E27">
        <v>35</v>
      </c>
    </row>
    <row r="28" spans="1:5" x14ac:dyDescent="0.25">
      <c r="A28" s="109">
        <v>45995</v>
      </c>
      <c r="B28">
        <v>31</v>
      </c>
      <c r="C28" t="s">
        <v>352</v>
      </c>
      <c r="D28">
        <v>29</v>
      </c>
      <c r="E28">
        <v>29</v>
      </c>
    </row>
    <row r="29" spans="1:5" x14ac:dyDescent="0.25">
      <c r="A29" s="109">
        <v>45995</v>
      </c>
      <c r="B29">
        <v>31</v>
      </c>
      <c r="C29" t="s">
        <v>167</v>
      </c>
      <c r="D29">
        <v>47</v>
      </c>
      <c r="E29">
        <v>47</v>
      </c>
    </row>
    <row r="30" spans="1:5" x14ac:dyDescent="0.25">
      <c r="A30" s="109">
        <v>45995</v>
      </c>
      <c r="B30">
        <v>31</v>
      </c>
      <c r="C30" t="s">
        <v>159</v>
      </c>
      <c r="D30">
        <v>10</v>
      </c>
      <c r="E30">
        <v>10</v>
      </c>
    </row>
    <row r="31" spans="1:5" x14ac:dyDescent="0.25">
      <c r="A31" s="109">
        <v>45995</v>
      </c>
      <c r="B31">
        <v>31</v>
      </c>
      <c r="C31" t="s">
        <v>151</v>
      </c>
      <c r="D31">
        <v>54</v>
      </c>
      <c r="E31">
        <v>54</v>
      </c>
    </row>
    <row r="32" spans="1:5" x14ac:dyDescent="0.25">
      <c r="A32" s="109">
        <v>45995</v>
      </c>
      <c r="B32">
        <v>31</v>
      </c>
      <c r="C32" t="s">
        <v>155</v>
      </c>
      <c r="D32">
        <v>57</v>
      </c>
      <c r="E32">
        <v>57</v>
      </c>
    </row>
    <row r="33" spans="1:5" x14ac:dyDescent="0.25">
      <c r="A33" s="109">
        <v>45995</v>
      </c>
      <c r="B33">
        <v>31</v>
      </c>
      <c r="C33" t="s">
        <v>163</v>
      </c>
      <c r="D33">
        <v>45</v>
      </c>
      <c r="E33">
        <v>45</v>
      </c>
    </row>
    <row r="34" spans="1:5" x14ac:dyDescent="0.25">
      <c r="A34" s="109">
        <v>45995</v>
      </c>
      <c r="B34">
        <v>31</v>
      </c>
      <c r="C34" t="s">
        <v>354</v>
      </c>
      <c r="D34">
        <v>56</v>
      </c>
      <c r="E34">
        <v>56</v>
      </c>
    </row>
    <row r="35" spans="1:5" x14ac:dyDescent="0.25">
      <c r="A35" s="109">
        <v>45995</v>
      </c>
      <c r="B35">
        <v>31</v>
      </c>
      <c r="C35" t="s">
        <v>176</v>
      </c>
      <c r="D35">
        <v>35</v>
      </c>
      <c r="E35">
        <v>35</v>
      </c>
    </row>
    <row r="36" spans="1:5" x14ac:dyDescent="0.25">
      <c r="A36" s="109">
        <v>45995</v>
      </c>
      <c r="B36">
        <v>31</v>
      </c>
      <c r="C36" t="s">
        <v>162</v>
      </c>
      <c r="D36">
        <v>51</v>
      </c>
      <c r="E36">
        <v>51</v>
      </c>
    </row>
    <row r="37" spans="1:5" x14ac:dyDescent="0.25">
      <c r="A37" s="109">
        <v>45995</v>
      </c>
      <c r="B37">
        <v>31</v>
      </c>
      <c r="C37" t="s">
        <v>156</v>
      </c>
      <c r="D37">
        <v>43</v>
      </c>
      <c r="E37">
        <v>43</v>
      </c>
    </row>
    <row r="38" spans="1:5" x14ac:dyDescent="0.25">
      <c r="A38" s="109">
        <v>45996</v>
      </c>
      <c r="B38">
        <v>31</v>
      </c>
      <c r="C38" t="s">
        <v>162</v>
      </c>
      <c r="D38">
        <v>62</v>
      </c>
      <c r="E38">
        <v>62</v>
      </c>
    </row>
    <row r="39" spans="1:5" x14ac:dyDescent="0.25">
      <c r="A39" s="109">
        <v>45996</v>
      </c>
      <c r="B39">
        <v>31</v>
      </c>
      <c r="C39" t="s">
        <v>355</v>
      </c>
      <c r="D39">
        <v>60</v>
      </c>
      <c r="E39">
        <v>60</v>
      </c>
    </row>
    <row r="40" spans="1:5" x14ac:dyDescent="0.25">
      <c r="A40" s="109">
        <v>45996</v>
      </c>
      <c r="B40">
        <v>31</v>
      </c>
      <c r="C40" t="s">
        <v>131</v>
      </c>
      <c r="D40">
        <v>51</v>
      </c>
      <c r="E40">
        <v>51</v>
      </c>
    </row>
    <row r="41" spans="1:5" x14ac:dyDescent="0.25">
      <c r="A41" s="109">
        <v>45996</v>
      </c>
      <c r="B41">
        <v>31</v>
      </c>
      <c r="C41" t="s">
        <v>174</v>
      </c>
      <c r="D41">
        <v>44</v>
      </c>
      <c r="E41">
        <v>44</v>
      </c>
    </row>
    <row r="42" spans="1:5" x14ac:dyDescent="0.25">
      <c r="A42" s="109">
        <v>45996</v>
      </c>
      <c r="B42">
        <v>31</v>
      </c>
      <c r="C42" t="s">
        <v>129</v>
      </c>
      <c r="D42">
        <v>63</v>
      </c>
      <c r="E42">
        <v>63</v>
      </c>
    </row>
    <row r="43" spans="1:5" x14ac:dyDescent="0.25">
      <c r="A43" s="109">
        <v>45996</v>
      </c>
      <c r="B43">
        <v>31</v>
      </c>
      <c r="C43" t="s">
        <v>169</v>
      </c>
      <c r="D43">
        <v>30</v>
      </c>
      <c r="E43">
        <v>30</v>
      </c>
    </row>
    <row r="44" spans="1:5" x14ac:dyDescent="0.25">
      <c r="A44" s="109">
        <v>45996</v>
      </c>
      <c r="B44">
        <v>31</v>
      </c>
      <c r="C44" t="s">
        <v>154</v>
      </c>
      <c r="D44">
        <v>19</v>
      </c>
      <c r="E44">
        <v>19</v>
      </c>
    </row>
    <row r="45" spans="1:5" x14ac:dyDescent="0.25">
      <c r="A45" s="109">
        <v>45997</v>
      </c>
      <c r="B45">
        <v>31</v>
      </c>
      <c r="C45" t="s">
        <v>142</v>
      </c>
      <c r="D45">
        <v>18</v>
      </c>
      <c r="E45">
        <v>18</v>
      </c>
    </row>
    <row r="46" spans="1:5" x14ac:dyDescent="0.25">
      <c r="A46" s="109">
        <v>45997</v>
      </c>
      <c r="B46">
        <v>31</v>
      </c>
      <c r="C46" t="s">
        <v>130</v>
      </c>
      <c r="D46">
        <v>20</v>
      </c>
      <c r="E46">
        <v>20</v>
      </c>
    </row>
    <row r="47" spans="1:5" x14ac:dyDescent="0.25">
      <c r="A47" s="109">
        <v>45997</v>
      </c>
      <c r="B47">
        <v>31</v>
      </c>
      <c r="C47" t="s">
        <v>161</v>
      </c>
      <c r="D47">
        <v>70</v>
      </c>
      <c r="E47">
        <v>70</v>
      </c>
    </row>
    <row r="48" spans="1:5" x14ac:dyDescent="0.25">
      <c r="A48" s="109">
        <v>45997</v>
      </c>
      <c r="B48">
        <v>31</v>
      </c>
      <c r="C48" t="s">
        <v>159</v>
      </c>
      <c r="D48">
        <v>30</v>
      </c>
      <c r="E48">
        <v>30</v>
      </c>
    </row>
    <row r="49" spans="1:5" x14ac:dyDescent="0.25">
      <c r="A49" s="109">
        <v>45997</v>
      </c>
      <c r="B49">
        <v>31</v>
      </c>
      <c r="C49" t="s">
        <v>179</v>
      </c>
      <c r="D49">
        <v>54</v>
      </c>
      <c r="E49">
        <v>54</v>
      </c>
    </row>
    <row r="50" spans="1:5" x14ac:dyDescent="0.25">
      <c r="A50" s="109">
        <v>45997</v>
      </c>
      <c r="B50">
        <v>31</v>
      </c>
      <c r="C50" t="s">
        <v>163</v>
      </c>
      <c r="D50">
        <v>44</v>
      </c>
      <c r="E50">
        <v>44</v>
      </c>
    </row>
    <row r="51" spans="1:5" x14ac:dyDescent="0.25">
      <c r="A51" s="109">
        <v>45997</v>
      </c>
      <c r="B51">
        <v>31</v>
      </c>
      <c r="C51" t="s">
        <v>174</v>
      </c>
      <c r="D51">
        <v>63</v>
      </c>
      <c r="E51">
        <v>63</v>
      </c>
    </row>
    <row r="52" spans="1:5" x14ac:dyDescent="0.25">
      <c r="A52" s="109">
        <v>45997</v>
      </c>
      <c r="B52">
        <v>31</v>
      </c>
      <c r="C52" t="s">
        <v>164</v>
      </c>
      <c r="D52">
        <v>30</v>
      </c>
      <c r="E52">
        <v>30</v>
      </c>
    </row>
    <row r="53" spans="1:5" x14ac:dyDescent="0.25">
      <c r="A53" s="109">
        <v>45997</v>
      </c>
      <c r="B53">
        <v>31</v>
      </c>
      <c r="C53" t="s">
        <v>167</v>
      </c>
      <c r="D53">
        <v>36</v>
      </c>
      <c r="E53">
        <v>36</v>
      </c>
    </row>
    <row r="54" spans="1:5" x14ac:dyDescent="0.25">
      <c r="A54" s="109">
        <v>45997</v>
      </c>
      <c r="B54">
        <v>31</v>
      </c>
      <c r="C54" t="s">
        <v>144</v>
      </c>
      <c r="D54">
        <v>60</v>
      </c>
      <c r="E54">
        <v>60</v>
      </c>
    </row>
    <row r="55" spans="1:5" x14ac:dyDescent="0.25">
      <c r="A55" s="109">
        <v>45997</v>
      </c>
      <c r="B55">
        <v>31</v>
      </c>
      <c r="C55" t="s">
        <v>162</v>
      </c>
      <c r="D55">
        <v>20</v>
      </c>
      <c r="E55">
        <v>20</v>
      </c>
    </row>
    <row r="56" spans="1:5" x14ac:dyDescent="0.25">
      <c r="A56" s="109">
        <v>45997</v>
      </c>
      <c r="B56">
        <v>31</v>
      </c>
      <c r="C56" t="s">
        <v>180</v>
      </c>
      <c r="D56">
        <v>67</v>
      </c>
      <c r="E56">
        <v>67</v>
      </c>
    </row>
    <row r="57" spans="1:5" x14ac:dyDescent="0.25">
      <c r="A57" s="109">
        <v>45997</v>
      </c>
      <c r="B57">
        <v>31</v>
      </c>
      <c r="C57" t="s">
        <v>176</v>
      </c>
      <c r="D57">
        <v>32</v>
      </c>
      <c r="E57">
        <v>32</v>
      </c>
    </row>
    <row r="58" spans="1:5" x14ac:dyDescent="0.25">
      <c r="A58" s="109">
        <v>45998</v>
      </c>
      <c r="B58">
        <v>31</v>
      </c>
      <c r="C58" t="s">
        <v>155</v>
      </c>
      <c r="D58">
        <v>59</v>
      </c>
      <c r="E58">
        <v>59</v>
      </c>
    </row>
    <row r="59" spans="1:5" x14ac:dyDescent="0.25">
      <c r="A59" s="109">
        <v>45998</v>
      </c>
      <c r="B59">
        <v>31</v>
      </c>
      <c r="C59" t="s">
        <v>177</v>
      </c>
      <c r="D59">
        <v>40</v>
      </c>
      <c r="E59">
        <v>40</v>
      </c>
    </row>
    <row r="60" spans="1:5" x14ac:dyDescent="0.25">
      <c r="A60" s="109">
        <v>45998</v>
      </c>
      <c r="B60">
        <v>31</v>
      </c>
      <c r="C60" t="s">
        <v>353</v>
      </c>
      <c r="D60">
        <v>29</v>
      </c>
      <c r="E60">
        <v>29</v>
      </c>
    </row>
    <row r="61" spans="1:5" x14ac:dyDescent="0.25">
      <c r="A61" s="109">
        <v>45998</v>
      </c>
      <c r="B61">
        <v>31</v>
      </c>
      <c r="C61" t="s">
        <v>181</v>
      </c>
      <c r="D61">
        <v>47</v>
      </c>
      <c r="E61">
        <v>47</v>
      </c>
    </row>
    <row r="62" spans="1:5" x14ac:dyDescent="0.25">
      <c r="A62" s="109">
        <v>45998</v>
      </c>
      <c r="B62">
        <v>31</v>
      </c>
      <c r="C62" t="s">
        <v>163</v>
      </c>
      <c r="D62">
        <v>32</v>
      </c>
      <c r="E62">
        <v>32</v>
      </c>
    </row>
    <row r="63" spans="1:5" x14ac:dyDescent="0.25">
      <c r="A63" s="109">
        <v>45999</v>
      </c>
      <c r="B63">
        <v>31</v>
      </c>
      <c r="C63" t="s">
        <v>171</v>
      </c>
      <c r="D63">
        <v>40</v>
      </c>
      <c r="E63">
        <v>40</v>
      </c>
    </row>
    <row r="64" spans="1:5" x14ac:dyDescent="0.25">
      <c r="A64" s="109">
        <v>45999</v>
      </c>
      <c r="B64">
        <v>31</v>
      </c>
      <c r="C64" t="s">
        <v>162</v>
      </c>
      <c r="D64">
        <v>66</v>
      </c>
      <c r="E64">
        <v>66</v>
      </c>
    </row>
    <row r="65" spans="1:5" x14ac:dyDescent="0.25">
      <c r="A65" s="109">
        <v>45999</v>
      </c>
      <c r="B65">
        <v>31</v>
      </c>
      <c r="C65" t="s">
        <v>352</v>
      </c>
      <c r="D65">
        <v>53</v>
      </c>
      <c r="E65">
        <v>53</v>
      </c>
    </row>
    <row r="66" spans="1:5" x14ac:dyDescent="0.25">
      <c r="A66" s="109">
        <v>45999</v>
      </c>
      <c r="B66">
        <v>31</v>
      </c>
      <c r="C66" t="s">
        <v>168</v>
      </c>
      <c r="D66">
        <v>51</v>
      </c>
      <c r="E66">
        <v>51</v>
      </c>
    </row>
    <row r="67" spans="1:5" x14ac:dyDescent="0.25">
      <c r="A67" s="109">
        <v>45999</v>
      </c>
      <c r="B67">
        <v>31</v>
      </c>
      <c r="C67" t="s">
        <v>184</v>
      </c>
      <c r="D67">
        <v>56</v>
      </c>
      <c r="E67">
        <v>56</v>
      </c>
    </row>
    <row r="68" spans="1:5" x14ac:dyDescent="0.25">
      <c r="A68" s="109">
        <v>45999</v>
      </c>
      <c r="B68">
        <v>31</v>
      </c>
      <c r="C68" t="s">
        <v>163</v>
      </c>
      <c r="D68">
        <v>48</v>
      </c>
      <c r="E68">
        <v>48</v>
      </c>
    </row>
    <row r="69" spans="1:5" x14ac:dyDescent="0.25">
      <c r="A69" s="109">
        <v>45999</v>
      </c>
      <c r="B69">
        <v>31</v>
      </c>
      <c r="C69" t="s">
        <v>174</v>
      </c>
      <c r="D69">
        <v>76</v>
      </c>
      <c r="E69">
        <v>76</v>
      </c>
    </row>
    <row r="70" spans="1:5" x14ac:dyDescent="0.25">
      <c r="A70" s="109">
        <v>45999</v>
      </c>
      <c r="B70">
        <v>31</v>
      </c>
      <c r="C70" t="s">
        <v>354</v>
      </c>
      <c r="D70">
        <v>55</v>
      </c>
      <c r="E70">
        <v>55</v>
      </c>
    </row>
    <row r="71" spans="1:5" x14ac:dyDescent="0.25">
      <c r="A71" s="109">
        <v>45999</v>
      </c>
      <c r="B71">
        <v>31</v>
      </c>
      <c r="C71" t="s">
        <v>156</v>
      </c>
      <c r="D71">
        <v>72</v>
      </c>
      <c r="E71">
        <v>72</v>
      </c>
    </row>
    <row r="72" spans="1:5" x14ac:dyDescent="0.25">
      <c r="A72" s="109">
        <v>45999</v>
      </c>
      <c r="B72">
        <v>31</v>
      </c>
      <c r="C72" t="s">
        <v>169</v>
      </c>
      <c r="D72">
        <v>60</v>
      </c>
      <c r="E72">
        <v>60</v>
      </c>
    </row>
    <row r="73" spans="1:5" x14ac:dyDescent="0.25">
      <c r="A73" s="109">
        <v>45999</v>
      </c>
      <c r="B73">
        <v>31</v>
      </c>
      <c r="C73" t="s">
        <v>142</v>
      </c>
      <c r="D73">
        <v>16</v>
      </c>
      <c r="E73">
        <v>16</v>
      </c>
    </row>
    <row r="74" spans="1:5" x14ac:dyDescent="0.25">
      <c r="A74" s="109">
        <v>46000</v>
      </c>
      <c r="B74">
        <v>31</v>
      </c>
      <c r="C74" t="s">
        <v>144</v>
      </c>
      <c r="D74">
        <v>60</v>
      </c>
      <c r="E74">
        <v>60</v>
      </c>
    </row>
    <row r="75" spans="1:5" x14ac:dyDescent="0.25">
      <c r="A75" s="109">
        <v>46000</v>
      </c>
      <c r="B75">
        <v>31</v>
      </c>
      <c r="C75" t="s">
        <v>172</v>
      </c>
      <c r="D75">
        <v>46</v>
      </c>
      <c r="E75">
        <v>46</v>
      </c>
    </row>
    <row r="76" spans="1:5" x14ac:dyDescent="0.25">
      <c r="A76" s="109">
        <v>46000</v>
      </c>
      <c r="B76">
        <v>31</v>
      </c>
      <c r="C76" t="s">
        <v>177</v>
      </c>
      <c r="D76">
        <v>34</v>
      </c>
      <c r="E76">
        <v>34</v>
      </c>
    </row>
    <row r="77" spans="1:5" x14ac:dyDescent="0.25">
      <c r="A77" s="109">
        <v>46000</v>
      </c>
      <c r="B77">
        <v>31</v>
      </c>
      <c r="C77" t="s">
        <v>164</v>
      </c>
      <c r="D77">
        <v>41</v>
      </c>
      <c r="E77">
        <v>41</v>
      </c>
    </row>
    <row r="78" spans="1:5" x14ac:dyDescent="0.25">
      <c r="A78" s="109">
        <v>46000</v>
      </c>
      <c r="B78">
        <v>31</v>
      </c>
      <c r="C78" t="s">
        <v>131</v>
      </c>
      <c r="D78">
        <v>30</v>
      </c>
      <c r="E78">
        <v>30</v>
      </c>
    </row>
    <row r="79" spans="1:5" x14ac:dyDescent="0.25">
      <c r="A79" s="109">
        <v>46000</v>
      </c>
      <c r="B79">
        <v>31</v>
      </c>
      <c r="C79" t="s">
        <v>155</v>
      </c>
      <c r="D79">
        <v>47</v>
      </c>
      <c r="E79">
        <v>47</v>
      </c>
    </row>
    <row r="80" spans="1:5" x14ac:dyDescent="0.25">
      <c r="A80" s="109">
        <v>46000</v>
      </c>
      <c r="B80">
        <v>31</v>
      </c>
      <c r="C80" t="s">
        <v>179</v>
      </c>
      <c r="D80">
        <v>43</v>
      </c>
      <c r="E80">
        <v>43</v>
      </c>
    </row>
    <row r="81" spans="1:5" x14ac:dyDescent="0.25">
      <c r="A81" s="109">
        <v>46000</v>
      </c>
      <c r="B81">
        <v>31</v>
      </c>
      <c r="C81" t="s">
        <v>176</v>
      </c>
      <c r="D81">
        <v>63</v>
      </c>
      <c r="E81">
        <v>63</v>
      </c>
    </row>
    <row r="82" spans="1:5" x14ac:dyDescent="0.25">
      <c r="A82" s="109">
        <v>46000</v>
      </c>
      <c r="B82">
        <v>31</v>
      </c>
      <c r="C82" t="s">
        <v>174</v>
      </c>
      <c r="D82">
        <v>41</v>
      </c>
      <c r="E82">
        <v>41</v>
      </c>
    </row>
    <row r="83" spans="1:5" x14ac:dyDescent="0.25">
      <c r="A83" s="109">
        <v>46000</v>
      </c>
      <c r="B83">
        <v>31</v>
      </c>
      <c r="C83" t="s">
        <v>167</v>
      </c>
      <c r="D83">
        <v>39</v>
      </c>
      <c r="E83">
        <v>39</v>
      </c>
    </row>
    <row r="84" spans="1:5" x14ac:dyDescent="0.25">
      <c r="A84" s="109">
        <v>46001</v>
      </c>
      <c r="B84">
        <v>31</v>
      </c>
      <c r="C84" t="s">
        <v>151</v>
      </c>
      <c r="D84">
        <v>70</v>
      </c>
      <c r="E84">
        <v>70</v>
      </c>
    </row>
    <row r="85" spans="1:5" x14ac:dyDescent="0.25">
      <c r="A85" s="109">
        <v>46001</v>
      </c>
      <c r="B85">
        <v>31</v>
      </c>
      <c r="C85" t="s">
        <v>129</v>
      </c>
      <c r="D85">
        <v>52</v>
      </c>
      <c r="E85">
        <v>52</v>
      </c>
    </row>
    <row r="86" spans="1:5" x14ac:dyDescent="0.25">
      <c r="A86" s="109">
        <v>46001</v>
      </c>
      <c r="B86">
        <v>31</v>
      </c>
      <c r="C86" t="s">
        <v>174</v>
      </c>
      <c r="D86">
        <v>26</v>
      </c>
      <c r="E86">
        <v>26</v>
      </c>
    </row>
    <row r="87" spans="1:5" x14ac:dyDescent="0.25">
      <c r="A87" s="109">
        <v>46001</v>
      </c>
      <c r="B87">
        <v>31</v>
      </c>
      <c r="C87" t="s">
        <v>159</v>
      </c>
      <c r="D87">
        <v>55</v>
      </c>
      <c r="E87">
        <v>55</v>
      </c>
    </row>
    <row r="88" spans="1:5" x14ac:dyDescent="0.25">
      <c r="A88" s="109">
        <v>46001</v>
      </c>
      <c r="B88">
        <v>31</v>
      </c>
      <c r="C88" t="s">
        <v>161</v>
      </c>
      <c r="D88">
        <v>66</v>
      </c>
      <c r="E88">
        <v>66</v>
      </c>
    </row>
    <row r="89" spans="1:5" x14ac:dyDescent="0.25">
      <c r="A89" s="109">
        <v>46001</v>
      </c>
      <c r="B89">
        <v>31</v>
      </c>
      <c r="C89" t="s">
        <v>164</v>
      </c>
      <c r="D89">
        <v>44</v>
      </c>
      <c r="E89">
        <v>44</v>
      </c>
    </row>
    <row r="90" spans="1:5" x14ac:dyDescent="0.25">
      <c r="A90" s="109">
        <v>46001</v>
      </c>
      <c r="B90">
        <v>31</v>
      </c>
      <c r="C90" t="s">
        <v>163</v>
      </c>
      <c r="D90">
        <v>36</v>
      </c>
      <c r="E90">
        <v>36</v>
      </c>
    </row>
    <row r="91" spans="1:5" x14ac:dyDescent="0.25">
      <c r="A91" s="109">
        <v>46001</v>
      </c>
      <c r="B91">
        <v>31</v>
      </c>
      <c r="C91" t="s">
        <v>142</v>
      </c>
      <c r="D91">
        <v>13</v>
      </c>
      <c r="E91">
        <v>13</v>
      </c>
    </row>
    <row r="92" spans="1:5" x14ac:dyDescent="0.25">
      <c r="A92" s="109">
        <v>46002</v>
      </c>
      <c r="B92">
        <v>31</v>
      </c>
      <c r="C92" t="s">
        <v>155</v>
      </c>
      <c r="D92">
        <v>63</v>
      </c>
      <c r="E92">
        <v>63</v>
      </c>
    </row>
    <row r="93" spans="1:5" x14ac:dyDescent="0.25">
      <c r="A93" s="109">
        <v>46002</v>
      </c>
      <c r="B93">
        <v>31</v>
      </c>
      <c r="C93" t="s">
        <v>153</v>
      </c>
      <c r="D93">
        <v>30</v>
      </c>
      <c r="E93">
        <v>30</v>
      </c>
    </row>
    <row r="94" spans="1:5" x14ac:dyDescent="0.25">
      <c r="A94" s="109">
        <v>46002</v>
      </c>
      <c r="B94">
        <v>31</v>
      </c>
      <c r="C94" t="s">
        <v>144</v>
      </c>
      <c r="D94">
        <v>54</v>
      </c>
      <c r="E94">
        <v>54</v>
      </c>
    </row>
    <row r="95" spans="1:5" x14ac:dyDescent="0.25">
      <c r="A95" s="109">
        <v>46002</v>
      </c>
      <c r="B95">
        <v>31</v>
      </c>
      <c r="C95" t="s">
        <v>156</v>
      </c>
      <c r="D95">
        <v>64</v>
      </c>
      <c r="E95">
        <v>64</v>
      </c>
    </row>
    <row r="96" spans="1:5" x14ac:dyDescent="0.25">
      <c r="A96" s="109">
        <v>46002</v>
      </c>
      <c r="B96">
        <v>31</v>
      </c>
      <c r="C96" t="s">
        <v>167</v>
      </c>
      <c r="D96">
        <v>20</v>
      </c>
      <c r="E96">
        <v>20</v>
      </c>
    </row>
    <row r="97" spans="1:5" x14ac:dyDescent="0.25">
      <c r="A97" s="109">
        <v>46002</v>
      </c>
      <c r="B97">
        <v>31</v>
      </c>
      <c r="C97" t="s">
        <v>181</v>
      </c>
      <c r="D97">
        <v>58</v>
      </c>
      <c r="E97">
        <v>58</v>
      </c>
    </row>
    <row r="98" spans="1:5" x14ac:dyDescent="0.25">
      <c r="A98" s="109">
        <v>46002</v>
      </c>
      <c r="B98">
        <v>31</v>
      </c>
      <c r="C98" t="s">
        <v>176</v>
      </c>
      <c r="D98">
        <v>65</v>
      </c>
      <c r="E98">
        <v>65</v>
      </c>
    </row>
    <row r="99" spans="1:5" x14ac:dyDescent="0.25">
      <c r="A99" s="109">
        <v>46003</v>
      </c>
      <c r="B99">
        <v>31</v>
      </c>
      <c r="C99" t="s">
        <v>175</v>
      </c>
      <c r="D99">
        <v>67</v>
      </c>
      <c r="E99">
        <v>67</v>
      </c>
    </row>
    <row r="100" spans="1:5" x14ac:dyDescent="0.25">
      <c r="A100" s="109">
        <v>46003</v>
      </c>
      <c r="B100">
        <v>31</v>
      </c>
      <c r="C100" t="s">
        <v>352</v>
      </c>
      <c r="D100">
        <v>37</v>
      </c>
      <c r="E100">
        <v>37</v>
      </c>
    </row>
    <row r="101" spans="1:5" x14ac:dyDescent="0.25">
      <c r="A101" s="109">
        <v>46003</v>
      </c>
      <c r="B101">
        <v>31</v>
      </c>
      <c r="C101" t="s">
        <v>169</v>
      </c>
      <c r="D101">
        <v>54</v>
      </c>
      <c r="E101">
        <v>54</v>
      </c>
    </row>
    <row r="102" spans="1:5" x14ac:dyDescent="0.25">
      <c r="A102" s="109">
        <v>46003</v>
      </c>
      <c r="B102">
        <v>31</v>
      </c>
      <c r="C102" t="s">
        <v>353</v>
      </c>
      <c r="D102">
        <v>30</v>
      </c>
      <c r="E102">
        <v>30</v>
      </c>
    </row>
    <row r="103" spans="1:5" x14ac:dyDescent="0.25">
      <c r="A103" s="109">
        <v>46003</v>
      </c>
      <c r="B103">
        <v>31</v>
      </c>
      <c r="C103" t="s">
        <v>174</v>
      </c>
      <c r="D103">
        <v>56</v>
      </c>
      <c r="E103">
        <v>56</v>
      </c>
    </row>
    <row r="104" spans="1:5" x14ac:dyDescent="0.25">
      <c r="A104" s="109">
        <v>46003</v>
      </c>
      <c r="B104">
        <v>31</v>
      </c>
      <c r="C104" t="s">
        <v>164</v>
      </c>
      <c r="D104">
        <v>42</v>
      </c>
      <c r="E104">
        <v>42</v>
      </c>
    </row>
    <row r="105" spans="1:5" x14ac:dyDescent="0.25">
      <c r="A105" s="109">
        <v>46003</v>
      </c>
      <c r="B105">
        <v>31</v>
      </c>
      <c r="C105" t="s">
        <v>177</v>
      </c>
      <c r="D105">
        <v>35</v>
      </c>
      <c r="E105">
        <v>35</v>
      </c>
    </row>
    <row r="106" spans="1:5" x14ac:dyDescent="0.25">
      <c r="A106" s="109">
        <v>46003</v>
      </c>
      <c r="B106">
        <v>31</v>
      </c>
      <c r="C106" t="s">
        <v>163</v>
      </c>
      <c r="D106">
        <v>54</v>
      </c>
      <c r="E106">
        <v>54</v>
      </c>
    </row>
    <row r="107" spans="1:5" x14ac:dyDescent="0.25">
      <c r="A107" s="109">
        <v>46003</v>
      </c>
      <c r="B107">
        <v>31</v>
      </c>
      <c r="C107" t="s">
        <v>144</v>
      </c>
      <c r="D107">
        <v>40</v>
      </c>
      <c r="E107">
        <v>40</v>
      </c>
    </row>
    <row r="108" spans="1:5" x14ac:dyDescent="0.25">
      <c r="A108" s="109">
        <v>46003</v>
      </c>
      <c r="B108">
        <v>31</v>
      </c>
      <c r="C108" t="s">
        <v>162</v>
      </c>
      <c r="D108">
        <v>34</v>
      </c>
      <c r="E108">
        <v>34</v>
      </c>
    </row>
    <row r="109" spans="1:5" x14ac:dyDescent="0.25">
      <c r="A109" s="109">
        <v>46003</v>
      </c>
      <c r="B109">
        <v>31</v>
      </c>
      <c r="C109" t="s">
        <v>142</v>
      </c>
      <c r="D109">
        <v>10</v>
      </c>
      <c r="E109">
        <v>10</v>
      </c>
    </row>
    <row r="110" spans="1:5" x14ac:dyDescent="0.25">
      <c r="A110" s="109">
        <v>46004</v>
      </c>
      <c r="B110">
        <v>31</v>
      </c>
      <c r="C110" t="s">
        <v>162</v>
      </c>
      <c r="D110">
        <v>30</v>
      </c>
      <c r="E110">
        <v>30</v>
      </c>
    </row>
    <row r="111" spans="1:5" x14ac:dyDescent="0.25">
      <c r="A111" s="109">
        <v>46004</v>
      </c>
      <c r="B111">
        <v>31</v>
      </c>
      <c r="C111" t="s">
        <v>155</v>
      </c>
      <c r="D111">
        <v>65</v>
      </c>
      <c r="E111">
        <v>65</v>
      </c>
    </row>
    <row r="112" spans="1:5" x14ac:dyDescent="0.25">
      <c r="A112" s="109">
        <v>46004</v>
      </c>
      <c r="B112">
        <v>31</v>
      </c>
      <c r="C112" t="s">
        <v>355</v>
      </c>
      <c r="D112">
        <v>57</v>
      </c>
      <c r="E112">
        <v>57</v>
      </c>
    </row>
    <row r="113" spans="1:5" x14ac:dyDescent="0.25">
      <c r="A113" s="109">
        <v>46004</v>
      </c>
      <c r="B113">
        <v>31</v>
      </c>
      <c r="C113" t="s">
        <v>179</v>
      </c>
      <c r="D113">
        <v>49</v>
      </c>
      <c r="E113">
        <v>49</v>
      </c>
    </row>
    <row r="114" spans="1:5" x14ac:dyDescent="0.25">
      <c r="A114" s="109">
        <v>46004</v>
      </c>
      <c r="B114">
        <v>31</v>
      </c>
      <c r="C114" t="s">
        <v>163</v>
      </c>
      <c r="D114">
        <v>46</v>
      </c>
      <c r="E114">
        <v>46</v>
      </c>
    </row>
    <row r="115" spans="1:5" x14ac:dyDescent="0.25">
      <c r="A115" s="109">
        <v>46004</v>
      </c>
      <c r="B115">
        <v>31</v>
      </c>
      <c r="C115" t="s">
        <v>172</v>
      </c>
      <c r="D115">
        <v>45</v>
      </c>
      <c r="E115">
        <v>45</v>
      </c>
    </row>
    <row r="116" spans="1:5" x14ac:dyDescent="0.25">
      <c r="A116" s="109">
        <v>46004</v>
      </c>
      <c r="B116">
        <v>31</v>
      </c>
      <c r="C116" t="s">
        <v>176</v>
      </c>
      <c r="D116">
        <v>56</v>
      </c>
      <c r="E116">
        <v>56</v>
      </c>
    </row>
    <row r="117" spans="1:5" x14ac:dyDescent="0.25">
      <c r="A117" s="109">
        <v>46004</v>
      </c>
      <c r="B117">
        <v>31</v>
      </c>
      <c r="C117" t="s">
        <v>180</v>
      </c>
      <c r="D117">
        <v>45</v>
      </c>
      <c r="E117">
        <v>45</v>
      </c>
    </row>
    <row r="118" spans="1:5" x14ac:dyDescent="0.25">
      <c r="A118" s="109">
        <v>46005</v>
      </c>
      <c r="B118">
        <v>31</v>
      </c>
      <c r="C118" t="s">
        <v>178</v>
      </c>
      <c r="D118">
        <v>65</v>
      </c>
      <c r="E118">
        <v>65</v>
      </c>
    </row>
    <row r="119" spans="1:5" x14ac:dyDescent="0.25">
      <c r="A119" s="109">
        <v>46005</v>
      </c>
      <c r="B119">
        <v>31</v>
      </c>
      <c r="C119" t="s">
        <v>159</v>
      </c>
      <c r="D119">
        <v>22</v>
      </c>
      <c r="E119">
        <v>22</v>
      </c>
    </row>
    <row r="120" spans="1:5" x14ac:dyDescent="0.25">
      <c r="A120" s="109">
        <v>46005</v>
      </c>
      <c r="B120">
        <v>31</v>
      </c>
      <c r="C120" t="s">
        <v>144</v>
      </c>
      <c r="D120">
        <v>30</v>
      </c>
      <c r="E120">
        <v>30</v>
      </c>
    </row>
    <row r="121" spans="1:5" x14ac:dyDescent="0.25">
      <c r="A121" s="109">
        <v>46005</v>
      </c>
      <c r="B121">
        <v>31</v>
      </c>
      <c r="C121" t="s">
        <v>162</v>
      </c>
      <c r="D121">
        <v>49</v>
      </c>
      <c r="E121">
        <v>49</v>
      </c>
    </row>
    <row r="122" spans="1:5" x14ac:dyDescent="0.25">
      <c r="A122" s="109">
        <v>46005</v>
      </c>
      <c r="B122">
        <v>31</v>
      </c>
      <c r="C122" t="s">
        <v>174</v>
      </c>
      <c r="D122">
        <v>75</v>
      </c>
      <c r="E122">
        <v>75</v>
      </c>
    </row>
    <row r="123" spans="1:5" x14ac:dyDescent="0.25">
      <c r="A123" s="109">
        <v>46005</v>
      </c>
      <c r="B123">
        <v>31</v>
      </c>
      <c r="C123" t="s">
        <v>354</v>
      </c>
      <c r="D123">
        <v>62</v>
      </c>
      <c r="E123">
        <v>62</v>
      </c>
    </row>
    <row r="124" spans="1:5" x14ac:dyDescent="0.25">
      <c r="A124" s="109">
        <v>46005</v>
      </c>
      <c r="B124">
        <v>31</v>
      </c>
      <c r="C124" t="s">
        <v>163</v>
      </c>
      <c r="D124">
        <v>27</v>
      </c>
      <c r="E124">
        <v>27</v>
      </c>
    </row>
    <row r="125" spans="1:5" x14ac:dyDescent="0.25">
      <c r="A125" s="109">
        <v>46005</v>
      </c>
      <c r="B125">
        <v>31</v>
      </c>
      <c r="C125" t="s">
        <v>177</v>
      </c>
      <c r="D125">
        <v>55</v>
      </c>
      <c r="E125">
        <v>55</v>
      </c>
    </row>
    <row r="126" spans="1:5" x14ac:dyDescent="0.25">
      <c r="A126" s="109">
        <v>46005</v>
      </c>
      <c r="B126">
        <v>31</v>
      </c>
      <c r="C126" t="s">
        <v>142</v>
      </c>
      <c r="D126">
        <v>13</v>
      </c>
      <c r="E126">
        <v>13</v>
      </c>
    </row>
    <row r="127" spans="1:5" x14ac:dyDescent="0.25">
      <c r="A127" s="109">
        <v>46005</v>
      </c>
      <c r="B127">
        <v>31</v>
      </c>
      <c r="C127" t="s">
        <v>161</v>
      </c>
      <c r="D127">
        <v>10</v>
      </c>
      <c r="E127">
        <v>10</v>
      </c>
    </row>
    <row r="128" spans="1:5" x14ac:dyDescent="0.25">
      <c r="A128" s="109">
        <v>46006</v>
      </c>
      <c r="B128">
        <v>31</v>
      </c>
      <c r="C128" t="s">
        <v>154</v>
      </c>
      <c r="D128">
        <v>20</v>
      </c>
      <c r="E128">
        <v>20</v>
      </c>
    </row>
    <row r="129" spans="1:5" x14ac:dyDescent="0.25">
      <c r="A129" s="109">
        <v>46006</v>
      </c>
      <c r="B129">
        <v>31</v>
      </c>
      <c r="C129" t="s">
        <v>156</v>
      </c>
      <c r="D129">
        <v>51</v>
      </c>
      <c r="E129">
        <v>51</v>
      </c>
    </row>
    <row r="130" spans="1:5" x14ac:dyDescent="0.25">
      <c r="A130" s="109">
        <v>46006</v>
      </c>
      <c r="B130">
        <v>31</v>
      </c>
      <c r="C130" t="s">
        <v>168</v>
      </c>
      <c r="D130">
        <v>39</v>
      </c>
      <c r="E130">
        <v>39</v>
      </c>
    </row>
    <row r="131" spans="1:5" x14ac:dyDescent="0.25">
      <c r="A131" s="109">
        <v>46006</v>
      </c>
      <c r="B131">
        <v>31</v>
      </c>
      <c r="C131" t="s">
        <v>129</v>
      </c>
      <c r="D131">
        <v>55</v>
      </c>
      <c r="E131">
        <v>55</v>
      </c>
    </row>
    <row r="132" spans="1:5" x14ac:dyDescent="0.25">
      <c r="A132" s="109">
        <v>46006</v>
      </c>
      <c r="B132">
        <v>31</v>
      </c>
      <c r="C132" t="s">
        <v>153</v>
      </c>
      <c r="D132">
        <v>31</v>
      </c>
      <c r="E132">
        <v>31</v>
      </c>
    </row>
    <row r="133" spans="1:5" x14ac:dyDescent="0.25">
      <c r="A133" s="109">
        <v>46006</v>
      </c>
      <c r="B133">
        <v>31</v>
      </c>
      <c r="C133" t="s">
        <v>162</v>
      </c>
      <c r="D133">
        <v>68</v>
      </c>
      <c r="E133">
        <v>68</v>
      </c>
    </row>
    <row r="134" spans="1:5" x14ac:dyDescent="0.25">
      <c r="A134" s="109">
        <v>46006</v>
      </c>
      <c r="B134">
        <v>31</v>
      </c>
      <c r="C134" t="s">
        <v>172</v>
      </c>
      <c r="D134">
        <v>51</v>
      </c>
      <c r="E134">
        <v>51</v>
      </c>
    </row>
    <row r="135" spans="1:5" x14ac:dyDescent="0.25">
      <c r="A135" s="109">
        <v>46006</v>
      </c>
      <c r="B135">
        <v>31</v>
      </c>
      <c r="C135" t="s">
        <v>163</v>
      </c>
      <c r="D135">
        <v>51</v>
      </c>
      <c r="E135">
        <v>51</v>
      </c>
    </row>
    <row r="136" spans="1:5" x14ac:dyDescent="0.25">
      <c r="A136" s="109">
        <v>46006</v>
      </c>
      <c r="B136">
        <v>31</v>
      </c>
      <c r="C136" t="s">
        <v>144</v>
      </c>
      <c r="D136">
        <v>46</v>
      </c>
      <c r="E136">
        <v>46</v>
      </c>
    </row>
    <row r="137" spans="1:5" x14ac:dyDescent="0.25">
      <c r="A137" s="109">
        <v>46007</v>
      </c>
      <c r="B137">
        <v>31</v>
      </c>
      <c r="C137" t="s">
        <v>352</v>
      </c>
      <c r="D137">
        <v>33</v>
      </c>
      <c r="E137">
        <v>33</v>
      </c>
    </row>
    <row r="138" spans="1:5" x14ac:dyDescent="0.25">
      <c r="A138" s="109">
        <v>46007</v>
      </c>
      <c r="B138">
        <v>31</v>
      </c>
      <c r="C138" t="s">
        <v>167</v>
      </c>
      <c r="D138">
        <v>33</v>
      </c>
      <c r="E138">
        <v>33</v>
      </c>
    </row>
    <row r="139" spans="1:5" x14ac:dyDescent="0.25">
      <c r="A139" s="109">
        <v>46007</v>
      </c>
      <c r="B139">
        <v>31</v>
      </c>
      <c r="C139" t="s">
        <v>353</v>
      </c>
      <c r="D139">
        <v>37</v>
      </c>
      <c r="E139">
        <v>37</v>
      </c>
    </row>
    <row r="140" spans="1:5" x14ac:dyDescent="0.25">
      <c r="A140" s="109">
        <v>46007</v>
      </c>
      <c r="B140">
        <v>31</v>
      </c>
      <c r="C140" t="s">
        <v>155</v>
      </c>
      <c r="D140">
        <v>57</v>
      </c>
      <c r="E140">
        <v>57</v>
      </c>
    </row>
    <row r="141" spans="1:5" x14ac:dyDescent="0.25">
      <c r="A141" s="109">
        <v>46007</v>
      </c>
      <c r="B141">
        <v>31</v>
      </c>
      <c r="C141" t="s">
        <v>151</v>
      </c>
      <c r="D141">
        <v>62</v>
      </c>
      <c r="E141">
        <v>62</v>
      </c>
    </row>
    <row r="142" spans="1:5" x14ac:dyDescent="0.25">
      <c r="A142" s="109">
        <v>46007</v>
      </c>
      <c r="B142">
        <v>31</v>
      </c>
      <c r="C142" t="s">
        <v>131</v>
      </c>
      <c r="D142">
        <v>33</v>
      </c>
      <c r="E142">
        <v>33</v>
      </c>
    </row>
    <row r="143" spans="1:5" x14ac:dyDescent="0.25">
      <c r="A143" s="109">
        <v>46007</v>
      </c>
      <c r="B143">
        <v>31</v>
      </c>
      <c r="C143" t="s">
        <v>169</v>
      </c>
      <c r="D143">
        <v>58</v>
      </c>
      <c r="E143">
        <v>58</v>
      </c>
    </row>
    <row r="144" spans="1:5" x14ac:dyDescent="0.25">
      <c r="A144" s="109">
        <v>46007</v>
      </c>
      <c r="B144">
        <v>31</v>
      </c>
      <c r="C144" t="s">
        <v>162</v>
      </c>
      <c r="D144">
        <v>15</v>
      </c>
      <c r="E144">
        <v>15</v>
      </c>
    </row>
    <row r="145" spans="1:5" x14ac:dyDescent="0.25">
      <c r="A145" s="109">
        <v>46007</v>
      </c>
      <c r="B145">
        <v>31</v>
      </c>
      <c r="C145" t="s">
        <v>159</v>
      </c>
      <c r="D145">
        <v>28</v>
      </c>
      <c r="E145">
        <v>28</v>
      </c>
    </row>
    <row r="146" spans="1:5" x14ac:dyDescent="0.25">
      <c r="A146" s="109">
        <v>46007</v>
      </c>
      <c r="B146">
        <v>31</v>
      </c>
      <c r="C146" t="s">
        <v>174</v>
      </c>
      <c r="D146">
        <v>59</v>
      </c>
      <c r="E146">
        <v>59</v>
      </c>
    </row>
    <row r="147" spans="1:5" x14ac:dyDescent="0.25">
      <c r="A147" s="109">
        <v>46007</v>
      </c>
      <c r="B147">
        <v>31</v>
      </c>
      <c r="C147" t="s">
        <v>142</v>
      </c>
      <c r="D147">
        <v>11</v>
      </c>
      <c r="E147">
        <v>11</v>
      </c>
    </row>
    <row r="148" spans="1:5" x14ac:dyDescent="0.25">
      <c r="A148" s="109">
        <v>46007</v>
      </c>
      <c r="B148">
        <v>31</v>
      </c>
      <c r="C148" t="s">
        <v>161</v>
      </c>
      <c r="D148">
        <v>60</v>
      </c>
      <c r="E148">
        <v>60</v>
      </c>
    </row>
    <row r="149" spans="1:5" x14ac:dyDescent="0.25">
      <c r="A149" s="109">
        <v>46008</v>
      </c>
      <c r="B149">
        <v>31</v>
      </c>
      <c r="C149" t="s">
        <v>176</v>
      </c>
      <c r="D149">
        <v>69</v>
      </c>
      <c r="E149">
        <v>69</v>
      </c>
    </row>
    <row r="150" spans="1:5" x14ac:dyDescent="0.25">
      <c r="A150" s="109">
        <v>46008</v>
      </c>
      <c r="B150">
        <v>31</v>
      </c>
      <c r="C150" t="s">
        <v>154</v>
      </c>
      <c r="D150">
        <v>25</v>
      </c>
      <c r="E150">
        <v>25</v>
      </c>
    </row>
    <row r="151" spans="1:5" x14ac:dyDescent="0.25">
      <c r="A151" s="109">
        <v>46008</v>
      </c>
      <c r="B151">
        <v>31</v>
      </c>
      <c r="C151" t="s">
        <v>162</v>
      </c>
      <c r="D151">
        <v>60</v>
      </c>
      <c r="E151">
        <v>60</v>
      </c>
    </row>
    <row r="152" spans="1:5" x14ac:dyDescent="0.25">
      <c r="A152" s="109">
        <v>46008</v>
      </c>
      <c r="B152">
        <v>31</v>
      </c>
      <c r="C152" t="s">
        <v>171</v>
      </c>
      <c r="D152">
        <v>45</v>
      </c>
      <c r="E152">
        <v>45</v>
      </c>
    </row>
    <row r="153" spans="1:5" x14ac:dyDescent="0.25">
      <c r="A153" s="109">
        <v>46008</v>
      </c>
      <c r="B153">
        <v>31</v>
      </c>
      <c r="C153" t="s">
        <v>180</v>
      </c>
      <c r="D153">
        <v>64</v>
      </c>
      <c r="E153">
        <v>64</v>
      </c>
    </row>
    <row r="154" spans="1:5" x14ac:dyDescent="0.25">
      <c r="A154" s="109">
        <v>46008</v>
      </c>
      <c r="B154">
        <v>31</v>
      </c>
      <c r="C154" t="s">
        <v>179</v>
      </c>
      <c r="D154">
        <v>41</v>
      </c>
      <c r="E154">
        <v>41</v>
      </c>
    </row>
    <row r="155" spans="1:5" x14ac:dyDescent="0.25">
      <c r="A155" s="109">
        <v>46008</v>
      </c>
      <c r="B155">
        <v>31</v>
      </c>
      <c r="C155" t="s">
        <v>181</v>
      </c>
      <c r="D155">
        <v>46</v>
      </c>
      <c r="E155">
        <v>46</v>
      </c>
    </row>
    <row r="156" spans="1:5" x14ac:dyDescent="0.25">
      <c r="A156" s="109">
        <v>46008</v>
      </c>
      <c r="B156">
        <v>31</v>
      </c>
      <c r="C156" t="s">
        <v>184</v>
      </c>
      <c r="D156">
        <v>77</v>
      </c>
      <c r="E156">
        <v>77</v>
      </c>
    </row>
    <row r="157" spans="1:5" x14ac:dyDescent="0.25">
      <c r="A157" s="109">
        <v>46008</v>
      </c>
      <c r="B157">
        <v>31</v>
      </c>
      <c r="C157" t="s">
        <v>163</v>
      </c>
      <c r="D157">
        <v>35</v>
      </c>
      <c r="E157">
        <v>35</v>
      </c>
    </row>
    <row r="158" spans="1:5" x14ac:dyDescent="0.25">
      <c r="A158" s="109">
        <v>46008</v>
      </c>
      <c r="B158">
        <v>31</v>
      </c>
      <c r="C158" t="s">
        <v>153</v>
      </c>
      <c r="D158">
        <v>28</v>
      </c>
      <c r="E158">
        <v>28</v>
      </c>
    </row>
    <row r="159" spans="1:5" x14ac:dyDescent="0.25">
      <c r="A159" s="109">
        <v>46008</v>
      </c>
      <c r="B159">
        <v>31</v>
      </c>
      <c r="C159" t="s">
        <v>156</v>
      </c>
      <c r="D159">
        <v>64</v>
      </c>
      <c r="E159">
        <v>64</v>
      </c>
    </row>
    <row r="160" spans="1:5" x14ac:dyDescent="0.25">
      <c r="A160" s="109">
        <v>46009</v>
      </c>
      <c r="B160">
        <v>31</v>
      </c>
      <c r="C160" t="s">
        <v>177</v>
      </c>
      <c r="D160">
        <v>20</v>
      </c>
      <c r="E160">
        <v>20</v>
      </c>
    </row>
    <row r="161" spans="1:5" x14ac:dyDescent="0.25">
      <c r="A161" s="109">
        <v>46009</v>
      </c>
      <c r="B161">
        <v>31</v>
      </c>
      <c r="C161" t="s">
        <v>131</v>
      </c>
      <c r="D161">
        <v>39</v>
      </c>
      <c r="E161">
        <v>39</v>
      </c>
    </row>
    <row r="162" spans="1:5" x14ac:dyDescent="0.25">
      <c r="A162" s="109">
        <v>46009</v>
      </c>
      <c r="B162">
        <v>31</v>
      </c>
      <c r="C162" t="s">
        <v>155</v>
      </c>
      <c r="D162">
        <v>46</v>
      </c>
      <c r="E162">
        <v>46</v>
      </c>
    </row>
    <row r="163" spans="1:5" x14ac:dyDescent="0.25">
      <c r="A163" s="109">
        <v>46009</v>
      </c>
      <c r="B163">
        <v>31</v>
      </c>
      <c r="C163" t="s">
        <v>174</v>
      </c>
      <c r="D163">
        <v>42</v>
      </c>
      <c r="E163">
        <v>42</v>
      </c>
    </row>
    <row r="164" spans="1:5" x14ac:dyDescent="0.25">
      <c r="A164" s="109">
        <v>46009</v>
      </c>
      <c r="B164">
        <v>31</v>
      </c>
      <c r="C164" t="s">
        <v>164</v>
      </c>
      <c r="D164">
        <v>29</v>
      </c>
      <c r="E164">
        <v>29</v>
      </c>
    </row>
    <row r="165" spans="1:5" x14ac:dyDescent="0.25">
      <c r="A165" s="109">
        <v>46009</v>
      </c>
      <c r="B165">
        <v>31</v>
      </c>
      <c r="C165" t="s">
        <v>144</v>
      </c>
      <c r="D165">
        <v>21</v>
      </c>
      <c r="E165">
        <v>21</v>
      </c>
    </row>
    <row r="166" spans="1:5" x14ac:dyDescent="0.25">
      <c r="A166" s="109">
        <v>46009</v>
      </c>
      <c r="B166">
        <v>31</v>
      </c>
      <c r="C166" t="s">
        <v>159</v>
      </c>
      <c r="D166">
        <v>30</v>
      </c>
      <c r="E166">
        <v>30</v>
      </c>
    </row>
    <row r="167" spans="1:5" x14ac:dyDescent="0.25">
      <c r="A167" s="109">
        <v>46009</v>
      </c>
      <c r="B167">
        <v>31</v>
      </c>
      <c r="C167" t="s">
        <v>163</v>
      </c>
      <c r="D167">
        <v>51</v>
      </c>
      <c r="E167">
        <v>51</v>
      </c>
    </row>
    <row r="168" spans="1:5" x14ac:dyDescent="0.25">
      <c r="A168" s="109">
        <v>46009</v>
      </c>
      <c r="B168">
        <v>31</v>
      </c>
      <c r="C168" t="s">
        <v>169</v>
      </c>
      <c r="D168">
        <v>40</v>
      </c>
      <c r="E168">
        <v>40</v>
      </c>
    </row>
    <row r="169" spans="1:5" x14ac:dyDescent="0.25">
      <c r="A169" s="109">
        <v>46010</v>
      </c>
      <c r="B169">
        <v>31</v>
      </c>
      <c r="C169" t="s">
        <v>177</v>
      </c>
      <c r="D169">
        <v>62</v>
      </c>
      <c r="E169">
        <v>62</v>
      </c>
    </row>
    <row r="170" spans="1:5" x14ac:dyDescent="0.25">
      <c r="A170" s="109">
        <v>46010</v>
      </c>
      <c r="B170">
        <v>31</v>
      </c>
      <c r="C170" t="s">
        <v>352</v>
      </c>
      <c r="D170">
        <v>42</v>
      </c>
      <c r="E170">
        <v>42</v>
      </c>
    </row>
    <row r="171" spans="1:5" x14ac:dyDescent="0.25">
      <c r="A171" s="109">
        <v>46010</v>
      </c>
      <c r="B171">
        <v>31</v>
      </c>
      <c r="C171" t="s">
        <v>355</v>
      </c>
      <c r="D171">
        <v>58</v>
      </c>
      <c r="E171">
        <v>58</v>
      </c>
    </row>
    <row r="172" spans="1:5" x14ac:dyDescent="0.25">
      <c r="A172" s="109">
        <v>46010</v>
      </c>
      <c r="B172">
        <v>31</v>
      </c>
      <c r="C172" t="s">
        <v>164</v>
      </c>
      <c r="D172">
        <v>49</v>
      </c>
      <c r="E172">
        <v>49</v>
      </c>
    </row>
    <row r="173" spans="1:5" x14ac:dyDescent="0.25">
      <c r="A173" s="109">
        <v>46010</v>
      </c>
      <c r="B173">
        <v>31</v>
      </c>
      <c r="C173" t="s">
        <v>176</v>
      </c>
      <c r="D173">
        <v>79</v>
      </c>
      <c r="E173">
        <v>79</v>
      </c>
    </row>
    <row r="174" spans="1:5" x14ac:dyDescent="0.25">
      <c r="A174" s="109">
        <v>46011</v>
      </c>
      <c r="B174">
        <v>31</v>
      </c>
      <c r="C174" t="s">
        <v>167</v>
      </c>
      <c r="D174">
        <v>43</v>
      </c>
      <c r="E174">
        <v>43</v>
      </c>
    </row>
    <row r="175" spans="1:5" x14ac:dyDescent="0.25">
      <c r="A175" s="109">
        <v>46011</v>
      </c>
      <c r="B175">
        <v>31</v>
      </c>
      <c r="C175" t="s">
        <v>168</v>
      </c>
      <c r="D175">
        <v>45</v>
      </c>
      <c r="E175">
        <v>45</v>
      </c>
    </row>
    <row r="176" spans="1:5" x14ac:dyDescent="0.25">
      <c r="A176" s="109">
        <v>46011</v>
      </c>
      <c r="B176">
        <v>31</v>
      </c>
      <c r="C176" t="s">
        <v>155</v>
      </c>
      <c r="D176">
        <v>51</v>
      </c>
      <c r="E176">
        <v>51</v>
      </c>
    </row>
    <row r="177" spans="1:5" x14ac:dyDescent="0.25">
      <c r="A177" s="109">
        <v>46011</v>
      </c>
      <c r="B177">
        <v>31</v>
      </c>
      <c r="C177" t="s">
        <v>129</v>
      </c>
      <c r="D177">
        <v>41</v>
      </c>
      <c r="E177">
        <v>41</v>
      </c>
    </row>
    <row r="178" spans="1:5" x14ac:dyDescent="0.25">
      <c r="A178" s="109">
        <v>46011</v>
      </c>
      <c r="B178">
        <v>31</v>
      </c>
      <c r="C178" t="s">
        <v>174</v>
      </c>
      <c r="D178">
        <v>65</v>
      </c>
      <c r="E178">
        <v>65</v>
      </c>
    </row>
    <row r="179" spans="1:5" x14ac:dyDescent="0.25">
      <c r="A179" s="109">
        <v>46011</v>
      </c>
      <c r="B179">
        <v>31</v>
      </c>
      <c r="C179" t="s">
        <v>144</v>
      </c>
      <c r="D179">
        <v>62</v>
      </c>
      <c r="E179">
        <v>62</v>
      </c>
    </row>
    <row r="180" spans="1:5" x14ac:dyDescent="0.25">
      <c r="A180" s="109">
        <v>46011</v>
      </c>
      <c r="B180">
        <v>31</v>
      </c>
      <c r="C180" t="s">
        <v>163</v>
      </c>
      <c r="D180">
        <v>40</v>
      </c>
      <c r="E180">
        <v>40</v>
      </c>
    </row>
    <row r="181" spans="1:5" x14ac:dyDescent="0.25">
      <c r="A181" s="109">
        <v>46011</v>
      </c>
      <c r="B181">
        <v>31</v>
      </c>
      <c r="C181" t="s">
        <v>172</v>
      </c>
      <c r="D181">
        <v>41</v>
      </c>
      <c r="E181">
        <v>41</v>
      </c>
    </row>
    <row r="182" spans="1:5" x14ac:dyDescent="0.25">
      <c r="A182" s="109">
        <v>46011</v>
      </c>
      <c r="B182">
        <v>31</v>
      </c>
      <c r="C182" t="s">
        <v>354</v>
      </c>
      <c r="D182">
        <v>56</v>
      </c>
      <c r="E182">
        <v>56</v>
      </c>
    </row>
    <row r="183" spans="1:5" x14ac:dyDescent="0.25">
      <c r="A183" s="109">
        <v>46011</v>
      </c>
      <c r="B183">
        <v>31</v>
      </c>
      <c r="C183" t="s">
        <v>179</v>
      </c>
      <c r="D183">
        <v>51</v>
      </c>
      <c r="E183">
        <v>51</v>
      </c>
    </row>
    <row r="184" spans="1:5" x14ac:dyDescent="0.25">
      <c r="A184" s="109">
        <v>46011</v>
      </c>
      <c r="B184">
        <v>31</v>
      </c>
      <c r="C184" t="s">
        <v>156</v>
      </c>
      <c r="D184">
        <v>57</v>
      </c>
      <c r="E184">
        <v>57</v>
      </c>
    </row>
    <row r="185" spans="1:5" x14ac:dyDescent="0.25">
      <c r="A185" s="109">
        <v>46011</v>
      </c>
      <c r="B185">
        <v>31</v>
      </c>
      <c r="C185" t="s">
        <v>171</v>
      </c>
      <c r="D185">
        <v>53</v>
      </c>
      <c r="E185">
        <v>53</v>
      </c>
    </row>
    <row r="186" spans="1:5" x14ac:dyDescent="0.25">
      <c r="A186" s="109">
        <v>46011</v>
      </c>
      <c r="B186">
        <v>31</v>
      </c>
      <c r="C186" t="s">
        <v>154</v>
      </c>
      <c r="D186">
        <v>34</v>
      </c>
      <c r="E186">
        <v>34</v>
      </c>
    </row>
    <row r="187" spans="1:5" x14ac:dyDescent="0.25">
      <c r="A187" s="109">
        <v>46011</v>
      </c>
      <c r="B187">
        <v>31</v>
      </c>
      <c r="C187" t="s">
        <v>142</v>
      </c>
      <c r="D187">
        <v>13</v>
      </c>
      <c r="E187">
        <v>13</v>
      </c>
    </row>
    <row r="188" spans="1:5" x14ac:dyDescent="0.25">
      <c r="A188" s="109">
        <v>46012</v>
      </c>
      <c r="B188">
        <v>31</v>
      </c>
      <c r="C188" t="s">
        <v>169</v>
      </c>
      <c r="D188">
        <v>55</v>
      </c>
      <c r="E188">
        <v>55</v>
      </c>
    </row>
    <row r="189" spans="1:5" x14ac:dyDescent="0.25">
      <c r="A189" s="109">
        <v>46012</v>
      </c>
      <c r="B189">
        <v>31</v>
      </c>
      <c r="C189" t="s">
        <v>153</v>
      </c>
      <c r="D189">
        <v>35</v>
      </c>
      <c r="E189">
        <v>35</v>
      </c>
    </row>
    <row r="190" spans="1:5" x14ac:dyDescent="0.25">
      <c r="A190" s="109">
        <v>46012</v>
      </c>
      <c r="B190">
        <v>31</v>
      </c>
      <c r="C190" t="s">
        <v>159</v>
      </c>
      <c r="D190">
        <v>40</v>
      </c>
      <c r="E190">
        <v>40</v>
      </c>
    </row>
    <row r="191" spans="1:5" x14ac:dyDescent="0.25">
      <c r="A191" s="109">
        <v>46012</v>
      </c>
      <c r="B191">
        <v>31</v>
      </c>
      <c r="C191" t="s">
        <v>162</v>
      </c>
      <c r="D191">
        <v>56</v>
      </c>
      <c r="E191">
        <v>56</v>
      </c>
    </row>
    <row r="192" spans="1:5" x14ac:dyDescent="0.25">
      <c r="A192" s="109">
        <v>46012</v>
      </c>
      <c r="B192">
        <v>31</v>
      </c>
      <c r="C192" t="s">
        <v>181</v>
      </c>
      <c r="D192">
        <v>40</v>
      </c>
      <c r="E192">
        <v>40</v>
      </c>
    </row>
    <row r="193" spans="1:5" x14ac:dyDescent="0.25">
      <c r="A193" s="109">
        <v>46013</v>
      </c>
      <c r="B193">
        <v>31</v>
      </c>
      <c r="C193" t="s">
        <v>653</v>
      </c>
      <c r="D193">
        <v>86</v>
      </c>
      <c r="E193">
        <v>86</v>
      </c>
    </row>
    <row r="194" spans="1:5" x14ac:dyDescent="0.25">
      <c r="A194" s="109">
        <v>46013</v>
      </c>
      <c r="B194">
        <v>31</v>
      </c>
      <c r="C194" t="s">
        <v>131</v>
      </c>
      <c r="D194">
        <v>33</v>
      </c>
      <c r="E194">
        <v>33</v>
      </c>
    </row>
    <row r="195" spans="1:5" x14ac:dyDescent="0.25">
      <c r="A195" s="109">
        <v>46013</v>
      </c>
      <c r="B195">
        <v>31</v>
      </c>
      <c r="C195" t="s">
        <v>174</v>
      </c>
      <c r="D195">
        <v>80</v>
      </c>
      <c r="E195">
        <v>80</v>
      </c>
    </row>
    <row r="196" spans="1:5" x14ac:dyDescent="0.25">
      <c r="A196" s="109">
        <v>46013</v>
      </c>
      <c r="B196">
        <v>31</v>
      </c>
      <c r="C196" t="s">
        <v>163</v>
      </c>
      <c r="D196">
        <v>35</v>
      </c>
      <c r="E196">
        <v>35</v>
      </c>
    </row>
    <row r="197" spans="1:5" x14ac:dyDescent="0.25">
      <c r="A197" s="109">
        <v>46013</v>
      </c>
      <c r="B197">
        <v>31</v>
      </c>
      <c r="C197" t="s">
        <v>176</v>
      </c>
      <c r="D197">
        <v>30</v>
      </c>
      <c r="E197">
        <v>30</v>
      </c>
    </row>
    <row r="198" spans="1:5" x14ac:dyDescent="0.25">
      <c r="A198" s="109">
        <v>46013</v>
      </c>
      <c r="B198">
        <v>31</v>
      </c>
      <c r="C198" t="s">
        <v>144</v>
      </c>
      <c r="D198">
        <v>60</v>
      </c>
      <c r="E198">
        <v>60</v>
      </c>
    </row>
    <row r="199" spans="1:5" x14ac:dyDescent="0.25">
      <c r="A199" s="109">
        <v>46013</v>
      </c>
      <c r="B199">
        <v>31</v>
      </c>
      <c r="C199" t="s">
        <v>161</v>
      </c>
      <c r="D199">
        <v>41</v>
      </c>
      <c r="E199">
        <v>41</v>
      </c>
    </row>
    <row r="200" spans="1:5" x14ac:dyDescent="0.25">
      <c r="A200" s="109">
        <v>46013</v>
      </c>
      <c r="B200">
        <v>31</v>
      </c>
      <c r="C200" t="s">
        <v>179</v>
      </c>
      <c r="D200">
        <v>35</v>
      </c>
      <c r="E200">
        <v>35</v>
      </c>
    </row>
    <row r="201" spans="1:5" x14ac:dyDescent="0.25">
      <c r="A201" s="109">
        <v>46013</v>
      </c>
      <c r="B201">
        <v>31</v>
      </c>
      <c r="C201" t="s">
        <v>162</v>
      </c>
      <c r="D201">
        <v>26</v>
      </c>
      <c r="E201">
        <v>26</v>
      </c>
    </row>
    <row r="202" spans="1:5" x14ac:dyDescent="0.25">
      <c r="A202" s="109">
        <v>46014</v>
      </c>
      <c r="B202">
        <v>31</v>
      </c>
      <c r="C202" t="s">
        <v>167</v>
      </c>
      <c r="D202">
        <v>26</v>
      </c>
      <c r="E202">
        <v>26</v>
      </c>
    </row>
    <row r="203" spans="1:5" x14ac:dyDescent="0.25">
      <c r="A203" s="109">
        <v>46014</v>
      </c>
      <c r="B203">
        <v>31</v>
      </c>
      <c r="C203" t="s">
        <v>155</v>
      </c>
      <c r="D203">
        <v>59</v>
      </c>
      <c r="E203">
        <v>59</v>
      </c>
    </row>
    <row r="204" spans="1:5" x14ac:dyDescent="0.25">
      <c r="A204" s="109">
        <v>46014</v>
      </c>
      <c r="B204">
        <v>31</v>
      </c>
      <c r="C204" t="s">
        <v>177</v>
      </c>
      <c r="D204">
        <v>40</v>
      </c>
      <c r="E204">
        <v>40</v>
      </c>
    </row>
    <row r="205" spans="1:5" x14ac:dyDescent="0.25">
      <c r="A205" s="109">
        <v>46014</v>
      </c>
      <c r="B205">
        <v>31</v>
      </c>
      <c r="C205" t="s">
        <v>184</v>
      </c>
      <c r="D205">
        <v>53</v>
      </c>
      <c r="E205">
        <v>53</v>
      </c>
    </row>
    <row r="206" spans="1:5" x14ac:dyDescent="0.25">
      <c r="A206" s="109">
        <v>46014</v>
      </c>
      <c r="B206">
        <v>31</v>
      </c>
      <c r="C206" t="s">
        <v>169</v>
      </c>
      <c r="D206">
        <v>60</v>
      </c>
      <c r="E206">
        <v>60</v>
      </c>
    </row>
    <row r="207" spans="1:5" x14ac:dyDescent="0.25">
      <c r="A207" s="109">
        <v>46014</v>
      </c>
      <c r="B207">
        <v>31</v>
      </c>
      <c r="C207" t="s">
        <v>159</v>
      </c>
      <c r="D207">
        <v>38</v>
      </c>
      <c r="E207">
        <v>38</v>
      </c>
    </row>
    <row r="208" spans="1:5" x14ac:dyDescent="0.25">
      <c r="A208" s="109">
        <v>46014</v>
      </c>
      <c r="B208">
        <v>31</v>
      </c>
      <c r="C208" t="s">
        <v>352</v>
      </c>
      <c r="D208">
        <v>48</v>
      </c>
      <c r="E208">
        <v>48</v>
      </c>
    </row>
    <row r="209" spans="1:5" x14ac:dyDescent="0.25">
      <c r="A209" s="109">
        <v>46014</v>
      </c>
      <c r="B209">
        <v>31</v>
      </c>
      <c r="C209" t="s">
        <v>164</v>
      </c>
      <c r="D209">
        <v>50</v>
      </c>
      <c r="E209">
        <v>50</v>
      </c>
    </row>
    <row r="210" spans="1:5" x14ac:dyDescent="0.25">
      <c r="A210" s="109">
        <v>46014</v>
      </c>
      <c r="B210">
        <v>31</v>
      </c>
      <c r="C210" t="s">
        <v>649</v>
      </c>
      <c r="D210">
        <v>48</v>
      </c>
      <c r="E210">
        <v>48</v>
      </c>
    </row>
    <row r="211" spans="1:5" x14ac:dyDescent="0.25">
      <c r="A211" s="109">
        <v>46014</v>
      </c>
      <c r="B211">
        <v>31</v>
      </c>
      <c r="C211" t="s">
        <v>162</v>
      </c>
      <c r="D211">
        <v>20</v>
      </c>
      <c r="E211">
        <v>20</v>
      </c>
    </row>
    <row r="212" spans="1:5" x14ac:dyDescent="0.25">
      <c r="A212" s="109">
        <v>46014</v>
      </c>
      <c r="B212">
        <v>31</v>
      </c>
      <c r="C212" t="s">
        <v>156</v>
      </c>
      <c r="D212">
        <v>47</v>
      </c>
      <c r="E212">
        <v>47</v>
      </c>
    </row>
    <row r="213" spans="1:5" x14ac:dyDescent="0.25">
      <c r="A213" s="109">
        <v>46015</v>
      </c>
      <c r="B213">
        <v>31</v>
      </c>
      <c r="C213" t="s">
        <v>161</v>
      </c>
      <c r="D213">
        <v>20</v>
      </c>
      <c r="E213">
        <v>20</v>
      </c>
    </row>
    <row r="214" spans="1:5" x14ac:dyDescent="0.25">
      <c r="A214" s="109">
        <v>46015</v>
      </c>
      <c r="B214">
        <v>31</v>
      </c>
      <c r="C214" t="s">
        <v>144</v>
      </c>
      <c r="D214">
        <v>16</v>
      </c>
      <c r="E214">
        <v>16</v>
      </c>
    </row>
    <row r="215" spans="1:5" x14ac:dyDescent="0.25">
      <c r="A215" s="109">
        <v>46015</v>
      </c>
      <c r="B215">
        <v>31</v>
      </c>
      <c r="C215" t="s">
        <v>153</v>
      </c>
      <c r="D215">
        <v>31</v>
      </c>
      <c r="E215">
        <v>31</v>
      </c>
    </row>
    <row r="216" spans="1:5" x14ac:dyDescent="0.25">
      <c r="A216" s="109">
        <v>46015</v>
      </c>
      <c r="B216">
        <v>31</v>
      </c>
      <c r="C216" t="s">
        <v>129</v>
      </c>
      <c r="D216">
        <v>68</v>
      </c>
      <c r="E216">
        <v>68</v>
      </c>
    </row>
    <row r="217" spans="1:5" x14ac:dyDescent="0.25">
      <c r="A217" s="109">
        <v>46015</v>
      </c>
      <c r="B217">
        <v>31</v>
      </c>
      <c r="C217" t="s">
        <v>176</v>
      </c>
      <c r="D217">
        <v>42</v>
      </c>
      <c r="E217">
        <v>42</v>
      </c>
    </row>
    <row r="218" spans="1:5" x14ac:dyDescent="0.25">
      <c r="A218" s="109">
        <v>46015</v>
      </c>
      <c r="B218">
        <v>31</v>
      </c>
      <c r="C218" t="s">
        <v>162</v>
      </c>
      <c r="D218">
        <v>48</v>
      </c>
      <c r="E218">
        <v>48</v>
      </c>
    </row>
    <row r="219" spans="1:5" x14ac:dyDescent="0.25">
      <c r="A219" s="109">
        <v>46015</v>
      </c>
      <c r="B219">
        <v>31</v>
      </c>
      <c r="C219" t="s">
        <v>174</v>
      </c>
      <c r="D219">
        <v>68</v>
      </c>
      <c r="E219">
        <v>68</v>
      </c>
    </row>
    <row r="220" spans="1:5" x14ac:dyDescent="0.25">
      <c r="A220" s="109">
        <v>46015</v>
      </c>
      <c r="B220">
        <v>31</v>
      </c>
      <c r="C220" t="s">
        <v>151</v>
      </c>
      <c r="D220">
        <v>54</v>
      </c>
      <c r="E220">
        <v>54</v>
      </c>
    </row>
    <row r="221" spans="1:5" x14ac:dyDescent="0.25">
      <c r="A221" s="109">
        <v>46016</v>
      </c>
      <c r="B221">
        <v>31</v>
      </c>
      <c r="C221" t="s">
        <v>171</v>
      </c>
      <c r="D221">
        <v>59</v>
      </c>
      <c r="E221">
        <v>59</v>
      </c>
    </row>
    <row r="222" spans="1:5" x14ac:dyDescent="0.25">
      <c r="A222" s="109">
        <v>46016</v>
      </c>
      <c r="B222">
        <v>31</v>
      </c>
      <c r="C222" t="s">
        <v>155</v>
      </c>
      <c r="D222">
        <v>63</v>
      </c>
      <c r="E222">
        <v>63</v>
      </c>
    </row>
    <row r="223" spans="1:5" x14ac:dyDescent="0.25">
      <c r="A223" s="109">
        <v>46016</v>
      </c>
      <c r="B223">
        <v>31</v>
      </c>
      <c r="C223" t="s">
        <v>163</v>
      </c>
      <c r="D223">
        <v>60</v>
      </c>
      <c r="E223">
        <v>60</v>
      </c>
    </row>
    <row r="224" spans="1:5" x14ac:dyDescent="0.25">
      <c r="A224" s="109">
        <v>46016</v>
      </c>
      <c r="B224">
        <v>31</v>
      </c>
      <c r="C224" t="s">
        <v>177</v>
      </c>
      <c r="D224">
        <v>20</v>
      </c>
      <c r="E224">
        <v>20</v>
      </c>
    </row>
    <row r="225" spans="1:5" x14ac:dyDescent="0.25">
      <c r="A225" s="109">
        <v>46016</v>
      </c>
      <c r="B225">
        <v>31</v>
      </c>
      <c r="C225" t="s">
        <v>354</v>
      </c>
      <c r="D225">
        <v>55</v>
      </c>
      <c r="E225">
        <v>55</v>
      </c>
    </row>
    <row r="226" spans="1:5" x14ac:dyDescent="0.25">
      <c r="A226" s="109">
        <v>46016</v>
      </c>
      <c r="B226">
        <v>31</v>
      </c>
      <c r="C226" t="s">
        <v>169</v>
      </c>
      <c r="D226">
        <v>48</v>
      </c>
      <c r="E226">
        <v>48</v>
      </c>
    </row>
    <row r="227" spans="1:5" x14ac:dyDescent="0.25">
      <c r="A227" s="109">
        <v>46016</v>
      </c>
      <c r="B227">
        <v>31</v>
      </c>
      <c r="C227" t="s">
        <v>162</v>
      </c>
      <c r="D227">
        <v>25</v>
      </c>
      <c r="E227">
        <v>25</v>
      </c>
    </row>
    <row r="228" spans="1:5" x14ac:dyDescent="0.25">
      <c r="A228" s="109">
        <v>46016</v>
      </c>
      <c r="B228">
        <v>31</v>
      </c>
      <c r="C228" t="s">
        <v>131</v>
      </c>
      <c r="D228">
        <v>34</v>
      </c>
      <c r="E228">
        <v>34</v>
      </c>
    </row>
    <row r="229" spans="1:5" x14ac:dyDescent="0.25">
      <c r="A229" s="109">
        <v>46016</v>
      </c>
      <c r="B229">
        <v>31</v>
      </c>
      <c r="C229" t="s">
        <v>176</v>
      </c>
      <c r="D229">
        <v>32</v>
      </c>
      <c r="E229">
        <v>32</v>
      </c>
    </row>
    <row r="230" spans="1:5" x14ac:dyDescent="0.25">
      <c r="A230" s="109">
        <v>46016</v>
      </c>
      <c r="B230">
        <v>31</v>
      </c>
      <c r="C230" t="s">
        <v>180</v>
      </c>
      <c r="D230">
        <v>56</v>
      </c>
      <c r="E230">
        <v>56</v>
      </c>
    </row>
    <row r="231" spans="1:5" x14ac:dyDescent="0.25">
      <c r="A231" s="109">
        <v>46016</v>
      </c>
      <c r="B231">
        <v>31</v>
      </c>
      <c r="C231" t="s">
        <v>142</v>
      </c>
      <c r="D231">
        <v>16</v>
      </c>
      <c r="E231">
        <v>16</v>
      </c>
    </row>
    <row r="232" spans="1:5" x14ac:dyDescent="0.25">
      <c r="A232" s="109">
        <v>46016</v>
      </c>
      <c r="B232">
        <v>31</v>
      </c>
      <c r="C232" t="s">
        <v>154</v>
      </c>
      <c r="D232">
        <v>13</v>
      </c>
      <c r="E232">
        <v>13</v>
      </c>
    </row>
    <row r="233" spans="1:5" x14ac:dyDescent="0.25">
      <c r="A233" s="109">
        <v>46017</v>
      </c>
      <c r="B233">
        <v>31</v>
      </c>
      <c r="C233" t="s">
        <v>179</v>
      </c>
      <c r="D233">
        <v>43</v>
      </c>
      <c r="E233">
        <v>43</v>
      </c>
    </row>
    <row r="234" spans="1:5" x14ac:dyDescent="0.25">
      <c r="A234" s="109">
        <v>46017</v>
      </c>
      <c r="B234">
        <v>31</v>
      </c>
      <c r="C234" t="s">
        <v>168</v>
      </c>
      <c r="D234">
        <v>59</v>
      </c>
      <c r="E234">
        <v>59</v>
      </c>
    </row>
    <row r="235" spans="1:5" x14ac:dyDescent="0.25">
      <c r="A235" s="109">
        <v>46017</v>
      </c>
      <c r="B235">
        <v>31</v>
      </c>
      <c r="C235" t="s">
        <v>178</v>
      </c>
      <c r="D235">
        <v>70</v>
      </c>
      <c r="E235">
        <v>70</v>
      </c>
    </row>
    <row r="236" spans="1:5" x14ac:dyDescent="0.25">
      <c r="A236" s="109">
        <v>46017</v>
      </c>
      <c r="B236">
        <v>31</v>
      </c>
      <c r="C236" t="s">
        <v>181</v>
      </c>
      <c r="D236">
        <v>27</v>
      </c>
      <c r="E236">
        <v>27</v>
      </c>
    </row>
    <row r="237" spans="1:5" x14ac:dyDescent="0.25">
      <c r="A237" s="109">
        <v>46017</v>
      </c>
      <c r="B237">
        <v>31</v>
      </c>
      <c r="C237" t="s">
        <v>159</v>
      </c>
      <c r="D237">
        <v>48</v>
      </c>
      <c r="E237">
        <v>48</v>
      </c>
    </row>
    <row r="238" spans="1:5" x14ac:dyDescent="0.25">
      <c r="A238" s="109">
        <v>46017</v>
      </c>
      <c r="B238">
        <v>31</v>
      </c>
      <c r="C238" t="s">
        <v>144</v>
      </c>
      <c r="D238">
        <v>48</v>
      </c>
      <c r="E238">
        <v>48</v>
      </c>
    </row>
    <row r="239" spans="1:5" x14ac:dyDescent="0.25">
      <c r="A239" s="109">
        <v>46017</v>
      </c>
      <c r="B239">
        <v>31</v>
      </c>
      <c r="C239" t="s">
        <v>167</v>
      </c>
      <c r="D239">
        <v>52</v>
      </c>
      <c r="E239">
        <v>52</v>
      </c>
    </row>
    <row r="240" spans="1:5" x14ac:dyDescent="0.25">
      <c r="A240" s="109">
        <v>46017</v>
      </c>
      <c r="B240">
        <v>31</v>
      </c>
      <c r="C240" t="s">
        <v>355</v>
      </c>
      <c r="D240">
        <v>30</v>
      </c>
      <c r="E240">
        <v>30</v>
      </c>
    </row>
    <row r="241" spans="1:5" x14ac:dyDescent="0.25">
      <c r="A241" s="109">
        <v>46017</v>
      </c>
      <c r="B241">
        <v>31</v>
      </c>
      <c r="C241" t="s">
        <v>153</v>
      </c>
      <c r="D241">
        <v>31</v>
      </c>
      <c r="E241">
        <v>31</v>
      </c>
    </row>
    <row r="242" spans="1:5" x14ac:dyDescent="0.25">
      <c r="A242" s="109">
        <v>46017</v>
      </c>
      <c r="B242">
        <v>31</v>
      </c>
      <c r="C242" t="s">
        <v>162</v>
      </c>
      <c r="D242">
        <v>16</v>
      </c>
      <c r="E242">
        <v>16</v>
      </c>
    </row>
    <row r="243" spans="1:5" x14ac:dyDescent="0.25">
      <c r="A243" s="109">
        <v>46017</v>
      </c>
      <c r="B243">
        <v>31</v>
      </c>
      <c r="C243" t="s">
        <v>163</v>
      </c>
      <c r="D243">
        <v>45</v>
      </c>
      <c r="E243">
        <v>45</v>
      </c>
    </row>
    <row r="244" spans="1:5" x14ac:dyDescent="0.25">
      <c r="A244" s="109">
        <v>46017</v>
      </c>
      <c r="B244">
        <v>31</v>
      </c>
      <c r="C244" t="s">
        <v>156</v>
      </c>
      <c r="D244">
        <v>60</v>
      </c>
      <c r="E244">
        <v>60</v>
      </c>
    </row>
    <row r="245" spans="1:5" x14ac:dyDescent="0.25">
      <c r="A245" s="109">
        <v>46017</v>
      </c>
      <c r="B245">
        <v>31</v>
      </c>
      <c r="C245" t="s">
        <v>142</v>
      </c>
      <c r="D245">
        <v>14</v>
      </c>
      <c r="E245">
        <v>14</v>
      </c>
    </row>
    <row r="246" spans="1:5" x14ac:dyDescent="0.25">
      <c r="A246" s="109">
        <v>46018</v>
      </c>
      <c r="B246">
        <v>31</v>
      </c>
      <c r="C246" t="s">
        <v>155</v>
      </c>
      <c r="D246">
        <v>54</v>
      </c>
      <c r="E246">
        <v>54</v>
      </c>
    </row>
    <row r="247" spans="1:5" x14ac:dyDescent="0.25">
      <c r="A247" s="109">
        <v>46018</v>
      </c>
      <c r="B247">
        <v>31</v>
      </c>
      <c r="C247" t="s">
        <v>649</v>
      </c>
      <c r="D247">
        <v>34</v>
      </c>
      <c r="E247">
        <v>34</v>
      </c>
    </row>
    <row r="248" spans="1:5" x14ac:dyDescent="0.25">
      <c r="A248" s="109">
        <v>46018</v>
      </c>
      <c r="B248">
        <v>31</v>
      </c>
      <c r="C248" t="s">
        <v>161</v>
      </c>
      <c r="D248">
        <v>63</v>
      </c>
      <c r="E248">
        <v>63</v>
      </c>
    </row>
    <row r="249" spans="1:5" x14ac:dyDescent="0.25">
      <c r="A249" s="109">
        <v>46018</v>
      </c>
      <c r="B249">
        <v>31</v>
      </c>
      <c r="C249" t="s">
        <v>184</v>
      </c>
      <c r="D249">
        <v>37</v>
      </c>
      <c r="E249">
        <v>37</v>
      </c>
    </row>
    <row r="250" spans="1:5" x14ac:dyDescent="0.25">
      <c r="A250" s="109">
        <v>46018</v>
      </c>
      <c r="B250">
        <v>31</v>
      </c>
      <c r="C250" t="s">
        <v>174</v>
      </c>
      <c r="D250">
        <v>68</v>
      </c>
      <c r="E250">
        <v>68</v>
      </c>
    </row>
    <row r="251" spans="1:5" x14ac:dyDescent="0.25">
      <c r="A251" s="109">
        <v>46018</v>
      </c>
      <c r="B251">
        <v>31</v>
      </c>
      <c r="C251" t="s">
        <v>162</v>
      </c>
      <c r="D251">
        <v>41</v>
      </c>
      <c r="E251">
        <v>41</v>
      </c>
    </row>
    <row r="252" spans="1:5" x14ac:dyDescent="0.25">
      <c r="A252" s="109">
        <v>46018</v>
      </c>
      <c r="B252">
        <v>31</v>
      </c>
      <c r="C252" t="s">
        <v>176</v>
      </c>
      <c r="D252">
        <v>37</v>
      </c>
      <c r="E252">
        <v>37</v>
      </c>
    </row>
    <row r="253" spans="1:5" x14ac:dyDescent="0.25">
      <c r="A253" s="109">
        <v>46018</v>
      </c>
      <c r="B253">
        <v>31</v>
      </c>
      <c r="C253" t="s">
        <v>142</v>
      </c>
      <c r="D253">
        <v>13</v>
      </c>
      <c r="E253">
        <v>13</v>
      </c>
    </row>
    <row r="254" spans="1:5" x14ac:dyDescent="0.25">
      <c r="A254" s="109">
        <v>46019</v>
      </c>
      <c r="B254">
        <v>31</v>
      </c>
      <c r="C254" t="s">
        <v>171</v>
      </c>
      <c r="D254">
        <v>49</v>
      </c>
      <c r="E254">
        <v>49</v>
      </c>
    </row>
    <row r="255" spans="1:5" x14ac:dyDescent="0.25">
      <c r="A255" s="109">
        <v>46019</v>
      </c>
      <c r="B255">
        <v>31</v>
      </c>
      <c r="C255" t="s">
        <v>175</v>
      </c>
      <c r="D255">
        <v>24</v>
      </c>
      <c r="E255">
        <v>24</v>
      </c>
    </row>
    <row r="256" spans="1:5" x14ac:dyDescent="0.25">
      <c r="A256" s="109">
        <v>46019</v>
      </c>
      <c r="B256">
        <v>31</v>
      </c>
      <c r="C256" t="s">
        <v>352</v>
      </c>
      <c r="D256">
        <v>41</v>
      </c>
      <c r="E256">
        <v>41</v>
      </c>
    </row>
    <row r="257" spans="1:5" x14ac:dyDescent="0.25">
      <c r="A257" s="109">
        <v>46019</v>
      </c>
      <c r="B257">
        <v>31</v>
      </c>
      <c r="C257" t="s">
        <v>172</v>
      </c>
      <c r="D257">
        <v>43</v>
      </c>
      <c r="E257">
        <v>43</v>
      </c>
    </row>
    <row r="258" spans="1:5" x14ac:dyDescent="0.25">
      <c r="A258" s="109">
        <v>46019</v>
      </c>
      <c r="B258">
        <v>31</v>
      </c>
      <c r="C258" t="s">
        <v>174</v>
      </c>
      <c r="D258">
        <v>28</v>
      </c>
      <c r="E258">
        <v>28</v>
      </c>
    </row>
    <row r="259" spans="1:5" x14ac:dyDescent="0.25">
      <c r="A259" s="109">
        <v>46019</v>
      </c>
      <c r="B259">
        <v>31</v>
      </c>
      <c r="C259" t="s">
        <v>144</v>
      </c>
      <c r="D259">
        <v>52</v>
      </c>
      <c r="E259">
        <v>52</v>
      </c>
    </row>
    <row r="260" spans="1:5" x14ac:dyDescent="0.25">
      <c r="A260" s="109">
        <v>46019</v>
      </c>
      <c r="B260">
        <v>31</v>
      </c>
      <c r="C260" t="s">
        <v>177</v>
      </c>
      <c r="D260">
        <v>25</v>
      </c>
      <c r="E260">
        <v>25</v>
      </c>
    </row>
    <row r="261" spans="1:5" x14ac:dyDescent="0.25">
      <c r="A261" s="109">
        <v>46019</v>
      </c>
      <c r="B261">
        <v>31</v>
      </c>
      <c r="C261" t="s">
        <v>163</v>
      </c>
      <c r="D261">
        <v>35</v>
      </c>
      <c r="E261">
        <v>35</v>
      </c>
    </row>
    <row r="262" spans="1:5" x14ac:dyDescent="0.25">
      <c r="A262" s="109">
        <v>46019</v>
      </c>
      <c r="B262">
        <v>31</v>
      </c>
      <c r="C262" t="s">
        <v>169</v>
      </c>
      <c r="D262">
        <v>44</v>
      </c>
      <c r="E262">
        <v>44</v>
      </c>
    </row>
    <row r="263" spans="1:5" x14ac:dyDescent="0.25">
      <c r="A263" s="109">
        <v>46020</v>
      </c>
      <c r="B263">
        <v>31</v>
      </c>
      <c r="C263" t="s">
        <v>155</v>
      </c>
      <c r="D263">
        <v>50</v>
      </c>
      <c r="E263">
        <v>50</v>
      </c>
    </row>
    <row r="264" spans="1:5" x14ac:dyDescent="0.25">
      <c r="A264" s="109">
        <v>46020</v>
      </c>
      <c r="B264">
        <v>31</v>
      </c>
      <c r="C264" t="s">
        <v>159</v>
      </c>
      <c r="D264">
        <v>41</v>
      </c>
      <c r="E264">
        <v>41</v>
      </c>
    </row>
    <row r="265" spans="1:5" x14ac:dyDescent="0.25">
      <c r="A265" s="109">
        <v>46020</v>
      </c>
      <c r="B265">
        <v>31</v>
      </c>
      <c r="C265" t="s">
        <v>153</v>
      </c>
      <c r="D265">
        <v>29</v>
      </c>
      <c r="E265">
        <v>29</v>
      </c>
    </row>
    <row r="266" spans="1:5" x14ac:dyDescent="0.25">
      <c r="A266" s="109">
        <v>46020</v>
      </c>
      <c r="B266">
        <v>31</v>
      </c>
      <c r="C266" t="s">
        <v>174</v>
      </c>
      <c r="D266">
        <v>48</v>
      </c>
      <c r="E266">
        <v>48</v>
      </c>
    </row>
    <row r="267" spans="1:5" x14ac:dyDescent="0.25">
      <c r="A267" s="109">
        <v>46020</v>
      </c>
      <c r="B267">
        <v>31</v>
      </c>
      <c r="C267" t="s">
        <v>163</v>
      </c>
      <c r="D267">
        <v>49</v>
      </c>
      <c r="E267">
        <v>49</v>
      </c>
    </row>
    <row r="268" spans="1:5" x14ac:dyDescent="0.25">
      <c r="A268" s="109">
        <v>46020</v>
      </c>
      <c r="B268">
        <v>31</v>
      </c>
      <c r="C268" t="s">
        <v>169</v>
      </c>
      <c r="D268">
        <v>50</v>
      </c>
      <c r="E268">
        <v>50</v>
      </c>
    </row>
    <row r="269" spans="1:5" x14ac:dyDescent="0.25">
      <c r="A269" s="109">
        <v>46020</v>
      </c>
      <c r="B269">
        <v>31</v>
      </c>
      <c r="C269" t="s">
        <v>162</v>
      </c>
      <c r="D269">
        <v>35</v>
      </c>
      <c r="E269">
        <v>35</v>
      </c>
    </row>
    <row r="270" spans="1:5" x14ac:dyDescent="0.25">
      <c r="A270" s="109">
        <v>46020</v>
      </c>
      <c r="B270">
        <v>31</v>
      </c>
      <c r="C270" t="s">
        <v>156</v>
      </c>
      <c r="D270">
        <v>48</v>
      </c>
      <c r="E270">
        <v>48</v>
      </c>
    </row>
    <row r="271" spans="1:5" x14ac:dyDescent="0.25">
      <c r="A271" s="109">
        <v>46020</v>
      </c>
      <c r="B271">
        <v>31</v>
      </c>
      <c r="C271" t="s">
        <v>154</v>
      </c>
      <c r="D271">
        <v>36</v>
      </c>
      <c r="E271">
        <v>36</v>
      </c>
    </row>
    <row r="272" spans="1:5" x14ac:dyDescent="0.25">
      <c r="A272" s="109">
        <v>46020</v>
      </c>
      <c r="B272">
        <v>31</v>
      </c>
      <c r="C272" t="s">
        <v>142</v>
      </c>
      <c r="D272">
        <v>14</v>
      </c>
      <c r="E272">
        <v>14</v>
      </c>
    </row>
    <row r="273" spans="1:5" x14ac:dyDescent="0.25">
      <c r="A273" s="109">
        <v>46020</v>
      </c>
      <c r="B273">
        <v>31</v>
      </c>
      <c r="C273" t="s">
        <v>130</v>
      </c>
      <c r="D273">
        <v>27</v>
      </c>
      <c r="E273">
        <v>27</v>
      </c>
    </row>
    <row r="274" spans="1:5" x14ac:dyDescent="0.25">
      <c r="A274" s="109">
        <v>46020</v>
      </c>
      <c r="B274">
        <v>31</v>
      </c>
      <c r="C274" t="s">
        <v>161</v>
      </c>
      <c r="D274">
        <v>25</v>
      </c>
      <c r="E274">
        <v>25</v>
      </c>
    </row>
    <row r="275" spans="1:5" x14ac:dyDescent="0.25">
      <c r="A275" s="109">
        <v>46021</v>
      </c>
      <c r="B275">
        <v>31</v>
      </c>
      <c r="C275" t="s">
        <v>129</v>
      </c>
      <c r="D275">
        <v>37</v>
      </c>
      <c r="E275">
        <v>37</v>
      </c>
    </row>
    <row r="276" spans="1:5" x14ac:dyDescent="0.25">
      <c r="A276" s="109">
        <v>46021</v>
      </c>
      <c r="B276">
        <v>31</v>
      </c>
      <c r="C276" t="s">
        <v>167</v>
      </c>
      <c r="D276">
        <v>52</v>
      </c>
      <c r="E276">
        <v>52</v>
      </c>
    </row>
    <row r="277" spans="1:5" x14ac:dyDescent="0.25">
      <c r="A277" s="109">
        <v>46021</v>
      </c>
      <c r="B277">
        <v>31</v>
      </c>
      <c r="C277" t="s">
        <v>179</v>
      </c>
      <c r="D277">
        <v>25</v>
      </c>
      <c r="E277">
        <v>25</v>
      </c>
    </row>
    <row r="278" spans="1:5" x14ac:dyDescent="0.25">
      <c r="A278" s="109">
        <v>46021</v>
      </c>
      <c r="B278">
        <v>31</v>
      </c>
      <c r="C278" t="s">
        <v>131</v>
      </c>
      <c r="D278">
        <v>31</v>
      </c>
      <c r="E278">
        <v>31</v>
      </c>
    </row>
    <row r="279" spans="1:5" x14ac:dyDescent="0.25">
      <c r="A279" s="109">
        <v>46021</v>
      </c>
      <c r="B279">
        <v>31</v>
      </c>
      <c r="C279" t="s">
        <v>174</v>
      </c>
      <c r="D279">
        <v>39</v>
      </c>
      <c r="E279">
        <v>39</v>
      </c>
    </row>
    <row r="280" spans="1:5" x14ac:dyDescent="0.25">
      <c r="A280" s="109">
        <v>46021</v>
      </c>
      <c r="B280">
        <v>31</v>
      </c>
      <c r="C280" t="s">
        <v>164</v>
      </c>
      <c r="D280">
        <v>37</v>
      </c>
      <c r="E280">
        <v>37</v>
      </c>
    </row>
    <row r="281" spans="1:5" x14ac:dyDescent="0.25">
      <c r="A281" s="109">
        <v>46021</v>
      </c>
      <c r="B281">
        <v>31</v>
      </c>
      <c r="C281" t="s">
        <v>144</v>
      </c>
      <c r="D281">
        <v>37</v>
      </c>
      <c r="E281">
        <v>37</v>
      </c>
    </row>
    <row r="282" spans="1:5" x14ac:dyDescent="0.25">
      <c r="A282" s="109">
        <v>46021</v>
      </c>
      <c r="B282">
        <v>31</v>
      </c>
      <c r="C282" t="s">
        <v>354</v>
      </c>
      <c r="D282">
        <v>53</v>
      </c>
      <c r="E282">
        <v>53</v>
      </c>
    </row>
    <row r="283" spans="1:5" x14ac:dyDescent="0.25">
      <c r="A283" s="109">
        <v>46021</v>
      </c>
      <c r="B283">
        <v>31</v>
      </c>
      <c r="C283" t="s">
        <v>181</v>
      </c>
      <c r="D283">
        <v>47</v>
      </c>
      <c r="E283">
        <v>47</v>
      </c>
    </row>
    <row r="284" spans="1:5" x14ac:dyDescent="0.25">
      <c r="A284" s="109">
        <v>46021</v>
      </c>
      <c r="B284">
        <v>31</v>
      </c>
      <c r="C284" t="s">
        <v>151</v>
      </c>
      <c r="D284">
        <v>71</v>
      </c>
      <c r="E284">
        <v>71</v>
      </c>
    </row>
    <row r="285" spans="1:5" x14ac:dyDescent="0.25">
      <c r="A285" s="109">
        <v>46021</v>
      </c>
      <c r="B285">
        <v>31</v>
      </c>
      <c r="C285" t="s">
        <v>163</v>
      </c>
      <c r="D285">
        <v>35</v>
      </c>
      <c r="E285">
        <v>35</v>
      </c>
    </row>
    <row r="286" spans="1:5" x14ac:dyDescent="0.25">
      <c r="A286" s="109">
        <v>46021</v>
      </c>
      <c r="B286">
        <v>31</v>
      </c>
      <c r="C286" t="s">
        <v>176</v>
      </c>
      <c r="D286">
        <v>53</v>
      </c>
      <c r="E286">
        <v>53</v>
      </c>
    </row>
    <row r="287" spans="1:5" x14ac:dyDescent="0.25">
      <c r="A287" s="109">
        <v>46021</v>
      </c>
      <c r="B287">
        <v>31</v>
      </c>
      <c r="C287" t="s">
        <v>177</v>
      </c>
      <c r="D287">
        <v>21</v>
      </c>
      <c r="E287">
        <v>21</v>
      </c>
    </row>
    <row r="288" spans="1:5" x14ac:dyDescent="0.25">
      <c r="A288" s="109">
        <v>46021</v>
      </c>
      <c r="B288">
        <v>31</v>
      </c>
      <c r="C288" t="s">
        <v>157</v>
      </c>
      <c r="D288">
        <v>700</v>
      </c>
      <c r="E288">
        <v>700</v>
      </c>
    </row>
    <row r="289" spans="1:7" x14ac:dyDescent="0.25">
      <c r="A289" s="109">
        <v>46021</v>
      </c>
      <c r="B289">
        <v>31</v>
      </c>
      <c r="C289" t="s">
        <v>173</v>
      </c>
      <c r="D289">
        <v>730.9</v>
      </c>
      <c r="E289">
        <v>730.9</v>
      </c>
    </row>
    <row r="290" spans="1:7" x14ac:dyDescent="0.25">
      <c r="A290" s="109">
        <v>46021</v>
      </c>
      <c r="B290">
        <v>31</v>
      </c>
      <c r="C290" t="s">
        <v>183</v>
      </c>
      <c r="D290">
        <v>500</v>
      </c>
      <c r="E290">
        <v>500</v>
      </c>
    </row>
    <row r="291" spans="1:7" x14ac:dyDescent="0.25">
      <c r="A291" s="109">
        <v>46021</v>
      </c>
      <c r="B291">
        <v>31</v>
      </c>
      <c r="C291" t="s">
        <v>648</v>
      </c>
      <c r="D291">
        <v>300</v>
      </c>
      <c r="E291">
        <v>300</v>
      </c>
    </row>
    <row r="292" spans="1:7" x14ac:dyDescent="0.25">
      <c r="A292" s="109">
        <v>45993</v>
      </c>
      <c r="B292">
        <v>31</v>
      </c>
      <c r="C292" t="s">
        <v>170</v>
      </c>
      <c r="D292">
        <v>45</v>
      </c>
      <c r="E292">
        <v>45</v>
      </c>
    </row>
    <row r="293" spans="1:7" x14ac:dyDescent="0.25">
      <c r="A293" s="109">
        <v>45997</v>
      </c>
      <c r="B293">
        <v>31</v>
      </c>
      <c r="C293" t="s">
        <v>170</v>
      </c>
      <c r="D293">
        <v>55</v>
      </c>
      <c r="E293">
        <v>55</v>
      </c>
    </row>
    <row r="294" spans="1:7" x14ac:dyDescent="0.25">
      <c r="A294" s="109">
        <v>46000</v>
      </c>
      <c r="B294">
        <v>31</v>
      </c>
      <c r="C294" t="s">
        <v>170</v>
      </c>
      <c r="D294">
        <v>58</v>
      </c>
      <c r="E294">
        <v>58</v>
      </c>
    </row>
    <row r="295" spans="1:7" x14ac:dyDescent="0.25">
      <c r="A295" s="109">
        <v>46003</v>
      </c>
      <c r="B295">
        <v>31</v>
      </c>
      <c r="C295" t="s">
        <v>170</v>
      </c>
      <c r="D295">
        <v>153</v>
      </c>
      <c r="E295">
        <v>153</v>
      </c>
    </row>
    <row r="296" spans="1:7" x14ac:dyDescent="0.25">
      <c r="A296" s="109">
        <v>46004</v>
      </c>
      <c r="B296">
        <v>31</v>
      </c>
      <c r="C296" t="s">
        <v>170</v>
      </c>
      <c r="D296">
        <v>57</v>
      </c>
      <c r="E296">
        <v>57</v>
      </c>
    </row>
    <row r="297" spans="1:7" x14ac:dyDescent="0.25">
      <c r="A297" s="109">
        <v>46008</v>
      </c>
      <c r="B297">
        <v>31</v>
      </c>
      <c r="C297" t="s">
        <v>170</v>
      </c>
      <c r="D297">
        <v>74</v>
      </c>
      <c r="E297">
        <v>74</v>
      </c>
    </row>
    <row r="298" spans="1:7" x14ac:dyDescent="0.25">
      <c r="A298" s="109">
        <v>46011</v>
      </c>
      <c r="B298">
        <v>31</v>
      </c>
      <c r="C298" t="s">
        <v>170</v>
      </c>
      <c r="D298">
        <v>57</v>
      </c>
      <c r="E298">
        <v>57</v>
      </c>
    </row>
    <row r="299" spans="1:7" x14ac:dyDescent="0.25">
      <c r="A299" s="109">
        <v>46015</v>
      </c>
      <c r="B299">
        <v>31</v>
      </c>
      <c r="C299" t="s">
        <v>170</v>
      </c>
      <c r="D299">
        <v>54</v>
      </c>
      <c r="E299">
        <v>54</v>
      </c>
    </row>
    <row r="300" spans="1:7" x14ac:dyDescent="0.25">
      <c r="A300" s="109">
        <v>46018</v>
      </c>
      <c r="B300">
        <v>31</v>
      </c>
      <c r="C300" t="s">
        <v>170</v>
      </c>
      <c r="D300">
        <v>58</v>
      </c>
      <c r="E300">
        <v>58</v>
      </c>
    </row>
    <row r="301" spans="1:7" x14ac:dyDescent="0.25">
      <c r="A301" s="109">
        <v>46021</v>
      </c>
      <c r="B301">
        <v>31</v>
      </c>
      <c r="C301" t="s">
        <v>170</v>
      </c>
      <c r="D301">
        <v>6</v>
      </c>
      <c r="E301">
        <v>6</v>
      </c>
    </row>
    <row r="302" spans="1:7" x14ac:dyDescent="0.25">
      <c r="A302" s="109">
        <v>46023</v>
      </c>
      <c r="B302">
        <v>31</v>
      </c>
      <c r="C302" t="s">
        <v>648</v>
      </c>
      <c r="D302">
        <v>200</v>
      </c>
      <c r="E302" cm="1">
        <f t="array" ref="E302:E855">IF(F302:F855="Accounting",1,1.1)*D302:D855</f>
        <v>200</v>
      </c>
      <c r="F302" t="s">
        <v>780</v>
      </c>
      <c r="G302" t="s">
        <v>1135</v>
      </c>
    </row>
    <row r="303" spans="1:7" x14ac:dyDescent="0.25">
      <c r="A303" s="109">
        <v>46023</v>
      </c>
      <c r="B303">
        <v>31</v>
      </c>
      <c r="C303" t="s">
        <v>163</v>
      </c>
      <c r="D303">
        <v>45</v>
      </c>
      <c r="E303">
        <v>49.500000000000007</v>
      </c>
    </row>
    <row r="304" spans="1:7" x14ac:dyDescent="0.25">
      <c r="A304" s="109">
        <v>46023</v>
      </c>
      <c r="B304">
        <v>31</v>
      </c>
      <c r="C304" t="s">
        <v>162</v>
      </c>
      <c r="D304">
        <v>22</v>
      </c>
      <c r="E304">
        <v>24.200000000000003</v>
      </c>
    </row>
    <row r="305" spans="1:5" x14ac:dyDescent="0.25">
      <c r="A305" s="109">
        <v>46023</v>
      </c>
      <c r="B305">
        <v>31</v>
      </c>
      <c r="C305" t="s">
        <v>155</v>
      </c>
      <c r="D305">
        <v>51</v>
      </c>
      <c r="E305">
        <v>56.1</v>
      </c>
    </row>
    <row r="306" spans="1:5" x14ac:dyDescent="0.25">
      <c r="A306" s="109">
        <v>46023</v>
      </c>
      <c r="B306">
        <v>31</v>
      </c>
      <c r="C306" t="s">
        <v>172</v>
      </c>
      <c r="D306">
        <v>59</v>
      </c>
      <c r="E306">
        <v>64.900000000000006</v>
      </c>
    </row>
    <row r="307" spans="1:5" x14ac:dyDescent="0.25">
      <c r="A307" s="109">
        <v>46023</v>
      </c>
      <c r="B307">
        <v>31</v>
      </c>
      <c r="C307" t="s">
        <v>184</v>
      </c>
      <c r="D307">
        <v>45</v>
      </c>
      <c r="E307">
        <v>49.500000000000007</v>
      </c>
    </row>
    <row r="308" spans="1:5" x14ac:dyDescent="0.25">
      <c r="A308" s="109">
        <v>46023</v>
      </c>
      <c r="B308">
        <v>31</v>
      </c>
      <c r="C308" t="s">
        <v>144</v>
      </c>
      <c r="D308">
        <v>25</v>
      </c>
      <c r="E308">
        <v>27.500000000000004</v>
      </c>
    </row>
    <row r="309" spans="1:5" x14ac:dyDescent="0.25">
      <c r="A309" s="109">
        <v>46023</v>
      </c>
      <c r="B309">
        <v>31</v>
      </c>
      <c r="C309" t="s">
        <v>161</v>
      </c>
      <c r="D309">
        <v>58</v>
      </c>
      <c r="E309">
        <v>63.800000000000004</v>
      </c>
    </row>
    <row r="310" spans="1:5" x14ac:dyDescent="0.25">
      <c r="A310" s="109">
        <v>46023</v>
      </c>
      <c r="B310">
        <v>31</v>
      </c>
      <c r="C310" t="s">
        <v>174</v>
      </c>
      <c r="D310">
        <v>79</v>
      </c>
      <c r="E310">
        <v>86.9</v>
      </c>
    </row>
    <row r="311" spans="1:5" x14ac:dyDescent="0.25">
      <c r="A311" s="109">
        <v>46023</v>
      </c>
      <c r="B311">
        <v>31</v>
      </c>
      <c r="C311" t="s">
        <v>168</v>
      </c>
      <c r="D311">
        <v>55</v>
      </c>
      <c r="E311">
        <v>60.500000000000007</v>
      </c>
    </row>
    <row r="312" spans="1:5" x14ac:dyDescent="0.25">
      <c r="A312" s="109">
        <v>46024</v>
      </c>
      <c r="B312">
        <v>31</v>
      </c>
      <c r="C312" t="s">
        <v>156</v>
      </c>
      <c r="D312">
        <v>67</v>
      </c>
      <c r="E312">
        <v>73.7</v>
      </c>
    </row>
    <row r="313" spans="1:5" x14ac:dyDescent="0.25">
      <c r="A313" s="109">
        <v>46024</v>
      </c>
      <c r="B313">
        <v>31</v>
      </c>
      <c r="C313" t="s">
        <v>179</v>
      </c>
      <c r="D313">
        <v>37</v>
      </c>
      <c r="E313">
        <v>40.700000000000003</v>
      </c>
    </row>
    <row r="314" spans="1:5" x14ac:dyDescent="0.25">
      <c r="A314" s="109">
        <v>46024</v>
      </c>
      <c r="B314">
        <v>31</v>
      </c>
      <c r="C314" t="s">
        <v>177</v>
      </c>
      <c r="D314">
        <v>70</v>
      </c>
      <c r="E314">
        <v>77</v>
      </c>
    </row>
    <row r="315" spans="1:5" x14ac:dyDescent="0.25">
      <c r="A315" s="109">
        <v>46024</v>
      </c>
      <c r="B315">
        <v>31</v>
      </c>
      <c r="C315" t="s">
        <v>354</v>
      </c>
      <c r="D315">
        <v>58</v>
      </c>
      <c r="E315">
        <v>63.800000000000004</v>
      </c>
    </row>
    <row r="316" spans="1:5" x14ac:dyDescent="0.25">
      <c r="A316" s="109">
        <v>46024</v>
      </c>
      <c r="B316">
        <v>31</v>
      </c>
      <c r="C316" t="s">
        <v>160</v>
      </c>
      <c r="D316">
        <v>57</v>
      </c>
      <c r="E316">
        <v>62.7</v>
      </c>
    </row>
    <row r="317" spans="1:5" x14ac:dyDescent="0.25">
      <c r="A317" s="109">
        <v>46024</v>
      </c>
      <c r="B317">
        <v>31</v>
      </c>
      <c r="C317" t="s">
        <v>169</v>
      </c>
      <c r="D317">
        <v>56</v>
      </c>
      <c r="E317">
        <v>61.600000000000009</v>
      </c>
    </row>
    <row r="318" spans="1:5" x14ac:dyDescent="0.25">
      <c r="A318" s="109">
        <v>46024</v>
      </c>
      <c r="B318">
        <v>31</v>
      </c>
      <c r="C318" t="s">
        <v>159</v>
      </c>
      <c r="D318">
        <v>37</v>
      </c>
      <c r="E318">
        <v>40.700000000000003</v>
      </c>
    </row>
    <row r="319" spans="1:5" x14ac:dyDescent="0.25">
      <c r="A319" s="109">
        <v>46024</v>
      </c>
      <c r="B319">
        <v>31</v>
      </c>
      <c r="C319" t="s">
        <v>355</v>
      </c>
      <c r="D319">
        <v>33</v>
      </c>
      <c r="E319">
        <v>36.300000000000004</v>
      </c>
    </row>
    <row r="320" spans="1:5" x14ac:dyDescent="0.25">
      <c r="A320" s="109">
        <v>46024</v>
      </c>
      <c r="B320">
        <v>31</v>
      </c>
      <c r="C320" t="s">
        <v>167</v>
      </c>
      <c r="D320">
        <v>53</v>
      </c>
      <c r="E320">
        <v>58.300000000000004</v>
      </c>
    </row>
    <row r="321" spans="1:5" x14ac:dyDescent="0.25">
      <c r="A321" s="109">
        <v>46024</v>
      </c>
      <c r="B321">
        <v>31</v>
      </c>
      <c r="C321" t="s">
        <v>129</v>
      </c>
      <c r="D321">
        <v>50</v>
      </c>
      <c r="E321">
        <v>55.000000000000007</v>
      </c>
    </row>
    <row r="322" spans="1:5" x14ac:dyDescent="0.25">
      <c r="A322" s="109">
        <v>46024</v>
      </c>
      <c r="B322">
        <v>31</v>
      </c>
      <c r="C322" t="s">
        <v>174</v>
      </c>
      <c r="D322">
        <v>59</v>
      </c>
      <c r="E322">
        <v>64.900000000000006</v>
      </c>
    </row>
    <row r="323" spans="1:5" x14ac:dyDescent="0.25">
      <c r="A323" s="109">
        <v>46024</v>
      </c>
      <c r="B323">
        <v>31</v>
      </c>
      <c r="C323" t="s">
        <v>144</v>
      </c>
      <c r="D323">
        <v>68</v>
      </c>
      <c r="E323">
        <v>74.800000000000011</v>
      </c>
    </row>
    <row r="324" spans="1:5" x14ac:dyDescent="0.25">
      <c r="A324" s="109">
        <v>46024</v>
      </c>
      <c r="B324">
        <v>31</v>
      </c>
      <c r="C324" t="s">
        <v>163</v>
      </c>
      <c r="D324">
        <v>43</v>
      </c>
      <c r="E324">
        <v>47.300000000000004</v>
      </c>
    </row>
    <row r="325" spans="1:5" x14ac:dyDescent="0.25">
      <c r="A325" s="109">
        <v>46024</v>
      </c>
      <c r="B325">
        <v>31</v>
      </c>
      <c r="C325" t="s">
        <v>176</v>
      </c>
      <c r="D325">
        <v>43</v>
      </c>
      <c r="E325">
        <v>47.300000000000004</v>
      </c>
    </row>
    <row r="326" spans="1:5" x14ac:dyDescent="0.25">
      <c r="A326" s="109">
        <v>46024</v>
      </c>
      <c r="B326">
        <v>31</v>
      </c>
      <c r="C326" t="s">
        <v>162</v>
      </c>
      <c r="D326">
        <v>60</v>
      </c>
      <c r="E326">
        <v>66</v>
      </c>
    </row>
    <row r="327" spans="1:5" x14ac:dyDescent="0.25">
      <c r="A327" s="109">
        <v>46024</v>
      </c>
      <c r="B327">
        <v>31</v>
      </c>
      <c r="C327" t="s">
        <v>175</v>
      </c>
      <c r="D327">
        <v>73</v>
      </c>
      <c r="E327">
        <v>80.300000000000011</v>
      </c>
    </row>
    <row r="328" spans="1:5" x14ac:dyDescent="0.25">
      <c r="A328" s="109">
        <v>46024</v>
      </c>
      <c r="B328">
        <v>31</v>
      </c>
      <c r="C328" t="s">
        <v>352</v>
      </c>
      <c r="D328">
        <v>37</v>
      </c>
      <c r="E328">
        <v>40.700000000000003</v>
      </c>
    </row>
    <row r="329" spans="1:5" x14ac:dyDescent="0.25">
      <c r="A329" s="109">
        <v>46024</v>
      </c>
      <c r="B329">
        <v>31</v>
      </c>
      <c r="C329" t="s">
        <v>178</v>
      </c>
      <c r="D329">
        <v>60</v>
      </c>
      <c r="E329">
        <v>66</v>
      </c>
    </row>
    <row r="330" spans="1:5" x14ac:dyDescent="0.25">
      <c r="A330" s="109">
        <v>46024</v>
      </c>
      <c r="B330">
        <v>31</v>
      </c>
      <c r="C330" t="s">
        <v>131</v>
      </c>
      <c r="D330">
        <v>20</v>
      </c>
      <c r="E330">
        <v>22</v>
      </c>
    </row>
    <row r="331" spans="1:5" x14ac:dyDescent="0.25">
      <c r="A331" s="109">
        <v>46024</v>
      </c>
      <c r="B331">
        <v>31</v>
      </c>
      <c r="C331" t="s">
        <v>174</v>
      </c>
      <c r="D331">
        <v>52</v>
      </c>
      <c r="E331">
        <v>57.2</v>
      </c>
    </row>
    <row r="332" spans="1:5" x14ac:dyDescent="0.25">
      <c r="A332" s="109">
        <v>46024</v>
      </c>
      <c r="B332">
        <v>31</v>
      </c>
      <c r="C332" t="s">
        <v>163</v>
      </c>
      <c r="D332">
        <v>24</v>
      </c>
      <c r="E332">
        <v>26.400000000000002</v>
      </c>
    </row>
    <row r="333" spans="1:5" x14ac:dyDescent="0.25">
      <c r="A333" s="109">
        <v>46024</v>
      </c>
      <c r="B333">
        <v>31</v>
      </c>
      <c r="C333" t="s">
        <v>155</v>
      </c>
      <c r="D333">
        <v>32</v>
      </c>
      <c r="E333">
        <v>35.200000000000003</v>
      </c>
    </row>
    <row r="334" spans="1:5" x14ac:dyDescent="0.25">
      <c r="A334" s="109">
        <v>46024</v>
      </c>
      <c r="B334">
        <v>31</v>
      </c>
      <c r="C334" t="s">
        <v>162</v>
      </c>
      <c r="D334">
        <v>26</v>
      </c>
      <c r="E334">
        <v>28.6</v>
      </c>
    </row>
    <row r="335" spans="1:5" x14ac:dyDescent="0.25">
      <c r="A335" s="109">
        <v>46024</v>
      </c>
      <c r="B335">
        <v>31</v>
      </c>
      <c r="C335" t="s">
        <v>160</v>
      </c>
      <c r="D335">
        <v>59</v>
      </c>
      <c r="E335">
        <v>64.900000000000006</v>
      </c>
    </row>
    <row r="336" spans="1:5" x14ac:dyDescent="0.25">
      <c r="A336" s="109">
        <v>46024</v>
      </c>
      <c r="B336">
        <v>31</v>
      </c>
      <c r="C336" t="s">
        <v>156</v>
      </c>
      <c r="D336">
        <v>38</v>
      </c>
      <c r="E336">
        <v>41.800000000000004</v>
      </c>
    </row>
    <row r="337" spans="1:5" x14ac:dyDescent="0.25">
      <c r="A337" s="109">
        <v>46024</v>
      </c>
      <c r="B337">
        <v>31</v>
      </c>
      <c r="C337" t="s">
        <v>180</v>
      </c>
      <c r="D337">
        <v>64</v>
      </c>
      <c r="E337">
        <v>70.400000000000006</v>
      </c>
    </row>
    <row r="338" spans="1:5" x14ac:dyDescent="0.25">
      <c r="A338" s="109">
        <v>46024</v>
      </c>
      <c r="B338">
        <v>31</v>
      </c>
      <c r="C338" t="s">
        <v>164</v>
      </c>
      <c r="D338">
        <v>50</v>
      </c>
      <c r="E338">
        <v>55.000000000000007</v>
      </c>
    </row>
    <row r="339" spans="1:5" x14ac:dyDescent="0.25">
      <c r="A339" s="109">
        <v>46024</v>
      </c>
      <c r="B339">
        <v>31</v>
      </c>
      <c r="C339" t="s">
        <v>162</v>
      </c>
      <c r="D339">
        <v>47</v>
      </c>
      <c r="E339">
        <v>51.7</v>
      </c>
    </row>
    <row r="340" spans="1:5" x14ac:dyDescent="0.25">
      <c r="A340" s="109">
        <v>46024</v>
      </c>
      <c r="B340">
        <v>31</v>
      </c>
      <c r="C340" t="s">
        <v>179</v>
      </c>
      <c r="D340">
        <v>27</v>
      </c>
      <c r="E340">
        <v>29.700000000000003</v>
      </c>
    </row>
    <row r="341" spans="1:5" x14ac:dyDescent="0.25">
      <c r="A341" s="109">
        <v>46024</v>
      </c>
      <c r="B341">
        <v>31</v>
      </c>
      <c r="C341" t="s">
        <v>174</v>
      </c>
      <c r="D341">
        <v>43</v>
      </c>
      <c r="E341">
        <v>47.300000000000004</v>
      </c>
    </row>
    <row r="342" spans="1:5" x14ac:dyDescent="0.25">
      <c r="A342" s="109">
        <v>46024</v>
      </c>
      <c r="B342">
        <v>31</v>
      </c>
      <c r="C342" t="s">
        <v>174</v>
      </c>
      <c r="D342">
        <v>30</v>
      </c>
      <c r="E342">
        <v>33</v>
      </c>
    </row>
    <row r="343" spans="1:5" x14ac:dyDescent="0.25">
      <c r="A343" s="109">
        <v>46024</v>
      </c>
      <c r="B343">
        <v>31</v>
      </c>
      <c r="C343" t="s">
        <v>151</v>
      </c>
      <c r="D343">
        <v>59</v>
      </c>
      <c r="E343">
        <v>64.900000000000006</v>
      </c>
    </row>
    <row r="344" spans="1:5" x14ac:dyDescent="0.25">
      <c r="A344" s="109">
        <v>46024</v>
      </c>
      <c r="B344">
        <v>31</v>
      </c>
      <c r="C344" t="s">
        <v>164</v>
      </c>
      <c r="D344">
        <v>50</v>
      </c>
      <c r="E344">
        <v>55.000000000000007</v>
      </c>
    </row>
    <row r="345" spans="1:5" x14ac:dyDescent="0.25">
      <c r="A345" s="109">
        <v>46024</v>
      </c>
      <c r="B345">
        <v>31</v>
      </c>
      <c r="C345" t="s">
        <v>176</v>
      </c>
      <c r="D345">
        <v>67</v>
      </c>
      <c r="E345">
        <v>73.7</v>
      </c>
    </row>
    <row r="346" spans="1:5" x14ac:dyDescent="0.25">
      <c r="A346" s="109">
        <v>46024</v>
      </c>
      <c r="B346">
        <v>31</v>
      </c>
      <c r="C346" t="s">
        <v>144</v>
      </c>
      <c r="D346">
        <v>68</v>
      </c>
      <c r="E346">
        <v>74.800000000000011</v>
      </c>
    </row>
    <row r="347" spans="1:5" x14ac:dyDescent="0.25">
      <c r="A347" s="109">
        <v>46024</v>
      </c>
      <c r="B347">
        <v>31</v>
      </c>
      <c r="C347" t="s">
        <v>167</v>
      </c>
      <c r="D347">
        <v>43</v>
      </c>
      <c r="E347">
        <v>47.300000000000004</v>
      </c>
    </row>
    <row r="348" spans="1:5" x14ac:dyDescent="0.25">
      <c r="A348" s="109">
        <v>46024</v>
      </c>
      <c r="B348">
        <v>31</v>
      </c>
      <c r="C348" t="s">
        <v>155</v>
      </c>
      <c r="D348">
        <v>42</v>
      </c>
      <c r="E348">
        <v>46.2</v>
      </c>
    </row>
    <row r="349" spans="1:5" x14ac:dyDescent="0.25">
      <c r="A349" s="109">
        <v>46024</v>
      </c>
      <c r="B349">
        <v>31</v>
      </c>
      <c r="C349" t="s">
        <v>174</v>
      </c>
      <c r="D349">
        <v>45</v>
      </c>
      <c r="E349">
        <v>49.500000000000007</v>
      </c>
    </row>
    <row r="350" spans="1:5" x14ac:dyDescent="0.25">
      <c r="A350" s="109">
        <v>46024</v>
      </c>
      <c r="B350">
        <v>31</v>
      </c>
      <c r="C350" t="s">
        <v>169</v>
      </c>
      <c r="D350">
        <v>56</v>
      </c>
      <c r="E350">
        <v>61.600000000000009</v>
      </c>
    </row>
    <row r="351" spans="1:5" x14ac:dyDescent="0.25">
      <c r="A351" s="109">
        <v>46024</v>
      </c>
      <c r="B351">
        <v>31</v>
      </c>
      <c r="C351" t="s">
        <v>160</v>
      </c>
      <c r="D351">
        <v>61</v>
      </c>
      <c r="E351">
        <v>67.100000000000009</v>
      </c>
    </row>
    <row r="352" spans="1:5" x14ac:dyDescent="0.25">
      <c r="A352" s="109">
        <v>46024</v>
      </c>
      <c r="B352">
        <v>31</v>
      </c>
      <c r="C352" t="s">
        <v>354</v>
      </c>
      <c r="D352">
        <v>47</v>
      </c>
      <c r="E352">
        <v>51.7</v>
      </c>
    </row>
    <row r="353" spans="1:5" x14ac:dyDescent="0.25">
      <c r="A353" s="109">
        <v>46024</v>
      </c>
      <c r="B353">
        <v>31</v>
      </c>
      <c r="C353" t="s">
        <v>162</v>
      </c>
      <c r="D353">
        <v>30</v>
      </c>
      <c r="E353">
        <v>33</v>
      </c>
    </row>
    <row r="354" spans="1:5" x14ac:dyDescent="0.25">
      <c r="A354" s="109">
        <v>46024</v>
      </c>
      <c r="B354">
        <v>31</v>
      </c>
      <c r="C354" t="s">
        <v>156</v>
      </c>
      <c r="D354">
        <v>55</v>
      </c>
      <c r="E354">
        <v>60.500000000000007</v>
      </c>
    </row>
    <row r="355" spans="1:5" x14ac:dyDescent="0.25">
      <c r="A355" s="109">
        <v>46024</v>
      </c>
      <c r="B355">
        <v>31</v>
      </c>
      <c r="C355" t="s">
        <v>162</v>
      </c>
      <c r="D355">
        <v>65</v>
      </c>
      <c r="E355">
        <v>71.5</v>
      </c>
    </row>
    <row r="356" spans="1:5" x14ac:dyDescent="0.25">
      <c r="A356" s="109">
        <v>46024</v>
      </c>
      <c r="B356">
        <v>31</v>
      </c>
      <c r="C356" t="s">
        <v>131</v>
      </c>
      <c r="D356">
        <v>30</v>
      </c>
      <c r="E356">
        <v>33</v>
      </c>
    </row>
    <row r="357" spans="1:5" x14ac:dyDescent="0.25">
      <c r="A357" s="109">
        <v>46024</v>
      </c>
      <c r="B357">
        <v>31</v>
      </c>
      <c r="C357" t="s">
        <v>159</v>
      </c>
      <c r="D357">
        <v>45</v>
      </c>
      <c r="E357">
        <v>49.500000000000007</v>
      </c>
    </row>
    <row r="358" spans="1:5" x14ac:dyDescent="0.25">
      <c r="A358" s="109">
        <v>46024</v>
      </c>
      <c r="B358">
        <v>31</v>
      </c>
      <c r="C358" t="s">
        <v>352</v>
      </c>
      <c r="D358">
        <v>45</v>
      </c>
      <c r="E358">
        <v>49.500000000000007</v>
      </c>
    </row>
    <row r="359" spans="1:5" x14ac:dyDescent="0.25">
      <c r="A359" s="109">
        <v>46024</v>
      </c>
      <c r="B359">
        <v>31</v>
      </c>
      <c r="C359" t="s">
        <v>177</v>
      </c>
      <c r="D359">
        <v>67</v>
      </c>
      <c r="E359">
        <v>73.7</v>
      </c>
    </row>
    <row r="360" spans="1:5" x14ac:dyDescent="0.25">
      <c r="A360" s="109">
        <v>46024</v>
      </c>
      <c r="B360">
        <v>31</v>
      </c>
      <c r="C360" t="s">
        <v>168</v>
      </c>
      <c r="D360">
        <v>49</v>
      </c>
      <c r="E360">
        <v>53.900000000000006</v>
      </c>
    </row>
    <row r="361" spans="1:5" x14ac:dyDescent="0.25">
      <c r="A361" s="109">
        <v>46024</v>
      </c>
      <c r="B361">
        <v>31</v>
      </c>
      <c r="C361" t="s">
        <v>163</v>
      </c>
      <c r="D361">
        <v>54</v>
      </c>
      <c r="E361">
        <v>59.400000000000006</v>
      </c>
    </row>
    <row r="362" spans="1:5" x14ac:dyDescent="0.25">
      <c r="A362" s="109">
        <v>46024</v>
      </c>
      <c r="B362">
        <v>31</v>
      </c>
      <c r="C362" t="s">
        <v>161</v>
      </c>
      <c r="D362">
        <v>61</v>
      </c>
      <c r="E362">
        <v>67.100000000000009</v>
      </c>
    </row>
    <row r="363" spans="1:5" x14ac:dyDescent="0.25">
      <c r="A363" s="109">
        <v>46024</v>
      </c>
      <c r="B363">
        <v>31</v>
      </c>
      <c r="C363" t="s">
        <v>176</v>
      </c>
      <c r="D363">
        <v>43</v>
      </c>
      <c r="E363">
        <v>47.300000000000004</v>
      </c>
    </row>
    <row r="364" spans="1:5" x14ac:dyDescent="0.25">
      <c r="A364" s="109">
        <v>46024</v>
      </c>
      <c r="B364">
        <v>31</v>
      </c>
      <c r="C364" t="s">
        <v>355</v>
      </c>
      <c r="D364">
        <v>45</v>
      </c>
      <c r="E364">
        <v>49.500000000000007</v>
      </c>
    </row>
    <row r="365" spans="1:5" x14ac:dyDescent="0.25">
      <c r="A365" s="109">
        <v>46024</v>
      </c>
      <c r="B365">
        <v>31</v>
      </c>
      <c r="C365" t="s">
        <v>155</v>
      </c>
      <c r="D365">
        <v>68</v>
      </c>
      <c r="E365">
        <v>74.800000000000011</v>
      </c>
    </row>
    <row r="366" spans="1:5" x14ac:dyDescent="0.25">
      <c r="A366" s="109">
        <v>46024</v>
      </c>
      <c r="B366">
        <v>31</v>
      </c>
      <c r="C366" t="s">
        <v>129</v>
      </c>
      <c r="D366">
        <v>53</v>
      </c>
      <c r="E366">
        <v>58.300000000000004</v>
      </c>
    </row>
    <row r="367" spans="1:5" x14ac:dyDescent="0.25">
      <c r="A367" s="109">
        <v>46024</v>
      </c>
      <c r="B367">
        <v>31</v>
      </c>
      <c r="C367" t="s">
        <v>174</v>
      </c>
      <c r="D367">
        <v>52</v>
      </c>
      <c r="E367">
        <v>57.2</v>
      </c>
    </row>
    <row r="368" spans="1:5" x14ac:dyDescent="0.25">
      <c r="A368" s="109">
        <v>46024</v>
      </c>
      <c r="B368">
        <v>31</v>
      </c>
      <c r="C368" t="s">
        <v>179</v>
      </c>
      <c r="D368">
        <v>62</v>
      </c>
      <c r="E368">
        <v>68.2</v>
      </c>
    </row>
    <row r="369" spans="1:5" x14ac:dyDescent="0.25">
      <c r="A369" s="109">
        <v>46024</v>
      </c>
      <c r="B369">
        <v>31</v>
      </c>
      <c r="C369" t="s">
        <v>751</v>
      </c>
      <c r="D369">
        <v>73</v>
      </c>
      <c r="E369">
        <v>80.300000000000011</v>
      </c>
    </row>
    <row r="370" spans="1:5" x14ac:dyDescent="0.25">
      <c r="A370" s="109">
        <v>46024</v>
      </c>
      <c r="B370">
        <v>31</v>
      </c>
      <c r="C370" t="s">
        <v>172</v>
      </c>
      <c r="D370">
        <v>46</v>
      </c>
      <c r="E370">
        <v>50.6</v>
      </c>
    </row>
    <row r="371" spans="1:5" x14ac:dyDescent="0.25">
      <c r="A371" s="109">
        <v>46024</v>
      </c>
      <c r="B371">
        <v>31</v>
      </c>
      <c r="C371" t="s">
        <v>131</v>
      </c>
      <c r="D371">
        <v>40</v>
      </c>
      <c r="E371">
        <v>44</v>
      </c>
    </row>
    <row r="372" spans="1:5" x14ac:dyDescent="0.25">
      <c r="A372" s="109">
        <v>46024</v>
      </c>
      <c r="B372">
        <v>31</v>
      </c>
      <c r="C372" t="s">
        <v>171</v>
      </c>
      <c r="D372">
        <v>47</v>
      </c>
      <c r="E372">
        <v>51.7</v>
      </c>
    </row>
    <row r="373" spans="1:5" x14ac:dyDescent="0.25">
      <c r="A373" s="109">
        <v>46024</v>
      </c>
      <c r="B373">
        <v>31</v>
      </c>
      <c r="C373" t="s">
        <v>156</v>
      </c>
      <c r="D373">
        <v>62</v>
      </c>
      <c r="E373">
        <v>68.2</v>
      </c>
    </row>
    <row r="374" spans="1:5" x14ac:dyDescent="0.25">
      <c r="A374" s="109">
        <v>46024</v>
      </c>
      <c r="B374">
        <v>31</v>
      </c>
      <c r="C374" t="s">
        <v>184</v>
      </c>
      <c r="D374">
        <v>51</v>
      </c>
      <c r="E374">
        <v>56.1</v>
      </c>
    </row>
    <row r="375" spans="1:5" x14ac:dyDescent="0.25">
      <c r="A375" s="109">
        <v>46024</v>
      </c>
      <c r="B375">
        <v>31</v>
      </c>
      <c r="C375" t="s">
        <v>164</v>
      </c>
      <c r="D375">
        <v>15</v>
      </c>
      <c r="E375">
        <v>16.5</v>
      </c>
    </row>
    <row r="376" spans="1:5" x14ac:dyDescent="0.25">
      <c r="A376" s="109">
        <v>46024</v>
      </c>
      <c r="B376">
        <v>31</v>
      </c>
      <c r="C376" t="s">
        <v>174</v>
      </c>
      <c r="D376">
        <v>34</v>
      </c>
      <c r="E376">
        <v>37.400000000000006</v>
      </c>
    </row>
    <row r="377" spans="1:5" x14ac:dyDescent="0.25">
      <c r="A377" s="109">
        <v>46024</v>
      </c>
      <c r="B377">
        <v>31</v>
      </c>
      <c r="C377" t="s">
        <v>163</v>
      </c>
      <c r="D377">
        <v>47</v>
      </c>
      <c r="E377">
        <v>51.7</v>
      </c>
    </row>
    <row r="378" spans="1:5" x14ac:dyDescent="0.25">
      <c r="A378" s="109">
        <v>46024</v>
      </c>
      <c r="B378">
        <v>31</v>
      </c>
      <c r="C378" t="s">
        <v>752</v>
      </c>
      <c r="D378">
        <v>67</v>
      </c>
      <c r="E378">
        <v>73.7</v>
      </c>
    </row>
    <row r="379" spans="1:5" x14ac:dyDescent="0.25">
      <c r="A379" s="109">
        <v>46024</v>
      </c>
      <c r="B379">
        <v>31</v>
      </c>
      <c r="C379" t="s">
        <v>160</v>
      </c>
      <c r="D379">
        <v>30</v>
      </c>
      <c r="E379">
        <v>33</v>
      </c>
    </row>
    <row r="380" spans="1:5" x14ac:dyDescent="0.25">
      <c r="A380" s="109">
        <v>46024</v>
      </c>
      <c r="B380">
        <v>31</v>
      </c>
      <c r="C380" t="s">
        <v>162</v>
      </c>
      <c r="D380">
        <v>42</v>
      </c>
      <c r="E380">
        <v>46.2</v>
      </c>
    </row>
    <row r="381" spans="1:5" x14ac:dyDescent="0.25">
      <c r="A381" s="109">
        <v>46024</v>
      </c>
      <c r="B381">
        <v>31</v>
      </c>
      <c r="C381" t="s">
        <v>144</v>
      </c>
      <c r="D381">
        <v>49</v>
      </c>
      <c r="E381">
        <v>53.900000000000006</v>
      </c>
    </row>
    <row r="382" spans="1:5" x14ac:dyDescent="0.25">
      <c r="A382" s="109">
        <v>46024</v>
      </c>
      <c r="B382">
        <v>31</v>
      </c>
      <c r="C382" t="s">
        <v>167</v>
      </c>
      <c r="D382">
        <v>53</v>
      </c>
      <c r="E382">
        <v>58.300000000000004</v>
      </c>
    </row>
    <row r="383" spans="1:5" x14ac:dyDescent="0.25">
      <c r="A383" s="109">
        <v>46024</v>
      </c>
      <c r="B383">
        <v>31</v>
      </c>
      <c r="C383" t="s">
        <v>169</v>
      </c>
      <c r="D383">
        <v>64</v>
      </c>
      <c r="E383">
        <v>70.400000000000006</v>
      </c>
    </row>
    <row r="384" spans="1:5" x14ac:dyDescent="0.25">
      <c r="A384" s="109">
        <v>46024</v>
      </c>
      <c r="B384">
        <v>31</v>
      </c>
      <c r="C384" t="s">
        <v>155</v>
      </c>
      <c r="D384">
        <v>49</v>
      </c>
      <c r="E384">
        <v>53.900000000000006</v>
      </c>
    </row>
    <row r="385" spans="1:5" x14ac:dyDescent="0.25">
      <c r="A385" s="109">
        <v>46024</v>
      </c>
      <c r="B385">
        <v>31</v>
      </c>
      <c r="C385" t="s">
        <v>753</v>
      </c>
      <c r="D385">
        <v>62</v>
      </c>
      <c r="E385">
        <v>68.2</v>
      </c>
    </row>
    <row r="386" spans="1:5" x14ac:dyDescent="0.25">
      <c r="A386" s="109">
        <v>46024</v>
      </c>
      <c r="B386">
        <v>31</v>
      </c>
      <c r="C386" t="s">
        <v>174</v>
      </c>
      <c r="D386">
        <v>42</v>
      </c>
      <c r="E386">
        <v>46.2</v>
      </c>
    </row>
    <row r="387" spans="1:5" x14ac:dyDescent="0.25">
      <c r="A387" s="109">
        <v>46024</v>
      </c>
      <c r="B387">
        <v>31</v>
      </c>
      <c r="C387" t="s">
        <v>176</v>
      </c>
      <c r="D387">
        <v>57</v>
      </c>
      <c r="E387">
        <v>62.7</v>
      </c>
    </row>
    <row r="388" spans="1:5" x14ac:dyDescent="0.25">
      <c r="A388" s="109">
        <v>46024</v>
      </c>
      <c r="B388">
        <v>31</v>
      </c>
      <c r="C388" t="s">
        <v>162</v>
      </c>
      <c r="D388">
        <v>56</v>
      </c>
      <c r="E388">
        <v>61.600000000000009</v>
      </c>
    </row>
    <row r="389" spans="1:5" x14ac:dyDescent="0.25">
      <c r="A389" s="109">
        <v>46024</v>
      </c>
      <c r="B389">
        <v>31</v>
      </c>
      <c r="C389" t="s">
        <v>163</v>
      </c>
      <c r="D389">
        <v>20</v>
      </c>
      <c r="E389">
        <v>22</v>
      </c>
    </row>
    <row r="390" spans="1:5" x14ac:dyDescent="0.25">
      <c r="A390" s="109">
        <v>46024</v>
      </c>
      <c r="B390">
        <v>31</v>
      </c>
      <c r="C390" t="s">
        <v>159</v>
      </c>
      <c r="D390">
        <v>40</v>
      </c>
      <c r="E390">
        <v>44</v>
      </c>
    </row>
    <row r="391" spans="1:5" x14ac:dyDescent="0.25">
      <c r="A391" s="109">
        <v>46024</v>
      </c>
      <c r="B391">
        <v>31</v>
      </c>
      <c r="C391" t="s">
        <v>177</v>
      </c>
      <c r="D391">
        <v>63</v>
      </c>
      <c r="E391">
        <v>69.300000000000011</v>
      </c>
    </row>
    <row r="392" spans="1:5" x14ac:dyDescent="0.25">
      <c r="A392" s="109">
        <v>46024</v>
      </c>
      <c r="B392">
        <v>31</v>
      </c>
      <c r="C392" t="s">
        <v>352</v>
      </c>
      <c r="D392">
        <v>44</v>
      </c>
      <c r="E392">
        <v>48.400000000000006</v>
      </c>
    </row>
    <row r="393" spans="1:5" x14ac:dyDescent="0.25">
      <c r="A393" s="109">
        <v>46024</v>
      </c>
      <c r="B393">
        <v>31</v>
      </c>
      <c r="C393" t="s">
        <v>180</v>
      </c>
      <c r="D393">
        <v>64</v>
      </c>
      <c r="E393">
        <v>70.400000000000006</v>
      </c>
    </row>
    <row r="394" spans="1:5" x14ac:dyDescent="0.25">
      <c r="A394" s="109">
        <v>46024</v>
      </c>
      <c r="B394">
        <v>31</v>
      </c>
      <c r="C394" t="s">
        <v>144</v>
      </c>
      <c r="D394">
        <v>51</v>
      </c>
      <c r="E394">
        <v>56.1</v>
      </c>
    </row>
    <row r="395" spans="1:5" x14ac:dyDescent="0.25">
      <c r="A395" s="109">
        <v>46024</v>
      </c>
      <c r="B395">
        <v>31</v>
      </c>
      <c r="C395" t="s">
        <v>174</v>
      </c>
      <c r="D395">
        <v>45</v>
      </c>
      <c r="E395">
        <v>49.500000000000007</v>
      </c>
    </row>
    <row r="396" spans="1:5" x14ac:dyDescent="0.25">
      <c r="A396" s="109">
        <v>46024</v>
      </c>
      <c r="B396">
        <v>31</v>
      </c>
      <c r="C396" t="s">
        <v>131</v>
      </c>
      <c r="D396">
        <v>35</v>
      </c>
      <c r="E396">
        <v>38.5</v>
      </c>
    </row>
    <row r="397" spans="1:5" x14ac:dyDescent="0.25">
      <c r="A397" s="109">
        <v>46024</v>
      </c>
      <c r="B397">
        <v>31</v>
      </c>
      <c r="C397" t="s">
        <v>164</v>
      </c>
      <c r="D397">
        <v>43</v>
      </c>
      <c r="E397">
        <v>47.300000000000004</v>
      </c>
    </row>
    <row r="398" spans="1:5" x14ac:dyDescent="0.25">
      <c r="A398" s="109">
        <v>46024</v>
      </c>
      <c r="B398">
        <v>31</v>
      </c>
      <c r="C398" t="s">
        <v>354</v>
      </c>
      <c r="D398">
        <v>60</v>
      </c>
      <c r="E398">
        <v>66</v>
      </c>
    </row>
    <row r="399" spans="1:5" x14ac:dyDescent="0.25">
      <c r="A399" s="109">
        <v>46024</v>
      </c>
      <c r="B399">
        <v>31</v>
      </c>
      <c r="C399" t="s">
        <v>162</v>
      </c>
      <c r="D399">
        <v>45</v>
      </c>
      <c r="E399">
        <v>49.500000000000007</v>
      </c>
    </row>
    <row r="400" spans="1:5" x14ac:dyDescent="0.25">
      <c r="A400" s="109">
        <v>46024</v>
      </c>
      <c r="B400">
        <v>31</v>
      </c>
      <c r="C400" t="s">
        <v>178</v>
      </c>
      <c r="D400">
        <v>62</v>
      </c>
      <c r="E400">
        <v>68.2</v>
      </c>
    </row>
    <row r="401" spans="1:5" x14ac:dyDescent="0.25">
      <c r="A401" s="109">
        <v>46024</v>
      </c>
      <c r="B401">
        <v>31</v>
      </c>
      <c r="C401" t="s">
        <v>156</v>
      </c>
      <c r="D401">
        <v>53</v>
      </c>
      <c r="E401">
        <v>58.300000000000004</v>
      </c>
    </row>
    <row r="402" spans="1:5" x14ac:dyDescent="0.25">
      <c r="A402" s="109">
        <v>46024</v>
      </c>
      <c r="B402">
        <v>31</v>
      </c>
      <c r="C402" t="s">
        <v>163</v>
      </c>
      <c r="D402">
        <v>49</v>
      </c>
      <c r="E402">
        <v>53.900000000000006</v>
      </c>
    </row>
    <row r="403" spans="1:5" x14ac:dyDescent="0.25">
      <c r="A403" s="109">
        <v>46024</v>
      </c>
      <c r="B403">
        <v>31</v>
      </c>
      <c r="C403" t="s">
        <v>155</v>
      </c>
      <c r="D403">
        <v>55</v>
      </c>
      <c r="E403">
        <v>60.500000000000007</v>
      </c>
    </row>
    <row r="404" spans="1:5" x14ac:dyDescent="0.25">
      <c r="A404" s="109">
        <v>46024</v>
      </c>
      <c r="B404">
        <v>31</v>
      </c>
      <c r="C404" t="s">
        <v>160</v>
      </c>
      <c r="D404">
        <v>51</v>
      </c>
      <c r="E404">
        <v>56.1</v>
      </c>
    </row>
    <row r="405" spans="1:5" x14ac:dyDescent="0.25">
      <c r="A405" s="109">
        <v>46024</v>
      </c>
      <c r="B405">
        <v>31</v>
      </c>
      <c r="C405" t="s">
        <v>161</v>
      </c>
      <c r="D405">
        <v>65</v>
      </c>
      <c r="E405">
        <v>71.5</v>
      </c>
    </row>
    <row r="406" spans="1:5" x14ac:dyDescent="0.25">
      <c r="A406" s="109">
        <v>46024</v>
      </c>
      <c r="B406">
        <v>31</v>
      </c>
      <c r="C406" t="s">
        <v>144</v>
      </c>
      <c r="D406">
        <v>6</v>
      </c>
      <c r="E406">
        <v>6.6000000000000005</v>
      </c>
    </row>
    <row r="407" spans="1:5" x14ac:dyDescent="0.25">
      <c r="A407" s="109">
        <v>46024</v>
      </c>
      <c r="B407">
        <v>31</v>
      </c>
      <c r="C407" t="s">
        <v>174</v>
      </c>
      <c r="D407">
        <v>26</v>
      </c>
      <c r="E407">
        <v>28.6</v>
      </c>
    </row>
    <row r="408" spans="1:5" x14ac:dyDescent="0.25">
      <c r="A408" s="109">
        <v>46024</v>
      </c>
      <c r="B408">
        <v>31</v>
      </c>
      <c r="C408" t="s">
        <v>164</v>
      </c>
      <c r="D408">
        <v>35</v>
      </c>
      <c r="E408">
        <v>38.5</v>
      </c>
    </row>
    <row r="409" spans="1:5" x14ac:dyDescent="0.25">
      <c r="A409" s="109">
        <v>46024</v>
      </c>
      <c r="B409">
        <v>31</v>
      </c>
      <c r="C409" t="s">
        <v>175</v>
      </c>
      <c r="D409">
        <v>65</v>
      </c>
      <c r="E409">
        <v>71.5</v>
      </c>
    </row>
    <row r="410" spans="1:5" x14ac:dyDescent="0.25">
      <c r="A410" s="109">
        <v>46024</v>
      </c>
      <c r="B410">
        <v>31</v>
      </c>
      <c r="C410" t="s">
        <v>179</v>
      </c>
      <c r="D410">
        <v>35</v>
      </c>
      <c r="E410">
        <v>38.5</v>
      </c>
    </row>
    <row r="411" spans="1:5" x14ac:dyDescent="0.25">
      <c r="A411" s="109">
        <v>46024</v>
      </c>
      <c r="B411">
        <v>31</v>
      </c>
      <c r="C411" t="s">
        <v>129</v>
      </c>
      <c r="D411">
        <v>55</v>
      </c>
      <c r="E411">
        <v>60.500000000000007</v>
      </c>
    </row>
    <row r="412" spans="1:5" x14ac:dyDescent="0.25">
      <c r="A412" s="109">
        <v>46024</v>
      </c>
      <c r="B412">
        <v>31</v>
      </c>
      <c r="C412" t="s">
        <v>184</v>
      </c>
      <c r="D412">
        <v>47</v>
      </c>
      <c r="E412">
        <v>51.7</v>
      </c>
    </row>
    <row r="413" spans="1:5" x14ac:dyDescent="0.25">
      <c r="A413" s="109">
        <v>46024</v>
      </c>
      <c r="B413">
        <v>31</v>
      </c>
      <c r="C413" t="s">
        <v>176</v>
      </c>
      <c r="D413">
        <v>68</v>
      </c>
      <c r="E413">
        <v>74.800000000000011</v>
      </c>
    </row>
    <row r="414" spans="1:5" x14ac:dyDescent="0.25">
      <c r="A414" s="109">
        <v>46024</v>
      </c>
      <c r="B414">
        <v>31</v>
      </c>
      <c r="C414" t="s">
        <v>151</v>
      </c>
      <c r="D414">
        <v>63</v>
      </c>
      <c r="E414">
        <v>69.300000000000011</v>
      </c>
    </row>
    <row r="415" spans="1:5" x14ac:dyDescent="0.25">
      <c r="A415" s="109">
        <v>46024</v>
      </c>
      <c r="B415">
        <v>31</v>
      </c>
      <c r="C415" t="s">
        <v>164</v>
      </c>
      <c r="D415">
        <v>41</v>
      </c>
      <c r="E415">
        <v>45.1</v>
      </c>
    </row>
    <row r="416" spans="1:5" x14ac:dyDescent="0.25">
      <c r="A416" s="109">
        <v>46024</v>
      </c>
      <c r="B416">
        <v>31</v>
      </c>
      <c r="C416" t="s">
        <v>156</v>
      </c>
      <c r="D416">
        <v>42</v>
      </c>
      <c r="E416">
        <v>46.2</v>
      </c>
    </row>
    <row r="417" spans="1:5" x14ac:dyDescent="0.25">
      <c r="A417" s="109">
        <v>46024</v>
      </c>
      <c r="B417">
        <v>31</v>
      </c>
      <c r="C417" t="s">
        <v>174</v>
      </c>
      <c r="D417">
        <v>33</v>
      </c>
      <c r="E417">
        <v>36.300000000000004</v>
      </c>
    </row>
    <row r="418" spans="1:5" x14ac:dyDescent="0.25">
      <c r="A418" s="109">
        <v>46024</v>
      </c>
      <c r="B418">
        <v>31</v>
      </c>
      <c r="C418" t="s">
        <v>167</v>
      </c>
      <c r="D418">
        <v>35</v>
      </c>
      <c r="E418">
        <v>38.5</v>
      </c>
    </row>
    <row r="419" spans="1:5" x14ac:dyDescent="0.25">
      <c r="A419" s="109">
        <v>46024</v>
      </c>
      <c r="B419">
        <v>31</v>
      </c>
      <c r="C419" t="s">
        <v>144</v>
      </c>
      <c r="D419">
        <v>52</v>
      </c>
      <c r="E419">
        <v>57.2</v>
      </c>
    </row>
    <row r="420" spans="1:5" x14ac:dyDescent="0.25">
      <c r="A420" s="109">
        <v>46024</v>
      </c>
      <c r="B420">
        <v>31</v>
      </c>
      <c r="C420" t="s">
        <v>163</v>
      </c>
      <c r="D420">
        <v>50</v>
      </c>
      <c r="E420">
        <v>55.000000000000007</v>
      </c>
    </row>
    <row r="421" spans="1:5" x14ac:dyDescent="0.25">
      <c r="A421" s="109">
        <v>46024</v>
      </c>
      <c r="B421">
        <v>31</v>
      </c>
      <c r="C421" t="s">
        <v>168</v>
      </c>
      <c r="D421">
        <v>56</v>
      </c>
      <c r="E421">
        <v>61.600000000000009</v>
      </c>
    </row>
    <row r="422" spans="1:5" x14ac:dyDescent="0.25">
      <c r="A422" s="109">
        <v>46024</v>
      </c>
      <c r="B422">
        <v>31</v>
      </c>
      <c r="C422" t="s">
        <v>131</v>
      </c>
      <c r="D422">
        <v>45</v>
      </c>
      <c r="E422">
        <v>49.500000000000007</v>
      </c>
    </row>
    <row r="423" spans="1:5" x14ac:dyDescent="0.25">
      <c r="A423" s="109">
        <v>46024</v>
      </c>
      <c r="B423">
        <v>31</v>
      </c>
      <c r="C423" t="s">
        <v>174</v>
      </c>
      <c r="D423">
        <v>49</v>
      </c>
      <c r="E423">
        <v>53.900000000000006</v>
      </c>
    </row>
    <row r="424" spans="1:5" x14ac:dyDescent="0.25">
      <c r="A424" s="109">
        <v>46024</v>
      </c>
      <c r="B424">
        <v>31</v>
      </c>
      <c r="C424" t="s">
        <v>176</v>
      </c>
      <c r="D424">
        <v>24</v>
      </c>
      <c r="E424">
        <v>26.400000000000002</v>
      </c>
    </row>
    <row r="425" spans="1:5" x14ac:dyDescent="0.25">
      <c r="A425" s="109">
        <v>46024</v>
      </c>
      <c r="B425">
        <v>31</v>
      </c>
      <c r="C425" t="s">
        <v>162</v>
      </c>
      <c r="D425">
        <v>43</v>
      </c>
      <c r="E425">
        <v>47.300000000000004</v>
      </c>
    </row>
    <row r="426" spans="1:5" x14ac:dyDescent="0.25">
      <c r="A426" s="109">
        <v>46024</v>
      </c>
      <c r="B426">
        <v>31</v>
      </c>
      <c r="C426" t="s">
        <v>171</v>
      </c>
      <c r="D426">
        <v>44</v>
      </c>
      <c r="E426">
        <v>48.400000000000006</v>
      </c>
    </row>
    <row r="427" spans="1:5" x14ac:dyDescent="0.25">
      <c r="A427" s="109">
        <v>46024</v>
      </c>
      <c r="B427">
        <v>31</v>
      </c>
      <c r="C427" t="s">
        <v>174</v>
      </c>
      <c r="D427">
        <v>14</v>
      </c>
      <c r="E427">
        <v>15.400000000000002</v>
      </c>
    </row>
    <row r="428" spans="1:5" x14ac:dyDescent="0.25">
      <c r="A428" s="109">
        <v>46024</v>
      </c>
      <c r="B428">
        <v>31</v>
      </c>
      <c r="C428" t="s">
        <v>162</v>
      </c>
      <c r="D428">
        <v>30</v>
      </c>
      <c r="E428">
        <v>33</v>
      </c>
    </row>
    <row r="429" spans="1:5" x14ac:dyDescent="0.25">
      <c r="A429" s="109">
        <v>46024</v>
      </c>
      <c r="B429">
        <v>31</v>
      </c>
      <c r="C429" t="s">
        <v>752</v>
      </c>
      <c r="D429">
        <v>35</v>
      </c>
      <c r="E429">
        <v>38.5</v>
      </c>
    </row>
    <row r="430" spans="1:5" x14ac:dyDescent="0.25">
      <c r="A430" s="109">
        <v>46024</v>
      </c>
      <c r="B430">
        <v>31</v>
      </c>
      <c r="C430" t="s">
        <v>177</v>
      </c>
      <c r="D430">
        <v>51</v>
      </c>
      <c r="E430">
        <v>56.1</v>
      </c>
    </row>
    <row r="431" spans="1:5" x14ac:dyDescent="0.25">
      <c r="A431" s="109">
        <v>46024</v>
      </c>
      <c r="B431">
        <v>31</v>
      </c>
      <c r="C431" t="s">
        <v>352</v>
      </c>
      <c r="D431">
        <v>44</v>
      </c>
      <c r="E431">
        <v>48.400000000000006</v>
      </c>
    </row>
    <row r="432" spans="1:5" x14ac:dyDescent="0.25">
      <c r="A432" s="109">
        <v>46024</v>
      </c>
      <c r="B432">
        <v>31</v>
      </c>
      <c r="C432" t="s">
        <v>754</v>
      </c>
      <c r="D432">
        <v>57</v>
      </c>
      <c r="E432">
        <v>62.7</v>
      </c>
    </row>
    <row r="433" spans="1:5" x14ac:dyDescent="0.25">
      <c r="A433" s="109">
        <v>46024</v>
      </c>
      <c r="B433">
        <v>31</v>
      </c>
      <c r="C433" t="s">
        <v>169</v>
      </c>
      <c r="D433">
        <v>50</v>
      </c>
      <c r="E433">
        <v>55.000000000000007</v>
      </c>
    </row>
    <row r="434" spans="1:5" x14ac:dyDescent="0.25">
      <c r="A434" s="109">
        <v>46024</v>
      </c>
      <c r="B434">
        <v>31</v>
      </c>
      <c r="C434" t="s">
        <v>751</v>
      </c>
      <c r="D434">
        <v>31</v>
      </c>
      <c r="E434">
        <v>34.1</v>
      </c>
    </row>
    <row r="435" spans="1:5" x14ac:dyDescent="0.25">
      <c r="A435" s="109">
        <v>46024</v>
      </c>
      <c r="B435">
        <v>31</v>
      </c>
      <c r="C435" t="s">
        <v>159</v>
      </c>
      <c r="D435">
        <v>33</v>
      </c>
      <c r="E435">
        <v>36.300000000000004</v>
      </c>
    </row>
    <row r="436" spans="1:5" x14ac:dyDescent="0.25">
      <c r="A436" s="109">
        <v>46024</v>
      </c>
      <c r="B436">
        <v>31</v>
      </c>
      <c r="C436" t="s">
        <v>155</v>
      </c>
      <c r="D436">
        <v>50</v>
      </c>
      <c r="E436">
        <v>55.000000000000007</v>
      </c>
    </row>
    <row r="437" spans="1:5" x14ac:dyDescent="0.25">
      <c r="A437" s="109">
        <v>46024</v>
      </c>
      <c r="B437">
        <v>31</v>
      </c>
      <c r="C437" t="s">
        <v>156</v>
      </c>
      <c r="D437">
        <v>44</v>
      </c>
      <c r="E437">
        <v>48.400000000000006</v>
      </c>
    </row>
    <row r="438" spans="1:5" x14ac:dyDescent="0.25">
      <c r="A438" s="109">
        <v>46024</v>
      </c>
      <c r="B438">
        <v>31</v>
      </c>
      <c r="C438" t="s">
        <v>172</v>
      </c>
      <c r="D438">
        <v>49</v>
      </c>
      <c r="E438">
        <v>53.900000000000006</v>
      </c>
    </row>
    <row r="439" spans="1:5" x14ac:dyDescent="0.25">
      <c r="A439" s="109">
        <v>46024</v>
      </c>
      <c r="B439">
        <v>31</v>
      </c>
      <c r="C439" t="s">
        <v>164</v>
      </c>
      <c r="D439">
        <v>37</v>
      </c>
      <c r="E439">
        <v>40.700000000000003</v>
      </c>
    </row>
    <row r="440" spans="1:5" x14ac:dyDescent="0.25">
      <c r="A440" s="109">
        <v>46024</v>
      </c>
      <c r="B440">
        <v>31</v>
      </c>
      <c r="C440" t="s">
        <v>354</v>
      </c>
      <c r="D440">
        <v>48</v>
      </c>
      <c r="E440">
        <v>52.800000000000004</v>
      </c>
    </row>
    <row r="441" spans="1:5" x14ac:dyDescent="0.25">
      <c r="A441" s="109">
        <v>46024</v>
      </c>
      <c r="B441">
        <v>31</v>
      </c>
      <c r="C441" t="s">
        <v>163</v>
      </c>
      <c r="D441">
        <v>50</v>
      </c>
      <c r="E441">
        <v>55.000000000000007</v>
      </c>
    </row>
    <row r="442" spans="1:5" x14ac:dyDescent="0.25">
      <c r="A442" s="109">
        <v>46024</v>
      </c>
      <c r="B442">
        <v>31</v>
      </c>
      <c r="C442" t="s">
        <v>753</v>
      </c>
      <c r="D442">
        <v>40</v>
      </c>
      <c r="E442">
        <v>44</v>
      </c>
    </row>
    <row r="443" spans="1:5" x14ac:dyDescent="0.25">
      <c r="A443" s="109">
        <v>46024</v>
      </c>
      <c r="B443">
        <v>31</v>
      </c>
      <c r="C443" t="s">
        <v>162</v>
      </c>
      <c r="D443">
        <v>68</v>
      </c>
      <c r="E443">
        <v>74.800000000000011</v>
      </c>
    </row>
    <row r="444" spans="1:5" x14ac:dyDescent="0.25">
      <c r="A444" s="109">
        <v>46024</v>
      </c>
      <c r="B444">
        <v>31</v>
      </c>
      <c r="C444" t="s">
        <v>144</v>
      </c>
      <c r="D444">
        <v>38</v>
      </c>
      <c r="E444">
        <v>41.800000000000004</v>
      </c>
    </row>
    <row r="445" spans="1:5" x14ac:dyDescent="0.25">
      <c r="A445" s="109">
        <v>46024</v>
      </c>
      <c r="B445">
        <v>31</v>
      </c>
      <c r="C445" t="s">
        <v>129</v>
      </c>
      <c r="D445">
        <v>29</v>
      </c>
      <c r="E445">
        <v>31.900000000000002</v>
      </c>
    </row>
    <row r="446" spans="1:5" x14ac:dyDescent="0.25">
      <c r="A446" s="109">
        <v>46024</v>
      </c>
      <c r="B446">
        <v>31</v>
      </c>
      <c r="C446" t="s">
        <v>160</v>
      </c>
      <c r="D446">
        <v>47</v>
      </c>
      <c r="E446">
        <v>51.7</v>
      </c>
    </row>
    <row r="447" spans="1:5" x14ac:dyDescent="0.25">
      <c r="A447" s="109">
        <v>46024</v>
      </c>
      <c r="B447">
        <v>31</v>
      </c>
      <c r="C447" t="s">
        <v>755</v>
      </c>
      <c r="D447">
        <v>64</v>
      </c>
      <c r="E447">
        <v>70.400000000000006</v>
      </c>
    </row>
    <row r="448" spans="1:5" x14ac:dyDescent="0.25">
      <c r="A448" s="109">
        <v>46024</v>
      </c>
      <c r="B448">
        <v>31</v>
      </c>
      <c r="C448" t="s">
        <v>355</v>
      </c>
      <c r="D448">
        <v>53</v>
      </c>
      <c r="E448">
        <v>58.300000000000004</v>
      </c>
    </row>
    <row r="449" spans="1:5" x14ac:dyDescent="0.25">
      <c r="A449" s="109">
        <v>46024</v>
      </c>
      <c r="B449">
        <v>31</v>
      </c>
      <c r="C449" t="s">
        <v>162</v>
      </c>
      <c r="D449">
        <v>52</v>
      </c>
      <c r="E449">
        <v>57.2</v>
      </c>
    </row>
    <row r="450" spans="1:5" x14ac:dyDescent="0.25">
      <c r="A450" s="109">
        <v>46024</v>
      </c>
      <c r="B450">
        <v>31</v>
      </c>
      <c r="C450" t="s">
        <v>156</v>
      </c>
      <c r="D450">
        <v>60</v>
      </c>
      <c r="E450">
        <v>66</v>
      </c>
    </row>
    <row r="451" spans="1:5" x14ac:dyDescent="0.25">
      <c r="A451" s="109">
        <v>46025</v>
      </c>
      <c r="B451">
        <v>31</v>
      </c>
      <c r="C451" t="s">
        <v>180</v>
      </c>
      <c r="D451">
        <v>49</v>
      </c>
      <c r="E451">
        <v>53.900000000000006</v>
      </c>
    </row>
    <row r="452" spans="1:5" x14ac:dyDescent="0.25">
      <c r="A452" s="109">
        <v>46025</v>
      </c>
      <c r="B452">
        <v>31</v>
      </c>
      <c r="C452" t="s">
        <v>174</v>
      </c>
      <c r="D452">
        <v>73</v>
      </c>
      <c r="E452">
        <v>80.300000000000011</v>
      </c>
    </row>
    <row r="453" spans="1:5" x14ac:dyDescent="0.25">
      <c r="A453" s="109">
        <v>46025</v>
      </c>
      <c r="B453">
        <v>31</v>
      </c>
      <c r="C453" t="s">
        <v>155</v>
      </c>
      <c r="D453">
        <v>65</v>
      </c>
      <c r="E453">
        <v>71.5</v>
      </c>
    </row>
    <row r="454" spans="1:5" x14ac:dyDescent="0.25">
      <c r="A454" s="109">
        <v>46025</v>
      </c>
      <c r="B454">
        <v>31</v>
      </c>
      <c r="C454" t="s">
        <v>163</v>
      </c>
      <c r="D454">
        <v>30</v>
      </c>
      <c r="E454">
        <v>33</v>
      </c>
    </row>
    <row r="455" spans="1:5" x14ac:dyDescent="0.25">
      <c r="A455" s="109">
        <v>46025</v>
      </c>
      <c r="B455">
        <v>31</v>
      </c>
      <c r="C455" t="s">
        <v>179</v>
      </c>
      <c r="D455">
        <v>63</v>
      </c>
      <c r="E455">
        <v>69.300000000000011</v>
      </c>
    </row>
    <row r="456" spans="1:5" x14ac:dyDescent="0.25">
      <c r="A456" s="109">
        <v>46025</v>
      </c>
      <c r="B456">
        <v>31</v>
      </c>
      <c r="C456" t="s">
        <v>175</v>
      </c>
      <c r="D456">
        <v>79</v>
      </c>
      <c r="E456">
        <v>86.9</v>
      </c>
    </row>
    <row r="457" spans="1:5" x14ac:dyDescent="0.25">
      <c r="A457" s="109">
        <v>46025</v>
      </c>
      <c r="B457">
        <v>31</v>
      </c>
      <c r="C457" t="s">
        <v>161</v>
      </c>
      <c r="D457">
        <v>60</v>
      </c>
      <c r="E457">
        <v>66</v>
      </c>
    </row>
    <row r="458" spans="1:5" x14ac:dyDescent="0.25">
      <c r="A458" s="109">
        <v>46025</v>
      </c>
      <c r="B458">
        <v>31</v>
      </c>
      <c r="C458" t="s">
        <v>352</v>
      </c>
      <c r="D458">
        <v>41</v>
      </c>
      <c r="E458">
        <v>45.1</v>
      </c>
    </row>
    <row r="459" spans="1:5" x14ac:dyDescent="0.25">
      <c r="A459" s="109">
        <v>46025</v>
      </c>
      <c r="B459">
        <v>31</v>
      </c>
      <c r="C459" t="s">
        <v>176</v>
      </c>
      <c r="D459">
        <v>57</v>
      </c>
      <c r="E459">
        <v>62.7</v>
      </c>
    </row>
    <row r="460" spans="1:5" x14ac:dyDescent="0.25">
      <c r="A460" s="109">
        <v>46025</v>
      </c>
      <c r="B460">
        <v>31</v>
      </c>
      <c r="C460" t="s">
        <v>144</v>
      </c>
      <c r="D460">
        <v>46</v>
      </c>
      <c r="E460">
        <v>50.6</v>
      </c>
    </row>
    <row r="461" spans="1:5" x14ac:dyDescent="0.25">
      <c r="A461" s="109">
        <v>46025</v>
      </c>
      <c r="B461">
        <v>31</v>
      </c>
      <c r="C461" t="s">
        <v>167</v>
      </c>
      <c r="D461">
        <v>42</v>
      </c>
      <c r="E461">
        <v>46.2</v>
      </c>
    </row>
    <row r="462" spans="1:5" x14ac:dyDescent="0.25">
      <c r="A462" s="109">
        <v>46025</v>
      </c>
      <c r="B462">
        <v>31</v>
      </c>
      <c r="C462" t="s">
        <v>168</v>
      </c>
      <c r="D462">
        <v>57</v>
      </c>
      <c r="E462">
        <v>62.7</v>
      </c>
    </row>
    <row r="463" spans="1:5" x14ac:dyDescent="0.25">
      <c r="A463" s="109">
        <v>46025</v>
      </c>
      <c r="B463">
        <v>31</v>
      </c>
      <c r="C463" t="s">
        <v>163</v>
      </c>
      <c r="D463">
        <v>53</v>
      </c>
      <c r="E463">
        <v>58.300000000000004</v>
      </c>
    </row>
    <row r="464" spans="1:5" x14ac:dyDescent="0.25">
      <c r="A464" s="109">
        <v>46025</v>
      </c>
      <c r="B464">
        <v>31</v>
      </c>
      <c r="C464" t="s">
        <v>298</v>
      </c>
      <c r="D464">
        <v>21</v>
      </c>
      <c r="E464">
        <v>23.1</v>
      </c>
    </row>
    <row r="465" spans="1:5" x14ac:dyDescent="0.25">
      <c r="A465" s="109">
        <v>46025</v>
      </c>
      <c r="B465">
        <v>31</v>
      </c>
      <c r="C465" t="s">
        <v>160</v>
      </c>
      <c r="D465">
        <v>55</v>
      </c>
      <c r="E465">
        <v>60.500000000000007</v>
      </c>
    </row>
    <row r="466" spans="1:5" x14ac:dyDescent="0.25">
      <c r="A466" s="109">
        <v>46025</v>
      </c>
      <c r="B466">
        <v>31</v>
      </c>
      <c r="C466" t="s">
        <v>174</v>
      </c>
      <c r="D466">
        <v>42</v>
      </c>
      <c r="E466">
        <v>46.2</v>
      </c>
    </row>
    <row r="467" spans="1:5" x14ac:dyDescent="0.25">
      <c r="A467" s="109">
        <v>46025</v>
      </c>
      <c r="B467">
        <v>31</v>
      </c>
      <c r="C467" t="s">
        <v>178</v>
      </c>
      <c r="D467">
        <v>64</v>
      </c>
      <c r="E467">
        <v>70.400000000000006</v>
      </c>
    </row>
    <row r="468" spans="1:5" x14ac:dyDescent="0.25">
      <c r="A468" s="109">
        <v>46025</v>
      </c>
      <c r="B468">
        <v>31</v>
      </c>
      <c r="C468" t="s">
        <v>177</v>
      </c>
      <c r="D468">
        <v>66</v>
      </c>
      <c r="E468">
        <v>72.600000000000009</v>
      </c>
    </row>
    <row r="469" spans="1:5" x14ac:dyDescent="0.25">
      <c r="A469" s="109">
        <v>46025</v>
      </c>
      <c r="B469">
        <v>31</v>
      </c>
      <c r="C469" t="s">
        <v>169</v>
      </c>
      <c r="D469">
        <v>40</v>
      </c>
      <c r="E469">
        <v>44</v>
      </c>
    </row>
    <row r="470" spans="1:5" x14ac:dyDescent="0.25">
      <c r="A470" s="109">
        <v>46025</v>
      </c>
      <c r="B470">
        <v>31</v>
      </c>
      <c r="C470" t="s">
        <v>151</v>
      </c>
      <c r="D470">
        <v>63</v>
      </c>
      <c r="E470">
        <v>69.300000000000011</v>
      </c>
    </row>
    <row r="471" spans="1:5" x14ac:dyDescent="0.25">
      <c r="A471" s="109">
        <v>46025</v>
      </c>
      <c r="B471">
        <v>31</v>
      </c>
      <c r="C471" t="s">
        <v>131</v>
      </c>
      <c r="D471">
        <v>20</v>
      </c>
      <c r="E471">
        <v>22</v>
      </c>
    </row>
    <row r="472" spans="1:5" x14ac:dyDescent="0.25">
      <c r="A472" s="109">
        <v>46025</v>
      </c>
      <c r="B472">
        <v>31</v>
      </c>
      <c r="C472" t="s">
        <v>754</v>
      </c>
      <c r="D472">
        <v>51</v>
      </c>
      <c r="E472">
        <v>56.1</v>
      </c>
    </row>
    <row r="473" spans="1:5" x14ac:dyDescent="0.25">
      <c r="A473" s="109">
        <v>46025</v>
      </c>
      <c r="B473">
        <v>31</v>
      </c>
      <c r="C473" t="s">
        <v>162</v>
      </c>
      <c r="D473">
        <v>59</v>
      </c>
      <c r="E473">
        <v>64.900000000000006</v>
      </c>
    </row>
    <row r="474" spans="1:5" x14ac:dyDescent="0.25">
      <c r="A474" s="109">
        <v>46025</v>
      </c>
      <c r="B474">
        <v>31</v>
      </c>
      <c r="C474" t="s">
        <v>176</v>
      </c>
      <c r="D474">
        <v>50</v>
      </c>
      <c r="E474">
        <v>55.000000000000007</v>
      </c>
    </row>
    <row r="475" spans="1:5" x14ac:dyDescent="0.25">
      <c r="A475" s="109">
        <v>46025</v>
      </c>
      <c r="B475">
        <v>31</v>
      </c>
      <c r="C475" t="s">
        <v>354</v>
      </c>
      <c r="D475">
        <v>35</v>
      </c>
      <c r="E475">
        <v>38.5</v>
      </c>
    </row>
    <row r="476" spans="1:5" x14ac:dyDescent="0.25">
      <c r="A476" s="109">
        <v>46025</v>
      </c>
      <c r="B476">
        <v>31</v>
      </c>
      <c r="C476" t="s">
        <v>174</v>
      </c>
      <c r="D476">
        <v>56</v>
      </c>
      <c r="E476">
        <v>61.600000000000009</v>
      </c>
    </row>
    <row r="477" spans="1:5" x14ac:dyDescent="0.25">
      <c r="A477" s="109">
        <v>46025</v>
      </c>
      <c r="B477">
        <v>31</v>
      </c>
      <c r="C477" t="s">
        <v>155</v>
      </c>
      <c r="D477">
        <v>60</v>
      </c>
      <c r="E477">
        <v>66</v>
      </c>
    </row>
    <row r="478" spans="1:5" x14ac:dyDescent="0.25">
      <c r="A478" s="109">
        <v>46025</v>
      </c>
      <c r="B478">
        <v>31</v>
      </c>
      <c r="C478" t="s">
        <v>159</v>
      </c>
      <c r="D478">
        <v>43</v>
      </c>
      <c r="E478">
        <v>47.300000000000004</v>
      </c>
    </row>
    <row r="479" spans="1:5" x14ac:dyDescent="0.25">
      <c r="A479" s="109">
        <v>46025</v>
      </c>
      <c r="B479">
        <v>31</v>
      </c>
      <c r="C479" t="s">
        <v>751</v>
      </c>
      <c r="D479">
        <v>20</v>
      </c>
      <c r="E479">
        <v>22</v>
      </c>
    </row>
    <row r="480" spans="1:5" x14ac:dyDescent="0.25">
      <c r="A480" s="109">
        <v>46025</v>
      </c>
      <c r="B480">
        <v>31</v>
      </c>
      <c r="C480" t="s">
        <v>144</v>
      </c>
      <c r="D480">
        <v>61</v>
      </c>
      <c r="E480">
        <v>67.100000000000009</v>
      </c>
    </row>
    <row r="481" spans="1:5" x14ac:dyDescent="0.25">
      <c r="A481" s="109">
        <v>46025</v>
      </c>
      <c r="B481">
        <v>31</v>
      </c>
      <c r="C481" t="s">
        <v>753</v>
      </c>
      <c r="D481">
        <v>43</v>
      </c>
      <c r="E481">
        <v>47.300000000000004</v>
      </c>
    </row>
    <row r="482" spans="1:5" x14ac:dyDescent="0.25">
      <c r="A482" s="109">
        <v>46025</v>
      </c>
      <c r="B482">
        <v>31</v>
      </c>
      <c r="C482" t="s">
        <v>156</v>
      </c>
      <c r="D482">
        <v>60</v>
      </c>
      <c r="E482">
        <v>66</v>
      </c>
    </row>
    <row r="483" spans="1:5" x14ac:dyDescent="0.25">
      <c r="A483" s="109">
        <v>46025</v>
      </c>
      <c r="B483">
        <v>31</v>
      </c>
      <c r="C483" t="s">
        <v>131</v>
      </c>
      <c r="D483">
        <v>29</v>
      </c>
      <c r="E483">
        <v>31.900000000000002</v>
      </c>
    </row>
    <row r="484" spans="1:5" x14ac:dyDescent="0.25">
      <c r="A484" s="109">
        <v>46025</v>
      </c>
      <c r="B484">
        <v>31</v>
      </c>
      <c r="C484" t="s">
        <v>129</v>
      </c>
      <c r="D484">
        <v>65</v>
      </c>
      <c r="E484">
        <v>71.5</v>
      </c>
    </row>
    <row r="485" spans="1:5" x14ac:dyDescent="0.25">
      <c r="A485" s="109">
        <v>46025</v>
      </c>
      <c r="B485">
        <v>31</v>
      </c>
      <c r="C485" t="s">
        <v>180</v>
      </c>
      <c r="D485">
        <v>60</v>
      </c>
      <c r="E485">
        <v>66</v>
      </c>
    </row>
    <row r="486" spans="1:5" x14ac:dyDescent="0.25">
      <c r="A486" s="109">
        <v>46025</v>
      </c>
      <c r="B486">
        <v>31</v>
      </c>
      <c r="C486" t="s">
        <v>184</v>
      </c>
      <c r="D486">
        <v>65</v>
      </c>
      <c r="E486">
        <v>71.5</v>
      </c>
    </row>
    <row r="487" spans="1:5" x14ac:dyDescent="0.25">
      <c r="A487" s="109">
        <v>46025</v>
      </c>
      <c r="B487">
        <v>31</v>
      </c>
      <c r="C487" t="s">
        <v>163</v>
      </c>
      <c r="D487">
        <v>58</v>
      </c>
      <c r="E487">
        <v>63.800000000000004</v>
      </c>
    </row>
    <row r="488" spans="1:5" x14ac:dyDescent="0.25">
      <c r="A488" s="109">
        <v>46025</v>
      </c>
      <c r="B488">
        <v>31</v>
      </c>
      <c r="C488" t="s">
        <v>174</v>
      </c>
      <c r="D488">
        <v>38</v>
      </c>
      <c r="E488">
        <v>41.800000000000004</v>
      </c>
    </row>
    <row r="489" spans="1:5" x14ac:dyDescent="0.25">
      <c r="A489" s="109">
        <v>46025</v>
      </c>
      <c r="B489">
        <v>31</v>
      </c>
      <c r="C489" t="s">
        <v>176</v>
      </c>
      <c r="D489">
        <v>46</v>
      </c>
      <c r="E489">
        <v>50.6</v>
      </c>
    </row>
    <row r="490" spans="1:5" x14ac:dyDescent="0.25">
      <c r="A490" s="109">
        <v>46025</v>
      </c>
      <c r="B490">
        <v>31</v>
      </c>
      <c r="C490" t="s">
        <v>161</v>
      </c>
      <c r="D490">
        <v>48</v>
      </c>
      <c r="E490">
        <v>52.800000000000004</v>
      </c>
    </row>
    <row r="491" spans="1:5" x14ac:dyDescent="0.25">
      <c r="A491" s="109">
        <v>46025</v>
      </c>
      <c r="B491">
        <v>31</v>
      </c>
      <c r="C491" t="s">
        <v>162</v>
      </c>
      <c r="D491">
        <v>64</v>
      </c>
      <c r="E491">
        <v>70.400000000000006</v>
      </c>
    </row>
    <row r="492" spans="1:5" x14ac:dyDescent="0.25">
      <c r="A492" s="109">
        <v>46025</v>
      </c>
      <c r="B492">
        <v>31</v>
      </c>
      <c r="C492" t="s">
        <v>167</v>
      </c>
      <c r="D492">
        <v>52</v>
      </c>
      <c r="E492">
        <v>57.2</v>
      </c>
    </row>
    <row r="493" spans="1:5" x14ac:dyDescent="0.25">
      <c r="A493" s="109">
        <v>46025</v>
      </c>
      <c r="B493">
        <v>31</v>
      </c>
      <c r="C493" t="s">
        <v>172</v>
      </c>
      <c r="D493">
        <v>56</v>
      </c>
      <c r="E493">
        <v>61.600000000000009</v>
      </c>
    </row>
    <row r="494" spans="1:5" x14ac:dyDescent="0.25">
      <c r="A494" s="109">
        <v>46025</v>
      </c>
      <c r="B494">
        <v>31</v>
      </c>
      <c r="C494" t="s">
        <v>160</v>
      </c>
      <c r="D494">
        <v>61</v>
      </c>
      <c r="E494">
        <v>67.100000000000009</v>
      </c>
    </row>
    <row r="495" spans="1:5" x14ac:dyDescent="0.25">
      <c r="A495" s="109">
        <v>46025</v>
      </c>
      <c r="B495">
        <v>31</v>
      </c>
      <c r="C495" t="s">
        <v>171</v>
      </c>
      <c r="D495">
        <v>57</v>
      </c>
      <c r="E495">
        <v>62.7</v>
      </c>
    </row>
    <row r="496" spans="1:5" x14ac:dyDescent="0.25">
      <c r="A496" s="109">
        <v>46025</v>
      </c>
      <c r="B496">
        <v>31</v>
      </c>
      <c r="C496" t="s">
        <v>179</v>
      </c>
      <c r="D496">
        <v>59</v>
      </c>
      <c r="E496">
        <v>64.900000000000006</v>
      </c>
    </row>
    <row r="497" spans="1:5" x14ac:dyDescent="0.25">
      <c r="A497" s="109">
        <v>46025</v>
      </c>
      <c r="B497">
        <v>31</v>
      </c>
      <c r="C497" t="s">
        <v>352</v>
      </c>
      <c r="D497">
        <v>52</v>
      </c>
      <c r="E497">
        <v>57.2</v>
      </c>
    </row>
    <row r="498" spans="1:5" x14ac:dyDescent="0.25">
      <c r="A498" s="109">
        <v>46025</v>
      </c>
      <c r="B498">
        <v>31</v>
      </c>
      <c r="C498" t="s">
        <v>131</v>
      </c>
      <c r="D498">
        <v>43</v>
      </c>
      <c r="E498">
        <v>47.300000000000004</v>
      </c>
    </row>
    <row r="499" spans="1:5" x14ac:dyDescent="0.25">
      <c r="A499" s="109">
        <v>46025</v>
      </c>
      <c r="B499">
        <v>31</v>
      </c>
      <c r="C499" t="s">
        <v>144</v>
      </c>
      <c r="D499">
        <v>50</v>
      </c>
      <c r="E499">
        <v>55.000000000000007</v>
      </c>
    </row>
    <row r="500" spans="1:5" x14ac:dyDescent="0.25">
      <c r="A500" s="109">
        <v>46025</v>
      </c>
      <c r="B500">
        <v>31</v>
      </c>
      <c r="C500" t="s">
        <v>169</v>
      </c>
      <c r="D500">
        <v>50</v>
      </c>
      <c r="E500">
        <v>55.000000000000007</v>
      </c>
    </row>
    <row r="501" spans="1:5" x14ac:dyDescent="0.25">
      <c r="A501" s="109">
        <v>46025</v>
      </c>
      <c r="B501">
        <v>31</v>
      </c>
      <c r="C501" t="s">
        <v>355</v>
      </c>
      <c r="D501">
        <v>55</v>
      </c>
      <c r="E501">
        <v>60.500000000000007</v>
      </c>
    </row>
    <row r="502" spans="1:5" x14ac:dyDescent="0.25">
      <c r="A502" s="109">
        <v>46025</v>
      </c>
      <c r="B502">
        <v>31</v>
      </c>
      <c r="C502" t="s">
        <v>156</v>
      </c>
      <c r="D502">
        <v>45</v>
      </c>
      <c r="E502">
        <v>49.500000000000007</v>
      </c>
    </row>
    <row r="503" spans="1:5" x14ac:dyDescent="0.25">
      <c r="A503" s="109">
        <v>46025</v>
      </c>
      <c r="B503">
        <v>31</v>
      </c>
      <c r="C503" t="s">
        <v>757</v>
      </c>
      <c r="D503">
        <v>50</v>
      </c>
      <c r="E503">
        <v>55.000000000000007</v>
      </c>
    </row>
    <row r="504" spans="1:5" x14ac:dyDescent="0.25">
      <c r="A504" s="109">
        <v>46025</v>
      </c>
      <c r="B504">
        <v>31</v>
      </c>
      <c r="C504" t="s">
        <v>174</v>
      </c>
      <c r="D504">
        <v>65</v>
      </c>
      <c r="E504">
        <v>71.5</v>
      </c>
    </row>
    <row r="505" spans="1:5" x14ac:dyDescent="0.25">
      <c r="A505" s="109">
        <v>46025</v>
      </c>
      <c r="B505">
        <v>31</v>
      </c>
      <c r="C505" t="s">
        <v>155</v>
      </c>
      <c r="D505">
        <v>60</v>
      </c>
      <c r="E505">
        <v>66</v>
      </c>
    </row>
    <row r="506" spans="1:5" x14ac:dyDescent="0.25">
      <c r="A506" s="109">
        <v>46025</v>
      </c>
      <c r="B506">
        <v>31</v>
      </c>
      <c r="C506" t="s">
        <v>751</v>
      </c>
      <c r="D506">
        <v>75</v>
      </c>
      <c r="E506">
        <v>82.5</v>
      </c>
    </row>
    <row r="507" spans="1:5" x14ac:dyDescent="0.25">
      <c r="A507" s="109">
        <v>46025</v>
      </c>
      <c r="B507">
        <v>31</v>
      </c>
      <c r="C507" t="s">
        <v>754</v>
      </c>
      <c r="D507">
        <v>50</v>
      </c>
      <c r="E507">
        <v>55.000000000000007</v>
      </c>
    </row>
    <row r="508" spans="1:5" x14ac:dyDescent="0.25">
      <c r="A508" s="109">
        <v>46025</v>
      </c>
      <c r="B508">
        <v>31</v>
      </c>
      <c r="C508" t="s">
        <v>131</v>
      </c>
      <c r="D508">
        <v>30</v>
      </c>
      <c r="E508">
        <v>33</v>
      </c>
    </row>
    <row r="509" spans="1:5" x14ac:dyDescent="0.25">
      <c r="A509" s="109">
        <v>46025</v>
      </c>
      <c r="B509">
        <v>31</v>
      </c>
      <c r="C509" t="s">
        <v>354</v>
      </c>
      <c r="D509">
        <v>62</v>
      </c>
      <c r="E509">
        <v>68.2</v>
      </c>
    </row>
    <row r="510" spans="1:5" x14ac:dyDescent="0.25">
      <c r="A510" s="109">
        <v>46025</v>
      </c>
      <c r="B510">
        <v>31</v>
      </c>
      <c r="C510" t="s">
        <v>163</v>
      </c>
      <c r="D510">
        <v>37</v>
      </c>
      <c r="E510">
        <v>40.700000000000003</v>
      </c>
    </row>
    <row r="511" spans="1:5" x14ac:dyDescent="0.25">
      <c r="A511" s="109">
        <v>46025</v>
      </c>
      <c r="B511">
        <v>31</v>
      </c>
      <c r="C511" t="s">
        <v>176</v>
      </c>
      <c r="D511">
        <v>46</v>
      </c>
      <c r="E511">
        <v>50.6</v>
      </c>
    </row>
    <row r="512" spans="1:5" x14ac:dyDescent="0.25">
      <c r="A512" s="109">
        <v>46025</v>
      </c>
      <c r="B512">
        <v>31</v>
      </c>
      <c r="C512" t="s">
        <v>162</v>
      </c>
      <c r="D512">
        <v>31</v>
      </c>
      <c r="E512">
        <v>34.1</v>
      </c>
    </row>
    <row r="513" spans="1:5" x14ac:dyDescent="0.25">
      <c r="A513" s="109">
        <v>46025</v>
      </c>
      <c r="B513">
        <v>31</v>
      </c>
      <c r="C513" t="s">
        <v>175</v>
      </c>
      <c r="D513">
        <v>70</v>
      </c>
      <c r="E513">
        <v>77</v>
      </c>
    </row>
    <row r="514" spans="1:5" x14ac:dyDescent="0.25">
      <c r="A514" s="109">
        <v>46025</v>
      </c>
      <c r="B514">
        <v>31</v>
      </c>
      <c r="C514" t="s">
        <v>164</v>
      </c>
      <c r="D514">
        <v>33</v>
      </c>
      <c r="E514">
        <v>36.300000000000004</v>
      </c>
    </row>
    <row r="515" spans="1:5" x14ac:dyDescent="0.25">
      <c r="A515" s="109">
        <v>46025</v>
      </c>
      <c r="B515">
        <v>31</v>
      </c>
      <c r="C515" t="s">
        <v>159</v>
      </c>
      <c r="D515">
        <v>39</v>
      </c>
      <c r="E515">
        <v>42.900000000000006</v>
      </c>
    </row>
    <row r="516" spans="1:5" x14ac:dyDescent="0.25">
      <c r="A516" s="109">
        <v>46025</v>
      </c>
      <c r="B516">
        <v>31</v>
      </c>
      <c r="C516" t="s">
        <v>151</v>
      </c>
      <c r="D516">
        <v>59</v>
      </c>
      <c r="E516">
        <v>64.900000000000006</v>
      </c>
    </row>
    <row r="517" spans="1:5" x14ac:dyDescent="0.25">
      <c r="A517" s="109">
        <v>46025</v>
      </c>
      <c r="B517">
        <v>31</v>
      </c>
      <c r="C517" t="s">
        <v>162</v>
      </c>
      <c r="D517">
        <v>51</v>
      </c>
      <c r="E517">
        <v>56.1</v>
      </c>
    </row>
    <row r="518" spans="1:5" x14ac:dyDescent="0.25">
      <c r="A518" s="109">
        <v>46025</v>
      </c>
      <c r="B518">
        <v>31</v>
      </c>
      <c r="C518" t="s">
        <v>144</v>
      </c>
      <c r="D518">
        <v>42</v>
      </c>
      <c r="E518">
        <v>46.2</v>
      </c>
    </row>
    <row r="519" spans="1:5" x14ac:dyDescent="0.25">
      <c r="A519" s="109">
        <v>46025</v>
      </c>
      <c r="B519">
        <v>31</v>
      </c>
      <c r="C519" t="s">
        <v>174</v>
      </c>
      <c r="D519">
        <v>51</v>
      </c>
      <c r="E519">
        <v>56.1</v>
      </c>
    </row>
    <row r="520" spans="1:5" x14ac:dyDescent="0.25">
      <c r="A520" s="109">
        <v>46025</v>
      </c>
      <c r="B520">
        <v>31</v>
      </c>
      <c r="C520" t="s">
        <v>168</v>
      </c>
      <c r="D520">
        <v>46</v>
      </c>
      <c r="E520">
        <v>50.6</v>
      </c>
    </row>
    <row r="521" spans="1:5" x14ac:dyDescent="0.25">
      <c r="A521" s="109">
        <v>46025</v>
      </c>
      <c r="B521">
        <v>31</v>
      </c>
      <c r="C521" t="s">
        <v>161</v>
      </c>
      <c r="D521">
        <v>22</v>
      </c>
      <c r="E521">
        <v>24.200000000000003</v>
      </c>
    </row>
    <row r="522" spans="1:5" x14ac:dyDescent="0.25">
      <c r="A522" s="109">
        <v>46025</v>
      </c>
      <c r="B522">
        <v>31</v>
      </c>
      <c r="C522" t="s">
        <v>160</v>
      </c>
      <c r="D522">
        <v>64</v>
      </c>
      <c r="E522">
        <v>70.400000000000006</v>
      </c>
    </row>
    <row r="523" spans="1:5" x14ac:dyDescent="0.25">
      <c r="A523" s="109">
        <v>46025</v>
      </c>
      <c r="B523">
        <v>31</v>
      </c>
      <c r="C523" t="s">
        <v>169</v>
      </c>
      <c r="D523">
        <v>60</v>
      </c>
      <c r="E523">
        <v>66</v>
      </c>
    </row>
    <row r="524" spans="1:5" x14ac:dyDescent="0.25">
      <c r="A524" s="109">
        <v>46025</v>
      </c>
      <c r="B524">
        <v>31</v>
      </c>
      <c r="C524" t="s">
        <v>131</v>
      </c>
      <c r="D524">
        <v>36</v>
      </c>
      <c r="E524">
        <v>39.6</v>
      </c>
    </row>
    <row r="525" spans="1:5" x14ac:dyDescent="0.25">
      <c r="A525" s="109">
        <v>46025</v>
      </c>
      <c r="B525">
        <v>31</v>
      </c>
      <c r="C525" t="s">
        <v>129</v>
      </c>
      <c r="D525">
        <v>46</v>
      </c>
      <c r="E525">
        <v>50.6</v>
      </c>
    </row>
    <row r="526" spans="1:5" x14ac:dyDescent="0.25">
      <c r="A526" s="109">
        <v>46025</v>
      </c>
      <c r="B526">
        <v>31</v>
      </c>
      <c r="C526" t="s">
        <v>167</v>
      </c>
      <c r="D526">
        <v>41</v>
      </c>
      <c r="E526">
        <v>45.1</v>
      </c>
    </row>
    <row r="527" spans="1:5" x14ac:dyDescent="0.25">
      <c r="A527" s="109">
        <v>46025</v>
      </c>
      <c r="B527">
        <v>31</v>
      </c>
      <c r="C527" t="s">
        <v>174</v>
      </c>
      <c r="D527">
        <v>22</v>
      </c>
      <c r="E527">
        <v>24.200000000000003</v>
      </c>
    </row>
    <row r="528" spans="1:5" x14ac:dyDescent="0.25">
      <c r="A528" s="109">
        <v>46025</v>
      </c>
      <c r="B528">
        <v>31</v>
      </c>
      <c r="C528" t="s">
        <v>753</v>
      </c>
      <c r="D528">
        <v>40</v>
      </c>
      <c r="E528">
        <v>44</v>
      </c>
    </row>
    <row r="529" spans="1:5" x14ac:dyDescent="0.25">
      <c r="A529" s="109">
        <v>46025</v>
      </c>
      <c r="B529">
        <v>31</v>
      </c>
      <c r="C529" t="s">
        <v>156</v>
      </c>
      <c r="D529">
        <v>49</v>
      </c>
      <c r="E529">
        <v>53.900000000000006</v>
      </c>
    </row>
    <row r="530" spans="1:5" x14ac:dyDescent="0.25">
      <c r="A530" s="109">
        <v>46025</v>
      </c>
      <c r="B530">
        <v>31</v>
      </c>
      <c r="C530" t="s">
        <v>177</v>
      </c>
      <c r="D530">
        <v>25</v>
      </c>
      <c r="E530">
        <v>27.500000000000004</v>
      </c>
    </row>
    <row r="531" spans="1:5" x14ac:dyDescent="0.25">
      <c r="A531" s="109">
        <v>46025</v>
      </c>
      <c r="B531">
        <v>31</v>
      </c>
      <c r="C531" t="s">
        <v>180</v>
      </c>
      <c r="D531">
        <v>49</v>
      </c>
      <c r="E531">
        <v>53.900000000000006</v>
      </c>
    </row>
    <row r="532" spans="1:5" x14ac:dyDescent="0.25">
      <c r="A532" s="109">
        <v>46025</v>
      </c>
      <c r="B532">
        <v>31</v>
      </c>
      <c r="C532" t="s">
        <v>163</v>
      </c>
      <c r="D532">
        <v>58</v>
      </c>
      <c r="E532">
        <v>63.800000000000004</v>
      </c>
    </row>
    <row r="533" spans="1:5" x14ac:dyDescent="0.25">
      <c r="A533" s="109">
        <v>46025</v>
      </c>
      <c r="B533">
        <v>31</v>
      </c>
      <c r="C533" t="s">
        <v>155</v>
      </c>
      <c r="D533">
        <v>71</v>
      </c>
      <c r="E533">
        <v>78.100000000000009</v>
      </c>
    </row>
    <row r="534" spans="1:5" x14ac:dyDescent="0.25">
      <c r="A534" s="109">
        <v>46025</v>
      </c>
      <c r="B534">
        <v>31</v>
      </c>
      <c r="C534" t="s">
        <v>184</v>
      </c>
      <c r="D534">
        <v>54</v>
      </c>
      <c r="E534">
        <v>59.400000000000006</v>
      </c>
    </row>
    <row r="535" spans="1:5" x14ac:dyDescent="0.25">
      <c r="A535" s="109">
        <v>46025</v>
      </c>
      <c r="B535">
        <v>31</v>
      </c>
      <c r="C535" t="s">
        <v>164</v>
      </c>
      <c r="D535">
        <v>25</v>
      </c>
      <c r="E535">
        <v>27.500000000000004</v>
      </c>
    </row>
    <row r="536" spans="1:5" x14ac:dyDescent="0.25">
      <c r="A536" s="109">
        <v>46025</v>
      </c>
      <c r="B536">
        <v>31</v>
      </c>
      <c r="C536" t="s">
        <v>176</v>
      </c>
      <c r="D536">
        <v>77</v>
      </c>
      <c r="E536">
        <v>84.7</v>
      </c>
    </row>
    <row r="537" spans="1:5" x14ac:dyDescent="0.25">
      <c r="A537" s="109">
        <v>46025</v>
      </c>
      <c r="B537">
        <v>31</v>
      </c>
      <c r="C537" t="s">
        <v>755</v>
      </c>
      <c r="D537">
        <v>15</v>
      </c>
      <c r="E537">
        <v>16.5</v>
      </c>
    </row>
    <row r="538" spans="1:5" x14ac:dyDescent="0.25">
      <c r="A538" s="109">
        <v>46025</v>
      </c>
      <c r="B538">
        <v>31</v>
      </c>
      <c r="C538" t="s">
        <v>179</v>
      </c>
      <c r="D538">
        <v>50</v>
      </c>
      <c r="E538">
        <v>55.000000000000007</v>
      </c>
    </row>
    <row r="539" spans="1:5" x14ac:dyDescent="0.25">
      <c r="A539" s="109">
        <v>46025</v>
      </c>
      <c r="B539">
        <v>31</v>
      </c>
      <c r="C539" t="s">
        <v>162</v>
      </c>
      <c r="D539">
        <v>49</v>
      </c>
      <c r="E539">
        <v>53.900000000000006</v>
      </c>
    </row>
    <row r="540" spans="1:5" x14ac:dyDescent="0.25">
      <c r="A540" s="109">
        <v>46025</v>
      </c>
      <c r="B540">
        <v>31</v>
      </c>
      <c r="C540" t="s">
        <v>162</v>
      </c>
      <c r="D540">
        <v>30</v>
      </c>
      <c r="E540">
        <v>33</v>
      </c>
    </row>
    <row r="541" spans="1:5" x14ac:dyDescent="0.25">
      <c r="A541" s="109">
        <v>46025</v>
      </c>
      <c r="B541">
        <v>31</v>
      </c>
      <c r="C541" t="s">
        <v>174</v>
      </c>
      <c r="D541">
        <v>62</v>
      </c>
      <c r="E541">
        <v>68.2</v>
      </c>
    </row>
    <row r="542" spans="1:5" x14ac:dyDescent="0.25">
      <c r="A542" s="109">
        <v>46025</v>
      </c>
      <c r="B542">
        <v>31</v>
      </c>
      <c r="C542" t="s">
        <v>751</v>
      </c>
      <c r="D542">
        <v>39</v>
      </c>
      <c r="E542">
        <v>42.900000000000006</v>
      </c>
    </row>
    <row r="543" spans="1:5" x14ac:dyDescent="0.25">
      <c r="A543" s="109">
        <v>46025</v>
      </c>
      <c r="B543">
        <v>31</v>
      </c>
      <c r="C543" t="s">
        <v>129</v>
      </c>
      <c r="D543">
        <v>37</v>
      </c>
      <c r="E543">
        <v>40.700000000000003</v>
      </c>
    </row>
    <row r="544" spans="1:5" x14ac:dyDescent="0.25">
      <c r="A544" s="109">
        <v>46025</v>
      </c>
      <c r="B544">
        <v>31</v>
      </c>
      <c r="C544" t="s">
        <v>352</v>
      </c>
      <c r="D544">
        <v>50</v>
      </c>
      <c r="E544">
        <v>55.000000000000007</v>
      </c>
    </row>
    <row r="545" spans="1:5" x14ac:dyDescent="0.25">
      <c r="A545" s="109">
        <v>46025</v>
      </c>
      <c r="B545">
        <v>31</v>
      </c>
      <c r="C545" t="s">
        <v>155</v>
      </c>
      <c r="D545">
        <v>26</v>
      </c>
      <c r="E545">
        <v>28.6</v>
      </c>
    </row>
    <row r="546" spans="1:5" x14ac:dyDescent="0.25">
      <c r="A546" s="109">
        <v>46025</v>
      </c>
      <c r="B546">
        <v>31</v>
      </c>
      <c r="C546" t="s">
        <v>131</v>
      </c>
      <c r="D546">
        <v>23</v>
      </c>
      <c r="E546">
        <v>25.3</v>
      </c>
    </row>
    <row r="547" spans="1:5" x14ac:dyDescent="0.25">
      <c r="A547" s="109">
        <v>46025</v>
      </c>
      <c r="B547">
        <v>31</v>
      </c>
      <c r="C547" t="s">
        <v>161</v>
      </c>
      <c r="D547">
        <v>45</v>
      </c>
      <c r="E547">
        <v>49.500000000000007</v>
      </c>
    </row>
    <row r="548" spans="1:5" x14ac:dyDescent="0.25">
      <c r="A548" s="109">
        <v>46025</v>
      </c>
      <c r="B548">
        <v>31</v>
      </c>
      <c r="C548" t="s">
        <v>164</v>
      </c>
      <c r="D548">
        <v>35</v>
      </c>
      <c r="E548">
        <v>38.5</v>
      </c>
    </row>
    <row r="549" spans="1:5" x14ac:dyDescent="0.25">
      <c r="A549" s="109">
        <v>46025</v>
      </c>
      <c r="B549">
        <v>31</v>
      </c>
      <c r="C549" t="s">
        <v>163</v>
      </c>
      <c r="D549">
        <v>48</v>
      </c>
      <c r="E549">
        <v>52.800000000000004</v>
      </c>
    </row>
    <row r="550" spans="1:5" x14ac:dyDescent="0.25">
      <c r="A550" s="109">
        <v>46025</v>
      </c>
      <c r="B550">
        <v>31</v>
      </c>
      <c r="C550" t="s">
        <v>144</v>
      </c>
      <c r="D550">
        <v>16</v>
      </c>
      <c r="E550">
        <v>17.600000000000001</v>
      </c>
    </row>
    <row r="551" spans="1:5" x14ac:dyDescent="0.25">
      <c r="A551" s="109">
        <v>46025</v>
      </c>
      <c r="B551">
        <v>31</v>
      </c>
      <c r="C551" t="s">
        <v>174</v>
      </c>
      <c r="D551">
        <v>48</v>
      </c>
      <c r="E551">
        <v>52.800000000000004</v>
      </c>
    </row>
    <row r="552" spans="1:5" x14ac:dyDescent="0.25">
      <c r="A552" s="109">
        <v>46025</v>
      </c>
      <c r="B552">
        <v>31</v>
      </c>
      <c r="C552" t="s">
        <v>162</v>
      </c>
      <c r="D552">
        <v>20</v>
      </c>
      <c r="E552">
        <v>22</v>
      </c>
    </row>
    <row r="553" spans="1:5" x14ac:dyDescent="0.25">
      <c r="A553" s="109">
        <v>46025</v>
      </c>
      <c r="B553">
        <v>31</v>
      </c>
      <c r="C553" t="s">
        <v>156</v>
      </c>
      <c r="D553">
        <v>60</v>
      </c>
      <c r="E553">
        <v>66</v>
      </c>
    </row>
    <row r="554" spans="1:5" x14ac:dyDescent="0.25">
      <c r="A554" s="109">
        <v>46025</v>
      </c>
      <c r="B554">
        <v>31</v>
      </c>
      <c r="C554" t="s">
        <v>182</v>
      </c>
      <c r="D554">
        <v>74</v>
      </c>
      <c r="E554">
        <v>81.400000000000006</v>
      </c>
    </row>
    <row r="555" spans="1:5" x14ac:dyDescent="0.25">
      <c r="A555" s="109">
        <v>46025</v>
      </c>
      <c r="B555">
        <v>31</v>
      </c>
      <c r="C555" t="s">
        <v>176</v>
      </c>
      <c r="D555">
        <v>46</v>
      </c>
      <c r="E555">
        <v>50.6</v>
      </c>
    </row>
    <row r="556" spans="1:5" x14ac:dyDescent="0.25">
      <c r="A556" s="109">
        <v>46025</v>
      </c>
      <c r="B556">
        <v>31</v>
      </c>
      <c r="C556" t="s">
        <v>169</v>
      </c>
      <c r="D556">
        <v>69</v>
      </c>
      <c r="E556">
        <v>75.900000000000006</v>
      </c>
    </row>
    <row r="557" spans="1:5" x14ac:dyDescent="0.25">
      <c r="A557" s="109">
        <v>46025</v>
      </c>
      <c r="B557">
        <v>31</v>
      </c>
      <c r="C557" t="s">
        <v>172</v>
      </c>
      <c r="D557">
        <v>45</v>
      </c>
      <c r="E557">
        <v>49.500000000000007</v>
      </c>
    </row>
    <row r="558" spans="1:5" x14ac:dyDescent="0.25">
      <c r="A558" s="109">
        <v>46025</v>
      </c>
      <c r="B558">
        <v>31</v>
      </c>
      <c r="C558" t="s">
        <v>175</v>
      </c>
      <c r="D558">
        <v>69</v>
      </c>
      <c r="E558">
        <v>75.900000000000006</v>
      </c>
    </row>
    <row r="559" spans="1:5" x14ac:dyDescent="0.25">
      <c r="A559" s="109">
        <v>46025</v>
      </c>
      <c r="B559">
        <v>31</v>
      </c>
      <c r="C559" t="s">
        <v>754</v>
      </c>
      <c r="D559">
        <v>49</v>
      </c>
      <c r="E559">
        <v>53.900000000000006</v>
      </c>
    </row>
    <row r="560" spans="1:5" x14ac:dyDescent="0.25">
      <c r="A560" s="109">
        <v>46025</v>
      </c>
      <c r="B560">
        <v>31</v>
      </c>
      <c r="C560" t="s">
        <v>174</v>
      </c>
      <c r="D560">
        <v>39</v>
      </c>
      <c r="E560">
        <v>42.900000000000006</v>
      </c>
    </row>
    <row r="561" spans="1:6" x14ac:dyDescent="0.25">
      <c r="A561" s="109">
        <v>46025</v>
      </c>
      <c r="B561">
        <v>31</v>
      </c>
      <c r="C561" t="s">
        <v>159</v>
      </c>
      <c r="D561">
        <v>42</v>
      </c>
      <c r="E561">
        <v>46.2</v>
      </c>
    </row>
    <row r="562" spans="1:6" x14ac:dyDescent="0.25">
      <c r="A562" s="109">
        <v>46025</v>
      </c>
      <c r="B562">
        <v>31</v>
      </c>
      <c r="C562" t="s">
        <v>160</v>
      </c>
      <c r="D562">
        <v>61</v>
      </c>
      <c r="E562">
        <v>67.100000000000009</v>
      </c>
    </row>
    <row r="563" spans="1:6" x14ac:dyDescent="0.25">
      <c r="A563" s="109">
        <v>46025</v>
      </c>
      <c r="B563">
        <v>31</v>
      </c>
      <c r="C563" t="s">
        <v>298</v>
      </c>
      <c r="D563">
        <v>16</v>
      </c>
      <c r="E563">
        <v>17.600000000000001</v>
      </c>
    </row>
    <row r="564" spans="1:6" x14ac:dyDescent="0.25">
      <c r="A564" s="109">
        <v>46025</v>
      </c>
      <c r="B564">
        <v>31</v>
      </c>
      <c r="C564" t="s">
        <v>144</v>
      </c>
      <c r="D564">
        <v>15</v>
      </c>
      <c r="E564">
        <v>16.5</v>
      </c>
    </row>
    <row r="565" spans="1:6" x14ac:dyDescent="0.25">
      <c r="A565" s="109">
        <v>46025</v>
      </c>
      <c r="B565">
        <v>31</v>
      </c>
      <c r="C565" t="s">
        <v>162</v>
      </c>
      <c r="D565">
        <v>10</v>
      </c>
      <c r="E565">
        <v>11</v>
      </c>
    </row>
    <row r="566" spans="1:6" x14ac:dyDescent="0.25">
      <c r="A566" s="109">
        <v>46025</v>
      </c>
      <c r="B566">
        <v>31</v>
      </c>
      <c r="C566" t="s">
        <v>163</v>
      </c>
      <c r="D566">
        <v>44</v>
      </c>
      <c r="E566">
        <v>48.400000000000006</v>
      </c>
    </row>
    <row r="567" spans="1:6" x14ac:dyDescent="0.25">
      <c r="A567" s="109">
        <v>46025</v>
      </c>
      <c r="B567">
        <v>31</v>
      </c>
      <c r="C567" t="s">
        <v>177</v>
      </c>
      <c r="D567">
        <v>10</v>
      </c>
      <c r="E567">
        <v>11</v>
      </c>
    </row>
    <row r="568" spans="1:6" x14ac:dyDescent="0.25">
      <c r="A568" s="109">
        <v>46025</v>
      </c>
      <c r="B568">
        <v>31</v>
      </c>
      <c r="C568" t="s">
        <v>157</v>
      </c>
      <c r="D568">
        <v>600</v>
      </c>
      <c r="E568">
        <v>600</v>
      </c>
      <c r="F568" t="s">
        <v>780</v>
      </c>
    </row>
    <row r="569" spans="1:6" x14ac:dyDescent="0.25">
      <c r="A569" s="109">
        <v>46025</v>
      </c>
      <c r="B569">
        <v>31</v>
      </c>
      <c r="C569" t="s">
        <v>158</v>
      </c>
      <c r="D569">
        <v>750</v>
      </c>
      <c r="E569">
        <v>750</v>
      </c>
      <c r="F569" t="s">
        <v>780</v>
      </c>
    </row>
    <row r="570" spans="1:6" x14ac:dyDescent="0.25">
      <c r="A570" s="109">
        <v>46025</v>
      </c>
      <c r="B570">
        <v>31</v>
      </c>
      <c r="C570" t="s">
        <v>170</v>
      </c>
      <c r="D570">
        <v>639</v>
      </c>
      <c r="E570">
        <v>639</v>
      </c>
      <c r="F570" t="s">
        <v>780</v>
      </c>
    </row>
    <row r="571" spans="1:6" x14ac:dyDescent="0.25">
      <c r="A571" s="109">
        <v>46025</v>
      </c>
      <c r="B571">
        <v>31</v>
      </c>
      <c r="C571" t="s">
        <v>758</v>
      </c>
      <c r="D571">
        <v>107</v>
      </c>
      <c r="E571">
        <v>107</v>
      </c>
      <c r="F571" t="s">
        <v>780</v>
      </c>
    </row>
    <row r="572" spans="1:6" x14ac:dyDescent="0.25">
      <c r="A572" s="109">
        <v>46054</v>
      </c>
      <c r="B572">
        <v>31</v>
      </c>
      <c r="C572" t="s">
        <v>171</v>
      </c>
      <c r="D572">
        <v>64</v>
      </c>
      <c r="E572">
        <v>70.400000000000006</v>
      </c>
    </row>
    <row r="573" spans="1:6" x14ac:dyDescent="0.25">
      <c r="A573" s="109">
        <v>46054</v>
      </c>
      <c r="B573">
        <v>31</v>
      </c>
      <c r="C573" t="s">
        <v>167</v>
      </c>
      <c r="D573">
        <v>55</v>
      </c>
      <c r="E573">
        <v>60.500000000000007</v>
      </c>
    </row>
    <row r="574" spans="1:6" x14ac:dyDescent="0.25">
      <c r="A574" s="109">
        <v>46054</v>
      </c>
      <c r="B574">
        <v>31</v>
      </c>
      <c r="C574" t="s">
        <v>757</v>
      </c>
      <c r="D574">
        <v>54</v>
      </c>
      <c r="E574">
        <v>59.400000000000006</v>
      </c>
    </row>
    <row r="575" spans="1:6" x14ac:dyDescent="0.25">
      <c r="A575" s="109">
        <v>46054</v>
      </c>
      <c r="B575">
        <v>31</v>
      </c>
      <c r="C575" t="s">
        <v>144</v>
      </c>
      <c r="D575">
        <v>58</v>
      </c>
      <c r="E575">
        <v>63.800000000000004</v>
      </c>
    </row>
    <row r="576" spans="1:6" x14ac:dyDescent="0.25">
      <c r="A576" s="109">
        <v>46054</v>
      </c>
      <c r="B576">
        <v>31</v>
      </c>
      <c r="C576" t="s">
        <v>755</v>
      </c>
      <c r="D576">
        <v>65</v>
      </c>
      <c r="E576">
        <v>71.5</v>
      </c>
    </row>
    <row r="577" spans="1:5" x14ac:dyDescent="0.25">
      <c r="A577" s="109">
        <v>46054</v>
      </c>
      <c r="B577">
        <v>31</v>
      </c>
      <c r="C577" t="s">
        <v>177</v>
      </c>
      <c r="D577">
        <v>68</v>
      </c>
      <c r="E577">
        <v>74.800000000000011</v>
      </c>
    </row>
    <row r="578" spans="1:5" x14ac:dyDescent="0.25">
      <c r="A578" s="109">
        <v>46054</v>
      </c>
      <c r="B578">
        <v>31</v>
      </c>
      <c r="C578" t="s">
        <v>354</v>
      </c>
      <c r="D578">
        <v>61</v>
      </c>
      <c r="E578">
        <v>67.100000000000009</v>
      </c>
    </row>
    <row r="579" spans="1:5" x14ac:dyDescent="0.25">
      <c r="A579" s="109">
        <v>46054</v>
      </c>
      <c r="B579">
        <v>31</v>
      </c>
      <c r="C579" t="s">
        <v>155</v>
      </c>
      <c r="D579">
        <v>46</v>
      </c>
      <c r="E579">
        <v>50.6</v>
      </c>
    </row>
    <row r="580" spans="1:5" x14ac:dyDescent="0.25">
      <c r="A580" s="109">
        <v>46054</v>
      </c>
      <c r="B580">
        <v>31</v>
      </c>
      <c r="C580" t="s">
        <v>162</v>
      </c>
      <c r="D580">
        <v>47</v>
      </c>
      <c r="E580">
        <v>51.7</v>
      </c>
    </row>
    <row r="581" spans="1:5" x14ac:dyDescent="0.25">
      <c r="A581" s="109">
        <v>46054</v>
      </c>
      <c r="B581">
        <v>31</v>
      </c>
      <c r="C581" t="s">
        <v>163</v>
      </c>
      <c r="D581">
        <v>23</v>
      </c>
      <c r="E581">
        <v>25.3</v>
      </c>
    </row>
    <row r="582" spans="1:5" x14ac:dyDescent="0.25">
      <c r="A582" s="109">
        <v>46054</v>
      </c>
      <c r="B582">
        <v>31</v>
      </c>
      <c r="C582" t="s">
        <v>164</v>
      </c>
      <c r="D582">
        <v>19</v>
      </c>
      <c r="E582">
        <v>20.900000000000002</v>
      </c>
    </row>
    <row r="583" spans="1:5" x14ac:dyDescent="0.25">
      <c r="A583" s="109">
        <v>46054</v>
      </c>
      <c r="B583">
        <v>31</v>
      </c>
      <c r="C583" t="s">
        <v>131</v>
      </c>
      <c r="D583">
        <v>46</v>
      </c>
      <c r="E583">
        <v>50.6</v>
      </c>
    </row>
    <row r="584" spans="1:5" x14ac:dyDescent="0.25">
      <c r="A584" s="109">
        <v>46054</v>
      </c>
      <c r="B584">
        <v>31</v>
      </c>
      <c r="C584" t="s">
        <v>174</v>
      </c>
      <c r="D584">
        <v>33</v>
      </c>
      <c r="E584">
        <v>36.300000000000004</v>
      </c>
    </row>
    <row r="585" spans="1:5" x14ac:dyDescent="0.25">
      <c r="A585" s="109">
        <v>46055</v>
      </c>
      <c r="B585">
        <v>31</v>
      </c>
      <c r="C585" t="s">
        <v>180</v>
      </c>
      <c r="D585">
        <v>63</v>
      </c>
      <c r="E585">
        <v>69.300000000000011</v>
      </c>
    </row>
    <row r="586" spans="1:5" x14ac:dyDescent="0.25">
      <c r="A586" s="109">
        <v>46055</v>
      </c>
      <c r="B586">
        <v>31</v>
      </c>
      <c r="C586" t="s">
        <v>168</v>
      </c>
      <c r="D586">
        <v>62</v>
      </c>
      <c r="E586">
        <v>68.2</v>
      </c>
    </row>
    <row r="587" spans="1:5" x14ac:dyDescent="0.25">
      <c r="A587" s="109">
        <v>46055</v>
      </c>
      <c r="B587">
        <v>31</v>
      </c>
      <c r="C587" t="s">
        <v>355</v>
      </c>
      <c r="D587">
        <v>54</v>
      </c>
      <c r="E587">
        <v>59.400000000000006</v>
      </c>
    </row>
    <row r="588" spans="1:5" x14ac:dyDescent="0.25">
      <c r="A588" s="109">
        <v>46055</v>
      </c>
      <c r="B588">
        <v>31</v>
      </c>
      <c r="C588" t="s">
        <v>179</v>
      </c>
      <c r="D588">
        <v>46</v>
      </c>
      <c r="E588">
        <v>50.6</v>
      </c>
    </row>
    <row r="589" spans="1:5" x14ac:dyDescent="0.25">
      <c r="A589" s="109">
        <v>46055</v>
      </c>
      <c r="B589">
        <v>31</v>
      </c>
      <c r="C589" t="s">
        <v>162</v>
      </c>
      <c r="D589">
        <v>34</v>
      </c>
      <c r="E589">
        <v>37.400000000000006</v>
      </c>
    </row>
    <row r="590" spans="1:5" x14ac:dyDescent="0.25">
      <c r="A590" s="109">
        <v>46055</v>
      </c>
      <c r="B590">
        <v>31</v>
      </c>
      <c r="C590" t="s">
        <v>753</v>
      </c>
      <c r="D590">
        <v>50</v>
      </c>
      <c r="E590">
        <v>55.000000000000007</v>
      </c>
    </row>
    <row r="591" spans="1:5" x14ac:dyDescent="0.25">
      <c r="A591" s="109">
        <v>46055</v>
      </c>
      <c r="B591">
        <v>31</v>
      </c>
      <c r="C591" t="s">
        <v>174</v>
      </c>
      <c r="D591">
        <v>62</v>
      </c>
      <c r="E591">
        <v>68.2</v>
      </c>
    </row>
    <row r="592" spans="1:5" x14ac:dyDescent="0.25">
      <c r="A592" s="109">
        <v>46055</v>
      </c>
      <c r="B592">
        <v>31</v>
      </c>
      <c r="C592" t="s">
        <v>131</v>
      </c>
      <c r="D592">
        <v>10</v>
      </c>
      <c r="E592">
        <v>11</v>
      </c>
    </row>
    <row r="593" spans="1:5" x14ac:dyDescent="0.25">
      <c r="A593" s="109">
        <v>46055</v>
      </c>
      <c r="B593">
        <v>31</v>
      </c>
      <c r="C593" t="s">
        <v>161</v>
      </c>
      <c r="D593">
        <v>53</v>
      </c>
      <c r="E593">
        <v>58.300000000000004</v>
      </c>
    </row>
    <row r="594" spans="1:5" x14ac:dyDescent="0.25">
      <c r="A594" s="109">
        <v>46055</v>
      </c>
      <c r="B594">
        <v>31</v>
      </c>
      <c r="C594" t="s">
        <v>163</v>
      </c>
      <c r="D594">
        <v>44</v>
      </c>
      <c r="E594">
        <v>48.400000000000006</v>
      </c>
    </row>
    <row r="595" spans="1:5" x14ac:dyDescent="0.25">
      <c r="A595" s="109">
        <v>46055</v>
      </c>
      <c r="B595">
        <v>31</v>
      </c>
      <c r="C595" t="s">
        <v>178</v>
      </c>
      <c r="D595">
        <v>34</v>
      </c>
      <c r="E595">
        <v>37.400000000000006</v>
      </c>
    </row>
    <row r="596" spans="1:5" x14ac:dyDescent="0.25">
      <c r="A596" s="109">
        <v>46055</v>
      </c>
      <c r="B596">
        <v>31</v>
      </c>
      <c r="C596" t="s">
        <v>182</v>
      </c>
      <c r="D596">
        <v>9</v>
      </c>
      <c r="E596">
        <v>9.9</v>
      </c>
    </row>
    <row r="597" spans="1:5" x14ac:dyDescent="0.25">
      <c r="A597" s="109">
        <v>46055</v>
      </c>
      <c r="B597">
        <v>31</v>
      </c>
      <c r="C597" t="s">
        <v>131</v>
      </c>
      <c r="D597">
        <v>42</v>
      </c>
      <c r="E597">
        <v>46.2</v>
      </c>
    </row>
    <row r="598" spans="1:5" x14ac:dyDescent="0.25">
      <c r="A598" s="109">
        <v>46055</v>
      </c>
      <c r="B598">
        <v>31</v>
      </c>
      <c r="C598" t="s">
        <v>156</v>
      </c>
      <c r="D598">
        <v>49</v>
      </c>
      <c r="E598">
        <v>53.900000000000006</v>
      </c>
    </row>
    <row r="599" spans="1:5" x14ac:dyDescent="0.25">
      <c r="A599" s="109">
        <v>46055</v>
      </c>
      <c r="B599">
        <v>31</v>
      </c>
      <c r="C599" t="s">
        <v>751</v>
      </c>
      <c r="D599">
        <v>41</v>
      </c>
      <c r="E599">
        <v>45.1</v>
      </c>
    </row>
    <row r="600" spans="1:5" x14ac:dyDescent="0.25">
      <c r="A600" s="109">
        <v>46055</v>
      </c>
      <c r="B600">
        <v>31</v>
      </c>
      <c r="C600" t="s">
        <v>176</v>
      </c>
      <c r="D600">
        <v>67</v>
      </c>
      <c r="E600">
        <v>73.7</v>
      </c>
    </row>
    <row r="601" spans="1:5" x14ac:dyDescent="0.25">
      <c r="A601" s="109">
        <v>46056</v>
      </c>
      <c r="B601">
        <v>31</v>
      </c>
      <c r="C601" t="s">
        <v>352</v>
      </c>
      <c r="D601">
        <v>44</v>
      </c>
      <c r="E601">
        <v>48.400000000000006</v>
      </c>
    </row>
    <row r="602" spans="1:5" x14ac:dyDescent="0.25">
      <c r="A602" s="109">
        <v>46056</v>
      </c>
      <c r="B602">
        <v>31</v>
      </c>
      <c r="C602" t="s">
        <v>164</v>
      </c>
      <c r="D602">
        <v>46</v>
      </c>
      <c r="E602">
        <v>50.6</v>
      </c>
    </row>
    <row r="603" spans="1:5" x14ac:dyDescent="0.25">
      <c r="A603" s="109">
        <v>46056</v>
      </c>
      <c r="B603">
        <v>31</v>
      </c>
      <c r="C603" t="s">
        <v>172</v>
      </c>
      <c r="D603">
        <v>60</v>
      </c>
      <c r="E603">
        <v>66</v>
      </c>
    </row>
    <row r="604" spans="1:5" x14ac:dyDescent="0.25">
      <c r="A604" s="109">
        <v>46056</v>
      </c>
      <c r="B604">
        <v>31</v>
      </c>
      <c r="C604" t="s">
        <v>151</v>
      </c>
      <c r="D604">
        <v>59</v>
      </c>
      <c r="E604">
        <v>64.900000000000006</v>
      </c>
    </row>
    <row r="605" spans="1:5" x14ac:dyDescent="0.25">
      <c r="A605" s="109">
        <v>46056</v>
      </c>
      <c r="B605">
        <v>31</v>
      </c>
      <c r="C605" t="s">
        <v>162</v>
      </c>
      <c r="D605">
        <v>43</v>
      </c>
      <c r="E605">
        <v>47.300000000000004</v>
      </c>
    </row>
    <row r="606" spans="1:5" x14ac:dyDescent="0.25">
      <c r="A606" s="109">
        <v>46056</v>
      </c>
      <c r="B606">
        <v>31</v>
      </c>
      <c r="C606" t="s">
        <v>174</v>
      </c>
      <c r="D606">
        <v>48</v>
      </c>
      <c r="E606">
        <v>52.800000000000004</v>
      </c>
    </row>
    <row r="607" spans="1:5" x14ac:dyDescent="0.25">
      <c r="A607" s="109">
        <v>46057</v>
      </c>
      <c r="B607">
        <v>31</v>
      </c>
      <c r="C607" t="s">
        <v>144</v>
      </c>
      <c r="D607">
        <v>47</v>
      </c>
      <c r="E607">
        <v>51.7</v>
      </c>
    </row>
    <row r="608" spans="1:5" x14ac:dyDescent="0.25">
      <c r="A608" s="109">
        <v>46057</v>
      </c>
      <c r="B608">
        <v>31</v>
      </c>
      <c r="C608" t="s">
        <v>754</v>
      </c>
      <c r="D608">
        <v>42</v>
      </c>
      <c r="E608">
        <v>46.2</v>
      </c>
    </row>
    <row r="609" spans="1:5" x14ac:dyDescent="0.25">
      <c r="A609" s="109">
        <v>46057</v>
      </c>
      <c r="B609">
        <v>31</v>
      </c>
      <c r="C609" t="s">
        <v>129</v>
      </c>
      <c r="D609">
        <v>52</v>
      </c>
      <c r="E609">
        <v>57.2</v>
      </c>
    </row>
    <row r="610" spans="1:5" x14ac:dyDescent="0.25">
      <c r="A610" s="109">
        <v>46057</v>
      </c>
      <c r="B610">
        <v>31</v>
      </c>
      <c r="C610" t="s">
        <v>155</v>
      </c>
      <c r="D610">
        <v>55</v>
      </c>
      <c r="E610">
        <v>60.500000000000007</v>
      </c>
    </row>
    <row r="611" spans="1:5" x14ac:dyDescent="0.25">
      <c r="A611" s="109">
        <v>46057</v>
      </c>
      <c r="B611">
        <v>31</v>
      </c>
      <c r="C611" t="s">
        <v>167</v>
      </c>
      <c r="D611">
        <v>45</v>
      </c>
      <c r="E611">
        <v>49.500000000000007</v>
      </c>
    </row>
    <row r="612" spans="1:5" x14ac:dyDescent="0.25">
      <c r="A612" s="109">
        <v>46057</v>
      </c>
      <c r="B612">
        <v>31</v>
      </c>
      <c r="C612" t="s">
        <v>163</v>
      </c>
      <c r="D612">
        <v>36</v>
      </c>
      <c r="E612">
        <v>39.6</v>
      </c>
    </row>
    <row r="613" spans="1:5" x14ac:dyDescent="0.25">
      <c r="A613" s="109">
        <v>46057</v>
      </c>
      <c r="B613">
        <v>31</v>
      </c>
      <c r="C613" t="s">
        <v>156</v>
      </c>
      <c r="D613">
        <v>56</v>
      </c>
      <c r="E613">
        <v>61.600000000000009</v>
      </c>
    </row>
    <row r="614" spans="1:5" x14ac:dyDescent="0.25">
      <c r="A614" s="109">
        <v>46057</v>
      </c>
      <c r="B614">
        <v>31</v>
      </c>
      <c r="C614" t="s">
        <v>176</v>
      </c>
      <c r="D614">
        <v>48</v>
      </c>
      <c r="E614">
        <v>52.800000000000004</v>
      </c>
    </row>
    <row r="615" spans="1:5" x14ac:dyDescent="0.25">
      <c r="A615" s="109">
        <v>46058</v>
      </c>
      <c r="B615">
        <v>31</v>
      </c>
      <c r="C615" t="s">
        <v>1143</v>
      </c>
      <c r="D615">
        <v>65</v>
      </c>
      <c r="E615">
        <v>71.5</v>
      </c>
    </row>
    <row r="616" spans="1:5" x14ac:dyDescent="0.25">
      <c r="A616" s="109">
        <v>46058</v>
      </c>
      <c r="B616">
        <v>31</v>
      </c>
      <c r="C616" t="s">
        <v>751</v>
      </c>
      <c r="D616">
        <v>17</v>
      </c>
      <c r="E616">
        <v>18.700000000000003</v>
      </c>
    </row>
    <row r="617" spans="1:5" x14ac:dyDescent="0.25">
      <c r="A617" s="109">
        <v>46059</v>
      </c>
      <c r="B617">
        <v>31</v>
      </c>
      <c r="C617" t="s">
        <v>161</v>
      </c>
      <c r="D617">
        <v>42</v>
      </c>
      <c r="E617">
        <v>46.2</v>
      </c>
    </row>
    <row r="618" spans="1:5" x14ac:dyDescent="0.25">
      <c r="A618" s="109">
        <v>46059</v>
      </c>
      <c r="B618">
        <v>31</v>
      </c>
      <c r="C618" t="s">
        <v>159</v>
      </c>
      <c r="D618">
        <v>45</v>
      </c>
      <c r="E618">
        <v>49.500000000000007</v>
      </c>
    </row>
    <row r="619" spans="1:5" x14ac:dyDescent="0.25">
      <c r="A619" s="109">
        <v>46059</v>
      </c>
      <c r="B619">
        <v>31</v>
      </c>
      <c r="C619" t="s">
        <v>178</v>
      </c>
      <c r="D619">
        <v>56</v>
      </c>
      <c r="E619">
        <v>61.600000000000009</v>
      </c>
    </row>
    <row r="620" spans="1:5" x14ac:dyDescent="0.25">
      <c r="A620" s="109">
        <v>46059</v>
      </c>
      <c r="B620">
        <v>31</v>
      </c>
      <c r="C620" t="s">
        <v>169</v>
      </c>
      <c r="D620">
        <v>66</v>
      </c>
      <c r="E620">
        <v>72.600000000000009</v>
      </c>
    </row>
    <row r="621" spans="1:5" x14ac:dyDescent="0.25">
      <c r="A621" s="109">
        <v>46059</v>
      </c>
      <c r="B621">
        <v>31</v>
      </c>
      <c r="C621" t="s">
        <v>751</v>
      </c>
      <c r="D621">
        <v>35</v>
      </c>
      <c r="E621">
        <v>38.5</v>
      </c>
    </row>
    <row r="622" spans="1:5" x14ac:dyDescent="0.25">
      <c r="A622" s="109">
        <v>46059</v>
      </c>
      <c r="B622">
        <v>31</v>
      </c>
      <c r="C622" t="s">
        <v>174</v>
      </c>
      <c r="D622">
        <v>72</v>
      </c>
      <c r="E622">
        <v>79.2</v>
      </c>
    </row>
    <row r="623" spans="1:5" x14ac:dyDescent="0.25">
      <c r="A623" s="109">
        <v>46059</v>
      </c>
      <c r="B623">
        <v>31</v>
      </c>
      <c r="C623" t="s">
        <v>144</v>
      </c>
      <c r="D623">
        <v>64</v>
      </c>
      <c r="E623">
        <v>70.400000000000006</v>
      </c>
    </row>
    <row r="624" spans="1:5" x14ac:dyDescent="0.25">
      <c r="A624" s="109">
        <v>46059</v>
      </c>
      <c r="B624">
        <v>31</v>
      </c>
      <c r="C624" t="s">
        <v>163</v>
      </c>
      <c r="D624">
        <v>41</v>
      </c>
      <c r="E624">
        <v>45.1</v>
      </c>
    </row>
    <row r="625" spans="1:5" x14ac:dyDescent="0.25">
      <c r="A625" s="109">
        <v>46059</v>
      </c>
      <c r="B625">
        <v>31</v>
      </c>
      <c r="C625" t="s">
        <v>176</v>
      </c>
      <c r="D625">
        <v>54</v>
      </c>
      <c r="E625">
        <v>59.400000000000006</v>
      </c>
    </row>
    <row r="626" spans="1:5" x14ac:dyDescent="0.25">
      <c r="A626" s="109">
        <v>46060</v>
      </c>
      <c r="B626">
        <v>31</v>
      </c>
      <c r="C626" t="s">
        <v>179</v>
      </c>
      <c r="D626">
        <v>33</v>
      </c>
      <c r="E626">
        <v>36.300000000000004</v>
      </c>
    </row>
    <row r="627" spans="1:5" x14ac:dyDescent="0.25">
      <c r="A627" s="109">
        <v>46060</v>
      </c>
      <c r="B627">
        <v>31</v>
      </c>
      <c r="C627" t="s">
        <v>155</v>
      </c>
      <c r="D627">
        <v>58</v>
      </c>
      <c r="E627">
        <v>63.800000000000004</v>
      </c>
    </row>
    <row r="628" spans="1:5" x14ac:dyDescent="0.25">
      <c r="A628" s="109">
        <v>46060</v>
      </c>
      <c r="B628">
        <v>31</v>
      </c>
      <c r="C628" t="s">
        <v>180</v>
      </c>
      <c r="D628">
        <v>56</v>
      </c>
      <c r="E628">
        <v>61.600000000000009</v>
      </c>
    </row>
    <row r="629" spans="1:5" x14ac:dyDescent="0.25">
      <c r="A629" s="109">
        <v>46060</v>
      </c>
      <c r="B629">
        <v>31</v>
      </c>
      <c r="C629" t="s">
        <v>164</v>
      </c>
      <c r="D629">
        <v>41</v>
      </c>
      <c r="E629">
        <v>45.1</v>
      </c>
    </row>
    <row r="630" spans="1:5" x14ac:dyDescent="0.25">
      <c r="A630" s="109">
        <v>46060</v>
      </c>
      <c r="B630">
        <v>31</v>
      </c>
      <c r="C630" t="s">
        <v>177</v>
      </c>
      <c r="D630">
        <v>30</v>
      </c>
      <c r="E630">
        <v>33</v>
      </c>
    </row>
    <row r="631" spans="1:5" x14ac:dyDescent="0.25">
      <c r="A631" s="109">
        <v>46060</v>
      </c>
      <c r="B631">
        <v>31</v>
      </c>
      <c r="C631" t="s">
        <v>175</v>
      </c>
      <c r="D631">
        <v>75</v>
      </c>
      <c r="E631">
        <v>82.5</v>
      </c>
    </row>
    <row r="632" spans="1:5" x14ac:dyDescent="0.25">
      <c r="A632" s="109">
        <v>46060</v>
      </c>
      <c r="B632">
        <v>31</v>
      </c>
      <c r="C632" t="s">
        <v>162</v>
      </c>
      <c r="D632">
        <v>49</v>
      </c>
      <c r="E632">
        <v>53.900000000000006</v>
      </c>
    </row>
    <row r="633" spans="1:5" x14ac:dyDescent="0.25">
      <c r="A633" s="109">
        <v>46060</v>
      </c>
      <c r="B633">
        <v>31</v>
      </c>
      <c r="C633" t="s">
        <v>751</v>
      </c>
      <c r="D633">
        <v>18</v>
      </c>
      <c r="E633">
        <v>19.8</v>
      </c>
    </row>
    <row r="634" spans="1:5" x14ac:dyDescent="0.25">
      <c r="A634" s="109">
        <v>46060</v>
      </c>
      <c r="B634">
        <v>31</v>
      </c>
      <c r="C634" t="s">
        <v>1143</v>
      </c>
      <c r="D634">
        <v>46</v>
      </c>
      <c r="E634">
        <v>50.6</v>
      </c>
    </row>
    <row r="635" spans="1:5" x14ac:dyDescent="0.25">
      <c r="A635" s="109">
        <v>46060</v>
      </c>
      <c r="B635">
        <v>31</v>
      </c>
      <c r="C635" t="s">
        <v>156</v>
      </c>
      <c r="D635">
        <v>41</v>
      </c>
      <c r="E635">
        <v>45.1</v>
      </c>
    </row>
    <row r="636" spans="1:5" x14ac:dyDescent="0.25">
      <c r="A636" s="109">
        <v>46061</v>
      </c>
      <c r="B636">
        <v>31</v>
      </c>
      <c r="C636" t="s">
        <v>171</v>
      </c>
      <c r="D636">
        <v>60</v>
      </c>
      <c r="E636">
        <v>66</v>
      </c>
    </row>
    <row r="637" spans="1:5" x14ac:dyDescent="0.25">
      <c r="A637" s="109">
        <v>46061</v>
      </c>
      <c r="B637">
        <v>31</v>
      </c>
      <c r="C637" t="s">
        <v>352</v>
      </c>
      <c r="D637">
        <v>58</v>
      </c>
      <c r="E637">
        <v>63.800000000000004</v>
      </c>
    </row>
    <row r="638" spans="1:5" x14ac:dyDescent="0.25">
      <c r="A638" s="109">
        <v>46061</v>
      </c>
      <c r="B638">
        <v>31</v>
      </c>
      <c r="C638" t="s">
        <v>184</v>
      </c>
      <c r="D638">
        <v>68</v>
      </c>
      <c r="E638">
        <v>74.800000000000011</v>
      </c>
    </row>
    <row r="639" spans="1:5" x14ac:dyDescent="0.25">
      <c r="A639" s="109">
        <v>46061</v>
      </c>
      <c r="B639">
        <v>31</v>
      </c>
      <c r="C639" t="s">
        <v>754</v>
      </c>
      <c r="D639">
        <v>45</v>
      </c>
      <c r="E639">
        <v>49.500000000000007</v>
      </c>
    </row>
    <row r="640" spans="1:5" x14ac:dyDescent="0.25">
      <c r="A640" s="109">
        <v>46061</v>
      </c>
      <c r="B640">
        <v>31</v>
      </c>
      <c r="C640" t="s">
        <v>167</v>
      </c>
      <c r="D640">
        <v>44</v>
      </c>
      <c r="E640">
        <v>48.400000000000006</v>
      </c>
    </row>
    <row r="641" spans="1:5" x14ac:dyDescent="0.25">
      <c r="A641" s="109">
        <v>46061</v>
      </c>
      <c r="B641">
        <v>31</v>
      </c>
      <c r="C641" t="s">
        <v>354</v>
      </c>
      <c r="D641">
        <v>63</v>
      </c>
      <c r="E641">
        <v>69.300000000000011</v>
      </c>
    </row>
    <row r="642" spans="1:5" x14ac:dyDescent="0.25">
      <c r="A642" s="109">
        <v>46061</v>
      </c>
      <c r="B642">
        <v>31</v>
      </c>
      <c r="C642" t="s">
        <v>163</v>
      </c>
      <c r="D642">
        <v>50</v>
      </c>
      <c r="E642">
        <v>55.000000000000007</v>
      </c>
    </row>
    <row r="643" spans="1:5" x14ac:dyDescent="0.25">
      <c r="A643" s="109">
        <v>46061</v>
      </c>
      <c r="B643">
        <v>31</v>
      </c>
      <c r="C643" t="s">
        <v>131</v>
      </c>
      <c r="D643">
        <v>22</v>
      </c>
      <c r="E643">
        <v>24.200000000000003</v>
      </c>
    </row>
    <row r="644" spans="1:5" x14ac:dyDescent="0.25">
      <c r="A644" s="109">
        <v>46061</v>
      </c>
      <c r="B644">
        <v>31</v>
      </c>
      <c r="C644" t="s">
        <v>174</v>
      </c>
      <c r="D644">
        <v>47</v>
      </c>
      <c r="E644">
        <v>51.7</v>
      </c>
    </row>
    <row r="645" spans="1:5" x14ac:dyDescent="0.25">
      <c r="A645" s="109">
        <v>46061</v>
      </c>
      <c r="B645">
        <v>31</v>
      </c>
      <c r="C645" t="s">
        <v>162</v>
      </c>
      <c r="D645">
        <v>13</v>
      </c>
      <c r="E645">
        <v>14.3</v>
      </c>
    </row>
    <row r="646" spans="1:5" x14ac:dyDescent="0.25">
      <c r="A646" s="109">
        <v>46061</v>
      </c>
      <c r="B646">
        <v>31</v>
      </c>
      <c r="C646" t="s">
        <v>176</v>
      </c>
      <c r="D646">
        <v>52</v>
      </c>
      <c r="E646">
        <v>57.2</v>
      </c>
    </row>
    <row r="647" spans="1:5" x14ac:dyDescent="0.25">
      <c r="A647" s="109">
        <v>46061</v>
      </c>
      <c r="B647">
        <v>31</v>
      </c>
      <c r="C647" t="s">
        <v>355</v>
      </c>
      <c r="D647">
        <v>37</v>
      </c>
      <c r="E647">
        <v>40.700000000000003</v>
      </c>
    </row>
    <row r="648" spans="1:5" x14ac:dyDescent="0.25">
      <c r="A648" s="109">
        <v>46062</v>
      </c>
      <c r="B648">
        <v>31</v>
      </c>
      <c r="C648" t="s">
        <v>162</v>
      </c>
      <c r="D648">
        <v>37</v>
      </c>
      <c r="E648">
        <v>40.700000000000003</v>
      </c>
    </row>
    <row r="649" spans="1:5" x14ac:dyDescent="0.25">
      <c r="A649" s="109">
        <v>46062</v>
      </c>
      <c r="B649">
        <v>31</v>
      </c>
      <c r="C649" t="s">
        <v>753</v>
      </c>
      <c r="D649">
        <v>50</v>
      </c>
      <c r="E649">
        <v>55.000000000000007</v>
      </c>
    </row>
    <row r="650" spans="1:5" x14ac:dyDescent="0.25">
      <c r="A650" s="109">
        <v>46062</v>
      </c>
      <c r="B650">
        <v>31</v>
      </c>
      <c r="C650" t="s">
        <v>131</v>
      </c>
      <c r="D650">
        <v>28</v>
      </c>
      <c r="E650">
        <v>30.800000000000004</v>
      </c>
    </row>
    <row r="651" spans="1:5" x14ac:dyDescent="0.25">
      <c r="A651" s="109">
        <v>46062</v>
      </c>
      <c r="B651">
        <v>31</v>
      </c>
      <c r="C651" t="s">
        <v>177</v>
      </c>
      <c r="D651">
        <v>56</v>
      </c>
      <c r="E651">
        <v>61.600000000000009</v>
      </c>
    </row>
    <row r="652" spans="1:5" x14ac:dyDescent="0.25">
      <c r="A652" s="109">
        <v>46062</v>
      </c>
      <c r="B652">
        <v>31</v>
      </c>
      <c r="C652" t="s">
        <v>129</v>
      </c>
      <c r="D652">
        <v>51</v>
      </c>
      <c r="E652">
        <v>56.1</v>
      </c>
    </row>
    <row r="653" spans="1:5" x14ac:dyDescent="0.25">
      <c r="A653" s="109">
        <v>46062</v>
      </c>
      <c r="B653">
        <v>31</v>
      </c>
      <c r="C653" t="s">
        <v>163</v>
      </c>
      <c r="D653">
        <v>54</v>
      </c>
      <c r="E653">
        <v>59.400000000000006</v>
      </c>
    </row>
    <row r="654" spans="1:5" x14ac:dyDescent="0.25">
      <c r="A654" s="109">
        <v>46063</v>
      </c>
      <c r="B654">
        <v>31</v>
      </c>
      <c r="C654" t="s">
        <v>757</v>
      </c>
      <c r="D654">
        <v>60</v>
      </c>
      <c r="E654">
        <v>66</v>
      </c>
    </row>
    <row r="655" spans="1:5" x14ac:dyDescent="0.25">
      <c r="A655" s="109">
        <v>46063</v>
      </c>
      <c r="B655">
        <v>31</v>
      </c>
      <c r="C655" t="s">
        <v>155</v>
      </c>
      <c r="D655">
        <v>60</v>
      </c>
      <c r="E655">
        <v>66</v>
      </c>
    </row>
    <row r="656" spans="1:5" x14ac:dyDescent="0.25">
      <c r="A656" s="109">
        <v>46063</v>
      </c>
      <c r="B656">
        <v>31</v>
      </c>
      <c r="C656" t="s">
        <v>168</v>
      </c>
      <c r="D656">
        <v>40</v>
      </c>
      <c r="E656">
        <v>44</v>
      </c>
    </row>
    <row r="657" spans="1:5" x14ac:dyDescent="0.25">
      <c r="A657" s="109">
        <v>46063</v>
      </c>
      <c r="B657">
        <v>31</v>
      </c>
      <c r="C657" t="s">
        <v>1143</v>
      </c>
      <c r="D657">
        <v>62</v>
      </c>
      <c r="E657">
        <v>68.2</v>
      </c>
    </row>
    <row r="658" spans="1:5" x14ac:dyDescent="0.25">
      <c r="A658" s="109">
        <v>46063</v>
      </c>
      <c r="B658">
        <v>31</v>
      </c>
      <c r="C658" t="s">
        <v>151</v>
      </c>
      <c r="D658">
        <v>65</v>
      </c>
      <c r="E658">
        <v>71.5</v>
      </c>
    </row>
    <row r="659" spans="1:5" x14ac:dyDescent="0.25">
      <c r="A659" s="109">
        <v>46063</v>
      </c>
      <c r="B659">
        <v>31</v>
      </c>
      <c r="C659" t="s">
        <v>161</v>
      </c>
      <c r="D659">
        <v>42</v>
      </c>
      <c r="E659">
        <v>46.2</v>
      </c>
    </row>
    <row r="660" spans="1:5" x14ac:dyDescent="0.25">
      <c r="A660" s="109">
        <v>46063</v>
      </c>
      <c r="B660">
        <v>31</v>
      </c>
      <c r="C660" t="s">
        <v>144</v>
      </c>
      <c r="D660">
        <v>43</v>
      </c>
      <c r="E660">
        <v>47.300000000000004</v>
      </c>
    </row>
    <row r="661" spans="1:5" x14ac:dyDescent="0.25">
      <c r="A661" s="109">
        <v>46063</v>
      </c>
      <c r="B661">
        <v>31</v>
      </c>
      <c r="C661" t="s">
        <v>174</v>
      </c>
      <c r="D661">
        <v>59</v>
      </c>
      <c r="E661">
        <v>64.900000000000006</v>
      </c>
    </row>
    <row r="662" spans="1:5" x14ac:dyDescent="0.25">
      <c r="A662" s="109">
        <v>46063</v>
      </c>
      <c r="B662">
        <v>31</v>
      </c>
      <c r="C662" t="s">
        <v>162</v>
      </c>
      <c r="D662">
        <v>45</v>
      </c>
      <c r="E662">
        <v>49.500000000000007</v>
      </c>
    </row>
    <row r="663" spans="1:5" x14ac:dyDescent="0.25">
      <c r="A663" s="109">
        <v>46063</v>
      </c>
      <c r="B663">
        <v>31</v>
      </c>
      <c r="C663" t="s">
        <v>164</v>
      </c>
      <c r="D663">
        <v>39</v>
      </c>
      <c r="E663">
        <v>42.900000000000006</v>
      </c>
    </row>
    <row r="664" spans="1:5" x14ac:dyDescent="0.25">
      <c r="A664" s="109">
        <v>46063</v>
      </c>
      <c r="B664">
        <v>31</v>
      </c>
      <c r="C664" t="s">
        <v>159</v>
      </c>
      <c r="D664">
        <v>37</v>
      </c>
      <c r="E664">
        <v>40.700000000000003</v>
      </c>
    </row>
    <row r="665" spans="1:5" x14ac:dyDescent="0.25">
      <c r="A665" s="109">
        <v>46063</v>
      </c>
      <c r="B665">
        <v>31</v>
      </c>
      <c r="C665" t="s">
        <v>156</v>
      </c>
      <c r="D665">
        <v>49</v>
      </c>
      <c r="E665">
        <v>53.900000000000006</v>
      </c>
    </row>
    <row r="666" spans="1:5" x14ac:dyDescent="0.25">
      <c r="A666" s="109">
        <v>46064</v>
      </c>
      <c r="B666">
        <v>31</v>
      </c>
      <c r="C666" t="s">
        <v>162</v>
      </c>
      <c r="D666">
        <v>30</v>
      </c>
      <c r="E666">
        <v>33</v>
      </c>
    </row>
    <row r="667" spans="1:5" x14ac:dyDescent="0.25">
      <c r="A667" s="109">
        <v>46064</v>
      </c>
      <c r="B667">
        <v>31</v>
      </c>
      <c r="C667" t="s">
        <v>169</v>
      </c>
      <c r="D667">
        <v>70</v>
      </c>
      <c r="E667">
        <v>77</v>
      </c>
    </row>
    <row r="668" spans="1:5" x14ac:dyDescent="0.25">
      <c r="A668" s="109">
        <v>46064</v>
      </c>
      <c r="B668">
        <v>31</v>
      </c>
      <c r="C668" t="s">
        <v>176</v>
      </c>
      <c r="D668">
        <v>73</v>
      </c>
      <c r="E668">
        <v>80.300000000000011</v>
      </c>
    </row>
    <row r="669" spans="1:5" x14ac:dyDescent="0.25">
      <c r="A669" s="109">
        <v>46064</v>
      </c>
      <c r="B669">
        <v>31</v>
      </c>
      <c r="C669" t="s">
        <v>174</v>
      </c>
      <c r="D669">
        <v>27</v>
      </c>
      <c r="E669">
        <v>29.700000000000003</v>
      </c>
    </row>
    <row r="670" spans="1:5" x14ac:dyDescent="0.25">
      <c r="A670" s="109">
        <v>46064</v>
      </c>
      <c r="B670">
        <v>31</v>
      </c>
      <c r="C670" t="s">
        <v>751</v>
      </c>
      <c r="D670">
        <v>20</v>
      </c>
      <c r="E670">
        <v>22</v>
      </c>
    </row>
    <row r="671" spans="1:5" x14ac:dyDescent="0.25">
      <c r="A671" s="109">
        <v>46064</v>
      </c>
      <c r="B671">
        <v>31</v>
      </c>
      <c r="C671" t="s">
        <v>184</v>
      </c>
      <c r="D671">
        <v>46</v>
      </c>
      <c r="E671">
        <v>50.6</v>
      </c>
    </row>
    <row r="672" spans="1:5" x14ac:dyDescent="0.25">
      <c r="A672" s="109">
        <v>46064</v>
      </c>
      <c r="B672">
        <v>31</v>
      </c>
      <c r="C672" t="s">
        <v>1143</v>
      </c>
      <c r="D672">
        <v>45</v>
      </c>
      <c r="E672">
        <v>49.500000000000007</v>
      </c>
    </row>
    <row r="673" spans="1:5" x14ac:dyDescent="0.25">
      <c r="A673" s="109">
        <v>46064</v>
      </c>
      <c r="B673">
        <v>31</v>
      </c>
      <c r="C673" t="s">
        <v>163</v>
      </c>
      <c r="D673">
        <v>35</v>
      </c>
      <c r="E673">
        <v>38.5</v>
      </c>
    </row>
    <row r="674" spans="1:5" x14ac:dyDescent="0.25">
      <c r="A674" s="109">
        <v>46064</v>
      </c>
      <c r="B674">
        <v>31</v>
      </c>
      <c r="C674" t="s">
        <v>131</v>
      </c>
      <c r="D674">
        <v>10</v>
      </c>
      <c r="E674">
        <v>11</v>
      </c>
    </row>
    <row r="675" spans="1:5" x14ac:dyDescent="0.25">
      <c r="A675" s="109">
        <v>46064</v>
      </c>
      <c r="B675">
        <v>31</v>
      </c>
      <c r="C675" t="s">
        <v>172</v>
      </c>
      <c r="D675">
        <v>50</v>
      </c>
      <c r="E675">
        <v>55.000000000000007</v>
      </c>
    </row>
    <row r="676" spans="1:5" x14ac:dyDescent="0.25">
      <c r="A676" s="109">
        <v>46064</v>
      </c>
      <c r="B676">
        <v>31</v>
      </c>
      <c r="C676" t="s">
        <v>144</v>
      </c>
      <c r="D676">
        <v>58</v>
      </c>
      <c r="E676">
        <v>63.800000000000004</v>
      </c>
    </row>
    <row r="677" spans="1:5" x14ac:dyDescent="0.25">
      <c r="A677" s="109">
        <v>46064</v>
      </c>
      <c r="B677">
        <v>31</v>
      </c>
      <c r="C677" t="s">
        <v>179</v>
      </c>
      <c r="D677">
        <v>31</v>
      </c>
      <c r="E677">
        <v>34.1</v>
      </c>
    </row>
    <row r="678" spans="1:5" x14ac:dyDescent="0.25">
      <c r="A678" s="109">
        <v>46065</v>
      </c>
      <c r="B678">
        <v>31</v>
      </c>
      <c r="C678" t="s">
        <v>167</v>
      </c>
      <c r="D678">
        <v>57</v>
      </c>
      <c r="E678">
        <v>62.7</v>
      </c>
    </row>
    <row r="679" spans="1:5" x14ac:dyDescent="0.25">
      <c r="A679" s="109">
        <v>46065</v>
      </c>
      <c r="B679">
        <v>31</v>
      </c>
      <c r="C679" t="s">
        <v>178</v>
      </c>
      <c r="D679">
        <v>60</v>
      </c>
      <c r="E679">
        <v>66</v>
      </c>
    </row>
    <row r="680" spans="1:5" x14ac:dyDescent="0.25">
      <c r="A680" s="109">
        <v>46065</v>
      </c>
      <c r="B680">
        <v>31</v>
      </c>
      <c r="C680" t="s">
        <v>162</v>
      </c>
      <c r="D680">
        <v>16</v>
      </c>
      <c r="E680">
        <v>17.600000000000001</v>
      </c>
    </row>
    <row r="681" spans="1:5" x14ac:dyDescent="0.25">
      <c r="A681" s="109">
        <v>46065</v>
      </c>
      <c r="B681">
        <v>31</v>
      </c>
      <c r="C681" t="s">
        <v>355</v>
      </c>
      <c r="D681">
        <v>52</v>
      </c>
      <c r="E681">
        <v>57.2</v>
      </c>
    </row>
    <row r="682" spans="1:5" x14ac:dyDescent="0.25">
      <c r="A682" s="109">
        <v>46065</v>
      </c>
      <c r="B682">
        <v>31</v>
      </c>
      <c r="C682" t="s">
        <v>352</v>
      </c>
      <c r="D682">
        <v>44</v>
      </c>
      <c r="E682">
        <v>48.400000000000006</v>
      </c>
    </row>
    <row r="683" spans="1:5" x14ac:dyDescent="0.25">
      <c r="A683" s="109">
        <v>46065</v>
      </c>
      <c r="B683">
        <v>31</v>
      </c>
      <c r="C683" t="s">
        <v>298</v>
      </c>
      <c r="D683">
        <v>52</v>
      </c>
      <c r="E683">
        <v>57.2</v>
      </c>
    </row>
    <row r="684" spans="1:5" x14ac:dyDescent="0.25">
      <c r="A684" s="109">
        <v>46065</v>
      </c>
      <c r="B684">
        <v>31</v>
      </c>
      <c r="C684" t="s">
        <v>354</v>
      </c>
      <c r="D684">
        <v>66</v>
      </c>
      <c r="E684">
        <v>72.600000000000009</v>
      </c>
    </row>
    <row r="685" spans="1:5" x14ac:dyDescent="0.25">
      <c r="A685" s="109">
        <v>46065</v>
      </c>
      <c r="B685">
        <v>31</v>
      </c>
      <c r="C685" t="s">
        <v>163</v>
      </c>
      <c r="D685">
        <v>45</v>
      </c>
      <c r="E685">
        <v>49.500000000000007</v>
      </c>
    </row>
    <row r="686" spans="1:5" x14ac:dyDescent="0.25">
      <c r="A686" s="109">
        <v>46065</v>
      </c>
      <c r="B686">
        <v>31</v>
      </c>
      <c r="C686" t="s">
        <v>156</v>
      </c>
      <c r="D686">
        <v>41</v>
      </c>
      <c r="E686">
        <v>45.1</v>
      </c>
    </row>
    <row r="687" spans="1:5" x14ac:dyDescent="0.25">
      <c r="A687" s="109">
        <v>46066</v>
      </c>
      <c r="B687">
        <v>31</v>
      </c>
      <c r="C687" t="s">
        <v>151</v>
      </c>
      <c r="D687">
        <v>50</v>
      </c>
      <c r="E687">
        <v>55.000000000000007</v>
      </c>
    </row>
    <row r="688" spans="1:5" x14ac:dyDescent="0.25">
      <c r="A688" s="109">
        <v>46066</v>
      </c>
      <c r="B688">
        <v>31</v>
      </c>
      <c r="C688" t="s">
        <v>129</v>
      </c>
      <c r="D688">
        <v>54</v>
      </c>
      <c r="E688">
        <v>59.400000000000006</v>
      </c>
    </row>
    <row r="689" spans="1:5" x14ac:dyDescent="0.25">
      <c r="A689" s="109">
        <v>46066</v>
      </c>
      <c r="B689">
        <v>31</v>
      </c>
      <c r="C689" t="s">
        <v>755</v>
      </c>
      <c r="D689">
        <v>65</v>
      </c>
      <c r="E689">
        <v>71.5</v>
      </c>
    </row>
    <row r="690" spans="1:5" x14ac:dyDescent="0.25">
      <c r="A690" s="109">
        <v>46066</v>
      </c>
      <c r="B690">
        <v>31</v>
      </c>
      <c r="C690" t="s">
        <v>161</v>
      </c>
      <c r="D690">
        <v>30</v>
      </c>
      <c r="E690">
        <v>33</v>
      </c>
    </row>
    <row r="691" spans="1:5" x14ac:dyDescent="0.25">
      <c r="A691" s="109">
        <v>46066</v>
      </c>
      <c r="B691">
        <v>31</v>
      </c>
      <c r="C691" t="s">
        <v>155</v>
      </c>
      <c r="D691">
        <v>51</v>
      </c>
      <c r="E691">
        <v>56.1</v>
      </c>
    </row>
    <row r="692" spans="1:5" x14ac:dyDescent="0.25">
      <c r="A692" s="109">
        <v>46066</v>
      </c>
      <c r="B692">
        <v>31</v>
      </c>
      <c r="C692" t="s">
        <v>162</v>
      </c>
      <c r="D692">
        <v>17</v>
      </c>
      <c r="E692">
        <v>18.700000000000003</v>
      </c>
    </row>
    <row r="693" spans="1:5" x14ac:dyDescent="0.25">
      <c r="A693" s="109">
        <v>46066</v>
      </c>
      <c r="B693">
        <v>31</v>
      </c>
      <c r="C693" t="s">
        <v>1143</v>
      </c>
      <c r="D693">
        <v>47</v>
      </c>
      <c r="E693">
        <v>51.7</v>
      </c>
    </row>
    <row r="694" spans="1:5" x14ac:dyDescent="0.25">
      <c r="A694" s="109">
        <v>46066</v>
      </c>
      <c r="B694">
        <v>31</v>
      </c>
      <c r="C694" t="s">
        <v>159</v>
      </c>
      <c r="D694">
        <v>43</v>
      </c>
      <c r="E694">
        <v>47.300000000000004</v>
      </c>
    </row>
    <row r="695" spans="1:5" x14ac:dyDescent="0.25">
      <c r="A695" s="109">
        <v>46066</v>
      </c>
      <c r="B695">
        <v>31</v>
      </c>
      <c r="C695" t="s">
        <v>169</v>
      </c>
      <c r="D695">
        <v>68</v>
      </c>
      <c r="E695">
        <v>74.800000000000011</v>
      </c>
    </row>
    <row r="696" spans="1:5" x14ac:dyDescent="0.25">
      <c r="A696" s="109">
        <v>46066</v>
      </c>
      <c r="B696">
        <v>31</v>
      </c>
      <c r="C696" t="s">
        <v>176</v>
      </c>
      <c r="D696">
        <v>41</v>
      </c>
      <c r="E696">
        <v>45.1</v>
      </c>
    </row>
    <row r="697" spans="1:5" x14ac:dyDescent="0.25">
      <c r="A697" s="109">
        <v>46066</v>
      </c>
      <c r="B697">
        <v>31</v>
      </c>
      <c r="C697" t="s">
        <v>174</v>
      </c>
      <c r="D697">
        <v>52</v>
      </c>
      <c r="E697">
        <v>57.2</v>
      </c>
    </row>
    <row r="698" spans="1:5" x14ac:dyDescent="0.25">
      <c r="A698" s="109">
        <v>46067</v>
      </c>
      <c r="B698">
        <v>31</v>
      </c>
      <c r="C698" t="s">
        <v>751</v>
      </c>
      <c r="D698">
        <v>21</v>
      </c>
      <c r="E698">
        <v>23.1</v>
      </c>
    </row>
    <row r="699" spans="1:5" x14ac:dyDescent="0.25">
      <c r="A699" s="109">
        <v>46067</v>
      </c>
      <c r="B699">
        <v>31</v>
      </c>
      <c r="C699" t="s">
        <v>753</v>
      </c>
      <c r="D699">
        <v>48</v>
      </c>
      <c r="E699">
        <v>52.800000000000004</v>
      </c>
    </row>
    <row r="700" spans="1:5" x14ac:dyDescent="0.25">
      <c r="A700" s="109">
        <v>46067</v>
      </c>
      <c r="B700">
        <v>31</v>
      </c>
      <c r="C700" t="s">
        <v>162</v>
      </c>
      <c r="D700">
        <v>20</v>
      </c>
      <c r="E700">
        <v>22</v>
      </c>
    </row>
    <row r="701" spans="1:5" x14ac:dyDescent="0.25">
      <c r="A701" s="109">
        <v>46067</v>
      </c>
      <c r="B701">
        <v>31</v>
      </c>
      <c r="C701" t="s">
        <v>754</v>
      </c>
      <c r="D701">
        <v>20</v>
      </c>
      <c r="E701">
        <v>22</v>
      </c>
    </row>
    <row r="702" spans="1:5" x14ac:dyDescent="0.25">
      <c r="A702" s="109">
        <v>46067</v>
      </c>
      <c r="B702">
        <v>31</v>
      </c>
      <c r="C702" t="s">
        <v>180</v>
      </c>
      <c r="D702">
        <v>63</v>
      </c>
      <c r="E702">
        <v>69.300000000000011</v>
      </c>
    </row>
    <row r="703" spans="1:5" x14ac:dyDescent="0.25">
      <c r="A703" s="109">
        <v>46067</v>
      </c>
      <c r="B703">
        <v>31</v>
      </c>
      <c r="C703" t="s">
        <v>131</v>
      </c>
      <c r="D703">
        <v>43</v>
      </c>
      <c r="E703">
        <v>47.300000000000004</v>
      </c>
    </row>
    <row r="704" spans="1:5" x14ac:dyDescent="0.25">
      <c r="A704" s="109">
        <v>46067</v>
      </c>
      <c r="B704">
        <v>31</v>
      </c>
      <c r="C704" t="s">
        <v>168</v>
      </c>
      <c r="D704">
        <v>33</v>
      </c>
      <c r="E704">
        <v>36.300000000000004</v>
      </c>
    </row>
    <row r="705" spans="1:5" x14ac:dyDescent="0.25">
      <c r="A705" s="109">
        <v>46067</v>
      </c>
      <c r="B705">
        <v>31</v>
      </c>
      <c r="C705" t="s">
        <v>144</v>
      </c>
      <c r="D705">
        <v>55</v>
      </c>
      <c r="E705">
        <v>60.500000000000007</v>
      </c>
    </row>
    <row r="706" spans="1:5" x14ac:dyDescent="0.25">
      <c r="A706" s="109">
        <v>46067</v>
      </c>
      <c r="B706">
        <v>31</v>
      </c>
      <c r="C706" t="s">
        <v>175</v>
      </c>
      <c r="D706">
        <v>63</v>
      </c>
      <c r="E706">
        <v>69.300000000000011</v>
      </c>
    </row>
    <row r="707" spans="1:5" x14ac:dyDescent="0.25">
      <c r="A707" s="109">
        <v>46067</v>
      </c>
      <c r="B707">
        <v>31</v>
      </c>
      <c r="C707" t="s">
        <v>1143</v>
      </c>
      <c r="D707">
        <v>57</v>
      </c>
      <c r="E707">
        <v>62.7</v>
      </c>
    </row>
    <row r="708" spans="1:5" x14ac:dyDescent="0.25">
      <c r="A708" s="109">
        <v>46067</v>
      </c>
      <c r="B708">
        <v>31</v>
      </c>
      <c r="C708" t="s">
        <v>156</v>
      </c>
      <c r="D708">
        <v>47</v>
      </c>
      <c r="E708">
        <v>51.7</v>
      </c>
    </row>
    <row r="709" spans="1:5" x14ac:dyDescent="0.25">
      <c r="A709" s="109">
        <v>46068</v>
      </c>
      <c r="B709">
        <v>31</v>
      </c>
      <c r="C709" t="s">
        <v>352</v>
      </c>
      <c r="D709">
        <v>26</v>
      </c>
      <c r="E709">
        <v>28.6</v>
      </c>
    </row>
    <row r="710" spans="1:5" x14ac:dyDescent="0.25">
      <c r="A710" s="109">
        <v>46068</v>
      </c>
      <c r="B710">
        <v>31</v>
      </c>
      <c r="C710" t="s">
        <v>163</v>
      </c>
      <c r="D710">
        <v>59</v>
      </c>
      <c r="E710">
        <v>64.900000000000006</v>
      </c>
    </row>
    <row r="711" spans="1:5" x14ac:dyDescent="0.25">
      <c r="A711" s="109">
        <v>46068</v>
      </c>
      <c r="B711">
        <v>31</v>
      </c>
      <c r="C711" t="s">
        <v>174</v>
      </c>
      <c r="D711">
        <v>51</v>
      </c>
      <c r="E711">
        <v>56.1</v>
      </c>
    </row>
    <row r="712" spans="1:5" x14ac:dyDescent="0.25">
      <c r="A712" s="109">
        <v>46068</v>
      </c>
      <c r="B712">
        <v>31</v>
      </c>
      <c r="C712" t="s">
        <v>164</v>
      </c>
      <c r="D712">
        <v>22</v>
      </c>
      <c r="E712">
        <v>24.200000000000003</v>
      </c>
    </row>
    <row r="713" spans="1:5" x14ac:dyDescent="0.25">
      <c r="A713" s="109">
        <v>46068</v>
      </c>
      <c r="B713">
        <v>31</v>
      </c>
      <c r="C713" t="s">
        <v>179</v>
      </c>
      <c r="D713">
        <v>43</v>
      </c>
      <c r="E713">
        <v>47.300000000000004</v>
      </c>
    </row>
    <row r="714" spans="1:5" x14ac:dyDescent="0.25">
      <c r="A714" s="109">
        <v>46068</v>
      </c>
      <c r="B714">
        <v>31</v>
      </c>
      <c r="C714" t="s">
        <v>184</v>
      </c>
      <c r="D714">
        <v>40</v>
      </c>
      <c r="E714">
        <v>44</v>
      </c>
    </row>
    <row r="715" spans="1:5" x14ac:dyDescent="0.25">
      <c r="A715" s="109">
        <v>46068</v>
      </c>
      <c r="B715">
        <v>31</v>
      </c>
      <c r="C715" t="s">
        <v>177</v>
      </c>
      <c r="D715">
        <v>20</v>
      </c>
      <c r="E715">
        <v>22</v>
      </c>
    </row>
    <row r="716" spans="1:5" x14ac:dyDescent="0.25">
      <c r="A716" s="109">
        <v>46069</v>
      </c>
      <c r="B716">
        <v>31</v>
      </c>
      <c r="C716" t="s">
        <v>162</v>
      </c>
      <c r="D716">
        <v>18</v>
      </c>
      <c r="E716">
        <v>19.8</v>
      </c>
    </row>
    <row r="717" spans="1:5" x14ac:dyDescent="0.25">
      <c r="A717" s="109">
        <v>46069</v>
      </c>
      <c r="B717">
        <v>31</v>
      </c>
      <c r="C717" t="s">
        <v>174</v>
      </c>
      <c r="D717">
        <v>50</v>
      </c>
      <c r="E717">
        <v>55.000000000000007</v>
      </c>
    </row>
    <row r="718" spans="1:5" x14ac:dyDescent="0.25">
      <c r="A718" s="109">
        <v>46069</v>
      </c>
      <c r="B718">
        <v>31</v>
      </c>
      <c r="C718" t="s">
        <v>161</v>
      </c>
      <c r="D718">
        <v>40</v>
      </c>
      <c r="E718">
        <v>44</v>
      </c>
    </row>
    <row r="719" spans="1:5" x14ac:dyDescent="0.25">
      <c r="A719" s="109">
        <v>46069</v>
      </c>
      <c r="B719">
        <v>31</v>
      </c>
      <c r="C719" t="s">
        <v>1143</v>
      </c>
      <c r="D719">
        <v>38</v>
      </c>
      <c r="E719">
        <v>41.800000000000004</v>
      </c>
    </row>
    <row r="720" spans="1:5" x14ac:dyDescent="0.25">
      <c r="A720" s="109">
        <v>46069</v>
      </c>
      <c r="B720">
        <v>31</v>
      </c>
      <c r="C720" t="s">
        <v>163</v>
      </c>
      <c r="D720">
        <v>37</v>
      </c>
      <c r="E720">
        <v>40.700000000000003</v>
      </c>
    </row>
    <row r="721" spans="1:5" x14ac:dyDescent="0.25">
      <c r="A721" s="109">
        <v>46069</v>
      </c>
      <c r="B721">
        <v>31</v>
      </c>
      <c r="C721" t="s">
        <v>751</v>
      </c>
      <c r="D721">
        <v>24</v>
      </c>
      <c r="E721">
        <v>26.400000000000002</v>
      </c>
    </row>
    <row r="722" spans="1:5" x14ac:dyDescent="0.25">
      <c r="A722" s="109">
        <v>46069</v>
      </c>
      <c r="B722">
        <v>31</v>
      </c>
      <c r="C722" t="s">
        <v>298</v>
      </c>
      <c r="D722">
        <v>27</v>
      </c>
      <c r="E722">
        <v>29.700000000000003</v>
      </c>
    </row>
    <row r="723" spans="1:5" x14ac:dyDescent="0.25">
      <c r="A723" s="109">
        <v>46069</v>
      </c>
      <c r="B723">
        <v>31</v>
      </c>
      <c r="C723" t="s">
        <v>156</v>
      </c>
      <c r="D723">
        <v>61</v>
      </c>
      <c r="E723">
        <v>67.100000000000009</v>
      </c>
    </row>
    <row r="724" spans="1:5" x14ac:dyDescent="0.25">
      <c r="A724" s="109">
        <v>46069</v>
      </c>
      <c r="B724">
        <v>31</v>
      </c>
      <c r="C724" t="s">
        <v>176</v>
      </c>
      <c r="D724">
        <v>24</v>
      </c>
      <c r="E724">
        <v>26.400000000000002</v>
      </c>
    </row>
    <row r="725" spans="1:5" x14ac:dyDescent="0.25">
      <c r="A725" s="109">
        <v>46070</v>
      </c>
      <c r="B725">
        <v>31</v>
      </c>
      <c r="C725" t="s">
        <v>167</v>
      </c>
      <c r="E725">
        <v>0</v>
      </c>
    </row>
    <row r="726" spans="1:5" x14ac:dyDescent="0.25">
      <c r="A726" s="109">
        <v>46070</v>
      </c>
      <c r="B726">
        <v>31</v>
      </c>
      <c r="C726" t="s">
        <v>155</v>
      </c>
      <c r="D726">
        <v>54</v>
      </c>
      <c r="E726">
        <v>59.400000000000006</v>
      </c>
    </row>
    <row r="727" spans="1:5" x14ac:dyDescent="0.25">
      <c r="A727" s="109">
        <v>46070</v>
      </c>
      <c r="B727">
        <v>31</v>
      </c>
      <c r="C727" t="s">
        <v>176</v>
      </c>
      <c r="D727">
        <v>60</v>
      </c>
      <c r="E727">
        <v>66</v>
      </c>
    </row>
    <row r="728" spans="1:5" x14ac:dyDescent="0.25">
      <c r="A728" s="109">
        <v>46070</v>
      </c>
      <c r="B728">
        <v>31</v>
      </c>
      <c r="C728" t="s">
        <v>162</v>
      </c>
      <c r="D728">
        <v>26</v>
      </c>
      <c r="E728">
        <v>28.6</v>
      </c>
    </row>
    <row r="729" spans="1:5" x14ac:dyDescent="0.25">
      <c r="A729" s="109">
        <v>46070</v>
      </c>
      <c r="B729">
        <v>31</v>
      </c>
      <c r="C729" t="s">
        <v>1131</v>
      </c>
      <c r="D729">
        <v>31</v>
      </c>
      <c r="E729">
        <v>34.1</v>
      </c>
    </row>
    <row r="730" spans="1:5" x14ac:dyDescent="0.25">
      <c r="A730" s="109">
        <v>46070</v>
      </c>
      <c r="B730">
        <v>31</v>
      </c>
      <c r="C730" t="s">
        <v>151</v>
      </c>
      <c r="D730">
        <v>52</v>
      </c>
      <c r="E730">
        <v>57.2</v>
      </c>
    </row>
    <row r="731" spans="1:5" x14ac:dyDescent="0.25">
      <c r="A731" s="109">
        <v>46070</v>
      </c>
      <c r="B731">
        <v>31</v>
      </c>
      <c r="C731" t="s">
        <v>757</v>
      </c>
      <c r="D731">
        <v>65</v>
      </c>
      <c r="E731">
        <v>71.5</v>
      </c>
    </row>
    <row r="732" spans="1:5" x14ac:dyDescent="0.25">
      <c r="A732" s="109">
        <v>46070</v>
      </c>
      <c r="B732">
        <v>31</v>
      </c>
      <c r="C732" t="s">
        <v>129</v>
      </c>
      <c r="D732">
        <v>59</v>
      </c>
      <c r="E732">
        <v>64.900000000000006</v>
      </c>
    </row>
    <row r="733" spans="1:5" x14ac:dyDescent="0.25">
      <c r="A733" s="109">
        <v>46071</v>
      </c>
      <c r="B733">
        <v>31</v>
      </c>
      <c r="C733" t="s">
        <v>171</v>
      </c>
      <c r="D733">
        <v>59</v>
      </c>
      <c r="E733">
        <v>64.900000000000006</v>
      </c>
    </row>
    <row r="734" spans="1:5" x14ac:dyDescent="0.25">
      <c r="A734" s="109">
        <v>46071</v>
      </c>
      <c r="B734">
        <v>31</v>
      </c>
      <c r="C734" t="s">
        <v>176</v>
      </c>
      <c r="D734">
        <v>28</v>
      </c>
      <c r="E734">
        <v>30.800000000000004</v>
      </c>
    </row>
    <row r="735" spans="1:5" x14ac:dyDescent="0.25">
      <c r="A735" s="109">
        <v>46071</v>
      </c>
      <c r="B735">
        <v>31</v>
      </c>
      <c r="C735" t="s">
        <v>174</v>
      </c>
      <c r="D735">
        <v>57</v>
      </c>
      <c r="E735">
        <v>62.7</v>
      </c>
    </row>
    <row r="736" spans="1:5" x14ac:dyDescent="0.25">
      <c r="A736" s="109">
        <v>46071</v>
      </c>
      <c r="B736">
        <v>31</v>
      </c>
      <c r="C736" t="s">
        <v>164</v>
      </c>
      <c r="D736">
        <v>39</v>
      </c>
      <c r="E736">
        <v>42.900000000000006</v>
      </c>
    </row>
    <row r="737" spans="1:5" x14ac:dyDescent="0.25">
      <c r="A737" s="109">
        <v>46071</v>
      </c>
      <c r="B737">
        <v>31</v>
      </c>
      <c r="C737" t="s">
        <v>162</v>
      </c>
      <c r="D737">
        <v>31</v>
      </c>
      <c r="E737">
        <v>34.1</v>
      </c>
    </row>
    <row r="738" spans="1:5" x14ac:dyDescent="0.25">
      <c r="A738" s="109">
        <v>46071</v>
      </c>
      <c r="B738">
        <v>31</v>
      </c>
      <c r="C738" t="s">
        <v>354</v>
      </c>
      <c r="D738">
        <v>67</v>
      </c>
      <c r="E738">
        <v>73.7</v>
      </c>
    </row>
    <row r="739" spans="1:5" x14ac:dyDescent="0.25">
      <c r="A739" s="109">
        <v>46071</v>
      </c>
      <c r="B739">
        <v>31</v>
      </c>
      <c r="C739" t="s">
        <v>163</v>
      </c>
      <c r="D739">
        <v>49</v>
      </c>
      <c r="E739">
        <v>53.900000000000006</v>
      </c>
    </row>
    <row r="740" spans="1:5" x14ac:dyDescent="0.25">
      <c r="A740" s="109">
        <v>46071</v>
      </c>
      <c r="B740">
        <v>31</v>
      </c>
      <c r="C740" t="s">
        <v>1143</v>
      </c>
      <c r="D740">
        <v>61</v>
      </c>
      <c r="E740">
        <v>67.100000000000009</v>
      </c>
    </row>
    <row r="741" spans="1:5" x14ac:dyDescent="0.25">
      <c r="A741" s="109">
        <v>46071</v>
      </c>
      <c r="B741">
        <v>31</v>
      </c>
      <c r="C741" t="s">
        <v>156</v>
      </c>
      <c r="D741">
        <v>37</v>
      </c>
      <c r="E741">
        <v>40.700000000000003</v>
      </c>
    </row>
    <row r="742" spans="1:5" x14ac:dyDescent="0.25">
      <c r="A742" s="109">
        <v>46072</v>
      </c>
      <c r="B742">
        <v>31</v>
      </c>
      <c r="C742" t="s">
        <v>172</v>
      </c>
      <c r="D742">
        <v>60</v>
      </c>
      <c r="E742">
        <v>66</v>
      </c>
    </row>
    <row r="743" spans="1:5" x14ac:dyDescent="0.25">
      <c r="A743" s="109">
        <v>46072</v>
      </c>
      <c r="B743">
        <v>31</v>
      </c>
      <c r="C743" t="s">
        <v>162</v>
      </c>
      <c r="D743">
        <v>29</v>
      </c>
      <c r="E743">
        <v>31.900000000000002</v>
      </c>
    </row>
    <row r="744" spans="1:5" x14ac:dyDescent="0.25">
      <c r="A744" s="109">
        <v>46072</v>
      </c>
      <c r="B744">
        <v>31</v>
      </c>
      <c r="C744" t="s">
        <v>177</v>
      </c>
      <c r="D744">
        <v>10</v>
      </c>
      <c r="E744">
        <v>11</v>
      </c>
    </row>
    <row r="745" spans="1:5" x14ac:dyDescent="0.25">
      <c r="A745" s="109">
        <v>46072</v>
      </c>
      <c r="B745">
        <v>31</v>
      </c>
      <c r="C745" t="s">
        <v>182</v>
      </c>
      <c r="D745">
        <v>68</v>
      </c>
      <c r="E745">
        <v>74.800000000000011</v>
      </c>
    </row>
    <row r="746" spans="1:5" x14ac:dyDescent="0.25">
      <c r="A746" s="109">
        <v>46072</v>
      </c>
      <c r="B746">
        <v>31</v>
      </c>
      <c r="C746" t="s">
        <v>1143</v>
      </c>
      <c r="D746">
        <v>31</v>
      </c>
      <c r="E746">
        <v>34.1</v>
      </c>
    </row>
    <row r="747" spans="1:5" x14ac:dyDescent="0.25">
      <c r="A747" s="109">
        <v>46072</v>
      </c>
      <c r="B747">
        <v>31</v>
      </c>
      <c r="C747" t="s">
        <v>174</v>
      </c>
      <c r="D747">
        <v>55</v>
      </c>
      <c r="E747">
        <v>60.500000000000007</v>
      </c>
    </row>
    <row r="748" spans="1:5" x14ac:dyDescent="0.25">
      <c r="A748" s="109">
        <v>46072</v>
      </c>
      <c r="B748">
        <v>31</v>
      </c>
      <c r="C748" t="s">
        <v>176</v>
      </c>
      <c r="D748">
        <v>30</v>
      </c>
      <c r="E748">
        <v>33</v>
      </c>
    </row>
    <row r="749" spans="1:5" x14ac:dyDescent="0.25">
      <c r="A749" s="109">
        <v>46072</v>
      </c>
      <c r="B749">
        <v>31</v>
      </c>
      <c r="C749" t="s">
        <v>178</v>
      </c>
      <c r="D749">
        <v>60</v>
      </c>
      <c r="E749">
        <v>66</v>
      </c>
    </row>
    <row r="750" spans="1:5" x14ac:dyDescent="0.25">
      <c r="A750" s="109">
        <v>46072</v>
      </c>
      <c r="B750">
        <v>31</v>
      </c>
      <c r="C750" t="s">
        <v>131</v>
      </c>
      <c r="D750">
        <v>27</v>
      </c>
      <c r="E750">
        <v>29.700000000000003</v>
      </c>
    </row>
    <row r="751" spans="1:5" x14ac:dyDescent="0.25">
      <c r="A751" s="109">
        <v>46073</v>
      </c>
      <c r="B751">
        <v>31</v>
      </c>
      <c r="C751" t="s">
        <v>1131</v>
      </c>
      <c r="D751">
        <v>57</v>
      </c>
      <c r="E751">
        <v>62.7</v>
      </c>
    </row>
    <row r="752" spans="1:5" x14ac:dyDescent="0.25">
      <c r="A752" s="109">
        <v>46073</v>
      </c>
      <c r="B752">
        <v>31</v>
      </c>
      <c r="C752" t="s">
        <v>162</v>
      </c>
      <c r="D752">
        <v>21</v>
      </c>
      <c r="E752">
        <v>23.1</v>
      </c>
    </row>
    <row r="753" spans="1:5" x14ac:dyDescent="0.25">
      <c r="A753" s="109">
        <v>46073</v>
      </c>
      <c r="B753">
        <v>31</v>
      </c>
      <c r="C753" t="s">
        <v>155</v>
      </c>
      <c r="D753">
        <v>36</v>
      </c>
      <c r="E753">
        <v>39.6</v>
      </c>
    </row>
    <row r="754" spans="1:5" x14ac:dyDescent="0.25">
      <c r="A754" s="109">
        <v>46073</v>
      </c>
      <c r="B754">
        <v>31</v>
      </c>
      <c r="C754" t="s">
        <v>177</v>
      </c>
      <c r="D754">
        <v>61</v>
      </c>
      <c r="E754">
        <v>67.100000000000009</v>
      </c>
    </row>
    <row r="755" spans="1:5" x14ac:dyDescent="0.25">
      <c r="A755" s="109">
        <v>46073</v>
      </c>
      <c r="B755">
        <v>31</v>
      </c>
      <c r="C755" t="s">
        <v>163</v>
      </c>
      <c r="D755">
        <v>57</v>
      </c>
      <c r="E755">
        <v>62.7</v>
      </c>
    </row>
    <row r="756" spans="1:5" x14ac:dyDescent="0.25">
      <c r="A756" s="109">
        <v>46073</v>
      </c>
      <c r="B756">
        <v>31</v>
      </c>
      <c r="C756" t="s">
        <v>168</v>
      </c>
      <c r="D756">
        <v>38</v>
      </c>
      <c r="E756">
        <v>41.800000000000004</v>
      </c>
    </row>
    <row r="757" spans="1:5" x14ac:dyDescent="0.25">
      <c r="A757" s="109">
        <v>46073</v>
      </c>
      <c r="B757">
        <v>31</v>
      </c>
      <c r="C757" t="s">
        <v>144</v>
      </c>
      <c r="D757">
        <v>51</v>
      </c>
      <c r="E757">
        <v>56.1</v>
      </c>
    </row>
    <row r="758" spans="1:5" x14ac:dyDescent="0.25">
      <c r="A758" s="109">
        <v>46073</v>
      </c>
      <c r="B758">
        <v>31</v>
      </c>
      <c r="C758" t="s">
        <v>751</v>
      </c>
      <c r="D758">
        <v>21</v>
      </c>
      <c r="E758">
        <v>23.1</v>
      </c>
    </row>
    <row r="759" spans="1:5" x14ac:dyDescent="0.25">
      <c r="A759" s="109">
        <v>46073</v>
      </c>
      <c r="B759">
        <v>31</v>
      </c>
      <c r="C759" t="s">
        <v>754</v>
      </c>
      <c r="D759">
        <v>49</v>
      </c>
      <c r="E759">
        <v>53.900000000000006</v>
      </c>
    </row>
    <row r="760" spans="1:5" x14ac:dyDescent="0.25">
      <c r="A760" s="109">
        <v>46073</v>
      </c>
      <c r="B760">
        <v>31</v>
      </c>
      <c r="C760" t="s">
        <v>176</v>
      </c>
      <c r="D760">
        <v>20</v>
      </c>
      <c r="E760">
        <v>22</v>
      </c>
    </row>
    <row r="761" spans="1:5" x14ac:dyDescent="0.25">
      <c r="A761" s="109">
        <v>46073</v>
      </c>
      <c r="B761">
        <v>31</v>
      </c>
      <c r="C761" t="s">
        <v>1143</v>
      </c>
      <c r="D761">
        <v>61</v>
      </c>
      <c r="E761">
        <v>67.100000000000009</v>
      </c>
    </row>
    <row r="762" spans="1:5" x14ac:dyDescent="0.25">
      <c r="A762" s="109">
        <v>46073</v>
      </c>
      <c r="B762">
        <v>31</v>
      </c>
      <c r="C762" t="s">
        <v>169</v>
      </c>
      <c r="D762">
        <v>76</v>
      </c>
      <c r="E762">
        <v>83.600000000000009</v>
      </c>
    </row>
    <row r="763" spans="1:5" x14ac:dyDescent="0.25">
      <c r="A763" s="109">
        <v>46073</v>
      </c>
      <c r="B763">
        <v>31</v>
      </c>
      <c r="C763" t="s">
        <v>355</v>
      </c>
      <c r="D763">
        <v>50</v>
      </c>
      <c r="E763">
        <v>55.000000000000007</v>
      </c>
    </row>
    <row r="764" spans="1:5" x14ac:dyDescent="0.25">
      <c r="A764" s="109">
        <v>46074</v>
      </c>
      <c r="B764">
        <v>31</v>
      </c>
      <c r="C764" t="s">
        <v>179</v>
      </c>
      <c r="D764">
        <v>40</v>
      </c>
      <c r="E764">
        <v>44</v>
      </c>
    </row>
    <row r="765" spans="1:5" x14ac:dyDescent="0.25">
      <c r="A765" s="109">
        <v>46074</v>
      </c>
      <c r="B765">
        <v>31</v>
      </c>
      <c r="C765" t="s">
        <v>131</v>
      </c>
      <c r="D765">
        <v>16</v>
      </c>
      <c r="E765">
        <v>17.600000000000001</v>
      </c>
    </row>
    <row r="766" spans="1:5" x14ac:dyDescent="0.25">
      <c r="A766" s="109">
        <v>46074</v>
      </c>
      <c r="B766">
        <v>31</v>
      </c>
      <c r="C766" t="s">
        <v>162</v>
      </c>
      <c r="D766">
        <v>28</v>
      </c>
      <c r="E766">
        <v>30.800000000000004</v>
      </c>
    </row>
    <row r="767" spans="1:5" x14ac:dyDescent="0.25">
      <c r="A767" s="109">
        <v>46074</v>
      </c>
      <c r="B767">
        <v>31</v>
      </c>
      <c r="C767" t="s">
        <v>167</v>
      </c>
      <c r="D767">
        <v>56</v>
      </c>
      <c r="E767">
        <v>61.600000000000009</v>
      </c>
    </row>
    <row r="768" spans="1:5" x14ac:dyDescent="0.25">
      <c r="A768" s="109">
        <v>46074</v>
      </c>
      <c r="B768">
        <v>31</v>
      </c>
      <c r="C768" t="s">
        <v>161</v>
      </c>
      <c r="D768">
        <v>63</v>
      </c>
      <c r="E768">
        <v>69.300000000000011</v>
      </c>
    </row>
    <row r="769" spans="1:5" x14ac:dyDescent="0.25">
      <c r="A769" s="109">
        <v>46074</v>
      </c>
      <c r="B769">
        <v>31</v>
      </c>
      <c r="C769" t="s">
        <v>184</v>
      </c>
      <c r="D769">
        <v>50</v>
      </c>
      <c r="E769">
        <v>55.000000000000007</v>
      </c>
    </row>
    <row r="770" spans="1:5" x14ac:dyDescent="0.25">
      <c r="A770" s="109">
        <v>46074</v>
      </c>
      <c r="B770">
        <v>31</v>
      </c>
      <c r="C770" t="s">
        <v>159</v>
      </c>
      <c r="D770">
        <v>53</v>
      </c>
      <c r="E770">
        <v>58.300000000000004</v>
      </c>
    </row>
    <row r="771" spans="1:5" x14ac:dyDescent="0.25">
      <c r="A771" s="109">
        <v>46074</v>
      </c>
      <c r="B771">
        <v>31</v>
      </c>
      <c r="C771" t="s">
        <v>176</v>
      </c>
      <c r="D771">
        <v>31</v>
      </c>
      <c r="E771">
        <v>34.1</v>
      </c>
    </row>
    <row r="772" spans="1:5" x14ac:dyDescent="0.25">
      <c r="A772" s="109">
        <v>46074</v>
      </c>
      <c r="B772">
        <v>31</v>
      </c>
      <c r="C772" t="s">
        <v>164</v>
      </c>
      <c r="D772">
        <v>47</v>
      </c>
      <c r="E772">
        <v>51.7</v>
      </c>
    </row>
    <row r="773" spans="1:5" x14ac:dyDescent="0.25">
      <c r="A773" s="109">
        <v>46074</v>
      </c>
      <c r="B773">
        <v>31</v>
      </c>
      <c r="C773" t="s">
        <v>753</v>
      </c>
      <c r="D773">
        <v>61</v>
      </c>
      <c r="E773">
        <v>67.100000000000009</v>
      </c>
    </row>
    <row r="774" spans="1:5" x14ac:dyDescent="0.25">
      <c r="A774" s="109">
        <v>46074</v>
      </c>
      <c r="B774">
        <v>31</v>
      </c>
      <c r="C774" t="s">
        <v>156</v>
      </c>
      <c r="D774">
        <v>62</v>
      </c>
      <c r="E774">
        <v>68.2</v>
      </c>
    </row>
    <row r="775" spans="1:5" x14ac:dyDescent="0.25">
      <c r="A775" s="109">
        <v>46074</v>
      </c>
      <c r="B775">
        <v>31</v>
      </c>
      <c r="C775" t="s">
        <v>1143</v>
      </c>
      <c r="D775">
        <v>47</v>
      </c>
      <c r="E775">
        <v>51.7</v>
      </c>
    </row>
    <row r="776" spans="1:5" x14ac:dyDescent="0.25">
      <c r="A776" s="109">
        <v>46074</v>
      </c>
      <c r="B776">
        <v>31</v>
      </c>
      <c r="C776" t="s">
        <v>131</v>
      </c>
      <c r="D776">
        <v>31</v>
      </c>
      <c r="E776">
        <v>34.1</v>
      </c>
    </row>
    <row r="777" spans="1:5" x14ac:dyDescent="0.25">
      <c r="A777" s="109">
        <v>46074</v>
      </c>
      <c r="B777">
        <v>31</v>
      </c>
      <c r="C777" t="s">
        <v>151</v>
      </c>
      <c r="D777">
        <v>52</v>
      </c>
      <c r="E777">
        <v>57.2</v>
      </c>
    </row>
    <row r="778" spans="1:5" x14ac:dyDescent="0.25">
      <c r="A778" s="109">
        <v>46074</v>
      </c>
      <c r="B778">
        <v>31</v>
      </c>
      <c r="C778" t="s">
        <v>174</v>
      </c>
      <c r="D778">
        <v>74</v>
      </c>
      <c r="E778">
        <v>81.400000000000006</v>
      </c>
    </row>
    <row r="779" spans="1:5" x14ac:dyDescent="0.25">
      <c r="A779" s="109">
        <v>46075</v>
      </c>
      <c r="B779">
        <v>31</v>
      </c>
      <c r="C779" t="s">
        <v>162</v>
      </c>
      <c r="D779">
        <v>23</v>
      </c>
      <c r="E779">
        <v>25.3</v>
      </c>
    </row>
    <row r="780" spans="1:5" x14ac:dyDescent="0.25">
      <c r="A780" s="109">
        <v>46075</v>
      </c>
      <c r="B780">
        <v>31</v>
      </c>
      <c r="C780" t="s">
        <v>352</v>
      </c>
      <c r="D780">
        <v>63</v>
      </c>
      <c r="E780">
        <v>69.300000000000011</v>
      </c>
    </row>
    <row r="781" spans="1:5" x14ac:dyDescent="0.25">
      <c r="A781" s="109">
        <v>46075</v>
      </c>
      <c r="B781">
        <v>31</v>
      </c>
      <c r="C781" t="s">
        <v>155</v>
      </c>
      <c r="D781">
        <v>23</v>
      </c>
      <c r="E781">
        <v>25.3</v>
      </c>
    </row>
    <row r="782" spans="1:5" x14ac:dyDescent="0.25">
      <c r="A782" s="109">
        <v>46075</v>
      </c>
      <c r="B782">
        <v>31</v>
      </c>
      <c r="C782" t="s">
        <v>144</v>
      </c>
      <c r="D782">
        <v>53</v>
      </c>
      <c r="E782">
        <v>58.300000000000004</v>
      </c>
    </row>
    <row r="783" spans="1:5" x14ac:dyDescent="0.25">
      <c r="A783" s="109">
        <v>46075</v>
      </c>
      <c r="B783">
        <v>31</v>
      </c>
      <c r="C783" t="s">
        <v>176</v>
      </c>
      <c r="D783">
        <v>34</v>
      </c>
      <c r="E783">
        <v>37.400000000000006</v>
      </c>
    </row>
    <row r="784" spans="1:5" x14ac:dyDescent="0.25">
      <c r="A784" s="109">
        <v>46075</v>
      </c>
      <c r="B784">
        <v>31</v>
      </c>
      <c r="C784" t="s">
        <v>163</v>
      </c>
      <c r="D784">
        <v>45</v>
      </c>
      <c r="E784">
        <v>49.500000000000007</v>
      </c>
    </row>
    <row r="785" spans="1:5" x14ac:dyDescent="0.25">
      <c r="A785" s="109">
        <v>46075</v>
      </c>
      <c r="B785">
        <v>31</v>
      </c>
      <c r="C785" t="s">
        <v>129</v>
      </c>
      <c r="D785">
        <v>32</v>
      </c>
      <c r="E785">
        <v>35.200000000000003</v>
      </c>
    </row>
    <row r="786" spans="1:5" x14ac:dyDescent="0.25">
      <c r="A786" s="109">
        <v>46076</v>
      </c>
      <c r="B786">
        <v>31</v>
      </c>
      <c r="C786" t="s">
        <v>751</v>
      </c>
      <c r="D786">
        <v>36</v>
      </c>
      <c r="E786">
        <v>39.6</v>
      </c>
    </row>
    <row r="787" spans="1:5" x14ac:dyDescent="0.25">
      <c r="A787" s="109">
        <v>46076</v>
      </c>
      <c r="B787">
        <v>31</v>
      </c>
      <c r="C787" t="s">
        <v>174</v>
      </c>
      <c r="D787">
        <v>64</v>
      </c>
      <c r="E787">
        <v>70.400000000000006</v>
      </c>
    </row>
    <row r="788" spans="1:5" x14ac:dyDescent="0.25">
      <c r="A788" s="109">
        <v>46076</v>
      </c>
      <c r="B788">
        <v>31</v>
      </c>
      <c r="C788" t="s">
        <v>162</v>
      </c>
      <c r="D788">
        <v>23</v>
      </c>
      <c r="E788">
        <v>25.3</v>
      </c>
    </row>
    <row r="789" spans="1:5" x14ac:dyDescent="0.25">
      <c r="A789" s="109">
        <v>46076</v>
      </c>
      <c r="B789">
        <v>31</v>
      </c>
      <c r="C789" t="s">
        <v>180</v>
      </c>
      <c r="D789">
        <v>60</v>
      </c>
      <c r="E789">
        <v>66</v>
      </c>
    </row>
    <row r="790" spans="1:5" x14ac:dyDescent="0.25">
      <c r="A790" s="109">
        <v>46076</v>
      </c>
      <c r="B790">
        <v>31</v>
      </c>
      <c r="C790" t="s">
        <v>757</v>
      </c>
      <c r="D790">
        <v>54</v>
      </c>
      <c r="E790">
        <v>59.400000000000006</v>
      </c>
    </row>
    <row r="791" spans="1:5" x14ac:dyDescent="0.25">
      <c r="A791" s="109">
        <v>46076</v>
      </c>
      <c r="B791">
        <v>31</v>
      </c>
      <c r="C791" t="s">
        <v>155</v>
      </c>
      <c r="D791">
        <v>55</v>
      </c>
      <c r="E791">
        <v>60.500000000000007</v>
      </c>
    </row>
    <row r="792" spans="1:5" x14ac:dyDescent="0.25">
      <c r="A792" s="109">
        <v>46076</v>
      </c>
      <c r="B792">
        <v>31</v>
      </c>
      <c r="C792" t="s">
        <v>1131</v>
      </c>
      <c r="D792">
        <v>52</v>
      </c>
      <c r="E792">
        <v>57.2</v>
      </c>
    </row>
    <row r="793" spans="1:5" x14ac:dyDescent="0.25">
      <c r="A793" s="109">
        <v>46076</v>
      </c>
      <c r="B793">
        <v>31</v>
      </c>
      <c r="C793" t="s">
        <v>176</v>
      </c>
      <c r="D793">
        <v>27</v>
      </c>
      <c r="E793">
        <v>29.700000000000003</v>
      </c>
    </row>
    <row r="794" spans="1:5" x14ac:dyDescent="0.25">
      <c r="A794" s="109">
        <v>46077</v>
      </c>
      <c r="B794">
        <v>31</v>
      </c>
      <c r="C794" t="s">
        <v>751</v>
      </c>
      <c r="D794">
        <v>22</v>
      </c>
      <c r="E794">
        <v>24.200000000000003</v>
      </c>
    </row>
    <row r="795" spans="1:5" x14ac:dyDescent="0.25">
      <c r="A795" s="109">
        <v>46077</v>
      </c>
      <c r="B795">
        <v>31</v>
      </c>
      <c r="C795" t="s">
        <v>1125</v>
      </c>
      <c r="D795">
        <v>66</v>
      </c>
      <c r="E795">
        <v>72.600000000000009</v>
      </c>
    </row>
    <row r="796" spans="1:5" x14ac:dyDescent="0.25">
      <c r="A796" s="109">
        <v>46077</v>
      </c>
      <c r="B796">
        <v>31</v>
      </c>
      <c r="C796" t="s">
        <v>177</v>
      </c>
      <c r="D796">
        <v>20</v>
      </c>
      <c r="E796">
        <v>22</v>
      </c>
    </row>
    <row r="797" spans="1:5" x14ac:dyDescent="0.25">
      <c r="A797" s="109">
        <v>46077</v>
      </c>
      <c r="B797">
        <v>31</v>
      </c>
      <c r="C797" t="s">
        <v>131</v>
      </c>
      <c r="D797">
        <v>43</v>
      </c>
      <c r="E797">
        <v>47.300000000000004</v>
      </c>
    </row>
    <row r="798" spans="1:5" x14ac:dyDescent="0.25">
      <c r="A798" s="109">
        <v>46077</v>
      </c>
      <c r="B798">
        <v>31</v>
      </c>
      <c r="C798" t="s">
        <v>1143</v>
      </c>
      <c r="D798">
        <v>56</v>
      </c>
      <c r="E798">
        <v>61.600000000000009</v>
      </c>
    </row>
    <row r="799" spans="1:5" x14ac:dyDescent="0.25">
      <c r="A799" s="109">
        <v>46077</v>
      </c>
      <c r="B799">
        <v>31</v>
      </c>
      <c r="C799" t="s">
        <v>163</v>
      </c>
      <c r="D799">
        <v>60</v>
      </c>
      <c r="E799">
        <v>66</v>
      </c>
    </row>
    <row r="800" spans="1:5" x14ac:dyDescent="0.25">
      <c r="A800" s="109">
        <v>46077</v>
      </c>
      <c r="B800">
        <v>31</v>
      </c>
      <c r="C800" t="s">
        <v>167</v>
      </c>
      <c r="D800">
        <v>50</v>
      </c>
      <c r="E800">
        <v>55.000000000000007</v>
      </c>
    </row>
    <row r="801" spans="1:5" x14ac:dyDescent="0.25">
      <c r="A801" s="109">
        <v>46077</v>
      </c>
      <c r="B801">
        <v>31</v>
      </c>
      <c r="C801" t="s">
        <v>354</v>
      </c>
      <c r="D801">
        <v>70</v>
      </c>
      <c r="E801">
        <v>77</v>
      </c>
    </row>
    <row r="802" spans="1:5" x14ac:dyDescent="0.25">
      <c r="A802" s="109">
        <v>46077</v>
      </c>
      <c r="B802">
        <v>31</v>
      </c>
      <c r="C802" t="s">
        <v>174</v>
      </c>
      <c r="D802">
        <v>59</v>
      </c>
      <c r="E802">
        <v>64.900000000000006</v>
      </c>
    </row>
    <row r="803" spans="1:5" x14ac:dyDescent="0.25">
      <c r="A803" s="109">
        <v>46077</v>
      </c>
      <c r="B803">
        <v>31</v>
      </c>
      <c r="C803" t="s">
        <v>162</v>
      </c>
      <c r="D803">
        <v>52</v>
      </c>
      <c r="E803">
        <v>57.2</v>
      </c>
    </row>
    <row r="804" spans="1:5" x14ac:dyDescent="0.25">
      <c r="A804" s="109">
        <v>46077</v>
      </c>
      <c r="B804">
        <v>31</v>
      </c>
      <c r="C804" t="s">
        <v>176</v>
      </c>
      <c r="D804">
        <v>28</v>
      </c>
      <c r="E804">
        <v>30.800000000000004</v>
      </c>
    </row>
    <row r="805" spans="1:5" x14ac:dyDescent="0.25">
      <c r="A805" s="109">
        <v>46077</v>
      </c>
      <c r="B805">
        <v>31</v>
      </c>
      <c r="C805" t="s">
        <v>156</v>
      </c>
      <c r="D805">
        <v>46</v>
      </c>
      <c r="E805">
        <v>50.6</v>
      </c>
    </row>
    <row r="806" spans="1:5" x14ac:dyDescent="0.25">
      <c r="A806" s="109">
        <v>46077</v>
      </c>
      <c r="B806">
        <v>31</v>
      </c>
      <c r="C806" t="s">
        <v>169</v>
      </c>
      <c r="D806">
        <v>46</v>
      </c>
      <c r="E806">
        <v>50.6</v>
      </c>
    </row>
    <row r="807" spans="1:5" x14ac:dyDescent="0.25">
      <c r="A807" s="109">
        <v>46078</v>
      </c>
      <c r="B807">
        <v>31</v>
      </c>
      <c r="C807" t="s">
        <v>171</v>
      </c>
      <c r="D807">
        <v>55</v>
      </c>
      <c r="E807">
        <v>60.500000000000007</v>
      </c>
    </row>
    <row r="808" spans="1:5" x14ac:dyDescent="0.25">
      <c r="A808" s="109">
        <v>46078</v>
      </c>
      <c r="B808">
        <v>31</v>
      </c>
      <c r="C808" t="s">
        <v>175</v>
      </c>
      <c r="D808">
        <v>68</v>
      </c>
      <c r="E808">
        <v>74.800000000000011</v>
      </c>
    </row>
    <row r="809" spans="1:5" x14ac:dyDescent="0.25">
      <c r="A809" s="109">
        <v>46078</v>
      </c>
      <c r="B809">
        <v>31</v>
      </c>
      <c r="C809" t="s">
        <v>177</v>
      </c>
      <c r="D809">
        <v>20</v>
      </c>
      <c r="E809">
        <v>22</v>
      </c>
    </row>
    <row r="810" spans="1:5" x14ac:dyDescent="0.25">
      <c r="A810" s="109">
        <v>46078</v>
      </c>
      <c r="B810">
        <v>31</v>
      </c>
      <c r="C810" t="s">
        <v>179</v>
      </c>
      <c r="D810">
        <v>28</v>
      </c>
      <c r="E810">
        <v>30.800000000000004</v>
      </c>
    </row>
    <row r="811" spans="1:5" x14ac:dyDescent="0.25">
      <c r="A811" s="109">
        <v>46078</v>
      </c>
      <c r="B811">
        <v>31</v>
      </c>
      <c r="C811" t="s">
        <v>754</v>
      </c>
      <c r="D811">
        <v>42</v>
      </c>
      <c r="E811">
        <v>46.2</v>
      </c>
    </row>
    <row r="812" spans="1:5" x14ac:dyDescent="0.25">
      <c r="A812" s="109">
        <v>46078</v>
      </c>
      <c r="B812">
        <v>31</v>
      </c>
      <c r="C812" t="s">
        <v>144</v>
      </c>
      <c r="D812">
        <v>16</v>
      </c>
      <c r="E812">
        <v>17.600000000000001</v>
      </c>
    </row>
    <row r="813" spans="1:5" x14ac:dyDescent="0.25">
      <c r="A813" s="109">
        <v>46078</v>
      </c>
      <c r="B813">
        <v>31</v>
      </c>
      <c r="C813" t="s">
        <v>176</v>
      </c>
      <c r="D813">
        <v>22</v>
      </c>
      <c r="E813">
        <v>24.200000000000003</v>
      </c>
    </row>
    <row r="814" spans="1:5" x14ac:dyDescent="0.25">
      <c r="A814" s="109">
        <v>46078</v>
      </c>
      <c r="B814">
        <v>31</v>
      </c>
      <c r="C814" t="s">
        <v>1126</v>
      </c>
      <c r="D814">
        <v>47</v>
      </c>
      <c r="E814">
        <v>51.7</v>
      </c>
    </row>
    <row r="815" spans="1:5" x14ac:dyDescent="0.25">
      <c r="A815" s="109">
        <v>46078</v>
      </c>
      <c r="B815">
        <v>31</v>
      </c>
      <c r="C815" t="s">
        <v>155</v>
      </c>
      <c r="D815">
        <v>51</v>
      </c>
      <c r="E815">
        <v>56.1</v>
      </c>
    </row>
    <row r="816" spans="1:5" x14ac:dyDescent="0.25">
      <c r="A816" s="109">
        <v>46078</v>
      </c>
      <c r="B816">
        <v>31</v>
      </c>
      <c r="C816" t="s">
        <v>162</v>
      </c>
      <c r="D816">
        <v>41</v>
      </c>
      <c r="E816">
        <v>45.1</v>
      </c>
    </row>
    <row r="817" spans="1:5" x14ac:dyDescent="0.25">
      <c r="A817" s="109">
        <v>46078</v>
      </c>
      <c r="B817">
        <v>31</v>
      </c>
      <c r="C817" t="s">
        <v>161</v>
      </c>
      <c r="D817">
        <v>35</v>
      </c>
      <c r="E817">
        <v>38.5</v>
      </c>
    </row>
    <row r="818" spans="1:5" x14ac:dyDescent="0.25">
      <c r="A818" s="109">
        <v>46079</v>
      </c>
      <c r="B818">
        <v>31</v>
      </c>
      <c r="C818" t="s">
        <v>168</v>
      </c>
      <c r="D818">
        <v>49</v>
      </c>
      <c r="E818">
        <v>53.900000000000006</v>
      </c>
    </row>
    <row r="819" spans="1:5" x14ac:dyDescent="0.25">
      <c r="A819" s="109">
        <v>46079</v>
      </c>
      <c r="B819">
        <v>31</v>
      </c>
      <c r="C819" t="s">
        <v>174</v>
      </c>
      <c r="D819">
        <v>77</v>
      </c>
      <c r="E819">
        <v>84.7</v>
      </c>
    </row>
    <row r="820" spans="1:5" x14ac:dyDescent="0.25">
      <c r="A820" s="109">
        <v>46079</v>
      </c>
      <c r="B820">
        <v>31</v>
      </c>
      <c r="C820" t="s">
        <v>1143</v>
      </c>
      <c r="D820">
        <v>59</v>
      </c>
      <c r="E820">
        <v>64.900000000000006</v>
      </c>
    </row>
    <row r="821" spans="1:5" x14ac:dyDescent="0.25">
      <c r="A821" s="109">
        <v>46079</v>
      </c>
      <c r="B821">
        <v>31</v>
      </c>
      <c r="C821" t="s">
        <v>755</v>
      </c>
      <c r="D821">
        <v>68</v>
      </c>
      <c r="E821">
        <v>74.800000000000011</v>
      </c>
    </row>
    <row r="822" spans="1:5" x14ac:dyDescent="0.25">
      <c r="A822" s="109">
        <v>46079</v>
      </c>
      <c r="B822">
        <v>31</v>
      </c>
      <c r="C822" t="s">
        <v>162</v>
      </c>
      <c r="D822">
        <v>37</v>
      </c>
      <c r="E822">
        <v>40.700000000000003</v>
      </c>
    </row>
    <row r="823" spans="1:5" x14ac:dyDescent="0.25">
      <c r="A823" s="109">
        <v>46079</v>
      </c>
      <c r="B823">
        <v>31</v>
      </c>
      <c r="C823" t="s">
        <v>156</v>
      </c>
      <c r="D823">
        <v>40</v>
      </c>
      <c r="E823">
        <v>44</v>
      </c>
    </row>
    <row r="824" spans="1:5" x14ac:dyDescent="0.25">
      <c r="A824" s="109">
        <v>46080</v>
      </c>
      <c r="B824">
        <v>31</v>
      </c>
      <c r="C824" t="s">
        <v>174</v>
      </c>
      <c r="D824">
        <v>35</v>
      </c>
      <c r="E824">
        <v>38.5</v>
      </c>
    </row>
    <row r="825" spans="1:5" x14ac:dyDescent="0.25">
      <c r="A825" s="109">
        <v>46080</v>
      </c>
      <c r="B825">
        <v>31</v>
      </c>
      <c r="C825" t="s">
        <v>352</v>
      </c>
      <c r="D825">
        <v>45</v>
      </c>
      <c r="E825">
        <v>49.500000000000007</v>
      </c>
    </row>
    <row r="826" spans="1:5" x14ac:dyDescent="0.25">
      <c r="A826" s="109">
        <v>46080</v>
      </c>
      <c r="B826">
        <v>31</v>
      </c>
      <c r="C826" t="s">
        <v>159</v>
      </c>
      <c r="D826">
        <v>54</v>
      </c>
      <c r="E826">
        <v>59.400000000000006</v>
      </c>
    </row>
    <row r="827" spans="1:5" x14ac:dyDescent="0.25">
      <c r="A827" s="109">
        <v>46080</v>
      </c>
      <c r="B827">
        <v>31</v>
      </c>
      <c r="C827" t="s">
        <v>177</v>
      </c>
      <c r="D827">
        <v>23</v>
      </c>
      <c r="E827">
        <v>25.3</v>
      </c>
    </row>
    <row r="828" spans="1:5" x14ac:dyDescent="0.25">
      <c r="A828" s="109">
        <v>46080</v>
      </c>
      <c r="B828">
        <v>31</v>
      </c>
      <c r="C828" t="s">
        <v>163</v>
      </c>
      <c r="D828">
        <v>53</v>
      </c>
      <c r="E828">
        <v>58.300000000000004</v>
      </c>
    </row>
    <row r="829" spans="1:5" x14ac:dyDescent="0.25">
      <c r="A829" s="109">
        <v>46080</v>
      </c>
      <c r="B829">
        <v>31</v>
      </c>
      <c r="C829" t="s">
        <v>167</v>
      </c>
      <c r="D829">
        <v>53</v>
      </c>
      <c r="E829">
        <v>58.300000000000004</v>
      </c>
    </row>
    <row r="830" spans="1:5" x14ac:dyDescent="0.25">
      <c r="A830" s="109">
        <v>46080</v>
      </c>
      <c r="B830">
        <v>31</v>
      </c>
      <c r="C830" t="s">
        <v>172</v>
      </c>
      <c r="D830">
        <v>52</v>
      </c>
      <c r="E830">
        <v>57.2</v>
      </c>
    </row>
    <row r="831" spans="1:5" x14ac:dyDescent="0.25">
      <c r="A831" s="109">
        <v>46080</v>
      </c>
      <c r="B831">
        <v>31</v>
      </c>
      <c r="C831" t="s">
        <v>176</v>
      </c>
      <c r="D831">
        <v>44</v>
      </c>
      <c r="E831">
        <v>48.400000000000006</v>
      </c>
    </row>
    <row r="832" spans="1:5" x14ac:dyDescent="0.25">
      <c r="A832" s="109">
        <v>46080</v>
      </c>
      <c r="B832">
        <v>31</v>
      </c>
      <c r="C832" t="s">
        <v>757</v>
      </c>
      <c r="D832">
        <v>20</v>
      </c>
      <c r="E832">
        <v>22</v>
      </c>
    </row>
    <row r="833" spans="1:6" x14ac:dyDescent="0.25">
      <c r="A833" s="109">
        <v>46080</v>
      </c>
      <c r="B833">
        <v>31</v>
      </c>
      <c r="C833" t="s">
        <v>155</v>
      </c>
      <c r="D833">
        <v>30</v>
      </c>
      <c r="E833">
        <v>33</v>
      </c>
    </row>
    <row r="834" spans="1:6" x14ac:dyDescent="0.25">
      <c r="A834" s="109">
        <v>46080</v>
      </c>
      <c r="B834">
        <v>31</v>
      </c>
      <c r="C834" t="s">
        <v>131</v>
      </c>
      <c r="D834">
        <v>37</v>
      </c>
      <c r="E834">
        <v>40.700000000000003</v>
      </c>
    </row>
    <row r="835" spans="1:6" x14ac:dyDescent="0.25">
      <c r="A835" s="109">
        <v>46080</v>
      </c>
      <c r="B835">
        <v>31</v>
      </c>
      <c r="C835" t="s">
        <v>129</v>
      </c>
      <c r="D835">
        <v>49</v>
      </c>
      <c r="E835">
        <v>53.900000000000006</v>
      </c>
    </row>
    <row r="836" spans="1:6" x14ac:dyDescent="0.25">
      <c r="A836" s="109">
        <v>46081</v>
      </c>
      <c r="B836">
        <v>31</v>
      </c>
      <c r="C836" t="s">
        <v>177</v>
      </c>
      <c r="D836">
        <v>25</v>
      </c>
      <c r="E836">
        <v>27.500000000000004</v>
      </c>
    </row>
    <row r="837" spans="1:6" x14ac:dyDescent="0.25">
      <c r="A837" s="109">
        <v>46081</v>
      </c>
      <c r="B837">
        <v>31</v>
      </c>
      <c r="C837" t="s">
        <v>751</v>
      </c>
      <c r="D837">
        <v>46</v>
      </c>
      <c r="E837">
        <v>50.6</v>
      </c>
    </row>
    <row r="838" spans="1:6" x14ac:dyDescent="0.25">
      <c r="A838" s="109">
        <v>46081</v>
      </c>
      <c r="B838">
        <v>31</v>
      </c>
      <c r="C838" t="s">
        <v>1143</v>
      </c>
      <c r="D838">
        <v>46</v>
      </c>
      <c r="E838">
        <v>50.6</v>
      </c>
    </row>
    <row r="839" spans="1:6" x14ac:dyDescent="0.25">
      <c r="A839" s="109">
        <v>46081</v>
      </c>
      <c r="B839">
        <v>31</v>
      </c>
      <c r="C839" t="s">
        <v>753</v>
      </c>
      <c r="D839">
        <v>49</v>
      </c>
      <c r="E839">
        <v>53.900000000000006</v>
      </c>
    </row>
    <row r="840" spans="1:6" x14ac:dyDescent="0.25">
      <c r="A840" s="109">
        <v>46081</v>
      </c>
      <c r="B840">
        <v>31</v>
      </c>
      <c r="C840" t="s">
        <v>754</v>
      </c>
      <c r="D840">
        <v>27</v>
      </c>
      <c r="E840">
        <v>29.700000000000003</v>
      </c>
    </row>
    <row r="841" spans="1:6" x14ac:dyDescent="0.25">
      <c r="A841" s="109">
        <v>46081</v>
      </c>
      <c r="B841">
        <v>31</v>
      </c>
      <c r="C841" t="s">
        <v>1131</v>
      </c>
      <c r="D841">
        <v>26</v>
      </c>
      <c r="E841">
        <v>28.6</v>
      </c>
    </row>
    <row r="842" spans="1:6" x14ac:dyDescent="0.25">
      <c r="A842" s="109">
        <v>46081</v>
      </c>
      <c r="B842">
        <v>31</v>
      </c>
      <c r="C842" t="s">
        <v>131</v>
      </c>
      <c r="D842">
        <v>22</v>
      </c>
      <c r="E842">
        <v>24.200000000000003</v>
      </c>
    </row>
    <row r="843" spans="1:6" x14ac:dyDescent="0.25">
      <c r="A843" s="109">
        <v>46081</v>
      </c>
      <c r="B843">
        <v>31</v>
      </c>
      <c r="C843" t="s">
        <v>162</v>
      </c>
      <c r="D843">
        <v>38</v>
      </c>
      <c r="E843">
        <v>41.800000000000004</v>
      </c>
    </row>
    <row r="844" spans="1:6" x14ac:dyDescent="0.25">
      <c r="A844" s="109">
        <v>46081</v>
      </c>
      <c r="B844">
        <v>31</v>
      </c>
      <c r="C844" t="s">
        <v>144</v>
      </c>
      <c r="D844">
        <v>51</v>
      </c>
      <c r="E844">
        <v>56.1</v>
      </c>
    </row>
    <row r="845" spans="1:6" x14ac:dyDescent="0.25">
      <c r="A845" s="109">
        <v>46081</v>
      </c>
      <c r="B845">
        <v>31</v>
      </c>
      <c r="C845" t="s">
        <v>161</v>
      </c>
      <c r="D845">
        <v>41</v>
      </c>
      <c r="E845">
        <v>45.1</v>
      </c>
    </row>
    <row r="846" spans="1:6" x14ac:dyDescent="0.25">
      <c r="A846" s="109">
        <v>46081</v>
      </c>
      <c r="B846">
        <v>31</v>
      </c>
      <c r="C846" t="s">
        <v>180</v>
      </c>
      <c r="D846">
        <v>56</v>
      </c>
      <c r="E846">
        <v>61.600000000000009</v>
      </c>
    </row>
    <row r="847" spans="1:6" x14ac:dyDescent="0.25">
      <c r="A847" s="109">
        <v>46081</v>
      </c>
      <c r="B847">
        <v>31</v>
      </c>
      <c r="C847" t="s">
        <v>163</v>
      </c>
      <c r="D847">
        <v>27</v>
      </c>
      <c r="E847">
        <v>29.700000000000003</v>
      </c>
    </row>
    <row r="848" spans="1:6" x14ac:dyDescent="0.25">
      <c r="A848" s="109">
        <v>46057</v>
      </c>
      <c r="B848">
        <v>31</v>
      </c>
      <c r="C848" t="s">
        <v>1136</v>
      </c>
      <c r="D848">
        <v>265</v>
      </c>
      <c r="E848">
        <v>265</v>
      </c>
      <c r="F848" t="s">
        <v>780</v>
      </c>
    </row>
    <row r="849" spans="1:6" x14ac:dyDescent="0.25">
      <c r="A849" s="109">
        <v>46067</v>
      </c>
      <c r="B849">
        <v>31</v>
      </c>
      <c r="C849" t="s">
        <v>1137</v>
      </c>
      <c r="D849">
        <v>500</v>
      </c>
      <c r="E849">
        <v>500</v>
      </c>
      <c r="F849" t="s">
        <v>780</v>
      </c>
    </row>
    <row r="850" spans="1:6" x14ac:dyDescent="0.25">
      <c r="A850" s="109">
        <v>46069</v>
      </c>
      <c r="B850">
        <v>31</v>
      </c>
      <c r="C850" t="s">
        <v>1138</v>
      </c>
      <c r="D850">
        <v>500</v>
      </c>
      <c r="E850">
        <v>500</v>
      </c>
      <c r="F850" t="s">
        <v>780</v>
      </c>
    </row>
    <row r="851" spans="1:6" x14ac:dyDescent="0.25">
      <c r="A851" s="109">
        <v>46069</v>
      </c>
      <c r="B851">
        <v>31</v>
      </c>
      <c r="C851" t="s">
        <v>1139</v>
      </c>
      <c r="D851">
        <v>400</v>
      </c>
      <c r="E851">
        <v>400</v>
      </c>
      <c r="F851" t="s">
        <v>780</v>
      </c>
    </row>
    <row r="852" spans="1:6" x14ac:dyDescent="0.25">
      <c r="A852" s="109">
        <v>46069</v>
      </c>
      <c r="B852">
        <v>31</v>
      </c>
      <c r="C852" t="s">
        <v>170</v>
      </c>
      <c r="D852">
        <v>500</v>
      </c>
      <c r="E852">
        <v>500</v>
      </c>
      <c r="F852" t="s">
        <v>780</v>
      </c>
    </row>
    <row r="853" spans="1:6" x14ac:dyDescent="0.25">
      <c r="A853" s="109">
        <v>46073</v>
      </c>
      <c r="B853">
        <v>31</v>
      </c>
      <c r="C853" t="s">
        <v>648</v>
      </c>
      <c r="D853">
        <v>300</v>
      </c>
      <c r="E853">
        <v>300</v>
      </c>
      <c r="F853" t="s">
        <v>780</v>
      </c>
    </row>
    <row r="854" spans="1:6" x14ac:dyDescent="0.25">
      <c r="A854" s="109">
        <v>46076</v>
      </c>
      <c r="B854">
        <v>31</v>
      </c>
      <c r="C854" t="s">
        <v>158</v>
      </c>
      <c r="D854">
        <v>500</v>
      </c>
      <c r="E854">
        <v>500</v>
      </c>
      <c r="F854" t="s">
        <v>780</v>
      </c>
    </row>
    <row r="855" spans="1:6" x14ac:dyDescent="0.25">
      <c r="A855" s="109">
        <v>46081</v>
      </c>
      <c r="B855">
        <v>31</v>
      </c>
      <c r="C855" t="s">
        <v>1140</v>
      </c>
      <c r="D855">
        <v>500</v>
      </c>
      <c r="E855">
        <v>500</v>
      </c>
      <c r="F855" t="s">
        <v>780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2AAB-7FDA-4332-B2B3-45345956D28A}">
  <sheetPr codeName="Sheet20"/>
  <dimension ref="A1:K829"/>
  <sheetViews>
    <sheetView workbookViewId="0">
      <pane ySplit="1" topLeftCell="A798" activePane="bottomLeft" state="frozen"/>
      <selection activeCell="O1" sqref="O1"/>
      <selection pane="bottomLeft" activeCell="B1" sqref="B1"/>
    </sheetView>
  </sheetViews>
  <sheetFormatPr defaultRowHeight="15" zeroHeight="1" x14ac:dyDescent="0.25"/>
  <cols>
    <col min="8" max="8" width="9.85546875" bestFit="1" customWidth="1"/>
    <col min="11" max="11" width="9.140625" style="19"/>
    <col min="12" max="12" width="14.7109375" bestFit="1" customWidth="1"/>
  </cols>
  <sheetData>
    <row r="1" spans="1:11" x14ac:dyDescent="0.25">
      <c r="A1" t="s">
        <v>69</v>
      </c>
      <c r="B1" t="s">
        <v>187</v>
      </c>
      <c r="C1" t="s">
        <v>84</v>
      </c>
      <c r="D1" t="s">
        <v>76</v>
      </c>
      <c r="E1" t="s">
        <v>82</v>
      </c>
      <c r="F1" t="s">
        <v>86</v>
      </c>
      <c r="G1" t="s">
        <v>85</v>
      </c>
      <c r="H1" t="s">
        <v>603</v>
      </c>
      <c r="I1" t="s">
        <v>344</v>
      </c>
      <c r="J1" t="s">
        <v>600</v>
      </c>
      <c r="K1" s="19" t="s">
        <v>609</v>
      </c>
    </row>
    <row r="2" spans="1:11" x14ac:dyDescent="0.25">
      <c r="A2" cm="1">
        <f t="array" ref="A2:A829">_xlfn.SEQUENCE(ROWS(_xlfn.ANCHORARRAY(B2)))</f>
        <v>1</v>
      </c>
      <c r="B2" cm="1">
        <f t="array" ref="B2:H829">_xlfn._xlws.SORT(_xlfn.LET(_xlpm.getData,_xlfn.LAMBDA(_xlpm.type,_xlfn.LET(
  _xlpm.t, TRIM(CLEAN(_xlpm.type)),
  _xlpm.quantityCol, _xlfn.SWITCH(_xlpm.t,
    "single",  log_daily_records!AM:AM,
    "double",  log_daily_records!AN:AN,
    "hour",    log_daily_records!AO:AO
  ),
  _xlpm.cond, (IFERROR(_xlpm.quantityCol,"")&lt;&gt;"") * (IFERROR(_xlpm.quantityCol,0)&lt;&gt;0),
  _xlfn.IFNA(
    _xlfn.DROP(_xlfn._xlws.FILTER(_xlfn.HSTACK(log_daily_records!B:C, log_daily_records!E:F, log_daily_records!D:D, _xlpm.quantityCol, ""),_xlpm.cond),1),
    _xlpm.t
  )
)),_xlfn.VSTACK(_xlpm.getData("single"),_xlpm.getData("double"),_xlpm.getData("hour"))),{4,3,2,1})</f>
        <v>2025</v>
      </c>
      <c r="C2">
        <v>1</v>
      </c>
      <c r="D2">
        <v>30</v>
      </c>
      <c r="E2">
        <v>1</v>
      </c>
      <c r="F2" t="str">
        <v>99AS882</v>
      </c>
      <c r="G2">
        <v>10</v>
      </c>
      <c r="H2" t="str">
        <v>single</v>
      </c>
      <c r="J2" cm="1">
        <f t="array" ref="J2:J829">_xlfn.MAKEARRAY(ROWS(_xlfn.ANCHORARRAY(B2)),1,_xlfn.LAMBDA(_xlpm.r,_xlpm.c,_xlfn.XLOOKUP(1,(_xlfn._TRO_TRAILING(log_prices!C:C)=INDEX(_xlfn.ANCHORARRAY(B2),_xlpm.r,3))*(_xlfn._TRO_TRAILING(log_prices!G:G)=INDEX(_xlfn.ANCHORARRAY(B2),_xlpm.r,7))*(_xlfn._TRO_TRAILING(log_prices!M:M)=INDEX(_xlfn.ANCHORARRAY(B2),_xlpm.r,5))*(_xlfn._TRO_TRAILING(log_prices!N:N)&lt;=INDEX(_xlfn.ANCHORARRAY(K2),_xlpm.r)),_xlfn._TRO_TRAILING(log_prices!E:E),,0,-1)))</f>
        <v>1</v>
      </c>
      <c r="K2" s="19" cm="1">
        <f t="array" ref="K2:K829">DATE(INDEX(_xlfn.ANCHORARRAY(B2),,1),INDEX(_xlfn.ANCHORARRAY(B2),,2),1)</f>
        <v>45658</v>
      </c>
    </row>
    <row r="3" spans="1:11" x14ac:dyDescent="0.25">
      <c r="A3">
        <v>2</v>
      </c>
      <c r="B3">
        <v>2025</v>
      </c>
      <c r="C3">
        <v>1</v>
      </c>
      <c r="D3">
        <v>31</v>
      </c>
      <c r="E3">
        <v>1</v>
      </c>
      <c r="F3" t="str">
        <v>99LT168</v>
      </c>
      <c r="G3">
        <v>8</v>
      </c>
      <c r="H3" t="str">
        <v>single</v>
      </c>
      <c r="J3">
        <v>1</v>
      </c>
      <c r="K3" s="19">
        <v>45658</v>
      </c>
    </row>
    <row r="4" spans="1:11" x14ac:dyDescent="0.25">
      <c r="A4">
        <v>3</v>
      </c>
      <c r="B4">
        <v>2025</v>
      </c>
      <c r="C4">
        <v>1</v>
      </c>
      <c r="D4">
        <v>31</v>
      </c>
      <c r="E4">
        <v>1</v>
      </c>
      <c r="F4" t="str">
        <v>99HZ395</v>
      </c>
      <c r="G4">
        <v>3</v>
      </c>
      <c r="H4" t="str">
        <v>single</v>
      </c>
      <c r="J4">
        <v>3</v>
      </c>
      <c r="K4" s="19">
        <v>45658</v>
      </c>
    </row>
    <row r="5" spans="1:11" x14ac:dyDescent="0.25">
      <c r="A5">
        <v>4</v>
      </c>
      <c r="B5">
        <v>2025</v>
      </c>
      <c r="C5">
        <v>2</v>
      </c>
      <c r="D5">
        <v>31</v>
      </c>
      <c r="E5">
        <v>1</v>
      </c>
      <c r="F5" t="str">
        <v>99LT168</v>
      </c>
      <c r="G5">
        <v>28</v>
      </c>
      <c r="H5" t="str">
        <v>single</v>
      </c>
      <c r="J5">
        <v>1</v>
      </c>
      <c r="K5" s="19">
        <v>45689</v>
      </c>
    </row>
    <row r="6" spans="1:11" x14ac:dyDescent="0.25">
      <c r="A6">
        <v>5</v>
      </c>
      <c r="B6">
        <v>2025</v>
      </c>
      <c r="C6">
        <v>2</v>
      </c>
      <c r="D6">
        <v>31</v>
      </c>
      <c r="E6">
        <v>1</v>
      </c>
      <c r="F6" t="str">
        <v>99HZ395</v>
      </c>
      <c r="G6">
        <v>28</v>
      </c>
      <c r="H6" t="str">
        <v>single</v>
      </c>
      <c r="J6">
        <v>3</v>
      </c>
      <c r="K6" s="19">
        <v>45689</v>
      </c>
    </row>
    <row r="7" spans="1:11" x14ac:dyDescent="0.25">
      <c r="A7">
        <v>6</v>
      </c>
      <c r="B7">
        <v>2025</v>
      </c>
      <c r="C7">
        <v>2</v>
      </c>
      <c r="D7">
        <v>31</v>
      </c>
      <c r="E7">
        <v>1</v>
      </c>
      <c r="F7" t="str">
        <v>99FB123</v>
      </c>
      <c r="G7">
        <v>6</v>
      </c>
      <c r="H7" t="str">
        <v>single</v>
      </c>
      <c r="J7">
        <v>9</v>
      </c>
      <c r="K7" s="19">
        <v>45689</v>
      </c>
    </row>
    <row r="8" spans="1:11" x14ac:dyDescent="0.25">
      <c r="A8">
        <v>7</v>
      </c>
      <c r="B8">
        <v>2025</v>
      </c>
      <c r="C8">
        <v>2</v>
      </c>
      <c r="D8">
        <v>31</v>
      </c>
      <c r="E8">
        <v>1</v>
      </c>
      <c r="F8" t="str">
        <v>90OV187</v>
      </c>
      <c r="G8">
        <v>17</v>
      </c>
      <c r="H8" t="str">
        <v>single</v>
      </c>
      <c r="J8">
        <v>5</v>
      </c>
      <c r="K8" s="19">
        <v>45689</v>
      </c>
    </row>
    <row r="9" spans="1:11" x14ac:dyDescent="0.25">
      <c r="A9">
        <v>8</v>
      </c>
      <c r="B9">
        <v>2025</v>
      </c>
      <c r="C9">
        <v>2</v>
      </c>
      <c r="D9">
        <v>31</v>
      </c>
      <c r="E9">
        <v>1</v>
      </c>
      <c r="F9" t="str">
        <v>77UG347</v>
      </c>
      <c r="G9">
        <v>6</v>
      </c>
      <c r="H9" t="str">
        <v>single</v>
      </c>
      <c r="J9">
        <v>7</v>
      </c>
      <c r="K9" s="19">
        <v>45689</v>
      </c>
    </row>
    <row r="10" spans="1:11" x14ac:dyDescent="0.25">
      <c r="A10">
        <v>9</v>
      </c>
      <c r="B10">
        <v>2025</v>
      </c>
      <c r="C10">
        <v>2</v>
      </c>
      <c r="D10">
        <v>31</v>
      </c>
      <c r="E10">
        <v>1</v>
      </c>
      <c r="F10" t="str">
        <v>90ZP408</v>
      </c>
      <c r="G10">
        <v>17</v>
      </c>
      <c r="H10" t="str">
        <v>single</v>
      </c>
      <c r="J10">
        <v>11</v>
      </c>
      <c r="K10" s="19">
        <v>45689</v>
      </c>
    </row>
    <row r="11" spans="1:11" x14ac:dyDescent="0.25">
      <c r="A11">
        <v>10</v>
      </c>
      <c r="B11">
        <v>2025</v>
      </c>
      <c r="C11">
        <v>2</v>
      </c>
      <c r="D11">
        <v>31</v>
      </c>
      <c r="E11">
        <v>1</v>
      </c>
      <c r="F11" t="str">
        <v>66CC029</v>
      </c>
      <c r="G11">
        <v>19</v>
      </c>
      <c r="H11" t="str">
        <v>single</v>
      </c>
      <c r="J11">
        <v>15</v>
      </c>
      <c r="K11" s="19">
        <v>45689</v>
      </c>
    </row>
    <row r="12" spans="1:11" x14ac:dyDescent="0.25">
      <c r="A12">
        <v>11</v>
      </c>
      <c r="B12">
        <v>2025</v>
      </c>
      <c r="C12">
        <v>2</v>
      </c>
      <c r="D12">
        <v>31</v>
      </c>
      <c r="E12">
        <v>1</v>
      </c>
      <c r="F12" t="str">
        <v>77QK725</v>
      </c>
      <c r="G12">
        <v>7</v>
      </c>
      <c r="H12" t="str">
        <v>single</v>
      </c>
      <c r="J12">
        <v>17</v>
      </c>
      <c r="K12" s="19">
        <v>45689</v>
      </c>
    </row>
    <row r="13" spans="1:11" x14ac:dyDescent="0.25">
      <c r="A13">
        <v>12</v>
      </c>
      <c r="B13">
        <v>2025</v>
      </c>
      <c r="C13">
        <v>2</v>
      </c>
      <c r="D13">
        <v>31</v>
      </c>
      <c r="E13">
        <v>1</v>
      </c>
      <c r="F13" t="str">
        <v>77AT386</v>
      </c>
      <c r="G13">
        <v>9</v>
      </c>
      <c r="H13" t="str">
        <v>single</v>
      </c>
      <c r="J13">
        <v>13</v>
      </c>
      <c r="K13" s="19">
        <v>45689</v>
      </c>
    </row>
    <row r="14" spans="1:11" x14ac:dyDescent="0.25">
      <c r="A14">
        <v>13</v>
      </c>
      <c r="B14">
        <v>2025</v>
      </c>
      <c r="C14">
        <v>2</v>
      </c>
      <c r="D14">
        <v>31</v>
      </c>
      <c r="E14">
        <v>1</v>
      </c>
      <c r="F14" t="str">
        <v>99LT168</v>
      </c>
      <c r="G14">
        <v>1.9999999999999964</v>
      </c>
      <c r="H14" t="str">
        <v>hour</v>
      </c>
      <c r="J14">
        <v>2</v>
      </c>
      <c r="K14" s="19">
        <v>45689</v>
      </c>
    </row>
    <row r="15" spans="1:11" x14ac:dyDescent="0.25">
      <c r="A15">
        <v>14</v>
      </c>
      <c r="B15">
        <v>2025</v>
      </c>
      <c r="C15">
        <v>2</v>
      </c>
      <c r="D15">
        <v>31</v>
      </c>
      <c r="E15">
        <v>1</v>
      </c>
      <c r="F15" t="str">
        <v>90ZP408</v>
      </c>
      <c r="G15">
        <v>16.999999999999972</v>
      </c>
      <c r="H15" t="str">
        <v>hour</v>
      </c>
      <c r="J15">
        <v>12</v>
      </c>
      <c r="K15" s="19">
        <v>45689</v>
      </c>
    </row>
    <row r="16" spans="1:11" x14ac:dyDescent="0.25">
      <c r="A16">
        <v>15</v>
      </c>
      <c r="B16">
        <v>2025</v>
      </c>
      <c r="C16">
        <v>2</v>
      </c>
      <c r="D16">
        <v>31</v>
      </c>
      <c r="E16">
        <v>1</v>
      </c>
      <c r="F16" t="str">
        <v>66CC029</v>
      </c>
      <c r="G16">
        <v>18.999999999999972</v>
      </c>
      <c r="H16" t="str">
        <v>hour</v>
      </c>
      <c r="J16">
        <v>16</v>
      </c>
      <c r="K16" s="19">
        <v>45689</v>
      </c>
    </row>
    <row r="17" spans="1:11" x14ac:dyDescent="0.25">
      <c r="A17">
        <v>16</v>
      </c>
      <c r="B17">
        <v>2025</v>
      </c>
      <c r="C17">
        <v>5</v>
      </c>
      <c r="D17">
        <v>46</v>
      </c>
      <c r="E17">
        <v>1</v>
      </c>
      <c r="F17" t="str">
        <v>110FY523</v>
      </c>
      <c r="G17">
        <v>8</v>
      </c>
      <c r="H17" t="str">
        <v>single</v>
      </c>
      <c r="J17">
        <v>1</v>
      </c>
      <c r="K17" s="19">
        <v>45778</v>
      </c>
    </row>
    <row r="18" spans="1:11" x14ac:dyDescent="0.25">
      <c r="A18">
        <v>17</v>
      </c>
      <c r="B18">
        <v>2025</v>
      </c>
      <c r="C18">
        <v>6</v>
      </c>
      <c r="D18">
        <v>50</v>
      </c>
      <c r="E18">
        <v>1</v>
      </c>
      <c r="F18" t="str">
        <v>61AB256</v>
      </c>
      <c r="G18">
        <v>24.5</v>
      </c>
      <c r="H18" t="str">
        <v>single</v>
      </c>
      <c r="J18">
        <v>1</v>
      </c>
      <c r="K18" s="19">
        <v>45809</v>
      </c>
    </row>
    <row r="19" spans="1:11" x14ac:dyDescent="0.25">
      <c r="A19">
        <v>18</v>
      </c>
      <c r="B19">
        <v>2025</v>
      </c>
      <c r="C19">
        <v>7</v>
      </c>
      <c r="D19">
        <v>51</v>
      </c>
      <c r="E19">
        <v>1</v>
      </c>
      <c r="F19" t="str">
        <v>10BA194</v>
      </c>
      <c r="G19">
        <v>16</v>
      </c>
      <c r="H19" t="str">
        <v>single</v>
      </c>
      <c r="J19">
        <v>1</v>
      </c>
      <c r="K19" s="19">
        <v>45839</v>
      </c>
    </row>
    <row r="20" spans="1:11" x14ac:dyDescent="0.25">
      <c r="A20">
        <v>19</v>
      </c>
      <c r="B20">
        <v>2025</v>
      </c>
      <c r="C20">
        <v>7</v>
      </c>
      <c r="D20">
        <v>51</v>
      </c>
      <c r="E20">
        <v>1</v>
      </c>
      <c r="F20" t="str">
        <v>10BA194</v>
      </c>
      <c r="G20">
        <v>3.9999999999999929</v>
      </c>
      <c r="H20" t="str">
        <v>hour</v>
      </c>
      <c r="J20">
        <v>2</v>
      </c>
      <c r="K20" s="19">
        <v>45839</v>
      </c>
    </row>
    <row r="21" spans="1:11" x14ac:dyDescent="0.25">
      <c r="A21">
        <v>20</v>
      </c>
      <c r="B21">
        <v>2025</v>
      </c>
      <c r="C21">
        <v>4</v>
      </c>
      <c r="D21">
        <v>52</v>
      </c>
      <c r="E21">
        <v>1</v>
      </c>
      <c r="F21" t="str">
        <v>10AC750</v>
      </c>
      <c r="G21">
        <v>16</v>
      </c>
      <c r="H21" t="str">
        <v>single</v>
      </c>
      <c r="J21">
        <v>1</v>
      </c>
      <c r="K21" s="19">
        <v>45748</v>
      </c>
    </row>
    <row r="22" spans="1:11" x14ac:dyDescent="0.25">
      <c r="A22">
        <v>21</v>
      </c>
      <c r="B22">
        <v>2025</v>
      </c>
      <c r="C22">
        <v>4</v>
      </c>
      <c r="D22">
        <v>52</v>
      </c>
      <c r="E22">
        <v>1</v>
      </c>
      <c r="F22" t="str">
        <v>10AC750</v>
      </c>
      <c r="G22">
        <v>6.9999999999999982</v>
      </c>
      <c r="H22" t="str">
        <v>hour</v>
      </c>
      <c r="J22">
        <v>2</v>
      </c>
      <c r="K22" s="19">
        <v>45748</v>
      </c>
    </row>
    <row r="23" spans="1:11" x14ac:dyDescent="0.25">
      <c r="A23">
        <v>22</v>
      </c>
      <c r="B23">
        <v>2025</v>
      </c>
      <c r="C23">
        <v>5</v>
      </c>
      <c r="D23">
        <v>65</v>
      </c>
      <c r="E23">
        <v>1</v>
      </c>
      <c r="F23" t="str">
        <v>01BA176</v>
      </c>
      <c r="G23">
        <v>25</v>
      </c>
      <c r="H23" t="str">
        <v>single</v>
      </c>
      <c r="J23">
        <v>1</v>
      </c>
      <c r="K23" s="19">
        <v>45778</v>
      </c>
    </row>
    <row r="24" spans="1:11" x14ac:dyDescent="0.25">
      <c r="A24">
        <v>23</v>
      </c>
      <c r="B24">
        <v>2025</v>
      </c>
      <c r="C24">
        <v>5</v>
      </c>
      <c r="D24">
        <v>65</v>
      </c>
      <c r="E24">
        <v>1</v>
      </c>
      <c r="F24" t="str">
        <v>10BD252</v>
      </c>
      <c r="G24">
        <v>22</v>
      </c>
      <c r="H24" t="str">
        <v>single</v>
      </c>
      <c r="J24">
        <v>2</v>
      </c>
      <c r="K24" s="19">
        <v>45778</v>
      </c>
    </row>
    <row r="25" spans="1:11" x14ac:dyDescent="0.25">
      <c r="A25">
        <v>24</v>
      </c>
      <c r="B25">
        <v>2025</v>
      </c>
      <c r="C25">
        <v>6</v>
      </c>
      <c r="D25">
        <v>85</v>
      </c>
      <c r="E25">
        <v>1</v>
      </c>
      <c r="F25" t="str">
        <v>77SN951</v>
      </c>
      <c r="G25">
        <v>15</v>
      </c>
      <c r="H25" t="str">
        <v>single</v>
      </c>
      <c r="J25">
        <v>1</v>
      </c>
      <c r="K25" s="19">
        <v>45809</v>
      </c>
    </row>
    <row r="26" spans="1:11" x14ac:dyDescent="0.25">
      <c r="A26">
        <v>25</v>
      </c>
      <c r="B26">
        <v>2025</v>
      </c>
      <c r="C26">
        <v>6</v>
      </c>
      <c r="D26">
        <v>85</v>
      </c>
      <c r="E26">
        <v>1</v>
      </c>
      <c r="F26" t="str">
        <v>77SN951</v>
      </c>
      <c r="G26">
        <v>25.999999999999993</v>
      </c>
      <c r="H26" t="str">
        <v>hour</v>
      </c>
      <c r="J26">
        <v>2</v>
      </c>
      <c r="K26" s="19">
        <v>45809</v>
      </c>
    </row>
    <row r="27" spans="1:11" x14ac:dyDescent="0.25">
      <c r="A27">
        <v>26</v>
      </c>
      <c r="B27">
        <v>2025</v>
      </c>
      <c r="C27">
        <v>6</v>
      </c>
      <c r="D27">
        <v>94</v>
      </c>
      <c r="E27">
        <v>1</v>
      </c>
      <c r="F27" t="str">
        <v>54BM823</v>
      </c>
      <c r="G27">
        <v>28</v>
      </c>
      <c r="H27" t="str">
        <v>single</v>
      </c>
      <c r="J27">
        <v>1</v>
      </c>
      <c r="K27" s="19">
        <v>45809</v>
      </c>
    </row>
    <row r="28" spans="1:11" x14ac:dyDescent="0.25">
      <c r="A28">
        <v>27</v>
      </c>
      <c r="B28">
        <v>2025</v>
      </c>
      <c r="C28">
        <v>7</v>
      </c>
      <c r="D28">
        <v>95</v>
      </c>
      <c r="E28">
        <v>1</v>
      </c>
      <c r="F28" t="str">
        <v>54BA209</v>
      </c>
      <c r="G28">
        <v>16.5</v>
      </c>
      <c r="H28" t="str">
        <v>single</v>
      </c>
      <c r="J28">
        <v>1</v>
      </c>
      <c r="K28" s="19">
        <v>45839</v>
      </c>
    </row>
    <row r="29" spans="1:11" x14ac:dyDescent="0.25">
      <c r="A29">
        <v>28</v>
      </c>
      <c r="B29">
        <v>2025</v>
      </c>
      <c r="C29">
        <v>7</v>
      </c>
      <c r="D29">
        <v>98</v>
      </c>
      <c r="E29">
        <v>1</v>
      </c>
      <c r="F29" t="str">
        <v>50BD416</v>
      </c>
      <c r="G29">
        <v>12</v>
      </c>
      <c r="H29" t="str">
        <v>single</v>
      </c>
      <c r="J29">
        <v>1</v>
      </c>
      <c r="K29" s="19">
        <v>45839</v>
      </c>
    </row>
    <row r="30" spans="1:11" x14ac:dyDescent="0.25">
      <c r="A30">
        <v>29</v>
      </c>
      <c r="B30">
        <v>2025</v>
      </c>
      <c r="C30">
        <v>7</v>
      </c>
      <c r="D30">
        <v>99</v>
      </c>
      <c r="E30">
        <v>1</v>
      </c>
      <c r="F30" t="str">
        <v>50BX301</v>
      </c>
      <c r="G30">
        <v>10</v>
      </c>
      <c r="H30" t="str">
        <v>single</v>
      </c>
      <c r="J30">
        <v>1</v>
      </c>
      <c r="K30" s="19">
        <v>45839</v>
      </c>
    </row>
    <row r="31" spans="1:11" x14ac:dyDescent="0.25">
      <c r="A31">
        <v>30</v>
      </c>
      <c r="B31">
        <v>2025</v>
      </c>
      <c r="C31">
        <v>7</v>
      </c>
      <c r="D31">
        <v>100</v>
      </c>
      <c r="E31">
        <v>1</v>
      </c>
      <c r="F31" t="str">
        <v>22AB273</v>
      </c>
      <c r="G31">
        <v>9</v>
      </c>
      <c r="H31" t="str">
        <v>single</v>
      </c>
      <c r="J31">
        <v>1</v>
      </c>
      <c r="K31" s="19">
        <v>45839</v>
      </c>
    </row>
    <row r="32" spans="1:11" x14ac:dyDescent="0.25">
      <c r="A32">
        <v>31</v>
      </c>
      <c r="B32">
        <v>2025</v>
      </c>
      <c r="C32">
        <v>8</v>
      </c>
      <c r="D32">
        <v>102</v>
      </c>
      <c r="E32">
        <v>1</v>
      </c>
      <c r="F32" t="str">
        <v>99HQ687</v>
      </c>
      <c r="G32">
        <v>5</v>
      </c>
      <c r="H32" t="str">
        <v>single</v>
      </c>
      <c r="J32">
        <v>1</v>
      </c>
      <c r="K32" s="19">
        <v>45870</v>
      </c>
    </row>
    <row r="33" spans="1:11" x14ac:dyDescent="0.25">
      <c r="A33">
        <v>32</v>
      </c>
      <c r="B33">
        <v>2025</v>
      </c>
      <c r="C33">
        <v>8</v>
      </c>
      <c r="D33">
        <v>110</v>
      </c>
      <c r="E33">
        <v>1</v>
      </c>
      <c r="F33" t="str">
        <v>99XC106</v>
      </c>
      <c r="G33">
        <v>6</v>
      </c>
      <c r="H33" t="str">
        <v>single</v>
      </c>
      <c r="J33">
        <v>1</v>
      </c>
      <c r="K33" s="19">
        <v>45870</v>
      </c>
    </row>
    <row r="34" spans="1:11" x14ac:dyDescent="0.25">
      <c r="A34">
        <v>33</v>
      </c>
      <c r="B34">
        <v>2025</v>
      </c>
      <c r="C34">
        <v>10</v>
      </c>
      <c r="D34">
        <v>121</v>
      </c>
      <c r="E34">
        <v>1</v>
      </c>
      <c r="F34" t="str">
        <v>11BC843</v>
      </c>
      <c r="G34">
        <v>28</v>
      </c>
      <c r="H34" t="str">
        <v>single</v>
      </c>
      <c r="J34">
        <v>1</v>
      </c>
      <c r="K34" s="19">
        <v>45931</v>
      </c>
    </row>
    <row r="35" spans="1:11" x14ac:dyDescent="0.25">
      <c r="A35">
        <v>34</v>
      </c>
      <c r="B35">
        <v>2025</v>
      </c>
      <c r="C35">
        <v>10</v>
      </c>
      <c r="D35">
        <v>121</v>
      </c>
      <c r="E35">
        <v>1</v>
      </c>
      <c r="F35" t="str">
        <v>11BC843</v>
      </c>
      <c r="G35">
        <v>8</v>
      </c>
      <c r="H35" t="str">
        <v>hour</v>
      </c>
      <c r="J35">
        <v>2</v>
      </c>
      <c r="K35" s="19">
        <v>45931</v>
      </c>
    </row>
    <row r="36" spans="1:11" x14ac:dyDescent="0.25">
      <c r="A36">
        <v>35</v>
      </c>
      <c r="B36">
        <v>2025</v>
      </c>
      <c r="C36">
        <v>11</v>
      </c>
      <c r="D36">
        <v>141</v>
      </c>
      <c r="E36">
        <v>1</v>
      </c>
      <c r="F36" t="str">
        <v>10V288</v>
      </c>
      <c r="G36">
        <v>24</v>
      </c>
      <c r="H36" t="str">
        <v>single</v>
      </c>
      <c r="J36">
        <v>1</v>
      </c>
      <c r="K36" s="19">
        <v>45962</v>
      </c>
    </row>
    <row r="37" spans="1:11" x14ac:dyDescent="0.25">
      <c r="A37">
        <v>36</v>
      </c>
      <c r="B37">
        <v>2025</v>
      </c>
      <c r="C37">
        <v>11</v>
      </c>
      <c r="D37">
        <v>141</v>
      </c>
      <c r="E37">
        <v>1</v>
      </c>
      <c r="F37" t="str">
        <v>10V288</v>
      </c>
      <c r="G37">
        <v>24</v>
      </c>
      <c r="H37" t="str">
        <v>hour</v>
      </c>
      <c r="J37">
        <v>2</v>
      </c>
      <c r="K37" s="19">
        <v>45962</v>
      </c>
    </row>
    <row r="38" spans="1:11" x14ac:dyDescent="0.25">
      <c r="A38">
        <v>37</v>
      </c>
      <c r="B38">
        <v>2026</v>
      </c>
      <c r="C38">
        <v>1</v>
      </c>
      <c r="D38">
        <v>163</v>
      </c>
      <c r="E38">
        <v>1</v>
      </c>
      <c r="F38" t="str">
        <v>110FA930</v>
      </c>
      <c r="G38">
        <v>14</v>
      </c>
      <c r="H38" t="str">
        <v>single</v>
      </c>
      <c r="J38">
        <v>1</v>
      </c>
      <c r="K38" s="19">
        <v>46023</v>
      </c>
    </row>
    <row r="39" spans="1:11" x14ac:dyDescent="0.25">
      <c r="A39">
        <v>38</v>
      </c>
      <c r="B39">
        <v>2026</v>
      </c>
      <c r="C39">
        <v>1</v>
      </c>
      <c r="D39">
        <v>164</v>
      </c>
      <c r="E39">
        <v>1</v>
      </c>
      <c r="F39" t="str">
        <v>77DN323</v>
      </c>
      <c r="G39">
        <v>14</v>
      </c>
      <c r="H39" t="str">
        <v>single</v>
      </c>
      <c r="J39">
        <v>1</v>
      </c>
      <c r="K39" s="19">
        <v>46023</v>
      </c>
    </row>
    <row r="40" spans="1:11" x14ac:dyDescent="0.25">
      <c r="A40">
        <v>39</v>
      </c>
      <c r="B40">
        <v>2026</v>
      </c>
      <c r="C40">
        <v>1</v>
      </c>
      <c r="D40">
        <v>164</v>
      </c>
      <c r="E40">
        <v>1</v>
      </c>
      <c r="F40" t="str">
        <v>77DN323</v>
      </c>
      <c r="G40">
        <v>35.000000000000007</v>
      </c>
      <c r="H40" t="str">
        <v>hour</v>
      </c>
      <c r="J40">
        <v>2</v>
      </c>
      <c r="K40" s="19">
        <v>46023</v>
      </c>
    </row>
    <row r="41" spans="1:11" x14ac:dyDescent="0.25">
      <c r="A41">
        <v>40</v>
      </c>
      <c r="B41">
        <v>2026</v>
      </c>
      <c r="C41">
        <v>1</v>
      </c>
      <c r="D41">
        <v>172</v>
      </c>
      <c r="E41">
        <v>1</v>
      </c>
      <c r="F41" t="str">
        <v>22T727</v>
      </c>
      <c r="G41">
        <v>19</v>
      </c>
      <c r="H41" t="str">
        <v>single</v>
      </c>
      <c r="J41">
        <v>1</v>
      </c>
      <c r="K41" s="19">
        <v>46023</v>
      </c>
    </row>
    <row r="42" spans="1:11" x14ac:dyDescent="0.25">
      <c r="A42">
        <v>41</v>
      </c>
      <c r="B42">
        <v>2026</v>
      </c>
      <c r="C42">
        <v>2</v>
      </c>
      <c r="D42">
        <v>173</v>
      </c>
      <c r="E42">
        <v>1</v>
      </c>
      <c r="F42" t="str">
        <v>99BQ963</v>
      </c>
      <c r="G42">
        <v>29</v>
      </c>
      <c r="H42" t="str">
        <v>single</v>
      </c>
      <c r="J42">
        <v>1</v>
      </c>
      <c r="K42" s="19">
        <v>46054</v>
      </c>
    </row>
    <row r="43" spans="1:11" x14ac:dyDescent="0.25">
      <c r="A43">
        <v>42</v>
      </c>
      <c r="B43">
        <v>2026</v>
      </c>
      <c r="C43">
        <v>2</v>
      </c>
      <c r="D43">
        <v>179</v>
      </c>
      <c r="E43">
        <v>1</v>
      </c>
      <c r="F43" t="str">
        <v>10O046</v>
      </c>
      <c r="G43">
        <v>4</v>
      </c>
      <c r="H43" t="str">
        <v>single</v>
      </c>
      <c r="J43">
        <v>1</v>
      </c>
      <c r="K43" s="19">
        <v>46054</v>
      </c>
    </row>
    <row r="44" spans="1:11" x14ac:dyDescent="0.25">
      <c r="A44">
        <v>43</v>
      </c>
      <c r="B44">
        <v>2026</v>
      </c>
      <c r="C44">
        <v>3</v>
      </c>
      <c r="D44">
        <v>179</v>
      </c>
      <c r="E44">
        <v>1</v>
      </c>
      <c r="F44" t="str">
        <v>10O046</v>
      </c>
      <c r="G44">
        <v>19</v>
      </c>
      <c r="H44" t="str">
        <v>single</v>
      </c>
      <c r="J44">
        <v>1</v>
      </c>
      <c r="K44" s="19">
        <v>46082</v>
      </c>
    </row>
    <row r="45" spans="1:11" x14ac:dyDescent="0.25">
      <c r="A45">
        <v>44</v>
      </c>
      <c r="B45">
        <v>2026</v>
      </c>
      <c r="C45">
        <v>2</v>
      </c>
      <c r="D45">
        <v>182</v>
      </c>
      <c r="E45">
        <v>1</v>
      </c>
      <c r="F45" t="str">
        <v>99MD834</v>
      </c>
      <c r="G45">
        <v>7</v>
      </c>
      <c r="H45" t="str">
        <v>single</v>
      </c>
      <c r="J45">
        <v>1</v>
      </c>
      <c r="K45" s="19">
        <v>46054</v>
      </c>
    </row>
    <row r="46" spans="1:11" x14ac:dyDescent="0.25">
      <c r="A46">
        <v>45</v>
      </c>
      <c r="B46">
        <v>2026</v>
      </c>
      <c r="C46">
        <v>2</v>
      </c>
      <c r="D46">
        <v>182</v>
      </c>
      <c r="E46">
        <v>1</v>
      </c>
      <c r="F46" t="str">
        <v>77VS178</v>
      </c>
      <c r="G46">
        <v>4</v>
      </c>
      <c r="H46" t="str">
        <v>single</v>
      </c>
      <c r="J46">
        <v>2</v>
      </c>
      <c r="K46" s="19">
        <v>46054</v>
      </c>
    </row>
    <row r="47" spans="1:11" x14ac:dyDescent="0.25">
      <c r="A47">
        <v>46</v>
      </c>
      <c r="B47">
        <v>2025</v>
      </c>
      <c r="C47">
        <v>2</v>
      </c>
      <c r="D47">
        <v>30</v>
      </c>
      <c r="E47">
        <v>2</v>
      </c>
      <c r="F47" t="str">
        <v>99AS882</v>
      </c>
      <c r="G47">
        <v>30</v>
      </c>
      <c r="H47" t="str">
        <v>single</v>
      </c>
      <c r="J47">
        <v>1</v>
      </c>
      <c r="K47" s="19">
        <v>45689</v>
      </c>
    </row>
    <row r="48" spans="1:11" x14ac:dyDescent="0.25">
      <c r="A48">
        <v>47</v>
      </c>
      <c r="B48">
        <v>2025</v>
      </c>
      <c r="C48">
        <v>2</v>
      </c>
      <c r="D48">
        <v>30</v>
      </c>
      <c r="E48">
        <v>2</v>
      </c>
      <c r="F48" t="str">
        <v>99JE233</v>
      </c>
      <c r="G48">
        <v>30</v>
      </c>
      <c r="H48" t="str">
        <v>single</v>
      </c>
      <c r="J48">
        <v>2</v>
      </c>
      <c r="K48" s="19">
        <v>45689</v>
      </c>
    </row>
    <row r="49" spans="1:11" x14ac:dyDescent="0.25">
      <c r="A49">
        <v>48</v>
      </c>
      <c r="B49">
        <v>2025</v>
      </c>
      <c r="C49">
        <v>3</v>
      </c>
      <c r="D49">
        <v>31</v>
      </c>
      <c r="E49">
        <v>2</v>
      </c>
      <c r="F49" t="str">
        <v>99LT168</v>
      </c>
      <c r="G49">
        <v>21</v>
      </c>
      <c r="H49" t="str">
        <v>single</v>
      </c>
      <c r="J49">
        <v>1</v>
      </c>
      <c r="K49" s="19">
        <v>45717</v>
      </c>
    </row>
    <row r="50" spans="1:11" x14ac:dyDescent="0.25">
      <c r="A50">
        <v>49</v>
      </c>
      <c r="B50">
        <v>2025</v>
      </c>
      <c r="C50">
        <v>3</v>
      </c>
      <c r="D50">
        <v>31</v>
      </c>
      <c r="E50">
        <v>2</v>
      </c>
      <c r="F50" t="str">
        <v>90OV187</v>
      </c>
      <c r="G50">
        <v>30</v>
      </c>
      <c r="H50" t="str">
        <v>single</v>
      </c>
      <c r="J50">
        <v>5</v>
      </c>
      <c r="K50" s="19">
        <v>45717</v>
      </c>
    </row>
    <row r="51" spans="1:11" x14ac:dyDescent="0.25">
      <c r="A51">
        <v>50</v>
      </c>
      <c r="B51">
        <v>2025</v>
      </c>
      <c r="C51">
        <v>3</v>
      </c>
      <c r="D51">
        <v>31</v>
      </c>
      <c r="E51">
        <v>2</v>
      </c>
      <c r="F51" t="str">
        <v>99HZ395</v>
      </c>
      <c r="G51">
        <v>25</v>
      </c>
      <c r="H51" t="str">
        <v>single</v>
      </c>
      <c r="J51">
        <v>3</v>
      </c>
      <c r="K51" s="19">
        <v>45717</v>
      </c>
    </row>
    <row r="52" spans="1:11" x14ac:dyDescent="0.25">
      <c r="A52">
        <v>51</v>
      </c>
      <c r="B52">
        <v>2025</v>
      </c>
      <c r="C52">
        <v>3</v>
      </c>
      <c r="D52">
        <v>31</v>
      </c>
      <c r="E52">
        <v>2</v>
      </c>
      <c r="F52" t="str">
        <v>90ZP408</v>
      </c>
      <c r="G52">
        <v>24</v>
      </c>
      <c r="H52" t="str">
        <v>single</v>
      </c>
      <c r="J52">
        <v>11</v>
      </c>
      <c r="K52" s="19">
        <v>45717</v>
      </c>
    </row>
    <row r="53" spans="1:11" x14ac:dyDescent="0.25">
      <c r="A53">
        <v>52</v>
      </c>
      <c r="B53">
        <v>2025</v>
      </c>
      <c r="C53">
        <v>3</v>
      </c>
      <c r="D53">
        <v>31</v>
      </c>
      <c r="E53">
        <v>2</v>
      </c>
      <c r="F53" t="str">
        <v>66CC029</v>
      </c>
      <c r="G53">
        <v>25</v>
      </c>
      <c r="H53" t="str">
        <v>single</v>
      </c>
      <c r="J53">
        <v>15</v>
      </c>
      <c r="K53" s="19">
        <v>45717</v>
      </c>
    </row>
    <row r="54" spans="1:11" x14ac:dyDescent="0.25">
      <c r="A54">
        <v>53</v>
      </c>
      <c r="B54">
        <v>2025</v>
      </c>
      <c r="C54">
        <v>3</v>
      </c>
      <c r="D54">
        <v>31</v>
      </c>
      <c r="E54">
        <v>2</v>
      </c>
      <c r="F54" t="str">
        <v>77QK725</v>
      </c>
      <c r="G54">
        <v>24</v>
      </c>
      <c r="H54" t="str">
        <v>single</v>
      </c>
      <c r="J54">
        <v>17</v>
      </c>
      <c r="K54" s="19">
        <v>45717</v>
      </c>
    </row>
    <row r="55" spans="1:11" x14ac:dyDescent="0.25">
      <c r="A55">
        <v>54</v>
      </c>
      <c r="B55">
        <v>2025</v>
      </c>
      <c r="C55">
        <v>3</v>
      </c>
      <c r="D55">
        <v>31</v>
      </c>
      <c r="E55">
        <v>2</v>
      </c>
      <c r="F55" t="str">
        <v>77AT386</v>
      </c>
      <c r="G55">
        <v>31</v>
      </c>
      <c r="H55" t="str">
        <v>single</v>
      </c>
      <c r="J55">
        <v>13</v>
      </c>
      <c r="K55" s="19">
        <v>45717</v>
      </c>
    </row>
    <row r="56" spans="1:11" x14ac:dyDescent="0.25">
      <c r="A56">
        <v>55</v>
      </c>
      <c r="B56">
        <v>2025</v>
      </c>
      <c r="C56">
        <v>3</v>
      </c>
      <c r="D56">
        <v>31</v>
      </c>
      <c r="E56">
        <v>2</v>
      </c>
      <c r="F56" t="str">
        <v>90SL686</v>
      </c>
      <c r="G56">
        <v>30</v>
      </c>
      <c r="H56" t="str">
        <v>single</v>
      </c>
      <c r="J56">
        <v>19</v>
      </c>
      <c r="K56" s="19">
        <v>45717</v>
      </c>
    </row>
    <row r="57" spans="1:11" x14ac:dyDescent="0.25">
      <c r="A57">
        <v>56</v>
      </c>
      <c r="B57">
        <v>2025</v>
      </c>
      <c r="C57">
        <v>3</v>
      </c>
      <c r="D57">
        <v>31</v>
      </c>
      <c r="E57">
        <v>2</v>
      </c>
      <c r="F57" t="str">
        <v>55CB633</v>
      </c>
      <c r="G57">
        <v>25</v>
      </c>
      <c r="H57" t="str">
        <v>single</v>
      </c>
      <c r="J57">
        <v>57</v>
      </c>
      <c r="K57" s="19">
        <v>45717</v>
      </c>
    </row>
    <row r="58" spans="1:11" x14ac:dyDescent="0.25">
      <c r="A58">
        <v>57</v>
      </c>
      <c r="B58">
        <v>2025</v>
      </c>
      <c r="C58">
        <v>3</v>
      </c>
      <c r="D58">
        <v>31</v>
      </c>
      <c r="E58">
        <v>2</v>
      </c>
      <c r="F58" t="str">
        <v>77GM723</v>
      </c>
      <c r="G58">
        <v>28</v>
      </c>
      <c r="H58" t="str">
        <v>single</v>
      </c>
      <c r="J58">
        <v>61</v>
      </c>
      <c r="K58" s="19">
        <v>45717</v>
      </c>
    </row>
    <row r="59" spans="1:11" x14ac:dyDescent="0.25">
      <c r="A59">
        <v>58</v>
      </c>
      <c r="B59">
        <v>2025</v>
      </c>
      <c r="C59">
        <v>3</v>
      </c>
      <c r="D59">
        <v>31</v>
      </c>
      <c r="E59">
        <v>2</v>
      </c>
      <c r="F59" t="str">
        <v>99DX531</v>
      </c>
      <c r="G59">
        <v>27</v>
      </c>
      <c r="H59" t="str">
        <v>single</v>
      </c>
      <c r="J59">
        <v>97</v>
      </c>
      <c r="K59" s="19">
        <v>45717</v>
      </c>
    </row>
    <row r="60" spans="1:11" x14ac:dyDescent="0.25">
      <c r="A60">
        <v>59</v>
      </c>
      <c r="B60">
        <v>2025</v>
      </c>
      <c r="C60">
        <v>3</v>
      </c>
      <c r="D60">
        <v>31</v>
      </c>
      <c r="E60">
        <v>2</v>
      </c>
      <c r="F60" t="str">
        <v>15BZ942</v>
      </c>
      <c r="G60">
        <v>29</v>
      </c>
      <c r="H60" t="str">
        <v>single</v>
      </c>
      <c r="J60">
        <v>35</v>
      </c>
      <c r="K60" s="19">
        <v>45717</v>
      </c>
    </row>
    <row r="61" spans="1:11" x14ac:dyDescent="0.25">
      <c r="A61">
        <v>60</v>
      </c>
      <c r="B61">
        <v>2025</v>
      </c>
      <c r="C61">
        <v>3</v>
      </c>
      <c r="D61">
        <v>31</v>
      </c>
      <c r="E61">
        <v>2</v>
      </c>
      <c r="F61" t="str">
        <v>99BT339</v>
      </c>
      <c r="G61">
        <v>26</v>
      </c>
      <c r="H61" t="str">
        <v>single</v>
      </c>
      <c r="J61">
        <v>93</v>
      </c>
      <c r="K61" s="19">
        <v>45717</v>
      </c>
    </row>
    <row r="62" spans="1:11" x14ac:dyDescent="0.25">
      <c r="A62">
        <v>61</v>
      </c>
      <c r="B62">
        <v>2025</v>
      </c>
      <c r="C62">
        <v>3</v>
      </c>
      <c r="D62">
        <v>31</v>
      </c>
      <c r="E62">
        <v>2</v>
      </c>
      <c r="F62" t="str">
        <v>77ET143</v>
      </c>
      <c r="G62">
        <v>25</v>
      </c>
      <c r="H62" t="str">
        <v>single</v>
      </c>
      <c r="J62">
        <v>59</v>
      </c>
      <c r="K62" s="19">
        <v>45717</v>
      </c>
    </row>
    <row r="63" spans="1:11" x14ac:dyDescent="0.25">
      <c r="A63">
        <v>62</v>
      </c>
      <c r="B63">
        <v>2025</v>
      </c>
      <c r="C63">
        <v>3</v>
      </c>
      <c r="D63">
        <v>31</v>
      </c>
      <c r="E63">
        <v>2</v>
      </c>
      <c r="F63" t="str">
        <v>50DK730</v>
      </c>
      <c r="G63">
        <v>28</v>
      </c>
      <c r="H63" t="str">
        <v>single</v>
      </c>
      <c r="J63">
        <v>47</v>
      </c>
      <c r="K63" s="19">
        <v>45717</v>
      </c>
    </row>
    <row r="64" spans="1:11" x14ac:dyDescent="0.25">
      <c r="A64">
        <v>63</v>
      </c>
      <c r="B64">
        <v>2025</v>
      </c>
      <c r="C64">
        <v>3</v>
      </c>
      <c r="D64">
        <v>31</v>
      </c>
      <c r="E64">
        <v>2</v>
      </c>
      <c r="F64" t="str">
        <v>99MN472</v>
      </c>
      <c r="G64">
        <v>29</v>
      </c>
      <c r="H64" t="str">
        <v>single</v>
      </c>
      <c r="J64">
        <v>108</v>
      </c>
      <c r="K64" s="19">
        <v>45717</v>
      </c>
    </row>
    <row r="65" spans="1:11" x14ac:dyDescent="0.25">
      <c r="A65">
        <v>64</v>
      </c>
      <c r="B65">
        <v>2025</v>
      </c>
      <c r="C65">
        <v>3</v>
      </c>
      <c r="D65">
        <v>31</v>
      </c>
      <c r="E65">
        <v>2</v>
      </c>
      <c r="F65" t="str">
        <v>52BK688</v>
      </c>
      <c r="G65">
        <v>25</v>
      </c>
      <c r="H65" t="str">
        <v>single</v>
      </c>
      <c r="J65">
        <v>51</v>
      </c>
      <c r="K65" s="19">
        <v>45717</v>
      </c>
    </row>
    <row r="66" spans="1:11" x14ac:dyDescent="0.25">
      <c r="A66">
        <v>65</v>
      </c>
      <c r="B66">
        <v>2025</v>
      </c>
      <c r="C66">
        <v>3</v>
      </c>
      <c r="D66">
        <v>31</v>
      </c>
      <c r="E66">
        <v>2</v>
      </c>
      <c r="F66" t="str">
        <v>10RN527</v>
      </c>
      <c r="G66">
        <v>18</v>
      </c>
      <c r="H66" t="str">
        <v>single</v>
      </c>
      <c r="J66">
        <v>31</v>
      </c>
      <c r="K66" s="19">
        <v>45717</v>
      </c>
    </row>
    <row r="67" spans="1:11" x14ac:dyDescent="0.25">
      <c r="A67">
        <v>66</v>
      </c>
      <c r="B67">
        <v>2025</v>
      </c>
      <c r="C67">
        <v>3</v>
      </c>
      <c r="D67">
        <v>31</v>
      </c>
      <c r="E67">
        <v>2</v>
      </c>
      <c r="F67" t="str">
        <v>77RN868</v>
      </c>
      <c r="G67">
        <v>10</v>
      </c>
      <c r="H67" t="str">
        <v>single</v>
      </c>
      <c r="J67">
        <v>71</v>
      </c>
      <c r="K67" s="19">
        <v>45717</v>
      </c>
    </row>
    <row r="68" spans="1:11" x14ac:dyDescent="0.25">
      <c r="A68">
        <v>67</v>
      </c>
      <c r="B68">
        <v>2025</v>
      </c>
      <c r="C68">
        <v>3</v>
      </c>
      <c r="D68">
        <v>31</v>
      </c>
      <c r="E68">
        <v>2</v>
      </c>
      <c r="F68" t="str">
        <v>99LM412</v>
      </c>
      <c r="G68">
        <v>4</v>
      </c>
      <c r="H68" t="str">
        <v>single</v>
      </c>
      <c r="J68">
        <v>116</v>
      </c>
      <c r="K68" s="19">
        <v>45717</v>
      </c>
    </row>
    <row r="69" spans="1:11" x14ac:dyDescent="0.25">
      <c r="A69">
        <v>68</v>
      </c>
      <c r="B69">
        <v>2025</v>
      </c>
      <c r="C69">
        <v>3</v>
      </c>
      <c r="D69">
        <v>31</v>
      </c>
      <c r="E69">
        <v>2</v>
      </c>
      <c r="F69" t="str">
        <v>99TV366</v>
      </c>
      <c r="G69">
        <v>14</v>
      </c>
      <c r="H69" t="str">
        <v>single</v>
      </c>
      <c r="J69">
        <v>112</v>
      </c>
      <c r="K69" s="19">
        <v>45717</v>
      </c>
    </row>
    <row r="70" spans="1:11" x14ac:dyDescent="0.25">
      <c r="A70">
        <v>69</v>
      </c>
      <c r="B70">
        <v>2025</v>
      </c>
      <c r="C70">
        <v>3</v>
      </c>
      <c r="D70">
        <v>31</v>
      </c>
      <c r="E70">
        <v>2</v>
      </c>
      <c r="F70" t="str">
        <v>90OV187</v>
      </c>
      <c r="G70">
        <v>48.999999999999986</v>
      </c>
      <c r="H70" t="str">
        <v>hour</v>
      </c>
      <c r="J70">
        <v>6</v>
      </c>
      <c r="K70" s="19">
        <v>45717</v>
      </c>
    </row>
    <row r="71" spans="1:11" x14ac:dyDescent="0.25">
      <c r="A71">
        <v>70</v>
      </c>
      <c r="B71">
        <v>2025</v>
      </c>
      <c r="C71">
        <v>3</v>
      </c>
      <c r="D71">
        <v>31</v>
      </c>
      <c r="E71">
        <v>2</v>
      </c>
      <c r="F71" t="str">
        <v>90SL686</v>
      </c>
      <c r="G71">
        <v>104</v>
      </c>
      <c r="H71" t="str">
        <v>hour</v>
      </c>
      <c r="J71">
        <v>20</v>
      </c>
      <c r="K71" s="19">
        <v>45717</v>
      </c>
    </row>
    <row r="72" spans="1:11" x14ac:dyDescent="0.25">
      <c r="A72">
        <v>71</v>
      </c>
      <c r="B72">
        <v>2025</v>
      </c>
      <c r="C72">
        <v>3</v>
      </c>
      <c r="D72">
        <v>31</v>
      </c>
      <c r="E72">
        <v>2</v>
      </c>
      <c r="F72" t="str">
        <v>55CB633</v>
      </c>
      <c r="G72">
        <v>35.999999999999964</v>
      </c>
      <c r="H72" t="str">
        <v>hour</v>
      </c>
      <c r="J72">
        <v>56</v>
      </c>
      <c r="K72" s="19">
        <v>45717</v>
      </c>
    </row>
    <row r="73" spans="1:11" x14ac:dyDescent="0.25">
      <c r="A73">
        <v>72</v>
      </c>
      <c r="B73">
        <v>2025</v>
      </c>
      <c r="C73">
        <v>3</v>
      </c>
      <c r="D73">
        <v>31</v>
      </c>
      <c r="E73">
        <v>2</v>
      </c>
      <c r="F73" t="str">
        <v>77GM723</v>
      </c>
      <c r="G73">
        <v>80.999999999999986</v>
      </c>
      <c r="H73" t="str">
        <v>hour</v>
      </c>
      <c r="J73">
        <v>60</v>
      </c>
      <c r="K73" s="19">
        <v>45717</v>
      </c>
    </row>
    <row r="74" spans="1:11" x14ac:dyDescent="0.25">
      <c r="A74">
        <v>73</v>
      </c>
      <c r="B74">
        <v>2025</v>
      </c>
      <c r="C74">
        <v>3</v>
      </c>
      <c r="D74">
        <v>31</v>
      </c>
      <c r="E74">
        <v>2</v>
      </c>
      <c r="F74" t="str">
        <v>99DX531</v>
      </c>
      <c r="G74">
        <v>34.999999999999986</v>
      </c>
      <c r="H74" t="str">
        <v>hour</v>
      </c>
      <c r="J74">
        <v>96</v>
      </c>
      <c r="K74" s="19">
        <v>45717</v>
      </c>
    </row>
    <row r="75" spans="1:11" x14ac:dyDescent="0.25">
      <c r="A75">
        <v>74</v>
      </c>
      <c r="B75">
        <v>2025</v>
      </c>
      <c r="C75">
        <v>3</v>
      </c>
      <c r="D75">
        <v>31</v>
      </c>
      <c r="E75">
        <v>2</v>
      </c>
      <c r="F75" t="str">
        <v>15BZ942</v>
      </c>
      <c r="G75">
        <v>26.999999999999993</v>
      </c>
      <c r="H75" t="str">
        <v>hour</v>
      </c>
      <c r="J75">
        <v>34</v>
      </c>
      <c r="K75" s="19">
        <v>45717</v>
      </c>
    </row>
    <row r="76" spans="1:11" x14ac:dyDescent="0.25">
      <c r="A76">
        <v>75</v>
      </c>
      <c r="B76">
        <v>2025</v>
      </c>
      <c r="C76">
        <v>3</v>
      </c>
      <c r="D76">
        <v>31</v>
      </c>
      <c r="E76">
        <v>2</v>
      </c>
      <c r="F76" t="str">
        <v>99BT339</v>
      </c>
      <c r="G76">
        <v>27.99999999999995</v>
      </c>
      <c r="H76" t="str">
        <v>hour</v>
      </c>
      <c r="J76">
        <v>92</v>
      </c>
      <c r="K76" s="19">
        <v>45717</v>
      </c>
    </row>
    <row r="77" spans="1:11" x14ac:dyDescent="0.25">
      <c r="A77">
        <v>76</v>
      </c>
      <c r="B77">
        <v>2025</v>
      </c>
      <c r="C77">
        <v>3</v>
      </c>
      <c r="D77">
        <v>31</v>
      </c>
      <c r="E77">
        <v>2</v>
      </c>
      <c r="F77" t="str">
        <v>50DK730</v>
      </c>
      <c r="G77">
        <v>81.999999999999986</v>
      </c>
      <c r="H77" t="str">
        <v>hour</v>
      </c>
      <c r="J77">
        <v>46</v>
      </c>
      <c r="K77" s="19">
        <v>45717</v>
      </c>
    </row>
    <row r="78" spans="1:11" x14ac:dyDescent="0.25">
      <c r="A78">
        <v>77</v>
      </c>
      <c r="B78">
        <v>2025</v>
      </c>
      <c r="C78">
        <v>3</v>
      </c>
      <c r="D78">
        <v>31</v>
      </c>
      <c r="E78">
        <v>2</v>
      </c>
      <c r="F78" t="str">
        <v>99MN472</v>
      </c>
      <c r="G78">
        <v>54.999999999999943</v>
      </c>
      <c r="H78" t="str">
        <v>hour</v>
      </c>
      <c r="J78">
        <v>107</v>
      </c>
      <c r="K78" s="19">
        <v>45717</v>
      </c>
    </row>
    <row r="79" spans="1:11" x14ac:dyDescent="0.25">
      <c r="A79">
        <v>78</v>
      </c>
      <c r="B79">
        <v>2025</v>
      </c>
      <c r="C79">
        <v>3</v>
      </c>
      <c r="D79">
        <v>31</v>
      </c>
      <c r="E79">
        <v>2</v>
      </c>
      <c r="F79" t="str">
        <v>10RN527</v>
      </c>
      <c r="G79">
        <v>33.999999999999986</v>
      </c>
      <c r="H79" t="str">
        <v>hour</v>
      </c>
      <c r="J79">
        <v>29</v>
      </c>
      <c r="K79" s="19">
        <v>45717</v>
      </c>
    </row>
    <row r="80" spans="1:11" x14ac:dyDescent="0.25">
      <c r="A80">
        <v>79</v>
      </c>
      <c r="B80">
        <v>2025</v>
      </c>
      <c r="C80">
        <v>3</v>
      </c>
      <c r="D80">
        <v>31</v>
      </c>
      <c r="E80">
        <v>2</v>
      </c>
      <c r="F80" t="str">
        <v>99LM412</v>
      </c>
      <c r="G80">
        <v>4.9999999999999964</v>
      </c>
      <c r="H80" t="str">
        <v>hour</v>
      </c>
      <c r="J80">
        <v>115</v>
      </c>
      <c r="K80" s="19">
        <v>45717</v>
      </c>
    </row>
    <row r="81" spans="1:11" x14ac:dyDescent="0.25">
      <c r="A81">
        <v>80</v>
      </c>
      <c r="B81">
        <v>2025</v>
      </c>
      <c r="C81">
        <v>3</v>
      </c>
      <c r="D81">
        <v>31</v>
      </c>
      <c r="E81">
        <v>2</v>
      </c>
      <c r="F81" t="str">
        <v>99TV366</v>
      </c>
      <c r="G81">
        <v>20.999999999999986</v>
      </c>
      <c r="H81" t="str">
        <v>hour</v>
      </c>
      <c r="J81">
        <v>111</v>
      </c>
      <c r="K81" s="19">
        <v>45717</v>
      </c>
    </row>
    <row r="82" spans="1:11" x14ac:dyDescent="0.25">
      <c r="A82">
        <v>81</v>
      </c>
      <c r="B82">
        <v>2025</v>
      </c>
      <c r="C82">
        <v>6</v>
      </c>
      <c r="D82">
        <v>46</v>
      </c>
      <c r="E82">
        <v>2</v>
      </c>
      <c r="F82" t="str">
        <v>110FY523</v>
      </c>
      <c r="G82">
        <v>27</v>
      </c>
      <c r="H82" t="str">
        <v>single</v>
      </c>
      <c r="J82">
        <v>1</v>
      </c>
      <c r="K82" s="19">
        <v>45809</v>
      </c>
    </row>
    <row r="83" spans="1:11" x14ac:dyDescent="0.25">
      <c r="A83">
        <v>82</v>
      </c>
      <c r="B83">
        <v>2025</v>
      </c>
      <c r="C83">
        <v>6</v>
      </c>
      <c r="D83">
        <v>46</v>
      </c>
      <c r="E83">
        <v>2</v>
      </c>
      <c r="F83" t="str">
        <v>10AD801</v>
      </c>
      <c r="G83">
        <v>27</v>
      </c>
      <c r="H83" t="str">
        <v>single</v>
      </c>
      <c r="J83">
        <v>4</v>
      </c>
      <c r="K83" s="19">
        <v>45809</v>
      </c>
    </row>
    <row r="84" spans="1:11" x14ac:dyDescent="0.25">
      <c r="A84">
        <v>83</v>
      </c>
      <c r="B84">
        <v>2025</v>
      </c>
      <c r="C84">
        <v>7</v>
      </c>
      <c r="D84">
        <v>50</v>
      </c>
      <c r="E84">
        <v>2</v>
      </c>
      <c r="F84" t="str">
        <v>61AB256</v>
      </c>
      <c r="G84">
        <v>29</v>
      </c>
      <c r="H84" t="str">
        <v>single</v>
      </c>
      <c r="J84">
        <v>1</v>
      </c>
      <c r="K84" s="19">
        <v>45839</v>
      </c>
    </row>
    <row r="85" spans="1:11" x14ac:dyDescent="0.25">
      <c r="A85">
        <v>84</v>
      </c>
      <c r="B85">
        <v>2025</v>
      </c>
      <c r="C85">
        <v>8</v>
      </c>
      <c r="D85">
        <v>51</v>
      </c>
      <c r="E85">
        <v>2</v>
      </c>
      <c r="F85" t="str">
        <v>10BA857</v>
      </c>
      <c r="G85">
        <v>13</v>
      </c>
      <c r="H85" t="str">
        <v>single</v>
      </c>
      <c r="J85">
        <v>3</v>
      </c>
      <c r="K85" s="19">
        <v>45870</v>
      </c>
    </row>
    <row r="86" spans="1:11" x14ac:dyDescent="0.25">
      <c r="A86">
        <v>85</v>
      </c>
      <c r="B86">
        <v>2025</v>
      </c>
      <c r="C86">
        <v>8</v>
      </c>
      <c r="D86">
        <v>51</v>
      </c>
      <c r="E86">
        <v>2</v>
      </c>
      <c r="F86" t="str">
        <v>10BA857</v>
      </c>
      <c r="G86">
        <v>29.999999999999993</v>
      </c>
      <c r="H86" t="str">
        <v>hour</v>
      </c>
      <c r="J86">
        <v>4</v>
      </c>
      <c r="K86" s="19">
        <v>45870</v>
      </c>
    </row>
    <row r="87" spans="1:11" x14ac:dyDescent="0.25">
      <c r="A87">
        <v>86</v>
      </c>
      <c r="B87">
        <v>2025</v>
      </c>
      <c r="C87">
        <v>9</v>
      </c>
      <c r="D87">
        <v>51</v>
      </c>
      <c r="E87">
        <v>2</v>
      </c>
      <c r="F87" t="str">
        <v>10BA857</v>
      </c>
      <c r="G87">
        <v>25</v>
      </c>
      <c r="H87" t="str">
        <v>single</v>
      </c>
      <c r="J87">
        <v>3</v>
      </c>
      <c r="K87" s="19">
        <v>45901</v>
      </c>
    </row>
    <row r="88" spans="1:11" x14ac:dyDescent="0.25">
      <c r="A88">
        <v>87</v>
      </c>
      <c r="B88">
        <v>2025</v>
      </c>
      <c r="C88">
        <v>9</v>
      </c>
      <c r="D88">
        <v>51</v>
      </c>
      <c r="E88">
        <v>2</v>
      </c>
      <c r="F88" t="str">
        <v>10BA857</v>
      </c>
      <c r="G88">
        <v>10</v>
      </c>
      <c r="H88" t="str">
        <v>hour</v>
      </c>
      <c r="J88">
        <v>4</v>
      </c>
      <c r="K88" s="19">
        <v>45901</v>
      </c>
    </row>
    <row r="89" spans="1:11" x14ac:dyDescent="0.25">
      <c r="A89">
        <v>88</v>
      </c>
      <c r="B89">
        <v>2025</v>
      </c>
      <c r="C89">
        <v>5</v>
      </c>
      <c r="D89">
        <v>52</v>
      </c>
      <c r="E89">
        <v>2</v>
      </c>
      <c r="F89" t="str">
        <v>10AC750</v>
      </c>
      <c r="G89">
        <v>30</v>
      </c>
      <c r="H89" t="str">
        <v>single</v>
      </c>
      <c r="J89">
        <v>1</v>
      </c>
      <c r="K89" s="19">
        <v>45778</v>
      </c>
    </row>
    <row r="90" spans="1:11" x14ac:dyDescent="0.25">
      <c r="A90">
        <v>89</v>
      </c>
      <c r="B90">
        <v>2025</v>
      </c>
      <c r="C90">
        <v>5</v>
      </c>
      <c r="D90">
        <v>52</v>
      </c>
      <c r="E90">
        <v>2</v>
      </c>
      <c r="F90" t="str">
        <v>10BC326</v>
      </c>
      <c r="G90">
        <v>11</v>
      </c>
      <c r="H90" t="str">
        <v>single</v>
      </c>
      <c r="J90">
        <v>3</v>
      </c>
      <c r="K90" s="19">
        <v>45778</v>
      </c>
    </row>
    <row r="91" spans="1:11" x14ac:dyDescent="0.25">
      <c r="A91">
        <v>90</v>
      </c>
      <c r="B91">
        <v>2025</v>
      </c>
      <c r="C91">
        <v>6</v>
      </c>
      <c r="D91">
        <v>65</v>
      </c>
      <c r="E91">
        <v>2</v>
      </c>
      <c r="F91" t="str">
        <v>01BA176</v>
      </c>
      <c r="G91">
        <v>23.5</v>
      </c>
      <c r="H91" t="str">
        <v>single</v>
      </c>
      <c r="J91">
        <v>1</v>
      </c>
      <c r="K91" s="19">
        <v>45809</v>
      </c>
    </row>
    <row r="92" spans="1:11" x14ac:dyDescent="0.25">
      <c r="A92">
        <v>91</v>
      </c>
      <c r="B92">
        <v>2025</v>
      </c>
      <c r="C92">
        <v>6</v>
      </c>
      <c r="D92">
        <v>65</v>
      </c>
      <c r="E92">
        <v>2</v>
      </c>
      <c r="F92" t="str">
        <v>10BD252</v>
      </c>
      <c r="G92">
        <v>27</v>
      </c>
      <c r="H92" t="str">
        <v>single</v>
      </c>
      <c r="J92">
        <v>2</v>
      </c>
      <c r="K92" s="19">
        <v>45809</v>
      </c>
    </row>
    <row r="93" spans="1:11" x14ac:dyDescent="0.25">
      <c r="A93">
        <v>92</v>
      </c>
      <c r="B93">
        <v>2025</v>
      </c>
      <c r="C93">
        <v>7</v>
      </c>
      <c r="D93">
        <v>85</v>
      </c>
      <c r="E93">
        <v>2</v>
      </c>
      <c r="F93" t="str">
        <v>77SN951</v>
      </c>
      <c r="G93">
        <v>29</v>
      </c>
      <c r="H93" t="str">
        <v>single</v>
      </c>
      <c r="J93">
        <v>1</v>
      </c>
      <c r="K93" s="19">
        <v>45839</v>
      </c>
    </row>
    <row r="94" spans="1:11" x14ac:dyDescent="0.25">
      <c r="A94">
        <v>93</v>
      </c>
      <c r="B94">
        <v>2025</v>
      </c>
      <c r="C94">
        <v>7</v>
      </c>
      <c r="D94">
        <v>85</v>
      </c>
      <c r="E94">
        <v>2</v>
      </c>
      <c r="F94" t="str">
        <v>77SN951</v>
      </c>
      <c r="G94">
        <v>39.999999999999972</v>
      </c>
      <c r="H94" t="str">
        <v>hour</v>
      </c>
      <c r="J94">
        <v>2</v>
      </c>
      <c r="K94" s="19">
        <v>45839</v>
      </c>
    </row>
    <row r="95" spans="1:11" x14ac:dyDescent="0.25">
      <c r="A95">
        <v>94</v>
      </c>
      <c r="B95">
        <v>2025</v>
      </c>
      <c r="C95">
        <v>7</v>
      </c>
      <c r="D95">
        <v>94</v>
      </c>
      <c r="E95">
        <v>2</v>
      </c>
      <c r="F95" t="str">
        <v>54BM823</v>
      </c>
      <c r="G95">
        <v>31</v>
      </c>
      <c r="H95" t="str">
        <v>single</v>
      </c>
      <c r="J95">
        <v>1</v>
      </c>
      <c r="K95" s="19">
        <v>45839</v>
      </c>
    </row>
    <row r="96" spans="1:11" x14ac:dyDescent="0.25">
      <c r="A96">
        <v>95</v>
      </c>
      <c r="B96">
        <v>2025</v>
      </c>
      <c r="C96">
        <v>7</v>
      </c>
      <c r="D96">
        <v>94</v>
      </c>
      <c r="E96">
        <v>2</v>
      </c>
      <c r="F96" t="str">
        <v>54BM823</v>
      </c>
      <c r="G96">
        <v>14</v>
      </c>
      <c r="H96" t="str">
        <v>single</v>
      </c>
      <c r="J96">
        <v>1</v>
      </c>
      <c r="K96" s="19">
        <v>45839</v>
      </c>
    </row>
    <row r="97" spans="1:11" x14ac:dyDescent="0.25">
      <c r="A97">
        <v>96</v>
      </c>
      <c r="B97">
        <v>2025</v>
      </c>
      <c r="C97">
        <v>7</v>
      </c>
      <c r="D97">
        <v>94</v>
      </c>
      <c r="E97">
        <v>2</v>
      </c>
      <c r="F97" t="str">
        <v>54BM823</v>
      </c>
      <c r="G97">
        <v>5</v>
      </c>
      <c r="H97" t="str">
        <v>hour</v>
      </c>
      <c r="J97">
        <v>2</v>
      </c>
      <c r="K97" s="19">
        <v>45839</v>
      </c>
    </row>
    <row r="98" spans="1:11" x14ac:dyDescent="0.25">
      <c r="A98">
        <v>97</v>
      </c>
      <c r="B98">
        <v>2025</v>
      </c>
      <c r="C98">
        <v>8</v>
      </c>
      <c r="D98">
        <v>95</v>
      </c>
      <c r="E98">
        <v>2</v>
      </c>
      <c r="F98" t="str">
        <v>54BA209</v>
      </c>
      <c r="G98">
        <v>27</v>
      </c>
      <c r="H98" t="str">
        <v>single</v>
      </c>
      <c r="J98">
        <v>1</v>
      </c>
      <c r="K98" s="19">
        <v>45870</v>
      </c>
    </row>
    <row r="99" spans="1:11" x14ac:dyDescent="0.25">
      <c r="A99">
        <v>98</v>
      </c>
      <c r="B99">
        <v>2025</v>
      </c>
      <c r="C99">
        <v>8</v>
      </c>
      <c r="D99">
        <v>98</v>
      </c>
      <c r="E99">
        <v>2</v>
      </c>
      <c r="F99" t="str">
        <v>50BD416</v>
      </c>
      <c r="G99">
        <v>29</v>
      </c>
      <c r="H99" t="str">
        <v>single</v>
      </c>
      <c r="J99">
        <v>1</v>
      </c>
      <c r="K99" s="19">
        <v>45870</v>
      </c>
    </row>
    <row r="100" spans="1:11" x14ac:dyDescent="0.25">
      <c r="A100">
        <v>99</v>
      </c>
      <c r="B100">
        <v>2025</v>
      </c>
      <c r="C100">
        <v>8</v>
      </c>
      <c r="D100">
        <v>99</v>
      </c>
      <c r="E100">
        <v>2</v>
      </c>
      <c r="F100" t="str">
        <v>50BX301</v>
      </c>
      <c r="G100">
        <v>31</v>
      </c>
      <c r="H100" t="str">
        <v>single</v>
      </c>
      <c r="J100">
        <v>1</v>
      </c>
      <c r="K100" s="19">
        <v>45870</v>
      </c>
    </row>
    <row r="101" spans="1:11" x14ac:dyDescent="0.25">
      <c r="A101">
        <v>100</v>
      </c>
      <c r="B101">
        <v>2025</v>
      </c>
      <c r="C101">
        <v>8</v>
      </c>
      <c r="D101">
        <v>99</v>
      </c>
      <c r="E101">
        <v>2</v>
      </c>
      <c r="F101" t="str">
        <v>50BX301</v>
      </c>
      <c r="G101">
        <v>31</v>
      </c>
      <c r="H101" t="str">
        <v>hour</v>
      </c>
      <c r="J101">
        <v>2</v>
      </c>
      <c r="K101" s="19">
        <v>45870</v>
      </c>
    </row>
    <row r="102" spans="1:11" x14ac:dyDescent="0.25">
      <c r="A102">
        <v>101</v>
      </c>
      <c r="B102">
        <v>2025</v>
      </c>
      <c r="C102">
        <v>8</v>
      </c>
      <c r="D102">
        <v>100</v>
      </c>
      <c r="E102">
        <v>2</v>
      </c>
      <c r="F102" t="str">
        <v>22AB273</v>
      </c>
      <c r="G102">
        <v>27</v>
      </c>
      <c r="H102" t="str">
        <v>single</v>
      </c>
      <c r="J102">
        <v>1</v>
      </c>
      <c r="K102" s="19">
        <v>45870</v>
      </c>
    </row>
    <row r="103" spans="1:11" x14ac:dyDescent="0.25">
      <c r="A103">
        <v>102</v>
      </c>
      <c r="B103">
        <v>2025</v>
      </c>
      <c r="C103">
        <v>9</v>
      </c>
      <c r="D103">
        <v>102</v>
      </c>
      <c r="E103">
        <v>2</v>
      </c>
      <c r="F103" t="str">
        <v>99HQ687</v>
      </c>
      <c r="G103">
        <v>29</v>
      </c>
      <c r="H103" t="str">
        <v>single</v>
      </c>
      <c r="J103">
        <v>1</v>
      </c>
      <c r="K103" s="19">
        <v>45901</v>
      </c>
    </row>
    <row r="104" spans="1:11" x14ac:dyDescent="0.25">
      <c r="A104">
        <v>103</v>
      </c>
      <c r="B104">
        <v>2025</v>
      </c>
      <c r="C104">
        <v>9</v>
      </c>
      <c r="D104">
        <v>102</v>
      </c>
      <c r="E104">
        <v>2</v>
      </c>
      <c r="F104" t="str">
        <v>10MF640</v>
      </c>
      <c r="G104">
        <v>29</v>
      </c>
      <c r="H104" t="str">
        <v>single</v>
      </c>
      <c r="J104">
        <v>3</v>
      </c>
      <c r="K104" s="19">
        <v>45901</v>
      </c>
    </row>
    <row r="105" spans="1:11" x14ac:dyDescent="0.25">
      <c r="A105">
        <v>104</v>
      </c>
      <c r="B105">
        <v>2025</v>
      </c>
      <c r="C105">
        <v>9</v>
      </c>
      <c r="D105">
        <v>102</v>
      </c>
      <c r="E105">
        <v>2</v>
      </c>
      <c r="F105" t="str">
        <v>99HQ687</v>
      </c>
      <c r="G105">
        <v>43</v>
      </c>
      <c r="H105" t="str">
        <v>hour</v>
      </c>
      <c r="J105">
        <v>2</v>
      </c>
      <c r="K105" s="19">
        <v>45901</v>
      </c>
    </row>
    <row r="106" spans="1:11" x14ac:dyDescent="0.25">
      <c r="A106">
        <v>105</v>
      </c>
      <c r="B106">
        <v>2025</v>
      </c>
      <c r="C106">
        <v>9</v>
      </c>
      <c r="D106">
        <v>102</v>
      </c>
      <c r="E106">
        <v>2</v>
      </c>
      <c r="F106" t="str">
        <v>10MF640</v>
      </c>
      <c r="G106">
        <v>65</v>
      </c>
      <c r="H106" t="str">
        <v>hour</v>
      </c>
      <c r="J106">
        <v>4</v>
      </c>
      <c r="K106" s="19">
        <v>45901</v>
      </c>
    </row>
    <row r="107" spans="1:11" x14ac:dyDescent="0.25">
      <c r="A107">
        <v>106</v>
      </c>
      <c r="B107">
        <v>2025</v>
      </c>
      <c r="C107">
        <v>9</v>
      </c>
      <c r="D107">
        <v>110</v>
      </c>
      <c r="E107">
        <v>2</v>
      </c>
      <c r="F107" t="str">
        <v>99XC106</v>
      </c>
      <c r="G107">
        <v>26</v>
      </c>
      <c r="H107" t="str">
        <v>single</v>
      </c>
      <c r="J107">
        <v>1</v>
      </c>
      <c r="K107" s="19">
        <v>45901</v>
      </c>
    </row>
    <row r="108" spans="1:11" x14ac:dyDescent="0.25">
      <c r="A108">
        <v>107</v>
      </c>
      <c r="B108">
        <v>2025</v>
      </c>
      <c r="C108">
        <v>11</v>
      </c>
      <c r="D108">
        <v>121</v>
      </c>
      <c r="E108">
        <v>2</v>
      </c>
      <c r="F108" t="str">
        <v>11BC843</v>
      </c>
      <c r="G108">
        <v>29</v>
      </c>
      <c r="H108" t="str">
        <v>single</v>
      </c>
      <c r="J108">
        <v>1</v>
      </c>
      <c r="K108" s="19">
        <v>45962</v>
      </c>
    </row>
    <row r="109" spans="1:11" x14ac:dyDescent="0.25">
      <c r="A109">
        <v>108</v>
      </c>
      <c r="B109">
        <v>2025</v>
      </c>
      <c r="C109">
        <v>11</v>
      </c>
      <c r="D109">
        <v>121</v>
      </c>
      <c r="E109">
        <v>2</v>
      </c>
      <c r="F109" t="str">
        <v>11BC843</v>
      </c>
      <c r="G109">
        <v>8</v>
      </c>
      <c r="H109" t="str">
        <v>hour</v>
      </c>
      <c r="J109">
        <v>2</v>
      </c>
      <c r="K109" s="19">
        <v>45962</v>
      </c>
    </row>
    <row r="110" spans="1:11" x14ac:dyDescent="0.25">
      <c r="A110">
        <v>109</v>
      </c>
      <c r="B110">
        <v>2025</v>
      </c>
      <c r="C110">
        <v>12</v>
      </c>
      <c r="D110">
        <v>141</v>
      </c>
      <c r="E110">
        <v>2</v>
      </c>
      <c r="F110" t="str">
        <v>10V288</v>
      </c>
      <c r="G110">
        <v>28</v>
      </c>
      <c r="H110" t="str">
        <v>single</v>
      </c>
      <c r="J110">
        <v>1</v>
      </c>
      <c r="K110" s="19">
        <v>45992</v>
      </c>
    </row>
    <row r="111" spans="1:11" x14ac:dyDescent="0.25">
      <c r="A111">
        <v>110</v>
      </c>
      <c r="B111">
        <v>2025</v>
      </c>
      <c r="C111">
        <v>12</v>
      </c>
      <c r="D111">
        <v>141</v>
      </c>
      <c r="E111">
        <v>2</v>
      </c>
      <c r="F111" t="str">
        <v>10V288</v>
      </c>
      <c r="G111">
        <v>10</v>
      </c>
      <c r="H111" t="str">
        <v>hour</v>
      </c>
      <c r="J111">
        <v>2</v>
      </c>
      <c r="K111" s="19">
        <v>45992</v>
      </c>
    </row>
    <row r="112" spans="1:11" x14ac:dyDescent="0.25">
      <c r="A112">
        <v>111</v>
      </c>
      <c r="B112">
        <v>2026</v>
      </c>
      <c r="C112">
        <v>2</v>
      </c>
      <c r="D112">
        <v>163</v>
      </c>
      <c r="E112">
        <v>2</v>
      </c>
      <c r="F112" t="str">
        <v>110FA930</v>
      </c>
      <c r="G112">
        <v>28</v>
      </c>
      <c r="H112" t="str">
        <v>single</v>
      </c>
      <c r="J112">
        <v>1</v>
      </c>
      <c r="K112" s="19">
        <v>46054</v>
      </c>
    </row>
    <row r="113" spans="1:11" x14ac:dyDescent="0.25">
      <c r="A113">
        <v>112</v>
      </c>
      <c r="B113">
        <v>2026</v>
      </c>
      <c r="C113">
        <v>2</v>
      </c>
      <c r="D113">
        <v>172</v>
      </c>
      <c r="E113">
        <v>2</v>
      </c>
      <c r="F113" t="str">
        <v>22T727</v>
      </c>
      <c r="G113">
        <v>10</v>
      </c>
      <c r="H113" t="str">
        <v>single</v>
      </c>
      <c r="J113">
        <v>1</v>
      </c>
      <c r="K113" s="19">
        <v>46054</v>
      </c>
    </row>
    <row r="114" spans="1:11" x14ac:dyDescent="0.25">
      <c r="A114">
        <v>113</v>
      </c>
      <c r="B114">
        <v>2026</v>
      </c>
      <c r="C114">
        <v>3</v>
      </c>
      <c r="D114">
        <v>173</v>
      </c>
      <c r="E114">
        <v>2</v>
      </c>
      <c r="F114" t="str">
        <v>99BQ963</v>
      </c>
      <c r="G114">
        <v>28</v>
      </c>
      <c r="H114" t="str">
        <v>single</v>
      </c>
      <c r="J114">
        <v>1</v>
      </c>
      <c r="K114" s="19">
        <v>46082</v>
      </c>
    </row>
    <row r="115" spans="1:11" x14ac:dyDescent="0.25">
      <c r="A115">
        <v>114</v>
      </c>
      <c r="B115">
        <v>2026</v>
      </c>
      <c r="C115">
        <v>4</v>
      </c>
      <c r="D115">
        <v>173</v>
      </c>
      <c r="E115">
        <v>2</v>
      </c>
      <c r="F115" t="str">
        <v>99BQ963</v>
      </c>
      <c r="G115">
        <v>6</v>
      </c>
      <c r="H115" t="str">
        <v>single</v>
      </c>
      <c r="J115">
        <v>1</v>
      </c>
      <c r="K115" s="19">
        <v>46113</v>
      </c>
    </row>
    <row r="116" spans="1:11" x14ac:dyDescent="0.25">
      <c r="A116">
        <v>115</v>
      </c>
      <c r="B116">
        <v>2026</v>
      </c>
      <c r="C116">
        <v>3</v>
      </c>
      <c r="D116">
        <v>182</v>
      </c>
      <c r="E116">
        <v>2</v>
      </c>
      <c r="F116" t="str">
        <v>99MD834</v>
      </c>
      <c r="G116">
        <v>31</v>
      </c>
      <c r="H116" t="str">
        <v>single</v>
      </c>
      <c r="J116">
        <v>3</v>
      </c>
      <c r="K116" s="19">
        <v>46082</v>
      </c>
    </row>
    <row r="117" spans="1:11" x14ac:dyDescent="0.25">
      <c r="A117">
        <v>116</v>
      </c>
      <c r="B117">
        <v>2026</v>
      </c>
      <c r="C117">
        <v>3</v>
      </c>
      <c r="D117">
        <v>182</v>
      </c>
      <c r="E117">
        <v>2</v>
      </c>
      <c r="F117" t="str">
        <v>77VS178</v>
      </c>
      <c r="G117">
        <v>27</v>
      </c>
      <c r="H117" t="str">
        <v>single</v>
      </c>
      <c r="J117">
        <v>4</v>
      </c>
      <c r="K117" s="19">
        <v>46082</v>
      </c>
    </row>
    <row r="118" spans="1:11" x14ac:dyDescent="0.25">
      <c r="A118">
        <v>117</v>
      </c>
      <c r="B118">
        <v>2026</v>
      </c>
      <c r="C118">
        <v>3</v>
      </c>
      <c r="D118">
        <v>182</v>
      </c>
      <c r="E118">
        <v>2</v>
      </c>
      <c r="F118" t="str">
        <v>77VS178</v>
      </c>
      <c r="G118">
        <v>3</v>
      </c>
      <c r="H118" t="str">
        <v>hour</v>
      </c>
      <c r="J118">
        <v>5</v>
      </c>
      <c r="K118" s="19">
        <v>46082</v>
      </c>
    </row>
    <row r="119" spans="1:11" x14ac:dyDescent="0.25">
      <c r="A119">
        <v>118</v>
      </c>
      <c r="B119">
        <v>2025</v>
      </c>
      <c r="C119">
        <v>4</v>
      </c>
      <c r="D119">
        <v>31</v>
      </c>
      <c r="E119">
        <v>3</v>
      </c>
      <c r="F119" t="str">
        <v>99HZ395</v>
      </c>
      <c r="G119">
        <v>33</v>
      </c>
      <c r="H119" t="str">
        <v>single</v>
      </c>
      <c r="J119">
        <v>3</v>
      </c>
      <c r="K119" s="19">
        <v>45748</v>
      </c>
    </row>
    <row r="120" spans="1:11" x14ac:dyDescent="0.25">
      <c r="A120">
        <v>119</v>
      </c>
      <c r="B120">
        <v>2025</v>
      </c>
      <c r="C120">
        <v>4</v>
      </c>
      <c r="D120">
        <v>31</v>
      </c>
      <c r="E120">
        <v>3</v>
      </c>
      <c r="F120" t="str">
        <v>90ZP408</v>
      </c>
      <c r="G120">
        <v>30</v>
      </c>
      <c r="H120" t="str">
        <v>single</v>
      </c>
      <c r="J120">
        <v>11</v>
      </c>
      <c r="K120" s="19">
        <v>45748</v>
      </c>
    </row>
    <row r="121" spans="1:11" x14ac:dyDescent="0.25">
      <c r="A121">
        <v>120</v>
      </c>
      <c r="B121">
        <v>2025</v>
      </c>
      <c r="C121">
        <v>4</v>
      </c>
      <c r="D121">
        <v>31</v>
      </c>
      <c r="E121">
        <v>3</v>
      </c>
      <c r="F121" t="str">
        <v>66CC029</v>
      </c>
      <c r="G121">
        <v>30</v>
      </c>
      <c r="H121" t="str">
        <v>single</v>
      </c>
      <c r="J121">
        <v>15</v>
      </c>
      <c r="K121" s="19">
        <v>45748</v>
      </c>
    </row>
    <row r="122" spans="1:11" x14ac:dyDescent="0.25">
      <c r="A122">
        <v>121</v>
      </c>
      <c r="B122">
        <v>2025</v>
      </c>
      <c r="C122">
        <v>4</v>
      </c>
      <c r="D122">
        <v>31</v>
      </c>
      <c r="E122">
        <v>3</v>
      </c>
      <c r="F122" t="str">
        <v>77QK725</v>
      </c>
      <c r="G122">
        <v>20</v>
      </c>
      <c r="H122" t="str">
        <v>single</v>
      </c>
      <c r="J122">
        <v>17</v>
      </c>
      <c r="K122" s="19">
        <v>45748</v>
      </c>
    </row>
    <row r="123" spans="1:11" x14ac:dyDescent="0.25">
      <c r="A123">
        <v>122</v>
      </c>
      <c r="B123">
        <v>2025</v>
      </c>
      <c r="C123">
        <v>4</v>
      </c>
      <c r="D123">
        <v>31</v>
      </c>
      <c r="E123">
        <v>3</v>
      </c>
      <c r="F123" t="str">
        <v>77AT386</v>
      </c>
      <c r="G123">
        <v>30</v>
      </c>
      <c r="H123" t="str">
        <v>single</v>
      </c>
      <c r="J123">
        <v>13</v>
      </c>
      <c r="K123" s="19">
        <v>45748</v>
      </c>
    </row>
    <row r="124" spans="1:11" x14ac:dyDescent="0.25">
      <c r="A124">
        <v>123</v>
      </c>
      <c r="B124">
        <v>2025</v>
      </c>
      <c r="C124">
        <v>4</v>
      </c>
      <c r="D124">
        <v>31</v>
      </c>
      <c r="E124">
        <v>3</v>
      </c>
      <c r="F124" t="str">
        <v>90SL686</v>
      </c>
      <c r="G124">
        <v>31</v>
      </c>
      <c r="H124" t="str">
        <v>single</v>
      </c>
      <c r="J124">
        <v>19</v>
      </c>
      <c r="K124" s="19">
        <v>45748</v>
      </c>
    </row>
    <row r="125" spans="1:11" x14ac:dyDescent="0.25">
      <c r="A125">
        <v>124</v>
      </c>
      <c r="B125">
        <v>2025</v>
      </c>
      <c r="C125">
        <v>4</v>
      </c>
      <c r="D125">
        <v>31</v>
      </c>
      <c r="E125">
        <v>3</v>
      </c>
      <c r="F125" t="str">
        <v>55CB633</v>
      </c>
      <c r="G125">
        <v>30</v>
      </c>
      <c r="H125" t="str">
        <v>single</v>
      </c>
      <c r="J125">
        <v>57</v>
      </c>
      <c r="K125" s="19">
        <v>45748</v>
      </c>
    </row>
    <row r="126" spans="1:11" x14ac:dyDescent="0.25">
      <c r="A126">
        <v>125</v>
      </c>
      <c r="B126">
        <v>2025</v>
      </c>
      <c r="C126">
        <v>4</v>
      </c>
      <c r="D126">
        <v>31</v>
      </c>
      <c r="E126">
        <v>3</v>
      </c>
      <c r="F126" t="str">
        <v>99BT339</v>
      </c>
      <c r="G126">
        <v>30</v>
      </c>
      <c r="H126" t="str">
        <v>single</v>
      </c>
      <c r="J126">
        <v>93</v>
      </c>
      <c r="K126" s="19">
        <v>45748</v>
      </c>
    </row>
    <row r="127" spans="1:11" x14ac:dyDescent="0.25">
      <c r="A127">
        <v>126</v>
      </c>
      <c r="B127">
        <v>2025</v>
      </c>
      <c r="C127">
        <v>4</v>
      </c>
      <c r="D127">
        <v>31</v>
      </c>
      <c r="E127">
        <v>3</v>
      </c>
      <c r="F127" t="str">
        <v>77ET143</v>
      </c>
      <c r="G127">
        <v>30</v>
      </c>
      <c r="H127" t="str">
        <v>single</v>
      </c>
      <c r="J127">
        <v>59</v>
      </c>
      <c r="K127" s="19">
        <v>45748</v>
      </c>
    </row>
    <row r="128" spans="1:11" x14ac:dyDescent="0.25">
      <c r="A128">
        <v>127</v>
      </c>
      <c r="B128">
        <v>2025</v>
      </c>
      <c r="C128">
        <v>4</v>
      </c>
      <c r="D128">
        <v>31</v>
      </c>
      <c r="E128">
        <v>3</v>
      </c>
      <c r="F128" t="str">
        <v>50DK730</v>
      </c>
      <c r="G128">
        <v>30</v>
      </c>
      <c r="H128" t="str">
        <v>single</v>
      </c>
      <c r="J128">
        <v>47</v>
      </c>
      <c r="K128" s="19">
        <v>45748</v>
      </c>
    </row>
    <row r="129" spans="1:11" x14ac:dyDescent="0.25">
      <c r="A129">
        <v>128</v>
      </c>
      <c r="B129">
        <v>2025</v>
      </c>
      <c r="C129">
        <v>4</v>
      </c>
      <c r="D129">
        <v>31</v>
      </c>
      <c r="E129">
        <v>3</v>
      </c>
      <c r="F129" t="str">
        <v>99MN472</v>
      </c>
      <c r="G129">
        <v>30</v>
      </c>
      <c r="H129" t="str">
        <v>single</v>
      </c>
      <c r="J129">
        <v>108</v>
      </c>
      <c r="K129" s="19">
        <v>45748</v>
      </c>
    </row>
    <row r="130" spans="1:11" x14ac:dyDescent="0.25">
      <c r="A130">
        <v>129</v>
      </c>
      <c r="B130">
        <v>2025</v>
      </c>
      <c r="C130">
        <v>4</v>
      </c>
      <c r="D130">
        <v>31</v>
      </c>
      <c r="E130">
        <v>3</v>
      </c>
      <c r="F130" t="str">
        <v>52BK688</v>
      </c>
      <c r="G130">
        <v>5</v>
      </c>
      <c r="H130" t="str">
        <v>single</v>
      </c>
      <c r="J130">
        <v>51</v>
      </c>
      <c r="K130" s="19">
        <v>45748</v>
      </c>
    </row>
    <row r="131" spans="1:11" x14ac:dyDescent="0.25">
      <c r="A131">
        <v>130</v>
      </c>
      <c r="B131">
        <v>2025</v>
      </c>
      <c r="C131">
        <v>4</v>
      </c>
      <c r="D131">
        <v>31</v>
      </c>
      <c r="E131">
        <v>3</v>
      </c>
      <c r="F131" t="str">
        <v>77RN868</v>
      </c>
      <c r="G131">
        <v>31</v>
      </c>
      <c r="H131" t="str">
        <v>single</v>
      </c>
      <c r="J131">
        <v>71</v>
      </c>
      <c r="K131" s="19">
        <v>45748</v>
      </c>
    </row>
    <row r="132" spans="1:11" x14ac:dyDescent="0.25">
      <c r="A132">
        <v>131</v>
      </c>
      <c r="B132">
        <v>2025</v>
      </c>
      <c r="C132">
        <v>4</v>
      </c>
      <c r="D132">
        <v>31</v>
      </c>
      <c r="E132">
        <v>3</v>
      </c>
      <c r="F132" t="str">
        <v>99LM412</v>
      </c>
      <c r="G132">
        <v>30</v>
      </c>
      <c r="H132" t="str">
        <v>single</v>
      </c>
      <c r="J132">
        <v>116</v>
      </c>
      <c r="K132" s="19">
        <v>45748</v>
      </c>
    </row>
    <row r="133" spans="1:11" x14ac:dyDescent="0.25">
      <c r="A133">
        <v>132</v>
      </c>
      <c r="B133">
        <v>2025</v>
      </c>
      <c r="C133">
        <v>4</v>
      </c>
      <c r="D133">
        <v>31</v>
      </c>
      <c r="E133">
        <v>3</v>
      </c>
      <c r="F133" t="str">
        <v>50BD165</v>
      </c>
      <c r="G133">
        <v>25</v>
      </c>
      <c r="H133" t="str">
        <v>single</v>
      </c>
      <c r="J133">
        <v>41</v>
      </c>
      <c r="K133" s="19">
        <v>45748</v>
      </c>
    </row>
    <row r="134" spans="1:11" x14ac:dyDescent="0.25">
      <c r="A134">
        <v>133</v>
      </c>
      <c r="B134">
        <v>2025</v>
      </c>
      <c r="C134">
        <v>4</v>
      </c>
      <c r="D134">
        <v>31</v>
      </c>
      <c r="E134">
        <v>3</v>
      </c>
      <c r="F134" t="str">
        <v>77QE133</v>
      </c>
      <c r="G134">
        <v>7</v>
      </c>
      <c r="H134" t="str">
        <v>single</v>
      </c>
      <c r="J134">
        <v>69</v>
      </c>
      <c r="K134" s="19">
        <v>45748</v>
      </c>
    </row>
    <row r="135" spans="1:11" x14ac:dyDescent="0.25">
      <c r="A135">
        <v>134</v>
      </c>
      <c r="B135">
        <v>2025</v>
      </c>
      <c r="C135">
        <v>4</v>
      </c>
      <c r="D135">
        <v>31</v>
      </c>
      <c r="E135">
        <v>3</v>
      </c>
      <c r="F135" t="str">
        <v>90ZP408</v>
      </c>
      <c r="G135">
        <v>15.299999999999976</v>
      </c>
      <c r="H135" t="str">
        <v>hour</v>
      </c>
      <c r="J135">
        <v>12</v>
      </c>
      <c r="K135" s="19">
        <v>45748</v>
      </c>
    </row>
    <row r="136" spans="1:11" x14ac:dyDescent="0.25">
      <c r="A136">
        <v>135</v>
      </c>
      <c r="B136">
        <v>2025</v>
      </c>
      <c r="C136">
        <v>4</v>
      </c>
      <c r="D136">
        <v>31</v>
      </c>
      <c r="E136">
        <v>3</v>
      </c>
      <c r="F136" t="str">
        <v>66CC029</v>
      </c>
      <c r="G136">
        <v>99.999999999999986</v>
      </c>
      <c r="H136" t="str">
        <v>hour</v>
      </c>
      <c r="J136">
        <v>16</v>
      </c>
      <c r="K136" s="19">
        <v>45748</v>
      </c>
    </row>
    <row r="137" spans="1:11" x14ac:dyDescent="0.25">
      <c r="A137">
        <v>136</v>
      </c>
      <c r="B137">
        <v>2025</v>
      </c>
      <c r="C137">
        <v>4</v>
      </c>
      <c r="D137">
        <v>31</v>
      </c>
      <c r="E137">
        <v>3</v>
      </c>
      <c r="F137" t="str">
        <v>90SL686</v>
      </c>
      <c r="G137">
        <v>67.84999999999998</v>
      </c>
      <c r="H137" t="str">
        <v>hour</v>
      </c>
      <c r="J137">
        <v>20</v>
      </c>
      <c r="K137" s="19">
        <v>45748</v>
      </c>
    </row>
    <row r="138" spans="1:11" x14ac:dyDescent="0.25">
      <c r="A138">
        <v>137</v>
      </c>
      <c r="B138">
        <v>2025</v>
      </c>
      <c r="C138">
        <v>4</v>
      </c>
      <c r="D138">
        <v>31</v>
      </c>
      <c r="E138">
        <v>3</v>
      </c>
      <c r="F138" t="str">
        <v>55CB633</v>
      </c>
      <c r="G138">
        <v>69.999999999999986</v>
      </c>
      <c r="H138" t="str">
        <v>hour</v>
      </c>
      <c r="J138">
        <v>56</v>
      </c>
      <c r="K138" s="19">
        <v>45748</v>
      </c>
    </row>
    <row r="139" spans="1:11" x14ac:dyDescent="0.25">
      <c r="A139">
        <v>138</v>
      </c>
      <c r="B139">
        <v>2025</v>
      </c>
      <c r="C139">
        <v>4</v>
      </c>
      <c r="D139">
        <v>31</v>
      </c>
      <c r="E139">
        <v>3</v>
      </c>
      <c r="F139" t="str">
        <v>99BT339</v>
      </c>
      <c r="G139">
        <v>36.999999999999957</v>
      </c>
      <c r="H139" t="str">
        <v>hour</v>
      </c>
      <c r="J139">
        <v>92</v>
      </c>
      <c r="K139" s="19">
        <v>45748</v>
      </c>
    </row>
    <row r="140" spans="1:11" x14ac:dyDescent="0.25">
      <c r="A140">
        <v>139</v>
      </c>
      <c r="B140">
        <v>2025</v>
      </c>
      <c r="C140">
        <v>4</v>
      </c>
      <c r="D140">
        <v>31</v>
      </c>
      <c r="E140">
        <v>3</v>
      </c>
      <c r="F140" t="str">
        <v>50DK730</v>
      </c>
      <c r="G140">
        <v>94.999999999999986</v>
      </c>
      <c r="H140" t="str">
        <v>hour</v>
      </c>
      <c r="J140">
        <v>46</v>
      </c>
      <c r="K140" s="19">
        <v>45748</v>
      </c>
    </row>
    <row r="141" spans="1:11" x14ac:dyDescent="0.25">
      <c r="A141">
        <v>140</v>
      </c>
      <c r="B141">
        <v>2025</v>
      </c>
      <c r="C141">
        <v>4</v>
      </c>
      <c r="D141">
        <v>31</v>
      </c>
      <c r="E141">
        <v>3</v>
      </c>
      <c r="F141" t="str">
        <v>99MN472</v>
      </c>
      <c r="G141">
        <v>61.999999999999943</v>
      </c>
      <c r="H141" t="str">
        <v>hour</v>
      </c>
      <c r="J141">
        <v>107</v>
      </c>
      <c r="K141" s="19">
        <v>45748</v>
      </c>
    </row>
    <row r="142" spans="1:11" x14ac:dyDescent="0.25">
      <c r="A142">
        <v>141</v>
      </c>
      <c r="B142">
        <v>2025</v>
      </c>
      <c r="C142">
        <v>4</v>
      </c>
      <c r="D142">
        <v>31</v>
      </c>
      <c r="E142">
        <v>3</v>
      </c>
      <c r="F142" t="str">
        <v>52BK688</v>
      </c>
      <c r="G142">
        <v>64.5</v>
      </c>
      <c r="H142" t="str">
        <v>hour</v>
      </c>
      <c r="J142">
        <v>50</v>
      </c>
      <c r="K142" s="19">
        <v>45748</v>
      </c>
    </row>
    <row r="143" spans="1:11" x14ac:dyDescent="0.25">
      <c r="A143">
        <v>142</v>
      </c>
      <c r="B143">
        <v>2025</v>
      </c>
      <c r="C143">
        <v>4</v>
      </c>
      <c r="D143">
        <v>31</v>
      </c>
      <c r="E143">
        <v>3</v>
      </c>
      <c r="F143" t="str">
        <v>99LM412</v>
      </c>
      <c r="G143">
        <v>49.799999999999969</v>
      </c>
      <c r="H143" t="str">
        <v>hour</v>
      </c>
      <c r="J143">
        <v>115</v>
      </c>
      <c r="K143" s="19">
        <v>45748</v>
      </c>
    </row>
    <row r="144" spans="1:11" x14ac:dyDescent="0.25">
      <c r="A144">
        <v>143</v>
      </c>
      <c r="B144">
        <v>2025</v>
      </c>
      <c r="C144">
        <v>4</v>
      </c>
      <c r="D144">
        <v>31</v>
      </c>
      <c r="E144">
        <v>3</v>
      </c>
      <c r="F144" t="str">
        <v>50BD165</v>
      </c>
      <c r="G144">
        <v>20.999999999999972</v>
      </c>
      <c r="H144" t="str">
        <v>hour</v>
      </c>
      <c r="J144">
        <v>40</v>
      </c>
      <c r="K144" s="19">
        <v>45748</v>
      </c>
    </row>
    <row r="145" spans="1:11" x14ac:dyDescent="0.25">
      <c r="A145">
        <v>144</v>
      </c>
      <c r="B145">
        <v>2025</v>
      </c>
      <c r="C145">
        <v>7</v>
      </c>
      <c r="D145">
        <v>46</v>
      </c>
      <c r="E145">
        <v>3</v>
      </c>
      <c r="F145" t="str">
        <v>110FY523</v>
      </c>
      <c r="G145">
        <v>27.34</v>
      </c>
      <c r="H145" t="str">
        <v>single</v>
      </c>
      <c r="J145">
        <v>1</v>
      </c>
      <c r="K145" s="19">
        <v>45839</v>
      </c>
    </row>
    <row r="146" spans="1:11" x14ac:dyDescent="0.25">
      <c r="A146">
        <v>145</v>
      </c>
      <c r="B146">
        <v>2025</v>
      </c>
      <c r="C146">
        <v>7</v>
      </c>
      <c r="D146">
        <v>46</v>
      </c>
      <c r="E146">
        <v>3</v>
      </c>
      <c r="F146" t="str">
        <v>110FY524</v>
      </c>
      <c r="G146">
        <v>29</v>
      </c>
      <c r="H146" t="str">
        <v>single</v>
      </c>
      <c r="J146">
        <v>7</v>
      </c>
      <c r="K146" s="19">
        <v>45839</v>
      </c>
    </row>
    <row r="147" spans="1:11" x14ac:dyDescent="0.25">
      <c r="A147">
        <v>146</v>
      </c>
      <c r="B147">
        <v>2025</v>
      </c>
      <c r="C147">
        <v>7</v>
      </c>
      <c r="D147">
        <v>46</v>
      </c>
      <c r="E147">
        <v>3</v>
      </c>
      <c r="F147" t="str">
        <v>10AD801</v>
      </c>
      <c r="G147">
        <v>16</v>
      </c>
      <c r="H147" t="str">
        <v>single</v>
      </c>
      <c r="J147">
        <v>4</v>
      </c>
      <c r="K147" s="19">
        <v>45839</v>
      </c>
    </row>
    <row r="148" spans="1:11" x14ac:dyDescent="0.25">
      <c r="A148">
        <v>147</v>
      </c>
      <c r="B148">
        <v>2025</v>
      </c>
      <c r="C148">
        <v>7</v>
      </c>
      <c r="D148">
        <v>46</v>
      </c>
      <c r="E148">
        <v>3</v>
      </c>
      <c r="F148" t="str">
        <v>10AD801</v>
      </c>
      <c r="G148">
        <v>13</v>
      </c>
      <c r="H148" t="str">
        <v>double</v>
      </c>
      <c r="J148">
        <v>5</v>
      </c>
      <c r="K148" s="19">
        <v>45839</v>
      </c>
    </row>
    <row r="149" spans="1:11" x14ac:dyDescent="0.25">
      <c r="A149">
        <v>148</v>
      </c>
      <c r="B149">
        <v>2025</v>
      </c>
      <c r="C149">
        <v>8</v>
      </c>
      <c r="D149">
        <v>50</v>
      </c>
      <c r="E149">
        <v>3</v>
      </c>
      <c r="F149" t="str">
        <v>61AB256</v>
      </c>
      <c r="G149">
        <v>29</v>
      </c>
      <c r="H149" t="str">
        <v>single</v>
      </c>
      <c r="J149">
        <v>1</v>
      </c>
      <c r="K149" s="19">
        <v>45870</v>
      </c>
    </row>
    <row r="150" spans="1:11" x14ac:dyDescent="0.25">
      <c r="A150">
        <v>149</v>
      </c>
      <c r="B150">
        <v>2025</v>
      </c>
      <c r="C150">
        <v>10</v>
      </c>
      <c r="D150">
        <v>51</v>
      </c>
      <c r="E150">
        <v>3</v>
      </c>
      <c r="F150" t="str">
        <v>10BA857</v>
      </c>
      <c r="G150">
        <v>31</v>
      </c>
      <c r="H150" t="str">
        <v>single</v>
      </c>
      <c r="J150">
        <v>3</v>
      </c>
      <c r="K150" s="19">
        <v>45931</v>
      </c>
    </row>
    <row r="151" spans="1:11" x14ac:dyDescent="0.25">
      <c r="A151">
        <v>150</v>
      </c>
      <c r="B151">
        <v>2025</v>
      </c>
      <c r="C151">
        <v>10</v>
      </c>
      <c r="D151">
        <v>51</v>
      </c>
      <c r="E151">
        <v>3</v>
      </c>
      <c r="F151" t="str">
        <v>10BA857</v>
      </c>
      <c r="G151">
        <v>45.999999999999972</v>
      </c>
      <c r="H151" t="str">
        <v>hour</v>
      </c>
      <c r="J151">
        <v>4</v>
      </c>
      <c r="K151" s="19">
        <v>45931</v>
      </c>
    </row>
    <row r="152" spans="1:11" x14ac:dyDescent="0.25">
      <c r="A152">
        <v>151</v>
      </c>
      <c r="B152">
        <v>2025</v>
      </c>
      <c r="C152">
        <v>5</v>
      </c>
      <c r="D152">
        <v>52</v>
      </c>
      <c r="E152">
        <v>3</v>
      </c>
      <c r="F152" t="str">
        <v>10BC326</v>
      </c>
      <c r="G152">
        <v>27</v>
      </c>
      <c r="H152" t="str">
        <v>single</v>
      </c>
      <c r="J152">
        <v>3</v>
      </c>
      <c r="K152" s="19">
        <v>45778</v>
      </c>
    </row>
    <row r="153" spans="1:11" x14ac:dyDescent="0.25">
      <c r="A153">
        <v>152</v>
      </c>
      <c r="B153">
        <v>2025</v>
      </c>
      <c r="C153">
        <v>6</v>
      </c>
      <c r="D153">
        <v>52</v>
      </c>
      <c r="E153">
        <v>3</v>
      </c>
      <c r="F153" t="str">
        <v>10AC750</v>
      </c>
      <c r="G153">
        <v>18.5</v>
      </c>
      <c r="H153" t="str">
        <v>single</v>
      </c>
      <c r="J153">
        <v>1</v>
      </c>
      <c r="K153" s="19">
        <v>45809</v>
      </c>
    </row>
    <row r="154" spans="1:11" x14ac:dyDescent="0.25">
      <c r="A154">
        <v>153</v>
      </c>
      <c r="B154">
        <v>2025</v>
      </c>
      <c r="C154">
        <v>7</v>
      </c>
      <c r="D154">
        <v>65</v>
      </c>
      <c r="E154">
        <v>3</v>
      </c>
      <c r="F154" t="str">
        <v>01BA176</v>
      </c>
      <c r="G154">
        <v>29</v>
      </c>
      <c r="H154" t="str">
        <v>single</v>
      </c>
      <c r="J154">
        <v>1</v>
      </c>
      <c r="K154" s="19">
        <v>45839</v>
      </c>
    </row>
    <row r="155" spans="1:11" x14ac:dyDescent="0.25">
      <c r="A155">
        <v>154</v>
      </c>
      <c r="B155">
        <v>2025</v>
      </c>
      <c r="C155">
        <v>7</v>
      </c>
      <c r="D155">
        <v>65</v>
      </c>
      <c r="E155">
        <v>3</v>
      </c>
      <c r="F155" t="str">
        <v>10BD252</v>
      </c>
      <c r="G155">
        <v>18</v>
      </c>
      <c r="H155" t="str">
        <v>single</v>
      </c>
      <c r="J155">
        <v>2</v>
      </c>
      <c r="K155" s="19">
        <v>45839</v>
      </c>
    </row>
    <row r="156" spans="1:11" x14ac:dyDescent="0.25">
      <c r="A156">
        <v>155</v>
      </c>
      <c r="B156">
        <v>2025</v>
      </c>
      <c r="C156">
        <v>8</v>
      </c>
      <c r="D156">
        <v>85</v>
      </c>
      <c r="E156">
        <v>3</v>
      </c>
      <c r="F156" t="str">
        <v>77SN951</v>
      </c>
      <c r="G156">
        <v>29</v>
      </c>
      <c r="H156" t="str">
        <v>single</v>
      </c>
      <c r="J156">
        <v>1</v>
      </c>
      <c r="K156" s="19">
        <v>45870</v>
      </c>
    </row>
    <row r="157" spans="1:11" x14ac:dyDescent="0.25">
      <c r="A157">
        <v>156</v>
      </c>
      <c r="B157">
        <v>2025</v>
      </c>
      <c r="C157">
        <v>8</v>
      </c>
      <c r="D157">
        <v>85</v>
      </c>
      <c r="E157">
        <v>3</v>
      </c>
      <c r="F157" t="str">
        <v>77SN951</v>
      </c>
      <c r="G157">
        <v>36.999999999999979</v>
      </c>
      <c r="H157" t="str">
        <v>hour</v>
      </c>
      <c r="J157">
        <v>2</v>
      </c>
      <c r="K157" s="19">
        <v>45870</v>
      </c>
    </row>
    <row r="158" spans="1:11" x14ac:dyDescent="0.25">
      <c r="A158">
        <v>157</v>
      </c>
      <c r="B158">
        <v>2025</v>
      </c>
      <c r="C158">
        <v>8</v>
      </c>
      <c r="D158">
        <v>94</v>
      </c>
      <c r="E158">
        <v>3</v>
      </c>
      <c r="F158" t="str">
        <v>54BM823</v>
      </c>
      <c r="G158">
        <v>31</v>
      </c>
      <c r="H158" t="str">
        <v>single</v>
      </c>
      <c r="J158">
        <v>1</v>
      </c>
      <c r="K158" s="19">
        <v>45870</v>
      </c>
    </row>
    <row r="159" spans="1:11" x14ac:dyDescent="0.25">
      <c r="A159">
        <v>158</v>
      </c>
      <c r="B159">
        <v>2025</v>
      </c>
      <c r="C159">
        <v>8</v>
      </c>
      <c r="D159">
        <v>94</v>
      </c>
      <c r="E159">
        <v>3</v>
      </c>
      <c r="F159" t="str">
        <v>01BT754</v>
      </c>
      <c r="G159">
        <v>31</v>
      </c>
      <c r="H159" t="str">
        <v>single</v>
      </c>
      <c r="J159">
        <v>3</v>
      </c>
      <c r="K159" s="19">
        <v>45870</v>
      </c>
    </row>
    <row r="160" spans="1:11" x14ac:dyDescent="0.25">
      <c r="A160">
        <v>159</v>
      </c>
      <c r="B160">
        <v>2025</v>
      </c>
      <c r="C160">
        <v>8</v>
      </c>
      <c r="D160">
        <v>94</v>
      </c>
      <c r="E160">
        <v>3</v>
      </c>
      <c r="F160" t="str">
        <v>10MF640</v>
      </c>
      <c r="G160">
        <v>22</v>
      </c>
      <c r="H160" t="str">
        <v>single</v>
      </c>
      <c r="J160">
        <v>4</v>
      </c>
      <c r="K160" s="19">
        <v>45870</v>
      </c>
    </row>
    <row r="161" spans="1:11" x14ac:dyDescent="0.25">
      <c r="A161">
        <v>160</v>
      </c>
      <c r="B161">
        <v>2025</v>
      </c>
      <c r="C161">
        <v>8</v>
      </c>
      <c r="D161">
        <v>94</v>
      </c>
      <c r="E161">
        <v>3</v>
      </c>
      <c r="F161" t="str">
        <v>10MF640</v>
      </c>
      <c r="G161">
        <v>39.000000000000014</v>
      </c>
      <c r="H161" t="str">
        <v>hour</v>
      </c>
      <c r="J161">
        <v>5</v>
      </c>
      <c r="K161" s="19">
        <v>45870</v>
      </c>
    </row>
    <row r="162" spans="1:11" x14ac:dyDescent="0.25">
      <c r="A162">
        <v>161</v>
      </c>
      <c r="B162">
        <v>2025</v>
      </c>
      <c r="C162">
        <v>9</v>
      </c>
      <c r="D162">
        <v>95</v>
      </c>
      <c r="E162">
        <v>3</v>
      </c>
      <c r="F162" t="str">
        <v>54BA209</v>
      </c>
      <c r="G162">
        <v>24</v>
      </c>
      <c r="H162" t="str">
        <v>single</v>
      </c>
      <c r="J162">
        <v>1</v>
      </c>
      <c r="K162" s="19">
        <v>45901</v>
      </c>
    </row>
    <row r="163" spans="1:11" x14ac:dyDescent="0.25">
      <c r="A163">
        <v>162</v>
      </c>
      <c r="B163">
        <v>2025</v>
      </c>
      <c r="C163">
        <v>9</v>
      </c>
      <c r="D163">
        <v>98</v>
      </c>
      <c r="E163">
        <v>3</v>
      </c>
      <c r="F163" t="str">
        <v>50BD416</v>
      </c>
      <c r="G163">
        <v>27</v>
      </c>
      <c r="H163" t="str">
        <v>single</v>
      </c>
      <c r="J163">
        <v>1</v>
      </c>
      <c r="K163" s="19">
        <v>45901</v>
      </c>
    </row>
    <row r="164" spans="1:11" x14ac:dyDescent="0.25">
      <c r="A164">
        <v>163</v>
      </c>
      <c r="B164">
        <v>2025</v>
      </c>
      <c r="C164">
        <v>9</v>
      </c>
      <c r="D164">
        <v>98</v>
      </c>
      <c r="E164">
        <v>3</v>
      </c>
      <c r="F164" t="str">
        <v>50BD416</v>
      </c>
      <c r="G164">
        <v>6.9999999999999947</v>
      </c>
      <c r="H164" t="str">
        <v>hour</v>
      </c>
      <c r="J164">
        <v>2</v>
      </c>
      <c r="K164" s="19">
        <v>45901</v>
      </c>
    </row>
    <row r="165" spans="1:11" x14ac:dyDescent="0.25">
      <c r="A165">
        <v>164</v>
      </c>
      <c r="B165">
        <v>2025</v>
      </c>
      <c r="C165">
        <v>9</v>
      </c>
      <c r="D165">
        <v>99</v>
      </c>
      <c r="E165">
        <v>3</v>
      </c>
      <c r="F165" t="str">
        <v>50BX301</v>
      </c>
      <c r="G165">
        <v>29</v>
      </c>
      <c r="H165" t="str">
        <v>single</v>
      </c>
      <c r="J165">
        <v>1</v>
      </c>
      <c r="K165" s="19">
        <v>45901</v>
      </c>
    </row>
    <row r="166" spans="1:11" x14ac:dyDescent="0.25">
      <c r="A166">
        <v>165</v>
      </c>
      <c r="B166">
        <v>2025</v>
      </c>
      <c r="C166">
        <v>9</v>
      </c>
      <c r="D166">
        <v>99</v>
      </c>
      <c r="E166">
        <v>3</v>
      </c>
      <c r="F166" t="str">
        <v>50BX301</v>
      </c>
      <c r="G166">
        <v>43</v>
      </c>
      <c r="H166" t="str">
        <v>hour</v>
      </c>
      <c r="J166">
        <v>2</v>
      </c>
      <c r="K166" s="19">
        <v>45901</v>
      </c>
    </row>
    <row r="167" spans="1:11" x14ac:dyDescent="0.25">
      <c r="A167">
        <v>166</v>
      </c>
      <c r="B167">
        <v>2025</v>
      </c>
      <c r="C167">
        <v>9</v>
      </c>
      <c r="D167">
        <v>100</v>
      </c>
      <c r="E167">
        <v>3</v>
      </c>
      <c r="F167" t="str">
        <v>22AB273</v>
      </c>
      <c r="G167">
        <v>26</v>
      </c>
      <c r="H167" t="str">
        <v>single</v>
      </c>
      <c r="J167">
        <v>1</v>
      </c>
      <c r="K167" s="19">
        <v>45901</v>
      </c>
    </row>
    <row r="168" spans="1:11" x14ac:dyDescent="0.25">
      <c r="A168">
        <v>167</v>
      </c>
      <c r="B168">
        <v>2025</v>
      </c>
      <c r="C168">
        <v>10</v>
      </c>
      <c r="D168">
        <v>102</v>
      </c>
      <c r="E168">
        <v>3</v>
      </c>
      <c r="F168" t="str">
        <v>99HQ687</v>
      </c>
      <c r="G168">
        <v>31</v>
      </c>
      <c r="H168" t="str">
        <v>single</v>
      </c>
      <c r="J168">
        <v>1</v>
      </c>
      <c r="K168" s="19">
        <v>45931</v>
      </c>
    </row>
    <row r="169" spans="1:11" x14ac:dyDescent="0.25">
      <c r="A169">
        <v>168</v>
      </c>
      <c r="B169">
        <v>2025</v>
      </c>
      <c r="C169">
        <v>10</v>
      </c>
      <c r="D169">
        <v>102</v>
      </c>
      <c r="E169">
        <v>3</v>
      </c>
      <c r="F169" t="str">
        <v>10MF640</v>
      </c>
      <c r="G169">
        <v>31</v>
      </c>
      <c r="H169" t="str">
        <v>single</v>
      </c>
      <c r="J169">
        <v>3</v>
      </c>
      <c r="K169" s="19">
        <v>45931</v>
      </c>
    </row>
    <row r="170" spans="1:11" x14ac:dyDescent="0.25">
      <c r="A170">
        <v>169</v>
      </c>
      <c r="B170">
        <v>2025</v>
      </c>
      <c r="C170">
        <v>10</v>
      </c>
      <c r="D170">
        <v>102</v>
      </c>
      <c r="E170">
        <v>3</v>
      </c>
      <c r="F170" t="str">
        <v>54BM823</v>
      </c>
      <c r="G170">
        <v>31</v>
      </c>
      <c r="H170" t="str">
        <v>single</v>
      </c>
      <c r="J170">
        <v>5</v>
      </c>
      <c r="K170" s="19">
        <v>45931</v>
      </c>
    </row>
    <row r="171" spans="1:11" x14ac:dyDescent="0.25">
      <c r="A171">
        <v>170</v>
      </c>
      <c r="B171">
        <v>2025</v>
      </c>
      <c r="C171">
        <v>10</v>
      </c>
      <c r="D171">
        <v>102</v>
      </c>
      <c r="E171">
        <v>3</v>
      </c>
      <c r="F171" t="str">
        <v>10MF640</v>
      </c>
      <c r="G171">
        <v>55</v>
      </c>
      <c r="H171" t="str">
        <v>hour</v>
      </c>
      <c r="J171">
        <v>4</v>
      </c>
      <c r="K171" s="19">
        <v>45931</v>
      </c>
    </row>
    <row r="172" spans="1:11" x14ac:dyDescent="0.25">
      <c r="A172">
        <v>171</v>
      </c>
      <c r="B172">
        <v>2025</v>
      </c>
      <c r="C172">
        <v>10</v>
      </c>
      <c r="D172">
        <v>110</v>
      </c>
      <c r="E172">
        <v>3</v>
      </c>
      <c r="F172" t="str">
        <v>99XC106</v>
      </c>
      <c r="G172">
        <v>30</v>
      </c>
      <c r="H172" t="str">
        <v>single</v>
      </c>
      <c r="J172">
        <v>1</v>
      </c>
      <c r="K172" s="19">
        <v>45931</v>
      </c>
    </row>
    <row r="173" spans="1:11" x14ac:dyDescent="0.25">
      <c r="A173">
        <v>172</v>
      </c>
      <c r="B173">
        <v>2025</v>
      </c>
      <c r="C173">
        <v>12</v>
      </c>
      <c r="D173">
        <v>121</v>
      </c>
      <c r="E173">
        <v>3</v>
      </c>
      <c r="F173" t="str">
        <v>11BC843</v>
      </c>
      <c r="G173">
        <v>28</v>
      </c>
      <c r="H173" t="str">
        <v>single</v>
      </c>
      <c r="J173">
        <v>1</v>
      </c>
      <c r="K173" s="19">
        <v>45992</v>
      </c>
    </row>
    <row r="174" spans="1:11" x14ac:dyDescent="0.25">
      <c r="A174">
        <v>173</v>
      </c>
      <c r="B174">
        <v>2026</v>
      </c>
      <c r="C174">
        <v>1</v>
      </c>
      <c r="D174">
        <v>141</v>
      </c>
      <c r="E174">
        <v>3</v>
      </c>
      <c r="F174" t="str">
        <v>10V288</v>
      </c>
      <c r="G174">
        <v>19</v>
      </c>
      <c r="H174" t="str">
        <v>single</v>
      </c>
      <c r="J174">
        <v>1</v>
      </c>
      <c r="K174" s="19">
        <v>46023</v>
      </c>
    </row>
    <row r="175" spans="1:11" x14ac:dyDescent="0.25">
      <c r="A175">
        <v>174</v>
      </c>
      <c r="B175">
        <v>2026</v>
      </c>
      <c r="C175">
        <v>1</v>
      </c>
      <c r="D175">
        <v>141</v>
      </c>
      <c r="E175">
        <v>3</v>
      </c>
      <c r="F175" t="str">
        <v>10V288</v>
      </c>
      <c r="G175">
        <v>36</v>
      </c>
      <c r="H175" t="str">
        <v>hour</v>
      </c>
      <c r="J175">
        <v>2</v>
      </c>
      <c r="K175" s="19">
        <v>46023</v>
      </c>
    </row>
    <row r="176" spans="1:11" x14ac:dyDescent="0.25">
      <c r="A176">
        <v>175</v>
      </c>
      <c r="B176">
        <v>2026</v>
      </c>
      <c r="C176">
        <v>3</v>
      </c>
      <c r="D176">
        <v>163</v>
      </c>
      <c r="E176">
        <v>3</v>
      </c>
      <c r="F176" t="str">
        <v>110FA930</v>
      </c>
      <c r="G176">
        <v>27</v>
      </c>
      <c r="H176" t="str">
        <v>single</v>
      </c>
      <c r="J176">
        <v>1</v>
      </c>
      <c r="K176" s="19">
        <v>46082</v>
      </c>
    </row>
    <row r="177" spans="1:11" x14ac:dyDescent="0.25">
      <c r="A177">
        <v>176</v>
      </c>
      <c r="B177">
        <v>2025</v>
      </c>
      <c r="C177">
        <v>5</v>
      </c>
      <c r="D177">
        <v>31</v>
      </c>
      <c r="E177">
        <v>4</v>
      </c>
      <c r="F177" t="str">
        <v>99HZ395</v>
      </c>
      <c r="G177">
        <v>30</v>
      </c>
      <c r="H177" t="str">
        <v>single</v>
      </c>
      <c r="J177">
        <v>3</v>
      </c>
      <c r="K177" s="19">
        <v>45778</v>
      </c>
    </row>
    <row r="178" spans="1:11" x14ac:dyDescent="0.25">
      <c r="A178">
        <v>177</v>
      </c>
      <c r="B178">
        <v>2025</v>
      </c>
      <c r="C178">
        <v>5</v>
      </c>
      <c r="D178">
        <v>31</v>
      </c>
      <c r="E178">
        <v>4</v>
      </c>
      <c r="F178" t="str">
        <v>90ZP408</v>
      </c>
      <c r="G178">
        <v>26</v>
      </c>
      <c r="H178" t="str">
        <v>single</v>
      </c>
      <c r="J178">
        <v>11</v>
      </c>
      <c r="K178" s="19">
        <v>45778</v>
      </c>
    </row>
    <row r="179" spans="1:11" x14ac:dyDescent="0.25">
      <c r="A179">
        <v>178</v>
      </c>
      <c r="B179">
        <v>2025</v>
      </c>
      <c r="C179">
        <v>5</v>
      </c>
      <c r="D179">
        <v>31</v>
      </c>
      <c r="E179">
        <v>4</v>
      </c>
      <c r="F179" t="str">
        <v>66CC029</v>
      </c>
      <c r="G179">
        <v>31</v>
      </c>
      <c r="H179" t="str">
        <v>single</v>
      </c>
      <c r="J179">
        <v>15</v>
      </c>
      <c r="K179" s="19">
        <v>45778</v>
      </c>
    </row>
    <row r="180" spans="1:11" x14ac:dyDescent="0.25">
      <c r="A180">
        <v>179</v>
      </c>
      <c r="B180">
        <v>2025</v>
      </c>
      <c r="C180">
        <v>5</v>
      </c>
      <c r="D180">
        <v>31</v>
      </c>
      <c r="E180">
        <v>4</v>
      </c>
      <c r="F180" t="str">
        <v>77QK725</v>
      </c>
      <c r="G180">
        <v>15</v>
      </c>
      <c r="H180" t="str">
        <v>single</v>
      </c>
      <c r="J180">
        <v>17</v>
      </c>
      <c r="K180" s="19">
        <v>45778</v>
      </c>
    </row>
    <row r="181" spans="1:11" x14ac:dyDescent="0.25">
      <c r="A181">
        <v>180</v>
      </c>
      <c r="B181">
        <v>2025</v>
      </c>
      <c r="C181">
        <v>5</v>
      </c>
      <c r="D181">
        <v>31</v>
      </c>
      <c r="E181">
        <v>4</v>
      </c>
      <c r="F181" t="str">
        <v>77AT386</v>
      </c>
      <c r="G181">
        <v>31</v>
      </c>
      <c r="H181" t="str">
        <v>single</v>
      </c>
      <c r="J181">
        <v>13</v>
      </c>
      <c r="K181" s="19">
        <v>45778</v>
      </c>
    </row>
    <row r="182" spans="1:11" x14ac:dyDescent="0.25">
      <c r="A182">
        <v>181</v>
      </c>
      <c r="B182">
        <v>2025</v>
      </c>
      <c r="C182">
        <v>5</v>
      </c>
      <c r="D182">
        <v>31</v>
      </c>
      <c r="E182">
        <v>4</v>
      </c>
      <c r="F182" t="str">
        <v>90SL686</v>
      </c>
      <c r="G182">
        <v>31</v>
      </c>
      <c r="H182" t="str">
        <v>single</v>
      </c>
      <c r="J182">
        <v>19</v>
      </c>
      <c r="K182" s="19">
        <v>45778</v>
      </c>
    </row>
    <row r="183" spans="1:11" x14ac:dyDescent="0.25">
      <c r="A183">
        <v>182</v>
      </c>
      <c r="B183">
        <v>2025</v>
      </c>
      <c r="C183">
        <v>5</v>
      </c>
      <c r="D183">
        <v>31</v>
      </c>
      <c r="E183">
        <v>4</v>
      </c>
      <c r="F183" t="str">
        <v>55CB633</v>
      </c>
      <c r="G183">
        <v>29</v>
      </c>
      <c r="H183" t="str">
        <v>single</v>
      </c>
      <c r="J183">
        <v>57</v>
      </c>
      <c r="K183" s="19">
        <v>45778</v>
      </c>
    </row>
    <row r="184" spans="1:11" x14ac:dyDescent="0.25">
      <c r="A184">
        <v>183</v>
      </c>
      <c r="B184">
        <v>2025</v>
      </c>
      <c r="C184">
        <v>5</v>
      </c>
      <c r="D184">
        <v>31</v>
      </c>
      <c r="E184">
        <v>4</v>
      </c>
      <c r="F184" t="str">
        <v>99BT339</v>
      </c>
      <c r="G184">
        <v>39</v>
      </c>
      <c r="H184" t="str">
        <v>single</v>
      </c>
      <c r="J184">
        <v>93</v>
      </c>
      <c r="K184" s="19">
        <v>45778</v>
      </c>
    </row>
    <row r="185" spans="1:11" x14ac:dyDescent="0.25">
      <c r="A185">
        <v>184</v>
      </c>
      <c r="B185">
        <v>2025</v>
      </c>
      <c r="C185">
        <v>5</v>
      </c>
      <c r="D185">
        <v>31</v>
      </c>
      <c r="E185">
        <v>4</v>
      </c>
      <c r="F185" t="str">
        <v>77ET143</v>
      </c>
      <c r="G185">
        <v>30</v>
      </c>
      <c r="H185" t="str">
        <v>single</v>
      </c>
      <c r="J185">
        <v>59</v>
      </c>
      <c r="K185" s="19">
        <v>45778</v>
      </c>
    </row>
    <row r="186" spans="1:11" x14ac:dyDescent="0.25">
      <c r="A186">
        <v>185</v>
      </c>
      <c r="B186">
        <v>2025</v>
      </c>
      <c r="C186">
        <v>5</v>
      </c>
      <c r="D186">
        <v>31</v>
      </c>
      <c r="E186">
        <v>4</v>
      </c>
      <c r="F186" t="str">
        <v>50DK730</v>
      </c>
      <c r="G186">
        <v>31</v>
      </c>
      <c r="H186" t="str">
        <v>single</v>
      </c>
      <c r="J186">
        <v>47</v>
      </c>
      <c r="K186" s="19">
        <v>45778</v>
      </c>
    </row>
    <row r="187" spans="1:11" x14ac:dyDescent="0.25">
      <c r="A187">
        <v>186</v>
      </c>
      <c r="B187">
        <v>2025</v>
      </c>
      <c r="C187">
        <v>5</v>
      </c>
      <c r="D187">
        <v>31</v>
      </c>
      <c r="E187">
        <v>4</v>
      </c>
      <c r="F187" t="str">
        <v>99MN472</v>
      </c>
      <c r="G187">
        <v>31</v>
      </c>
      <c r="H187" t="str">
        <v>single</v>
      </c>
      <c r="J187">
        <v>108</v>
      </c>
      <c r="K187" s="19">
        <v>45778</v>
      </c>
    </row>
    <row r="188" spans="1:11" x14ac:dyDescent="0.25">
      <c r="A188">
        <v>187</v>
      </c>
      <c r="B188">
        <v>2025</v>
      </c>
      <c r="C188">
        <v>5</v>
      </c>
      <c r="D188">
        <v>31</v>
      </c>
      <c r="E188">
        <v>4</v>
      </c>
      <c r="F188" t="str">
        <v>99LM412</v>
      </c>
      <c r="G188">
        <v>31</v>
      </c>
      <c r="H188" t="str">
        <v>single</v>
      </c>
      <c r="J188">
        <v>116</v>
      </c>
      <c r="K188" s="19">
        <v>45778</v>
      </c>
    </row>
    <row r="189" spans="1:11" x14ac:dyDescent="0.25">
      <c r="A189">
        <v>188</v>
      </c>
      <c r="B189">
        <v>2025</v>
      </c>
      <c r="C189">
        <v>5</v>
      </c>
      <c r="D189">
        <v>31</v>
      </c>
      <c r="E189">
        <v>4</v>
      </c>
      <c r="F189" t="str">
        <v>50BD165</v>
      </c>
      <c r="G189">
        <v>31</v>
      </c>
      <c r="H189" t="str">
        <v>single</v>
      </c>
      <c r="J189">
        <v>41</v>
      </c>
      <c r="K189" s="19">
        <v>45778</v>
      </c>
    </row>
    <row r="190" spans="1:11" x14ac:dyDescent="0.25">
      <c r="A190">
        <v>189</v>
      </c>
      <c r="B190">
        <v>2025</v>
      </c>
      <c r="C190">
        <v>5</v>
      </c>
      <c r="D190">
        <v>31</v>
      </c>
      <c r="E190">
        <v>4</v>
      </c>
      <c r="F190" t="str">
        <v>77QE133</v>
      </c>
      <c r="G190">
        <v>28</v>
      </c>
      <c r="H190" t="str">
        <v>single</v>
      </c>
      <c r="J190">
        <v>69</v>
      </c>
      <c r="K190" s="19">
        <v>45778</v>
      </c>
    </row>
    <row r="191" spans="1:11" x14ac:dyDescent="0.25">
      <c r="A191">
        <v>190</v>
      </c>
      <c r="B191">
        <v>2025</v>
      </c>
      <c r="C191">
        <v>5</v>
      </c>
      <c r="D191">
        <v>31</v>
      </c>
      <c r="E191">
        <v>4</v>
      </c>
      <c r="F191" t="str">
        <v>90VS316</v>
      </c>
      <c r="G191">
        <v>30</v>
      </c>
      <c r="H191" t="str">
        <v>single</v>
      </c>
      <c r="J191">
        <v>87</v>
      </c>
      <c r="K191" s="19">
        <v>45778</v>
      </c>
    </row>
    <row r="192" spans="1:11" x14ac:dyDescent="0.25">
      <c r="A192">
        <v>191</v>
      </c>
      <c r="B192">
        <v>2025</v>
      </c>
      <c r="C192">
        <v>5</v>
      </c>
      <c r="D192">
        <v>31</v>
      </c>
      <c r="E192">
        <v>4</v>
      </c>
      <c r="F192" t="str">
        <v>99EM163</v>
      </c>
      <c r="G192">
        <v>4</v>
      </c>
      <c r="H192" t="str">
        <v>single</v>
      </c>
      <c r="J192">
        <v>100</v>
      </c>
      <c r="K192" s="19">
        <v>45778</v>
      </c>
    </row>
    <row r="193" spans="1:11" x14ac:dyDescent="0.25">
      <c r="A193">
        <v>192</v>
      </c>
      <c r="B193">
        <v>2025</v>
      </c>
      <c r="C193">
        <v>5</v>
      </c>
      <c r="D193">
        <v>31</v>
      </c>
      <c r="E193">
        <v>4</v>
      </c>
      <c r="F193" t="str">
        <v>53BB774</v>
      </c>
      <c r="G193">
        <v>4</v>
      </c>
      <c r="H193" t="str">
        <v>single</v>
      </c>
      <c r="J193">
        <v>53</v>
      </c>
      <c r="K193" s="19">
        <v>45778</v>
      </c>
    </row>
    <row r="194" spans="1:11" x14ac:dyDescent="0.25">
      <c r="A194">
        <v>193</v>
      </c>
      <c r="B194">
        <v>2025</v>
      </c>
      <c r="C194">
        <v>5</v>
      </c>
      <c r="D194">
        <v>31</v>
      </c>
      <c r="E194">
        <v>4</v>
      </c>
      <c r="F194" t="str">
        <v>66CC029</v>
      </c>
      <c r="G194">
        <v>93</v>
      </c>
      <c r="H194" t="str">
        <v>hour</v>
      </c>
      <c r="J194">
        <v>16</v>
      </c>
      <c r="K194" s="19">
        <v>45778</v>
      </c>
    </row>
    <row r="195" spans="1:11" x14ac:dyDescent="0.25">
      <c r="A195">
        <v>194</v>
      </c>
      <c r="B195">
        <v>2025</v>
      </c>
      <c r="C195">
        <v>5</v>
      </c>
      <c r="D195">
        <v>31</v>
      </c>
      <c r="E195">
        <v>4</v>
      </c>
      <c r="F195" t="str">
        <v>90SL686</v>
      </c>
      <c r="G195">
        <v>82.499999999999986</v>
      </c>
      <c r="H195" t="str">
        <v>hour</v>
      </c>
      <c r="J195">
        <v>20</v>
      </c>
      <c r="K195" s="19">
        <v>45778</v>
      </c>
    </row>
    <row r="196" spans="1:11" x14ac:dyDescent="0.25">
      <c r="A196">
        <v>195</v>
      </c>
      <c r="B196">
        <v>2025</v>
      </c>
      <c r="C196">
        <v>5</v>
      </c>
      <c r="D196">
        <v>31</v>
      </c>
      <c r="E196">
        <v>4</v>
      </c>
      <c r="F196" t="str">
        <v>55CB633</v>
      </c>
      <c r="G196">
        <v>68.999999999999972</v>
      </c>
      <c r="H196" t="str">
        <v>hour</v>
      </c>
      <c r="J196">
        <v>56</v>
      </c>
      <c r="K196" s="19">
        <v>45778</v>
      </c>
    </row>
    <row r="197" spans="1:11" x14ac:dyDescent="0.25">
      <c r="A197">
        <v>196</v>
      </c>
      <c r="B197">
        <v>2025</v>
      </c>
      <c r="C197">
        <v>5</v>
      </c>
      <c r="D197">
        <v>31</v>
      </c>
      <c r="E197">
        <v>4</v>
      </c>
      <c r="F197" t="str">
        <v>99BT339</v>
      </c>
      <c r="G197">
        <v>39.999999999999957</v>
      </c>
      <c r="H197" t="str">
        <v>hour</v>
      </c>
      <c r="J197">
        <v>92</v>
      </c>
      <c r="K197" s="19">
        <v>45778</v>
      </c>
    </row>
    <row r="198" spans="1:11" x14ac:dyDescent="0.25">
      <c r="A198">
        <v>197</v>
      </c>
      <c r="B198">
        <v>2025</v>
      </c>
      <c r="C198">
        <v>5</v>
      </c>
      <c r="D198">
        <v>31</v>
      </c>
      <c r="E198">
        <v>4</v>
      </c>
      <c r="F198" t="str">
        <v>50DK730</v>
      </c>
      <c r="G198">
        <v>99.999999999999986</v>
      </c>
      <c r="H198" t="str">
        <v>hour</v>
      </c>
      <c r="J198">
        <v>46</v>
      </c>
      <c r="K198" s="19">
        <v>45778</v>
      </c>
    </row>
    <row r="199" spans="1:11" x14ac:dyDescent="0.25">
      <c r="A199">
        <v>198</v>
      </c>
      <c r="B199">
        <v>2025</v>
      </c>
      <c r="C199">
        <v>5</v>
      </c>
      <c r="D199">
        <v>31</v>
      </c>
      <c r="E199">
        <v>4</v>
      </c>
      <c r="F199" t="str">
        <v>99MN472</v>
      </c>
      <c r="G199">
        <v>61.999999999999943</v>
      </c>
      <c r="H199" t="str">
        <v>hour</v>
      </c>
      <c r="J199">
        <v>107</v>
      </c>
      <c r="K199" s="19">
        <v>45778</v>
      </c>
    </row>
    <row r="200" spans="1:11" x14ac:dyDescent="0.25">
      <c r="A200">
        <v>199</v>
      </c>
      <c r="B200">
        <v>2025</v>
      </c>
      <c r="C200">
        <v>5</v>
      </c>
      <c r="D200">
        <v>31</v>
      </c>
      <c r="E200">
        <v>4</v>
      </c>
      <c r="F200" t="str">
        <v>99LM412</v>
      </c>
      <c r="G200">
        <v>37.999999999999972</v>
      </c>
      <c r="H200" t="str">
        <v>hour</v>
      </c>
      <c r="J200">
        <v>115</v>
      </c>
      <c r="K200" s="19">
        <v>45778</v>
      </c>
    </row>
    <row r="201" spans="1:11" x14ac:dyDescent="0.25">
      <c r="A201">
        <v>200</v>
      </c>
      <c r="B201">
        <v>2025</v>
      </c>
      <c r="C201">
        <v>5</v>
      </c>
      <c r="D201">
        <v>31</v>
      </c>
      <c r="E201">
        <v>4</v>
      </c>
      <c r="F201" t="str">
        <v>50BD165</v>
      </c>
      <c r="G201">
        <v>51.999999999999957</v>
      </c>
      <c r="H201" t="str">
        <v>hour</v>
      </c>
      <c r="J201">
        <v>40</v>
      </c>
      <c r="K201" s="19">
        <v>45778</v>
      </c>
    </row>
    <row r="202" spans="1:11" x14ac:dyDescent="0.25">
      <c r="A202">
        <v>201</v>
      </c>
      <c r="B202">
        <v>2025</v>
      </c>
      <c r="C202">
        <v>5</v>
      </c>
      <c r="D202">
        <v>31</v>
      </c>
      <c r="E202">
        <v>4</v>
      </c>
      <c r="F202" t="str">
        <v>90VS316</v>
      </c>
      <c r="G202">
        <v>48.999999999999972</v>
      </c>
      <c r="H202" t="str">
        <v>hour</v>
      </c>
      <c r="J202">
        <v>86</v>
      </c>
      <c r="K202" s="19">
        <v>45778</v>
      </c>
    </row>
    <row r="203" spans="1:11" x14ac:dyDescent="0.25">
      <c r="A203">
        <v>202</v>
      </c>
      <c r="B203">
        <v>2025</v>
      </c>
      <c r="C203">
        <v>8</v>
      </c>
      <c r="D203">
        <v>46</v>
      </c>
      <c r="E203">
        <v>4</v>
      </c>
      <c r="F203" t="str">
        <v>110FY523</v>
      </c>
      <c r="G203">
        <v>29</v>
      </c>
      <c r="H203" t="str">
        <v>single</v>
      </c>
      <c r="J203">
        <v>1</v>
      </c>
      <c r="K203" s="19">
        <v>45870</v>
      </c>
    </row>
    <row r="204" spans="1:11" x14ac:dyDescent="0.25">
      <c r="A204">
        <v>203</v>
      </c>
      <c r="B204">
        <v>2025</v>
      </c>
      <c r="C204">
        <v>8</v>
      </c>
      <c r="D204">
        <v>46</v>
      </c>
      <c r="E204">
        <v>4</v>
      </c>
      <c r="F204" t="str">
        <v>110FY524</v>
      </c>
      <c r="G204">
        <v>6</v>
      </c>
      <c r="H204" t="str">
        <v>single</v>
      </c>
      <c r="J204">
        <v>7</v>
      </c>
      <c r="K204" s="19">
        <v>45870</v>
      </c>
    </row>
    <row r="205" spans="1:11" x14ac:dyDescent="0.25">
      <c r="A205">
        <v>204</v>
      </c>
      <c r="B205">
        <v>2025</v>
      </c>
      <c r="C205">
        <v>8</v>
      </c>
      <c r="D205">
        <v>46</v>
      </c>
      <c r="E205">
        <v>4</v>
      </c>
      <c r="F205" t="str">
        <v>10AD801</v>
      </c>
      <c r="G205">
        <v>19</v>
      </c>
      <c r="H205" t="str">
        <v>single</v>
      </c>
      <c r="J205">
        <v>4</v>
      </c>
      <c r="K205" s="19">
        <v>45870</v>
      </c>
    </row>
    <row r="206" spans="1:11" x14ac:dyDescent="0.25">
      <c r="A206">
        <v>205</v>
      </c>
      <c r="B206">
        <v>2025</v>
      </c>
      <c r="C206">
        <v>8</v>
      </c>
      <c r="D206">
        <v>46</v>
      </c>
      <c r="E206">
        <v>4</v>
      </c>
      <c r="F206" t="str">
        <v>10AB468</v>
      </c>
      <c r="G206">
        <v>23.5</v>
      </c>
      <c r="H206" t="str">
        <v>single</v>
      </c>
      <c r="J206">
        <v>10</v>
      </c>
      <c r="K206" s="19">
        <v>45870</v>
      </c>
    </row>
    <row r="207" spans="1:11" x14ac:dyDescent="0.25">
      <c r="A207">
        <v>206</v>
      </c>
      <c r="B207">
        <v>2025</v>
      </c>
      <c r="C207">
        <v>8</v>
      </c>
      <c r="D207">
        <v>46</v>
      </c>
      <c r="E207">
        <v>4</v>
      </c>
      <c r="F207" t="str">
        <v>110FY524</v>
      </c>
      <c r="G207">
        <v>23</v>
      </c>
      <c r="H207" t="str">
        <v>double</v>
      </c>
      <c r="J207">
        <v>8</v>
      </c>
      <c r="K207" s="19">
        <v>45870</v>
      </c>
    </row>
    <row r="208" spans="1:11" x14ac:dyDescent="0.25">
      <c r="A208">
        <v>207</v>
      </c>
      <c r="B208">
        <v>2025</v>
      </c>
      <c r="C208">
        <v>8</v>
      </c>
      <c r="D208">
        <v>46</v>
      </c>
      <c r="E208">
        <v>4</v>
      </c>
      <c r="F208" t="str">
        <v>10AD801</v>
      </c>
      <c r="G208">
        <v>10</v>
      </c>
      <c r="H208" t="str">
        <v>double</v>
      </c>
      <c r="J208">
        <v>5</v>
      </c>
      <c r="K208" s="19">
        <v>45870</v>
      </c>
    </row>
    <row r="209" spans="1:11" x14ac:dyDescent="0.25">
      <c r="A209">
        <v>208</v>
      </c>
      <c r="B209">
        <v>2025</v>
      </c>
      <c r="C209">
        <v>9</v>
      </c>
      <c r="D209">
        <v>50</v>
      </c>
      <c r="E209">
        <v>4</v>
      </c>
      <c r="F209" t="str">
        <v>61AB256</v>
      </c>
      <c r="G209">
        <v>27</v>
      </c>
      <c r="H209" t="str">
        <v>single</v>
      </c>
      <c r="J209">
        <v>1</v>
      </c>
      <c r="K209" s="19">
        <v>45901</v>
      </c>
    </row>
    <row r="210" spans="1:11" x14ac:dyDescent="0.25">
      <c r="A210">
        <v>209</v>
      </c>
      <c r="B210">
        <v>2025</v>
      </c>
      <c r="C210">
        <v>11</v>
      </c>
      <c r="D210">
        <v>51</v>
      </c>
      <c r="E210">
        <v>4</v>
      </c>
      <c r="F210" t="str">
        <v>10BA857</v>
      </c>
      <c r="G210">
        <v>29</v>
      </c>
      <c r="H210" t="str">
        <v>single</v>
      </c>
      <c r="J210">
        <v>3</v>
      </c>
      <c r="K210" s="19">
        <v>45962</v>
      </c>
    </row>
    <row r="211" spans="1:11" x14ac:dyDescent="0.25">
      <c r="A211">
        <v>210</v>
      </c>
      <c r="B211">
        <v>2025</v>
      </c>
      <c r="C211">
        <v>11</v>
      </c>
      <c r="D211">
        <v>51</v>
      </c>
      <c r="E211">
        <v>4</v>
      </c>
      <c r="F211" t="str">
        <v>10BA857</v>
      </c>
      <c r="G211">
        <v>46.999999999999972</v>
      </c>
      <c r="H211" t="str">
        <v>hour</v>
      </c>
      <c r="J211">
        <v>4</v>
      </c>
      <c r="K211" s="19">
        <v>45962</v>
      </c>
    </row>
    <row r="212" spans="1:11" x14ac:dyDescent="0.25">
      <c r="A212">
        <v>211</v>
      </c>
      <c r="B212">
        <v>2025</v>
      </c>
      <c r="C212">
        <v>7</v>
      </c>
      <c r="D212">
        <v>52</v>
      </c>
      <c r="E212">
        <v>4</v>
      </c>
      <c r="F212" t="str">
        <v>10AC750</v>
      </c>
      <c r="G212">
        <v>29</v>
      </c>
      <c r="H212" t="str">
        <v>single</v>
      </c>
      <c r="J212">
        <v>1</v>
      </c>
      <c r="K212" s="19">
        <v>45839</v>
      </c>
    </row>
    <row r="213" spans="1:11" x14ac:dyDescent="0.25">
      <c r="A213">
        <v>212</v>
      </c>
      <c r="B213">
        <v>2025</v>
      </c>
      <c r="C213">
        <v>8</v>
      </c>
      <c r="D213">
        <v>65</v>
      </c>
      <c r="E213">
        <v>4</v>
      </c>
      <c r="F213" t="str">
        <v>01BA176</v>
      </c>
      <c r="G213">
        <v>27</v>
      </c>
      <c r="H213" t="str">
        <v>single</v>
      </c>
      <c r="J213">
        <v>1</v>
      </c>
      <c r="K213" s="19">
        <v>45870</v>
      </c>
    </row>
    <row r="214" spans="1:11" x14ac:dyDescent="0.25">
      <c r="A214">
        <v>213</v>
      </c>
      <c r="B214">
        <v>2025</v>
      </c>
      <c r="C214">
        <v>8</v>
      </c>
      <c r="D214">
        <v>65</v>
      </c>
      <c r="E214">
        <v>4</v>
      </c>
      <c r="F214" t="str">
        <v>10BD252</v>
      </c>
      <c r="G214">
        <v>24.5</v>
      </c>
      <c r="H214" t="str">
        <v>single</v>
      </c>
      <c r="J214">
        <v>2</v>
      </c>
      <c r="K214" s="19">
        <v>45870</v>
      </c>
    </row>
    <row r="215" spans="1:11" x14ac:dyDescent="0.25">
      <c r="A215">
        <v>214</v>
      </c>
      <c r="B215">
        <v>2025</v>
      </c>
      <c r="C215">
        <v>9</v>
      </c>
      <c r="D215">
        <v>85</v>
      </c>
      <c r="E215">
        <v>4</v>
      </c>
      <c r="F215" t="str">
        <v>77SN951</v>
      </c>
      <c r="G215">
        <v>28</v>
      </c>
      <c r="H215" t="str">
        <v>single</v>
      </c>
      <c r="J215">
        <v>1</v>
      </c>
      <c r="K215" s="19">
        <v>45901</v>
      </c>
    </row>
    <row r="216" spans="1:11" x14ac:dyDescent="0.25">
      <c r="A216">
        <v>215</v>
      </c>
      <c r="B216">
        <v>2025</v>
      </c>
      <c r="C216">
        <v>9</v>
      </c>
      <c r="D216">
        <v>85</v>
      </c>
      <c r="E216">
        <v>4</v>
      </c>
      <c r="F216" t="str">
        <v>77SN951</v>
      </c>
      <c r="G216">
        <v>30.999999999999979</v>
      </c>
      <c r="H216" t="str">
        <v>hour</v>
      </c>
      <c r="J216">
        <v>2</v>
      </c>
      <c r="K216" s="19">
        <v>45901</v>
      </c>
    </row>
    <row r="217" spans="1:11" x14ac:dyDescent="0.25">
      <c r="A217">
        <v>216</v>
      </c>
      <c r="B217">
        <v>2025</v>
      </c>
      <c r="C217">
        <v>9</v>
      </c>
      <c r="D217">
        <v>94</v>
      </c>
      <c r="E217">
        <v>4</v>
      </c>
      <c r="F217" t="str">
        <v>54BM823</v>
      </c>
      <c r="G217">
        <v>30</v>
      </c>
      <c r="H217" t="str">
        <v>single</v>
      </c>
      <c r="J217">
        <v>1</v>
      </c>
      <c r="K217" s="19">
        <v>45901</v>
      </c>
    </row>
    <row r="218" spans="1:11" x14ac:dyDescent="0.25">
      <c r="A218">
        <v>217</v>
      </c>
      <c r="B218">
        <v>2025</v>
      </c>
      <c r="C218">
        <v>9</v>
      </c>
      <c r="D218">
        <v>94</v>
      </c>
      <c r="E218">
        <v>4</v>
      </c>
      <c r="F218" t="str">
        <v>01BT754</v>
      </c>
      <c r="G218">
        <v>30</v>
      </c>
      <c r="H218" t="str">
        <v>single</v>
      </c>
      <c r="J218">
        <v>3</v>
      </c>
      <c r="K218" s="19">
        <v>45901</v>
      </c>
    </row>
    <row r="219" spans="1:11" x14ac:dyDescent="0.25">
      <c r="A219">
        <v>218</v>
      </c>
      <c r="B219">
        <v>2025</v>
      </c>
      <c r="C219">
        <v>10</v>
      </c>
      <c r="D219">
        <v>95</v>
      </c>
      <c r="E219">
        <v>4</v>
      </c>
      <c r="F219" t="str">
        <v>54BA209</v>
      </c>
      <c r="G219">
        <v>28.5</v>
      </c>
      <c r="H219" t="str">
        <v>single</v>
      </c>
      <c r="J219">
        <v>1</v>
      </c>
      <c r="K219" s="19">
        <v>45931</v>
      </c>
    </row>
    <row r="220" spans="1:11" x14ac:dyDescent="0.25">
      <c r="A220">
        <v>219</v>
      </c>
      <c r="B220">
        <v>2025</v>
      </c>
      <c r="C220">
        <v>10</v>
      </c>
      <c r="D220">
        <v>98</v>
      </c>
      <c r="E220">
        <v>4</v>
      </c>
      <c r="F220" t="str">
        <v>50BD416</v>
      </c>
      <c r="G220">
        <v>28</v>
      </c>
      <c r="H220" t="str">
        <v>single</v>
      </c>
      <c r="J220">
        <v>1</v>
      </c>
      <c r="K220" s="19">
        <v>45931</v>
      </c>
    </row>
    <row r="221" spans="1:11" x14ac:dyDescent="0.25">
      <c r="A221">
        <v>220</v>
      </c>
      <c r="B221">
        <v>2025</v>
      </c>
      <c r="C221">
        <v>10</v>
      </c>
      <c r="D221">
        <v>98</v>
      </c>
      <c r="E221">
        <v>4</v>
      </c>
      <c r="F221" t="str">
        <v>50BD416</v>
      </c>
      <c r="G221">
        <v>9.9999999999999893</v>
      </c>
      <c r="H221" t="str">
        <v>hour</v>
      </c>
      <c r="J221">
        <v>2</v>
      </c>
      <c r="K221" s="19">
        <v>45931</v>
      </c>
    </row>
    <row r="222" spans="1:11" x14ac:dyDescent="0.25">
      <c r="A222">
        <v>221</v>
      </c>
      <c r="B222">
        <v>2025</v>
      </c>
      <c r="C222">
        <v>10</v>
      </c>
      <c r="D222">
        <v>99</v>
      </c>
      <c r="E222">
        <v>4</v>
      </c>
      <c r="F222" t="str">
        <v>50BX301</v>
      </c>
      <c r="G222">
        <v>31</v>
      </c>
      <c r="H222" t="str">
        <v>single</v>
      </c>
      <c r="J222">
        <v>1</v>
      </c>
      <c r="K222" s="19">
        <v>45931</v>
      </c>
    </row>
    <row r="223" spans="1:11" x14ac:dyDescent="0.25">
      <c r="A223">
        <v>222</v>
      </c>
      <c r="B223">
        <v>2025</v>
      </c>
      <c r="C223">
        <v>10</v>
      </c>
      <c r="D223">
        <v>100</v>
      </c>
      <c r="E223">
        <v>4</v>
      </c>
      <c r="F223" t="str">
        <v>22AB273</v>
      </c>
      <c r="G223">
        <v>29</v>
      </c>
      <c r="H223" t="str">
        <v>single</v>
      </c>
      <c r="J223">
        <v>1</v>
      </c>
      <c r="K223" s="19">
        <v>45931</v>
      </c>
    </row>
    <row r="224" spans="1:11" x14ac:dyDescent="0.25">
      <c r="A224">
        <v>223</v>
      </c>
      <c r="B224">
        <v>2025</v>
      </c>
      <c r="C224">
        <v>11</v>
      </c>
      <c r="D224">
        <v>102</v>
      </c>
      <c r="E224">
        <v>4</v>
      </c>
      <c r="F224" t="str">
        <v>99HQ687</v>
      </c>
      <c r="G224">
        <v>19</v>
      </c>
      <c r="H224" t="str">
        <v>single</v>
      </c>
      <c r="J224">
        <v>1</v>
      </c>
      <c r="K224" s="19">
        <v>45962</v>
      </c>
    </row>
    <row r="225" spans="1:11" x14ac:dyDescent="0.25">
      <c r="A225">
        <v>224</v>
      </c>
      <c r="B225">
        <v>2025</v>
      </c>
      <c r="C225">
        <v>11</v>
      </c>
      <c r="D225">
        <v>102</v>
      </c>
      <c r="E225">
        <v>4</v>
      </c>
      <c r="F225" t="str">
        <v>10MF640</v>
      </c>
      <c r="G225">
        <v>29</v>
      </c>
      <c r="H225" t="str">
        <v>single</v>
      </c>
      <c r="J225">
        <v>3</v>
      </c>
      <c r="K225" s="19">
        <v>45962</v>
      </c>
    </row>
    <row r="226" spans="1:11" x14ac:dyDescent="0.25">
      <c r="A226">
        <v>225</v>
      </c>
      <c r="B226">
        <v>2025</v>
      </c>
      <c r="C226">
        <v>11</v>
      </c>
      <c r="D226">
        <v>102</v>
      </c>
      <c r="E226">
        <v>4</v>
      </c>
      <c r="F226" t="str">
        <v>54BM823</v>
      </c>
      <c r="G226">
        <v>28</v>
      </c>
      <c r="H226" t="str">
        <v>single</v>
      </c>
      <c r="J226">
        <v>5</v>
      </c>
      <c r="K226" s="19">
        <v>45962</v>
      </c>
    </row>
    <row r="227" spans="1:11" x14ac:dyDescent="0.25">
      <c r="A227">
        <v>226</v>
      </c>
      <c r="B227">
        <v>2025</v>
      </c>
      <c r="C227">
        <v>11</v>
      </c>
      <c r="D227">
        <v>102</v>
      </c>
      <c r="E227">
        <v>4</v>
      </c>
      <c r="F227" t="str">
        <v>01BT754</v>
      </c>
      <c r="G227">
        <v>26</v>
      </c>
      <c r="H227" t="str">
        <v>single</v>
      </c>
      <c r="J227">
        <v>6</v>
      </c>
      <c r="K227" s="19">
        <v>45962</v>
      </c>
    </row>
    <row r="228" spans="1:11" x14ac:dyDescent="0.25">
      <c r="A228">
        <v>227</v>
      </c>
      <c r="B228">
        <v>2025</v>
      </c>
      <c r="C228">
        <v>11</v>
      </c>
      <c r="D228">
        <v>102</v>
      </c>
      <c r="E228">
        <v>4</v>
      </c>
      <c r="F228" t="str">
        <v>10MF640</v>
      </c>
      <c r="G228">
        <v>28</v>
      </c>
      <c r="H228" t="str">
        <v>hour</v>
      </c>
      <c r="J228">
        <v>4</v>
      </c>
      <c r="K228" s="19">
        <v>45962</v>
      </c>
    </row>
    <row r="229" spans="1:11" x14ac:dyDescent="0.25">
      <c r="A229">
        <v>228</v>
      </c>
      <c r="B229">
        <v>2025</v>
      </c>
      <c r="C229">
        <v>11</v>
      </c>
      <c r="D229">
        <v>110</v>
      </c>
      <c r="E229">
        <v>4</v>
      </c>
      <c r="F229" t="str">
        <v>99XC106</v>
      </c>
      <c r="G229">
        <v>29</v>
      </c>
      <c r="H229" t="str">
        <v>single</v>
      </c>
      <c r="J229">
        <v>1</v>
      </c>
      <c r="K229" s="19">
        <v>45962</v>
      </c>
    </row>
    <row r="230" spans="1:11" x14ac:dyDescent="0.25">
      <c r="A230">
        <v>229</v>
      </c>
      <c r="B230">
        <v>2026</v>
      </c>
      <c r="C230">
        <v>1</v>
      </c>
      <c r="D230">
        <v>121</v>
      </c>
      <c r="E230">
        <v>4</v>
      </c>
      <c r="F230" t="str">
        <v>11BC843</v>
      </c>
      <c r="G230">
        <v>27</v>
      </c>
      <c r="H230" t="str">
        <v>single</v>
      </c>
      <c r="J230">
        <v>1</v>
      </c>
      <c r="K230" s="19">
        <v>46023</v>
      </c>
    </row>
    <row r="231" spans="1:11" x14ac:dyDescent="0.25">
      <c r="A231">
        <v>230</v>
      </c>
      <c r="B231">
        <v>2026</v>
      </c>
      <c r="C231">
        <v>2</v>
      </c>
      <c r="D231">
        <v>141</v>
      </c>
      <c r="E231">
        <v>4</v>
      </c>
      <c r="F231" t="str">
        <v>10V288</v>
      </c>
      <c r="G231">
        <v>17</v>
      </c>
      <c r="H231" t="str">
        <v>single</v>
      </c>
      <c r="J231">
        <v>1</v>
      </c>
      <c r="K231" s="19">
        <v>46054</v>
      </c>
    </row>
    <row r="232" spans="1:11" x14ac:dyDescent="0.25">
      <c r="A232">
        <v>231</v>
      </c>
      <c r="B232">
        <v>2026</v>
      </c>
      <c r="C232">
        <v>2</v>
      </c>
      <c r="D232">
        <v>141</v>
      </c>
      <c r="E232">
        <v>4</v>
      </c>
      <c r="F232" t="str">
        <v>10V288</v>
      </c>
      <c r="G232">
        <v>31</v>
      </c>
      <c r="H232" t="str">
        <v>hour</v>
      </c>
      <c r="J232">
        <v>2</v>
      </c>
      <c r="K232" s="19">
        <v>46054</v>
      </c>
    </row>
    <row r="233" spans="1:11" x14ac:dyDescent="0.25">
      <c r="A233">
        <v>232</v>
      </c>
      <c r="B233">
        <v>2025</v>
      </c>
      <c r="C233">
        <v>6</v>
      </c>
      <c r="D233">
        <v>31</v>
      </c>
      <c r="E233">
        <v>5</v>
      </c>
      <c r="F233" t="str">
        <v>01CC689</v>
      </c>
      <c r="G233">
        <v>29</v>
      </c>
      <c r="H233" t="str">
        <v>single</v>
      </c>
      <c r="J233">
        <v>26</v>
      </c>
      <c r="K233" s="19">
        <v>45809</v>
      </c>
    </row>
    <row r="234" spans="1:11" x14ac:dyDescent="0.25">
      <c r="A234">
        <v>233</v>
      </c>
      <c r="B234">
        <v>2025</v>
      </c>
      <c r="C234">
        <v>6</v>
      </c>
      <c r="D234">
        <v>31</v>
      </c>
      <c r="E234">
        <v>5</v>
      </c>
      <c r="F234" t="str">
        <v>50BD165</v>
      </c>
      <c r="G234">
        <v>28</v>
      </c>
      <c r="H234" t="str">
        <v>single</v>
      </c>
      <c r="J234">
        <v>41</v>
      </c>
      <c r="K234" s="19">
        <v>45809</v>
      </c>
    </row>
    <row r="235" spans="1:11" x14ac:dyDescent="0.25">
      <c r="A235">
        <v>234</v>
      </c>
      <c r="B235">
        <v>2025</v>
      </c>
      <c r="C235">
        <v>6</v>
      </c>
      <c r="D235">
        <v>31</v>
      </c>
      <c r="E235">
        <v>5</v>
      </c>
      <c r="F235" t="str">
        <v>50DK730</v>
      </c>
      <c r="G235">
        <v>29</v>
      </c>
      <c r="H235" t="str">
        <v>single</v>
      </c>
      <c r="J235">
        <v>47</v>
      </c>
      <c r="K235" s="19">
        <v>45809</v>
      </c>
    </row>
    <row r="236" spans="1:11" x14ac:dyDescent="0.25">
      <c r="A236">
        <v>235</v>
      </c>
      <c r="B236">
        <v>2025</v>
      </c>
      <c r="C236">
        <v>6</v>
      </c>
      <c r="D236">
        <v>31</v>
      </c>
      <c r="E236">
        <v>5</v>
      </c>
      <c r="F236" t="str">
        <v>53BB774</v>
      </c>
      <c r="G236">
        <v>28</v>
      </c>
      <c r="H236" t="str">
        <v>single</v>
      </c>
      <c r="J236">
        <v>53</v>
      </c>
      <c r="K236" s="19">
        <v>45809</v>
      </c>
    </row>
    <row r="237" spans="1:11" x14ac:dyDescent="0.25">
      <c r="A237">
        <v>236</v>
      </c>
      <c r="B237">
        <v>2025</v>
      </c>
      <c r="C237">
        <v>6</v>
      </c>
      <c r="D237">
        <v>31</v>
      </c>
      <c r="E237">
        <v>5</v>
      </c>
      <c r="F237" t="str">
        <v>55CB633</v>
      </c>
      <c r="G237">
        <v>27</v>
      </c>
      <c r="H237" t="str">
        <v>single</v>
      </c>
      <c r="J237">
        <v>57</v>
      </c>
      <c r="K237" s="19">
        <v>45809</v>
      </c>
    </row>
    <row r="238" spans="1:11" x14ac:dyDescent="0.25">
      <c r="A238">
        <v>237</v>
      </c>
      <c r="B238">
        <v>2025</v>
      </c>
      <c r="C238">
        <v>6</v>
      </c>
      <c r="D238">
        <v>31</v>
      </c>
      <c r="E238">
        <v>5</v>
      </c>
      <c r="F238" t="str">
        <v>77AT386</v>
      </c>
      <c r="G238">
        <v>30</v>
      </c>
      <c r="H238" t="str">
        <v>single</v>
      </c>
      <c r="J238">
        <v>13</v>
      </c>
      <c r="K238" s="19">
        <v>45809</v>
      </c>
    </row>
    <row r="239" spans="1:11" x14ac:dyDescent="0.25">
      <c r="A239">
        <v>238</v>
      </c>
      <c r="B239">
        <v>2025</v>
      </c>
      <c r="C239">
        <v>6</v>
      </c>
      <c r="D239">
        <v>31</v>
      </c>
      <c r="E239">
        <v>5</v>
      </c>
      <c r="F239" t="str">
        <v>77GR998</v>
      </c>
      <c r="G239">
        <v>1</v>
      </c>
      <c r="H239" t="str">
        <v>single</v>
      </c>
      <c r="J239">
        <v>65</v>
      </c>
      <c r="K239" s="19">
        <v>45809</v>
      </c>
    </row>
    <row r="240" spans="1:11" x14ac:dyDescent="0.25">
      <c r="A240">
        <v>239</v>
      </c>
      <c r="B240">
        <v>2025</v>
      </c>
      <c r="C240">
        <v>6</v>
      </c>
      <c r="D240">
        <v>31</v>
      </c>
      <c r="E240">
        <v>5</v>
      </c>
      <c r="F240" t="str">
        <v>77QE133</v>
      </c>
      <c r="G240">
        <v>32</v>
      </c>
      <c r="H240" t="str">
        <v>single</v>
      </c>
      <c r="J240">
        <v>69</v>
      </c>
      <c r="K240" s="19">
        <v>45809</v>
      </c>
    </row>
    <row r="241" spans="1:11" x14ac:dyDescent="0.25">
      <c r="A241">
        <v>240</v>
      </c>
      <c r="B241">
        <v>2025</v>
      </c>
      <c r="C241">
        <v>6</v>
      </c>
      <c r="D241">
        <v>31</v>
      </c>
      <c r="E241">
        <v>5</v>
      </c>
      <c r="F241" t="str">
        <v>77QK725</v>
      </c>
      <c r="G241">
        <v>15</v>
      </c>
      <c r="H241" t="str">
        <v>single</v>
      </c>
      <c r="J241">
        <v>17</v>
      </c>
      <c r="K241" s="19">
        <v>45809</v>
      </c>
    </row>
    <row r="242" spans="1:11" x14ac:dyDescent="0.25">
      <c r="A242">
        <v>241</v>
      </c>
      <c r="B242">
        <v>2025</v>
      </c>
      <c r="C242">
        <v>6</v>
      </c>
      <c r="D242">
        <v>31</v>
      </c>
      <c r="E242">
        <v>5</v>
      </c>
      <c r="F242" t="str">
        <v>77UR032</v>
      </c>
      <c r="G242">
        <v>27</v>
      </c>
      <c r="H242" t="str">
        <v>single</v>
      </c>
      <c r="J242">
        <v>77</v>
      </c>
      <c r="K242" s="19">
        <v>45809</v>
      </c>
    </row>
    <row r="243" spans="1:11" x14ac:dyDescent="0.25">
      <c r="A243">
        <v>242</v>
      </c>
      <c r="B243">
        <v>2025</v>
      </c>
      <c r="C243">
        <v>6</v>
      </c>
      <c r="D243">
        <v>31</v>
      </c>
      <c r="E243">
        <v>5</v>
      </c>
      <c r="F243" t="str">
        <v>90PY548</v>
      </c>
      <c r="G243">
        <v>27</v>
      </c>
      <c r="H243" t="str">
        <v>single</v>
      </c>
      <c r="J243">
        <v>85</v>
      </c>
      <c r="K243" s="19">
        <v>45809</v>
      </c>
    </row>
    <row r="244" spans="1:11" x14ac:dyDescent="0.25">
      <c r="A244">
        <v>243</v>
      </c>
      <c r="B244">
        <v>2025</v>
      </c>
      <c r="C244">
        <v>6</v>
      </c>
      <c r="D244">
        <v>31</v>
      </c>
      <c r="E244">
        <v>5</v>
      </c>
      <c r="F244" t="str">
        <v>90SL686</v>
      </c>
      <c r="G244">
        <v>29</v>
      </c>
      <c r="H244" t="str">
        <v>single</v>
      </c>
      <c r="J244">
        <v>19</v>
      </c>
      <c r="K244" s="19">
        <v>45809</v>
      </c>
    </row>
    <row r="245" spans="1:11" x14ac:dyDescent="0.25">
      <c r="A245">
        <v>244</v>
      </c>
      <c r="B245">
        <v>2025</v>
      </c>
      <c r="C245">
        <v>6</v>
      </c>
      <c r="D245">
        <v>31</v>
      </c>
      <c r="E245">
        <v>5</v>
      </c>
      <c r="F245" t="str">
        <v>90VS316</v>
      </c>
      <c r="G245">
        <v>27</v>
      </c>
      <c r="H245" t="str">
        <v>single</v>
      </c>
      <c r="J245">
        <v>87</v>
      </c>
      <c r="K245" s="19">
        <v>45809</v>
      </c>
    </row>
    <row r="246" spans="1:11" x14ac:dyDescent="0.25">
      <c r="A246">
        <v>245</v>
      </c>
      <c r="B246">
        <v>2025</v>
      </c>
      <c r="C246">
        <v>6</v>
      </c>
      <c r="D246">
        <v>31</v>
      </c>
      <c r="E246">
        <v>5</v>
      </c>
      <c r="F246" t="str">
        <v>99BT339</v>
      </c>
      <c r="G246">
        <v>-15</v>
      </c>
      <c r="H246" t="str">
        <v>single</v>
      </c>
      <c r="J246">
        <v>93</v>
      </c>
      <c r="K246" s="19">
        <v>45809</v>
      </c>
    </row>
    <row r="247" spans="1:11" x14ac:dyDescent="0.25">
      <c r="A247">
        <v>246</v>
      </c>
      <c r="B247">
        <v>2025</v>
      </c>
      <c r="C247">
        <v>6</v>
      </c>
      <c r="D247">
        <v>31</v>
      </c>
      <c r="E247">
        <v>5</v>
      </c>
      <c r="F247" t="str">
        <v>99EM163</v>
      </c>
      <c r="G247">
        <v>27</v>
      </c>
      <c r="H247" t="str">
        <v>single</v>
      </c>
      <c r="J247">
        <v>100</v>
      </c>
      <c r="K247" s="19">
        <v>45809</v>
      </c>
    </row>
    <row r="248" spans="1:11" x14ac:dyDescent="0.25">
      <c r="A248">
        <v>247</v>
      </c>
      <c r="B248">
        <v>2025</v>
      </c>
      <c r="C248">
        <v>6</v>
      </c>
      <c r="D248">
        <v>31</v>
      </c>
      <c r="E248">
        <v>5</v>
      </c>
      <c r="F248" t="str">
        <v>99HZ395</v>
      </c>
      <c r="G248">
        <v>30</v>
      </c>
      <c r="H248" t="str">
        <v>single</v>
      </c>
      <c r="J248">
        <v>3</v>
      </c>
      <c r="K248" s="19">
        <v>45809</v>
      </c>
    </row>
    <row r="249" spans="1:11" x14ac:dyDescent="0.25">
      <c r="A249">
        <v>248</v>
      </c>
      <c r="B249">
        <v>2025</v>
      </c>
      <c r="C249">
        <v>6</v>
      </c>
      <c r="D249">
        <v>31</v>
      </c>
      <c r="E249">
        <v>5</v>
      </c>
      <c r="F249" t="str">
        <v>99LM412</v>
      </c>
      <c r="G249">
        <v>29</v>
      </c>
      <c r="H249" t="str">
        <v>single</v>
      </c>
      <c r="J249">
        <v>116</v>
      </c>
      <c r="K249" s="19">
        <v>45809</v>
      </c>
    </row>
    <row r="250" spans="1:11" x14ac:dyDescent="0.25">
      <c r="A250">
        <v>249</v>
      </c>
      <c r="B250">
        <v>2025</v>
      </c>
      <c r="C250">
        <v>6</v>
      </c>
      <c r="D250">
        <v>31</v>
      </c>
      <c r="E250">
        <v>5</v>
      </c>
      <c r="F250" t="str">
        <v>99MN472</v>
      </c>
      <c r="G250">
        <v>29</v>
      </c>
      <c r="H250" t="str">
        <v>single</v>
      </c>
      <c r="J250">
        <v>108</v>
      </c>
      <c r="K250" s="19">
        <v>45809</v>
      </c>
    </row>
    <row r="251" spans="1:11" x14ac:dyDescent="0.25">
      <c r="A251">
        <v>250</v>
      </c>
      <c r="B251">
        <v>2025</v>
      </c>
      <c r="C251">
        <v>6</v>
      </c>
      <c r="D251">
        <v>31</v>
      </c>
      <c r="E251">
        <v>5</v>
      </c>
      <c r="F251" t="str">
        <v>77GR998</v>
      </c>
      <c r="G251">
        <v>17</v>
      </c>
      <c r="H251" t="str">
        <v>double</v>
      </c>
      <c r="J251">
        <v>62</v>
      </c>
      <c r="K251" s="19">
        <v>45809</v>
      </c>
    </row>
    <row r="252" spans="1:11" x14ac:dyDescent="0.25">
      <c r="A252">
        <v>251</v>
      </c>
      <c r="B252">
        <v>2025</v>
      </c>
      <c r="C252">
        <v>6</v>
      </c>
      <c r="D252">
        <v>31</v>
      </c>
      <c r="E252">
        <v>5</v>
      </c>
      <c r="F252" t="str">
        <v>99BT339</v>
      </c>
      <c r="G252">
        <v>35</v>
      </c>
      <c r="H252" t="str">
        <v>double</v>
      </c>
      <c r="J252">
        <v>90</v>
      </c>
      <c r="K252" s="19">
        <v>45809</v>
      </c>
    </row>
    <row r="253" spans="1:11" x14ac:dyDescent="0.25">
      <c r="A253">
        <v>252</v>
      </c>
      <c r="B253">
        <v>2025</v>
      </c>
      <c r="C253">
        <v>6</v>
      </c>
      <c r="D253">
        <v>31</v>
      </c>
      <c r="E253">
        <v>5</v>
      </c>
      <c r="F253" t="str">
        <v>01CC689</v>
      </c>
      <c r="G253">
        <v>63</v>
      </c>
      <c r="H253" t="str">
        <v>hour</v>
      </c>
      <c r="J253">
        <v>25</v>
      </c>
      <c r="K253" s="19">
        <v>45809</v>
      </c>
    </row>
    <row r="254" spans="1:11" x14ac:dyDescent="0.25">
      <c r="A254">
        <v>253</v>
      </c>
      <c r="B254">
        <v>2025</v>
      </c>
      <c r="C254">
        <v>6</v>
      </c>
      <c r="D254">
        <v>31</v>
      </c>
      <c r="E254">
        <v>5</v>
      </c>
      <c r="F254" t="str">
        <v>50BD165</v>
      </c>
      <c r="G254">
        <v>75.999999999999986</v>
      </c>
      <c r="H254" t="str">
        <v>hour</v>
      </c>
      <c r="J254">
        <v>40</v>
      </c>
      <c r="K254" s="19">
        <v>45809</v>
      </c>
    </row>
    <row r="255" spans="1:11" x14ac:dyDescent="0.25">
      <c r="A255">
        <v>254</v>
      </c>
      <c r="B255">
        <v>2025</v>
      </c>
      <c r="C255">
        <v>6</v>
      </c>
      <c r="D255">
        <v>31</v>
      </c>
      <c r="E255">
        <v>5</v>
      </c>
      <c r="F255" t="str">
        <v>50DK730</v>
      </c>
      <c r="G255">
        <v>104.99999999999999</v>
      </c>
      <c r="H255" t="str">
        <v>hour</v>
      </c>
      <c r="J255">
        <v>46</v>
      </c>
      <c r="K255" s="19">
        <v>45809</v>
      </c>
    </row>
    <row r="256" spans="1:11" x14ac:dyDescent="0.25">
      <c r="A256">
        <v>255</v>
      </c>
      <c r="B256">
        <v>2025</v>
      </c>
      <c r="C256">
        <v>6</v>
      </c>
      <c r="D256">
        <v>31</v>
      </c>
      <c r="E256">
        <v>5</v>
      </c>
      <c r="F256" t="str">
        <v>53BB774</v>
      </c>
      <c r="G256">
        <v>44.999999999999993</v>
      </c>
      <c r="H256" t="str">
        <v>hour</v>
      </c>
      <c r="J256">
        <v>52</v>
      </c>
      <c r="K256" s="19">
        <v>45809</v>
      </c>
    </row>
    <row r="257" spans="1:11" x14ac:dyDescent="0.25">
      <c r="A257">
        <v>256</v>
      </c>
      <c r="B257">
        <v>2025</v>
      </c>
      <c r="C257">
        <v>6</v>
      </c>
      <c r="D257">
        <v>31</v>
      </c>
      <c r="E257">
        <v>5</v>
      </c>
      <c r="F257" t="str">
        <v>55CB633</v>
      </c>
      <c r="G257">
        <v>35.999999999999986</v>
      </c>
      <c r="H257" t="str">
        <v>hour</v>
      </c>
      <c r="J257">
        <v>56</v>
      </c>
      <c r="K257" s="19">
        <v>45809</v>
      </c>
    </row>
    <row r="258" spans="1:11" x14ac:dyDescent="0.25">
      <c r="A258">
        <v>257</v>
      </c>
      <c r="B258">
        <v>2025</v>
      </c>
      <c r="C258">
        <v>6</v>
      </c>
      <c r="D258">
        <v>31</v>
      </c>
      <c r="E258">
        <v>5</v>
      </c>
      <c r="F258" t="str">
        <v>90SL686</v>
      </c>
      <c r="G258">
        <v>89.499999999999986</v>
      </c>
      <c r="H258" t="str">
        <v>hour</v>
      </c>
      <c r="J258">
        <v>20</v>
      </c>
      <c r="K258" s="19">
        <v>45809</v>
      </c>
    </row>
    <row r="259" spans="1:11" x14ac:dyDescent="0.25">
      <c r="A259">
        <v>258</v>
      </c>
      <c r="B259">
        <v>2025</v>
      </c>
      <c r="C259">
        <v>6</v>
      </c>
      <c r="D259">
        <v>31</v>
      </c>
      <c r="E259">
        <v>5</v>
      </c>
      <c r="F259" t="str">
        <v>90VS316</v>
      </c>
      <c r="G259">
        <v>48.999999999999957</v>
      </c>
      <c r="H259" t="str">
        <v>hour</v>
      </c>
      <c r="J259">
        <v>86</v>
      </c>
      <c r="K259" s="19">
        <v>45809</v>
      </c>
    </row>
    <row r="260" spans="1:11" x14ac:dyDescent="0.25">
      <c r="A260">
        <v>259</v>
      </c>
      <c r="B260">
        <v>2025</v>
      </c>
      <c r="C260">
        <v>6</v>
      </c>
      <c r="D260">
        <v>31</v>
      </c>
      <c r="E260">
        <v>5</v>
      </c>
      <c r="F260" t="str">
        <v>99LM412</v>
      </c>
      <c r="G260">
        <v>39.999999999999943</v>
      </c>
      <c r="H260" t="str">
        <v>hour</v>
      </c>
      <c r="J260">
        <v>115</v>
      </c>
      <c r="K260" s="19">
        <v>45809</v>
      </c>
    </row>
    <row r="261" spans="1:11" x14ac:dyDescent="0.25">
      <c r="A261">
        <v>260</v>
      </c>
      <c r="B261">
        <v>2025</v>
      </c>
      <c r="C261">
        <v>6</v>
      </c>
      <c r="D261">
        <v>31</v>
      </c>
      <c r="E261">
        <v>5</v>
      </c>
      <c r="F261" t="str">
        <v>99MN472</v>
      </c>
      <c r="G261">
        <v>67.999999999999957</v>
      </c>
      <c r="H261" t="str">
        <v>hour</v>
      </c>
      <c r="J261">
        <v>107</v>
      </c>
      <c r="K261" s="19">
        <v>45809</v>
      </c>
    </row>
    <row r="262" spans="1:11" x14ac:dyDescent="0.25">
      <c r="A262">
        <v>261</v>
      </c>
      <c r="B262">
        <v>2025</v>
      </c>
      <c r="C262">
        <v>9</v>
      </c>
      <c r="D262">
        <v>46</v>
      </c>
      <c r="E262">
        <v>5</v>
      </c>
      <c r="F262" t="str">
        <v>110FY523</v>
      </c>
      <c r="G262">
        <v>27</v>
      </c>
      <c r="H262" t="str">
        <v>single</v>
      </c>
      <c r="J262">
        <v>1</v>
      </c>
      <c r="K262" s="19">
        <v>45901</v>
      </c>
    </row>
    <row r="263" spans="1:11" x14ac:dyDescent="0.25">
      <c r="A263">
        <v>262</v>
      </c>
      <c r="B263">
        <v>2025</v>
      </c>
      <c r="C263">
        <v>9</v>
      </c>
      <c r="D263">
        <v>46</v>
      </c>
      <c r="E263">
        <v>5</v>
      </c>
      <c r="F263" t="str">
        <v>110FY524</v>
      </c>
      <c r="G263">
        <v>20</v>
      </c>
      <c r="H263" t="str">
        <v>single</v>
      </c>
      <c r="J263">
        <v>7</v>
      </c>
      <c r="K263" s="19">
        <v>45901</v>
      </c>
    </row>
    <row r="264" spans="1:11" x14ac:dyDescent="0.25">
      <c r="A264">
        <v>263</v>
      </c>
      <c r="B264">
        <v>2025</v>
      </c>
      <c r="C264">
        <v>9</v>
      </c>
      <c r="D264">
        <v>46</v>
      </c>
      <c r="E264">
        <v>5</v>
      </c>
      <c r="F264" t="str">
        <v>10AD801</v>
      </c>
      <c r="G264">
        <v>8</v>
      </c>
      <c r="H264" t="str">
        <v>single</v>
      </c>
      <c r="J264">
        <v>4</v>
      </c>
      <c r="K264" s="19">
        <v>45901</v>
      </c>
    </row>
    <row r="265" spans="1:11" x14ac:dyDescent="0.25">
      <c r="A265">
        <v>264</v>
      </c>
      <c r="B265">
        <v>2025</v>
      </c>
      <c r="C265">
        <v>9</v>
      </c>
      <c r="D265">
        <v>46</v>
      </c>
      <c r="E265">
        <v>5</v>
      </c>
      <c r="F265" t="str">
        <v>10AB468</v>
      </c>
      <c r="G265">
        <v>6</v>
      </c>
      <c r="H265" t="str">
        <v>single</v>
      </c>
      <c r="J265">
        <v>10</v>
      </c>
      <c r="K265" s="19">
        <v>45901</v>
      </c>
    </row>
    <row r="266" spans="1:11" x14ac:dyDescent="0.25">
      <c r="A266">
        <v>265</v>
      </c>
      <c r="B266">
        <v>2025</v>
      </c>
      <c r="C266">
        <v>9</v>
      </c>
      <c r="D266">
        <v>46</v>
      </c>
      <c r="E266">
        <v>5</v>
      </c>
      <c r="F266" t="str">
        <v>110FY524</v>
      </c>
      <c r="G266">
        <v>7</v>
      </c>
      <c r="H266" t="str">
        <v>double</v>
      </c>
      <c r="J266">
        <v>8</v>
      </c>
      <c r="K266" s="19">
        <v>45901</v>
      </c>
    </row>
    <row r="267" spans="1:11" x14ac:dyDescent="0.25">
      <c r="A267">
        <v>266</v>
      </c>
      <c r="B267">
        <v>2025</v>
      </c>
      <c r="C267">
        <v>10</v>
      </c>
      <c r="D267">
        <v>50</v>
      </c>
      <c r="E267">
        <v>5</v>
      </c>
      <c r="F267" t="str">
        <v>61AB256</v>
      </c>
      <c r="G267">
        <v>28</v>
      </c>
      <c r="H267" t="str">
        <v>single</v>
      </c>
      <c r="J267">
        <v>1</v>
      </c>
      <c r="K267" s="19">
        <v>45931</v>
      </c>
    </row>
    <row r="268" spans="1:11" x14ac:dyDescent="0.25">
      <c r="A268">
        <v>267</v>
      </c>
      <c r="B268">
        <v>2025</v>
      </c>
      <c r="C268">
        <v>12</v>
      </c>
      <c r="D268">
        <v>51</v>
      </c>
      <c r="E268">
        <v>5</v>
      </c>
      <c r="F268" t="str">
        <v>10AD015</v>
      </c>
      <c r="G268">
        <v>18</v>
      </c>
      <c r="H268" t="str">
        <v>single</v>
      </c>
      <c r="J268">
        <v>7</v>
      </c>
      <c r="K268" s="19">
        <v>45992</v>
      </c>
    </row>
    <row r="269" spans="1:11" x14ac:dyDescent="0.25">
      <c r="A269">
        <v>268</v>
      </c>
      <c r="B269">
        <v>2025</v>
      </c>
      <c r="C269">
        <v>12</v>
      </c>
      <c r="D269">
        <v>51</v>
      </c>
      <c r="E269">
        <v>5</v>
      </c>
      <c r="F269" t="str">
        <v>10AD071</v>
      </c>
      <c r="G269">
        <v>30</v>
      </c>
      <c r="H269" t="str">
        <v>single</v>
      </c>
      <c r="J269">
        <v>5</v>
      </c>
      <c r="K269" s="19">
        <v>45992</v>
      </c>
    </row>
    <row r="270" spans="1:11" x14ac:dyDescent="0.25">
      <c r="A270">
        <v>269</v>
      </c>
      <c r="B270">
        <v>2025</v>
      </c>
      <c r="C270">
        <v>12</v>
      </c>
      <c r="D270">
        <v>51</v>
      </c>
      <c r="E270">
        <v>5</v>
      </c>
      <c r="F270" t="str">
        <v>10AD071</v>
      </c>
      <c r="G270">
        <v>62.999999999999972</v>
      </c>
      <c r="H270" t="str">
        <v>hour</v>
      </c>
      <c r="J270">
        <v>6</v>
      </c>
      <c r="K270" s="19">
        <v>45992</v>
      </c>
    </row>
    <row r="271" spans="1:11" x14ac:dyDescent="0.25">
      <c r="A271">
        <v>270</v>
      </c>
      <c r="B271">
        <v>2025</v>
      </c>
      <c r="C271">
        <v>9</v>
      </c>
      <c r="D271">
        <v>65</v>
      </c>
      <c r="E271">
        <v>5</v>
      </c>
      <c r="F271" t="str">
        <v>01BA176</v>
      </c>
      <c r="G271">
        <v>27</v>
      </c>
      <c r="H271" t="str">
        <v>single</v>
      </c>
      <c r="J271">
        <v>1</v>
      </c>
      <c r="K271" s="19">
        <v>45901</v>
      </c>
    </row>
    <row r="272" spans="1:11" x14ac:dyDescent="0.25">
      <c r="A272">
        <v>271</v>
      </c>
      <c r="B272">
        <v>2025</v>
      </c>
      <c r="C272">
        <v>9</v>
      </c>
      <c r="D272">
        <v>65</v>
      </c>
      <c r="E272">
        <v>5</v>
      </c>
      <c r="F272" t="str">
        <v>10BD252</v>
      </c>
      <c r="G272">
        <v>28</v>
      </c>
      <c r="H272" t="str">
        <v>single</v>
      </c>
      <c r="J272">
        <v>2</v>
      </c>
      <c r="K272" s="19">
        <v>45901</v>
      </c>
    </row>
    <row r="273" spans="1:11" x14ac:dyDescent="0.25">
      <c r="A273">
        <v>272</v>
      </c>
      <c r="B273">
        <v>2025</v>
      </c>
      <c r="C273">
        <v>10</v>
      </c>
      <c r="D273">
        <v>85</v>
      </c>
      <c r="E273">
        <v>5</v>
      </c>
      <c r="F273" t="str">
        <v>77SN951</v>
      </c>
      <c r="G273">
        <v>29</v>
      </c>
      <c r="H273" t="str">
        <v>single</v>
      </c>
      <c r="J273">
        <v>1</v>
      </c>
      <c r="K273" s="19">
        <v>45931</v>
      </c>
    </row>
    <row r="274" spans="1:11" x14ac:dyDescent="0.25">
      <c r="A274">
        <v>273</v>
      </c>
      <c r="B274">
        <v>2025</v>
      </c>
      <c r="C274">
        <v>10</v>
      </c>
      <c r="D274">
        <v>85</v>
      </c>
      <c r="E274">
        <v>5</v>
      </c>
      <c r="F274" t="str">
        <v>77SN951</v>
      </c>
      <c r="G274">
        <v>6</v>
      </c>
      <c r="H274" t="str">
        <v>hour</v>
      </c>
      <c r="J274">
        <v>2</v>
      </c>
      <c r="K274" s="19">
        <v>45931</v>
      </c>
    </row>
    <row r="275" spans="1:11" x14ac:dyDescent="0.25">
      <c r="A275">
        <v>274</v>
      </c>
      <c r="B275">
        <v>2025</v>
      </c>
      <c r="C275">
        <v>9</v>
      </c>
      <c r="D275">
        <v>94</v>
      </c>
      <c r="E275">
        <v>5</v>
      </c>
      <c r="F275" t="str">
        <v>01BT754</v>
      </c>
      <c r="G275">
        <v>31</v>
      </c>
      <c r="H275" t="str">
        <v>single</v>
      </c>
      <c r="J275">
        <v>3</v>
      </c>
      <c r="K275" s="19">
        <v>45901</v>
      </c>
    </row>
    <row r="276" spans="1:11" x14ac:dyDescent="0.25">
      <c r="A276">
        <v>275</v>
      </c>
      <c r="B276">
        <v>2025</v>
      </c>
      <c r="C276">
        <v>11</v>
      </c>
      <c r="D276">
        <v>95</v>
      </c>
      <c r="E276">
        <v>5</v>
      </c>
      <c r="F276" t="str">
        <v>54BA209</v>
      </c>
      <c r="G276">
        <v>22</v>
      </c>
      <c r="H276" t="str">
        <v>single</v>
      </c>
      <c r="J276">
        <v>1</v>
      </c>
      <c r="K276" s="19">
        <v>45962</v>
      </c>
    </row>
    <row r="277" spans="1:11" x14ac:dyDescent="0.25">
      <c r="A277">
        <v>276</v>
      </c>
      <c r="B277">
        <v>2025</v>
      </c>
      <c r="C277">
        <v>11</v>
      </c>
      <c r="D277">
        <v>98</v>
      </c>
      <c r="E277">
        <v>5</v>
      </c>
      <c r="F277" t="str">
        <v>50BD416</v>
      </c>
      <c r="G277">
        <v>27</v>
      </c>
      <c r="H277" t="str">
        <v>single</v>
      </c>
      <c r="J277">
        <v>1</v>
      </c>
      <c r="K277" s="19">
        <v>45962</v>
      </c>
    </row>
    <row r="278" spans="1:11" x14ac:dyDescent="0.25">
      <c r="A278">
        <v>277</v>
      </c>
      <c r="B278">
        <v>2025</v>
      </c>
      <c r="C278">
        <v>11</v>
      </c>
      <c r="D278">
        <v>98</v>
      </c>
      <c r="E278">
        <v>5</v>
      </c>
      <c r="F278" t="str">
        <v>50BD416</v>
      </c>
      <c r="G278">
        <v>7.9999999999999911</v>
      </c>
      <c r="H278" t="str">
        <v>hour</v>
      </c>
      <c r="J278">
        <v>2</v>
      </c>
      <c r="K278" s="19">
        <v>45962</v>
      </c>
    </row>
    <row r="279" spans="1:11" x14ac:dyDescent="0.25">
      <c r="A279">
        <v>278</v>
      </c>
      <c r="B279">
        <v>2025</v>
      </c>
      <c r="C279">
        <v>11</v>
      </c>
      <c r="D279">
        <v>100</v>
      </c>
      <c r="E279">
        <v>5</v>
      </c>
      <c r="F279" t="str">
        <v>22AB273</v>
      </c>
      <c r="G279">
        <v>28</v>
      </c>
      <c r="H279" t="str">
        <v>single</v>
      </c>
      <c r="J279">
        <v>1</v>
      </c>
      <c r="K279" s="19">
        <v>45962</v>
      </c>
    </row>
    <row r="280" spans="1:11" x14ac:dyDescent="0.25">
      <c r="A280">
        <v>279</v>
      </c>
      <c r="B280">
        <v>2025</v>
      </c>
      <c r="C280">
        <v>12</v>
      </c>
      <c r="D280">
        <v>102</v>
      </c>
      <c r="E280">
        <v>5</v>
      </c>
      <c r="F280" t="str">
        <v>54BM823</v>
      </c>
      <c r="G280">
        <v>26</v>
      </c>
      <c r="H280" t="str">
        <v>single</v>
      </c>
      <c r="J280">
        <v>5</v>
      </c>
      <c r="K280" s="19">
        <v>45992</v>
      </c>
    </row>
    <row r="281" spans="1:11" x14ac:dyDescent="0.25">
      <c r="A281">
        <v>280</v>
      </c>
      <c r="B281">
        <v>2025</v>
      </c>
      <c r="C281">
        <v>12</v>
      </c>
      <c r="D281">
        <v>102</v>
      </c>
      <c r="E281">
        <v>5</v>
      </c>
      <c r="F281" t="str">
        <v>01BT754</v>
      </c>
      <c r="G281">
        <v>30</v>
      </c>
      <c r="H281" t="str">
        <v>single</v>
      </c>
      <c r="J281">
        <v>6</v>
      </c>
      <c r="K281" s="19">
        <v>45992</v>
      </c>
    </row>
    <row r="282" spans="1:11" x14ac:dyDescent="0.25">
      <c r="A282">
        <v>281</v>
      </c>
      <c r="B282">
        <v>2025</v>
      </c>
      <c r="C282">
        <v>12</v>
      </c>
      <c r="D282">
        <v>102</v>
      </c>
      <c r="E282">
        <v>5</v>
      </c>
      <c r="F282" t="str">
        <v>10MF640</v>
      </c>
      <c r="G282">
        <v>30</v>
      </c>
      <c r="H282" t="str">
        <v>single</v>
      </c>
      <c r="J282">
        <v>3</v>
      </c>
      <c r="K282" s="19">
        <v>45992</v>
      </c>
    </row>
    <row r="283" spans="1:11" x14ac:dyDescent="0.25">
      <c r="A283">
        <v>282</v>
      </c>
      <c r="B283">
        <v>2025</v>
      </c>
      <c r="C283">
        <v>12</v>
      </c>
      <c r="D283">
        <v>102</v>
      </c>
      <c r="E283">
        <v>5</v>
      </c>
      <c r="F283" t="str">
        <v>10MF640</v>
      </c>
      <c r="G283">
        <v>35</v>
      </c>
      <c r="H283" t="str">
        <v>hour</v>
      </c>
      <c r="J283">
        <v>4</v>
      </c>
      <c r="K283" s="19">
        <v>45992</v>
      </c>
    </row>
    <row r="284" spans="1:11" x14ac:dyDescent="0.25">
      <c r="A284">
        <v>283</v>
      </c>
      <c r="B284">
        <v>2025</v>
      </c>
      <c r="C284">
        <v>12</v>
      </c>
      <c r="D284">
        <v>110</v>
      </c>
      <c r="E284">
        <v>5</v>
      </c>
      <c r="F284" t="str">
        <v>99XC106</v>
      </c>
      <c r="G284">
        <v>25</v>
      </c>
      <c r="H284" t="str">
        <v>single</v>
      </c>
      <c r="J284">
        <v>1</v>
      </c>
      <c r="K284" s="19">
        <v>45992</v>
      </c>
    </row>
    <row r="285" spans="1:11" x14ac:dyDescent="0.25">
      <c r="A285">
        <v>284</v>
      </c>
      <c r="B285">
        <v>2026</v>
      </c>
      <c r="C285">
        <v>2</v>
      </c>
      <c r="D285">
        <v>121</v>
      </c>
      <c r="E285">
        <v>5</v>
      </c>
      <c r="F285" t="str">
        <v>11BC843</v>
      </c>
      <c r="G285">
        <v>30</v>
      </c>
      <c r="H285" t="str">
        <v>single</v>
      </c>
      <c r="J285">
        <v>1</v>
      </c>
      <c r="K285" s="19">
        <v>46054</v>
      </c>
    </row>
    <row r="286" spans="1:11" x14ac:dyDescent="0.25">
      <c r="A286">
        <v>285</v>
      </c>
      <c r="B286">
        <v>2026</v>
      </c>
      <c r="C286">
        <v>3</v>
      </c>
      <c r="D286">
        <v>141</v>
      </c>
      <c r="E286">
        <v>5</v>
      </c>
      <c r="F286" t="str">
        <v>10V288</v>
      </c>
      <c r="G286">
        <v>27</v>
      </c>
      <c r="H286" t="str">
        <v>single</v>
      </c>
      <c r="J286">
        <v>1</v>
      </c>
      <c r="K286" s="19">
        <v>46082</v>
      </c>
    </row>
    <row r="287" spans="1:11" x14ac:dyDescent="0.25">
      <c r="A287">
        <v>286</v>
      </c>
      <c r="B287">
        <v>2026</v>
      </c>
      <c r="C287">
        <v>3</v>
      </c>
      <c r="D287">
        <v>141</v>
      </c>
      <c r="E287">
        <v>5</v>
      </c>
      <c r="F287" t="str">
        <v>10V288</v>
      </c>
      <c r="G287">
        <v>29</v>
      </c>
      <c r="H287" t="str">
        <v>hour</v>
      </c>
      <c r="J287">
        <v>2</v>
      </c>
      <c r="K287" s="19">
        <v>46082</v>
      </c>
    </row>
    <row r="288" spans="1:11" x14ac:dyDescent="0.25">
      <c r="A288">
        <v>287</v>
      </c>
      <c r="B288">
        <v>2025</v>
      </c>
      <c r="C288">
        <v>7</v>
      </c>
      <c r="D288">
        <v>31</v>
      </c>
      <c r="E288">
        <v>6</v>
      </c>
      <c r="F288" t="str">
        <v>01CC689</v>
      </c>
      <c r="G288">
        <v>31</v>
      </c>
      <c r="H288" t="str">
        <v>single</v>
      </c>
      <c r="J288">
        <v>26</v>
      </c>
      <c r="K288" s="19">
        <v>45839</v>
      </c>
    </row>
    <row r="289" spans="1:11" x14ac:dyDescent="0.25">
      <c r="A289">
        <v>288</v>
      </c>
      <c r="B289">
        <v>2025</v>
      </c>
      <c r="C289">
        <v>7</v>
      </c>
      <c r="D289">
        <v>31</v>
      </c>
      <c r="E289">
        <v>6</v>
      </c>
      <c r="F289" t="str">
        <v>50BD165</v>
      </c>
      <c r="G289">
        <v>30</v>
      </c>
      <c r="H289" t="str">
        <v>single</v>
      </c>
      <c r="J289">
        <v>41</v>
      </c>
      <c r="K289" s="19">
        <v>45839</v>
      </c>
    </row>
    <row r="290" spans="1:11" x14ac:dyDescent="0.25">
      <c r="A290">
        <v>289</v>
      </c>
      <c r="B290">
        <v>2025</v>
      </c>
      <c r="C290">
        <v>7</v>
      </c>
      <c r="D290">
        <v>31</v>
      </c>
      <c r="E290">
        <v>6</v>
      </c>
      <c r="F290" t="str">
        <v>50BN724</v>
      </c>
      <c r="G290">
        <v>16</v>
      </c>
      <c r="H290" t="str">
        <v>single</v>
      </c>
      <c r="J290">
        <v>43</v>
      </c>
      <c r="K290" s="19">
        <v>45839</v>
      </c>
    </row>
    <row r="291" spans="1:11" x14ac:dyDescent="0.25">
      <c r="A291">
        <v>290</v>
      </c>
      <c r="B291">
        <v>2025</v>
      </c>
      <c r="C291">
        <v>7</v>
      </c>
      <c r="D291">
        <v>31</v>
      </c>
      <c r="E291">
        <v>6</v>
      </c>
      <c r="F291" t="str">
        <v>50DK730</v>
      </c>
      <c r="G291">
        <v>31</v>
      </c>
      <c r="H291" t="str">
        <v>single</v>
      </c>
      <c r="J291">
        <v>47</v>
      </c>
      <c r="K291" s="19">
        <v>45839</v>
      </c>
    </row>
    <row r="292" spans="1:11" x14ac:dyDescent="0.25">
      <c r="A292">
        <v>291</v>
      </c>
      <c r="B292">
        <v>2025</v>
      </c>
      <c r="C292">
        <v>7</v>
      </c>
      <c r="D292">
        <v>31</v>
      </c>
      <c r="E292">
        <v>6</v>
      </c>
      <c r="F292" t="str">
        <v>53BB774</v>
      </c>
      <c r="G292">
        <v>30</v>
      </c>
      <c r="H292" t="str">
        <v>single</v>
      </c>
      <c r="J292">
        <v>53</v>
      </c>
      <c r="K292" s="19">
        <v>45839</v>
      </c>
    </row>
    <row r="293" spans="1:11" x14ac:dyDescent="0.25">
      <c r="A293">
        <v>292</v>
      </c>
      <c r="B293">
        <v>2025</v>
      </c>
      <c r="C293">
        <v>7</v>
      </c>
      <c r="D293">
        <v>31</v>
      </c>
      <c r="E293">
        <v>6</v>
      </c>
      <c r="F293" t="str">
        <v>55CB633</v>
      </c>
      <c r="G293">
        <v>30</v>
      </c>
      <c r="H293" t="str">
        <v>single</v>
      </c>
      <c r="J293">
        <v>57</v>
      </c>
      <c r="K293" s="19">
        <v>45839</v>
      </c>
    </row>
    <row r="294" spans="1:11" x14ac:dyDescent="0.25">
      <c r="A294">
        <v>293</v>
      </c>
      <c r="B294">
        <v>2025</v>
      </c>
      <c r="C294">
        <v>7</v>
      </c>
      <c r="D294">
        <v>31</v>
      </c>
      <c r="E294">
        <v>6</v>
      </c>
      <c r="F294" t="str">
        <v>77AT386</v>
      </c>
      <c r="G294">
        <v>30</v>
      </c>
      <c r="H294" t="str">
        <v>single</v>
      </c>
      <c r="J294">
        <v>13</v>
      </c>
      <c r="K294" s="19">
        <v>45839</v>
      </c>
    </row>
    <row r="295" spans="1:11" x14ac:dyDescent="0.25">
      <c r="A295">
        <v>294</v>
      </c>
      <c r="B295">
        <v>2025</v>
      </c>
      <c r="C295">
        <v>7</v>
      </c>
      <c r="D295">
        <v>31</v>
      </c>
      <c r="E295">
        <v>6</v>
      </c>
      <c r="F295" t="str">
        <v>77QE133</v>
      </c>
      <c r="G295">
        <v>30</v>
      </c>
      <c r="H295" t="str">
        <v>single</v>
      </c>
      <c r="J295">
        <v>69</v>
      </c>
      <c r="K295" s="19">
        <v>45839</v>
      </c>
    </row>
    <row r="296" spans="1:11" x14ac:dyDescent="0.25">
      <c r="A296">
        <v>295</v>
      </c>
      <c r="B296">
        <v>2025</v>
      </c>
      <c r="C296">
        <v>7</v>
      </c>
      <c r="D296">
        <v>31</v>
      </c>
      <c r="E296">
        <v>6</v>
      </c>
      <c r="F296" t="str">
        <v>77QK725</v>
      </c>
      <c r="G296">
        <v>15</v>
      </c>
      <c r="H296" t="str">
        <v>single</v>
      </c>
      <c r="J296">
        <v>17</v>
      </c>
      <c r="K296" s="19">
        <v>45839</v>
      </c>
    </row>
    <row r="297" spans="1:11" x14ac:dyDescent="0.25">
      <c r="A297">
        <v>296</v>
      </c>
      <c r="B297">
        <v>2025</v>
      </c>
      <c r="C297">
        <v>7</v>
      </c>
      <c r="D297">
        <v>31</v>
      </c>
      <c r="E297">
        <v>6</v>
      </c>
      <c r="F297" t="str">
        <v>77UR032</v>
      </c>
      <c r="G297">
        <v>29</v>
      </c>
      <c r="H297" t="str">
        <v>single</v>
      </c>
      <c r="J297">
        <v>77</v>
      </c>
      <c r="K297" s="19">
        <v>45839</v>
      </c>
    </row>
    <row r="298" spans="1:11" x14ac:dyDescent="0.25">
      <c r="A298">
        <v>297</v>
      </c>
      <c r="B298">
        <v>2025</v>
      </c>
      <c r="C298">
        <v>7</v>
      </c>
      <c r="D298">
        <v>31</v>
      </c>
      <c r="E298">
        <v>6</v>
      </c>
      <c r="F298" t="str">
        <v>90LS143</v>
      </c>
      <c r="G298">
        <v>20</v>
      </c>
      <c r="H298" t="str">
        <v>single</v>
      </c>
      <c r="J298">
        <v>81</v>
      </c>
      <c r="K298" s="19">
        <v>45839</v>
      </c>
    </row>
    <row r="299" spans="1:11" x14ac:dyDescent="0.25">
      <c r="A299">
        <v>298</v>
      </c>
      <c r="B299">
        <v>2025</v>
      </c>
      <c r="C299">
        <v>7</v>
      </c>
      <c r="D299">
        <v>31</v>
      </c>
      <c r="E299">
        <v>6</v>
      </c>
      <c r="F299" t="str">
        <v>90PY548</v>
      </c>
      <c r="G299">
        <v>30</v>
      </c>
      <c r="H299" t="str">
        <v>single</v>
      </c>
      <c r="J299">
        <v>85</v>
      </c>
      <c r="K299" s="19">
        <v>45839</v>
      </c>
    </row>
    <row r="300" spans="1:11" x14ac:dyDescent="0.25">
      <c r="A300">
        <v>299</v>
      </c>
      <c r="B300">
        <v>2025</v>
      </c>
      <c r="C300">
        <v>7</v>
      </c>
      <c r="D300">
        <v>31</v>
      </c>
      <c r="E300">
        <v>6</v>
      </c>
      <c r="F300" t="str">
        <v>90SL686</v>
      </c>
      <c r="G300">
        <v>31</v>
      </c>
      <c r="H300" t="str">
        <v>single</v>
      </c>
      <c r="J300">
        <v>19</v>
      </c>
      <c r="K300" s="19">
        <v>45839</v>
      </c>
    </row>
    <row r="301" spans="1:11" x14ac:dyDescent="0.25">
      <c r="A301">
        <v>300</v>
      </c>
      <c r="B301">
        <v>2025</v>
      </c>
      <c r="C301">
        <v>7</v>
      </c>
      <c r="D301">
        <v>31</v>
      </c>
      <c r="E301">
        <v>6</v>
      </c>
      <c r="F301" t="str">
        <v>90VS316</v>
      </c>
      <c r="G301">
        <v>30</v>
      </c>
      <c r="H301" t="str">
        <v>single</v>
      </c>
      <c r="J301">
        <v>87</v>
      </c>
      <c r="K301" s="19">
        <v>45839</v>
      </c>
    </row>
    <row r="302" spans="1:11" x14ac:dyDescent="0.25">
      <c r="A302">
        <v>301</v>
      </c>
      <c r="B302">
        <v>2025</v>
      </c>
      <c r="C302">
        <v>7</v>
      </c>
      <c r="D302">
        <v>31</v>
      </c>
      <c r="E302">
        <v>6</v>
      </c>
      <c r="F302" t="str">
        <v>99BT339</v>
      </c>
      <c r="G302">
        <v>1</v>
      </c>
      <c r="H302" t="str">
        <v>single</v>
      </c>
      <c r="J302">
        <v>93</v>
      </c>
      <c r="K302" s="19">
        <v>45839</v>
      </c>
    </row>
    <row r="303" spans="1:11" x14ac:dyDescent="0.25">
      <c r="A303">
        <v>302</v>
      </c>
      <c r="B303">
        <v>2025</v>
      </c>
      <c r="C303">
        <v>7</v>
      </c>
      <c r="D303">
        <v>31</v>
      </c>
      <c r="E303">
        <v>6</v>
      </c>
      <c r="F303" t="str">
        <v>99EM163</v>
      </c>
      <c r="G303">
        <v>30</v>
      </c>
      <c r="H303" t="str">
        <v>single</v>
      </c>
      <c r="J303">
        <v>100</v>
      </c>
      <c r="K303" s="19">
        <v>45839</v>
      </c>
    </row>
    <row r="304" spans="1:11" x14ac:dyDescent="0.25">
      <c r="A304">
        <v>303</v>
      </c>
      <c r="B304">
        <v>2025</v>
      </c>
      <c r="C304">
        <v>7</v>
      </c>
      <c r="D304">
        <v>31</v>
      </c>
      <c r="E304">
        <v>6</v>
      </c>
      <c r="F304" t="str">
        <v>99HZ395</v>
      </c>
      <c r="G304">
        <v>30</v>
      </c>
      <c r="H304" t="str">
        <v>single</v>
      </c>
      <c r="J304">
        <v>3</v>
      </c>
      <c r="K304" s="19">
        <v>45839</v>
      </c>
    </row>
    <row r="305" spans="1:11" x14ac:dyDescent="0.25">
      <c r="A305">
        <v>304</v>
      </c>
      <c r="B305">
        <v>2025</v>
      </c>
      <c r="C305">
        <v>7</v>
      </c>
      <c r="D305">
        <v>31</v>
      </c>
      <c r="E305">
        <v>6</v>
      </c>
      <c r="F305" t="str">
        <v>99KL663</v>
      </c>
      <c r="G305">
        <v>30</v>
      </c>
      <c r="H305" t="str">
        <v>single</v>
      </c>
      <c r="J305">
        <v>106</v>
      </c>
      <c r="K305" s="19">
        <v>45839</v>
      </c>
    </row>
    <row r="306" spans="1:11" x14ac:dyDescent="0.25">
      <c r="A306">
        <v>305</v>
      </c>
      <c r="B306">
        <v>2025</v>
      </c>
      <c r="C306">
        <v>7</v>
      </c>
      <c r="D306">
        <v>31</v>
      </c>
      <c r="E306">
        <v>6</v>
      </c>
      <c r="F306" t="str">
        <v>99LM412</v>
      </c>
      <c r="G306">
        <v>31</v>
      </c>
      <c r="H306" t="str">
        <v>single</v>
      </c>
      <c r="J306">
        <v>116</v>
      </c>
      <c r="K306" s="19">
        <v>45839</v>
      </c>
    </row>
    <row r="307" spans="1:11" x14ac:dyDescent="0.25">
      <c r="A307">
        <v>306</v>
      </c>
      <c r="B307">
        <v>2025</v>
      </c>
      <c r="C307">
        <v>7</v>
      </c>
      <c r="D307">
        <v>31</v>
      </c>
      <c r="E307">
        <v>6</v>
      </c>
      <c r="F307" t="str">
        <v>99MN472</v>
      </c>
      <c r="G307">
        <v>31</v>
      </c>
      <c r="H307" t="str">
        <v>single</v>
      </c>
      <c r="J307">
        <v>108</v>
      </c>
      <c r="K307" s="19">
        <v>45839</v>
      </c>
    </row>
    <row r="308" spans="1:11" x14ac:dyDescent="0.25">
      <c r="A308">
        <v>307</v>
      </c>
      <c r="B308">
        <v>2025</v>
      </c>
      <c r="C308">
        <v>7</v>
      </c>
      <c r="D308">
        <v>31</v>
      </c>
      <c r="E308">
        <v>6</v>
      </c>
      <c r="F308" t="str">
        <v>99BT339</v>
      </c>
      <c r="G308">
        <v>29</v>
      </c>
      <c r="H308" t="str">
        <v>double</v>
      </c>
      <c r="J308">
        <v>91</v>
      </c>
      <c r="K308" s="19">
        <v>45839</v>
      </c>
    </row>
    <row r="309" spans="1:11" x14ac:dyDescent="0.25">
      <c r="A309">
        <v>308</v>
      </c>
      <c r="B309">
        <v>2025</v>
      </c>
      <c r="C309">
        <v>7</v>
      </c>
      <c r="D309">
        <v>31</v>
      </c>
      <c r="E309">
        <v>6</v>
      </c>
      <c r="F309" t="str">
        <v>77GR998</v>
      </c>
      <c r="G309">
        <v>31</v>
      </c>
      <c r="H309" t="str">
        <v>double</v>
      </c>
      <c r="J309">
        <v>63</v>
      </c>
      <c r="K309" s="19">
        <v>45839</v>
      </c>
    </row>
    <row r="310" spans="1:11" x14ac:dyDescent="0.25">
      <c r="A310">
        <v>309</v>
      </c>
      <c r="B310">
        <v>2025</v>
      </c>
      <c r="C310">
        <v>7</v>
      </c>
      <c r="D310">
        <v>31</v>
      </c>
      <c r="E310">
        <v>6</v>
      </c>
      <c r="F310" t="str">
        <v>01CC689</v>
      </c>
      <c r="G310">
        <v>15.499999999999979</v>
      </c>
      <c r="H310" t="str">
        <v>hour</v>
      </c>
      <c r="J310">
        <v>25</v>
      </c>
      <c r="K310" s="19">
        <v>45839</v>
      </c>
    </row>
    <row r="311" spans="1:11" x14ac:dyDescent="0.25">
      <c r="A311">
        <v>310</v>
      </c>
      <c r="B311">
        <v>2025</v>
      </c>
      <c r="C311">
        <v>7</v>
      </c>
      <c r="D311">
        <v>31</v>
      </c>
      <c r="E311">
        <v>6</v>
      </c>
      <c r="F311" t="str">
        <v>50BD165</v>
      </c>
      <c r="G311">
        <v>66.999999999999986</v>
      </c>
      <c r="H311" t="str">
        <v>hour</v>
      </c>
      <c r="J311">
        <v>40</v>
      </c>
      <c r="K311" s="19">
        <v>45839</v>
      </c>
    </row>
    <row r="312" spans="1:11" x14ac:dyDescent="0.25">
      <c r="A312">
        <v>311</v>
      </c>
      <c r="B312">
        <v>2025</v>
      </c>
      <c r="C312">
        <v>7</v>
      </c>
      <c r="D312">
        <v>31</v>
      </c>
      <c r="E312">
        <v>6</v>
      </c>
      <c r="F312" t="str">
        <v>50BN724</v>
      </c>
      <c r="G312">
        <v>24.999999999999979</v>
      </c>
      <c r="H312" t="str">
        <v>hour</v>
      </c>
      <c r="J312">
        <v>42</v>
      </c>
      <c r="K312" s="19">
        <v>45839</v>
      </c>
    </row>
    <row r="313" spans="1:11" x14ac:dyDescent="0.25">
      <c r="A313">
        <v>312</v>
      </c>
      <c r="B313">
        <v>2025</v>
      </c>
      <c r="C313">
        <v>7</v>
      </c>
      <c r="D313">
        <v>31</v>
      </c>
      <c r="E313">
        <v>6</v>
      </c>
      <c r="F313" t="str">
        <v>50DK730</v>
      </c>
      <c r="G313">
        <v>94</v>
      </c>
      <c r="H313" t="str">
        <v>hour</v>
      </c>
      <c r="J313">
        <v>46</v>
      </c>
      <c r="K313" s="19">
        <v>45839</v>
      </c>
    </row>
    <row r="314" spans="1:11" x14ac:dyDescent="0.25">
      <c r="A314">
        <v>313</v>
      </c>
      <c r="B314">
        <v>2025</v>
      </c>
      <c r="C314">
        <v>7</v>
      </c>
      <c r="D314">
        <v>31</v>
      </c>
      <c r="E314">
        <v>6</v>
      </c>
      <c r="F314" t="str">
        <v>53BB774</v>
      </c>
      <c r="G314">
        <v>97.999999999999986</v>
      </c>
      <c r="H314" t="str">
        <v>hour</v>
      </c>
      <c r="J314">
        <v>52</v>
      </c>
      <c r="K314" s="19">
        <v>45839</v>
      </c>
    </row>
    <row r="315" spans="1:11" x14ac:dyDescent="0.25">
      <c r="A315">
        <v>314</v>
      </c>
      <c r="B315">
        <v>2025</v>
      </c>
      <c r="C315">
        <v>7</v>
      </c>
      <c r="D315">
        <v>31</v>
      </c>
      <c r="E315">
        <v>6</v>
      </c>
      <c r="F315" t="str">
        <v>55CB633</v>
      </c>
      <c r="G315">
        <v>107</v>
      </c>
      <c r="H315" t="str">
        <v>hour</v>
      </c>
      <c r="J315">
        <v>56</v>
      </c>
      <c r="K315" s="19">
        <v>45839</v>
      </c>
    </row>
    <row r="316" spans="1:11" x14ac:dyDescent="0.25">
      <c r="A316">
        <v>315</v>
      </c>
      <c r="B316">
        <v>2025</v>
      </c>
      <c r="C316">
        <v>7</v>
      </c>
      <c r="D316">
        <v>31</v>
      </c>
      <c r="E316">
        <v>6</v>
      </c>
      <c r="F316" t="str">
        <v>77QE133</v>
      </c>
      <c r="G316">
        <v>40</v>
      </c>
      <c r="H316" t="str">
        <v>hour</v>
      </c>
      <c r="J316">
        <v>68</v>
      </c>
      <c r="K316" s="19">
        <v>45839</v>
      </c>
    </row>
    <row r="317" spans="1:11" x14ac:dyDescent="0.25">
      <c r="A317">
        <v>316</v>
      </c>
      <c r="B317">
        <v>2025</v>
      </c>
      <c r="C317">
        <v>7</v>
      </c>
      <c r="D317">
        <v>31</v>
      </c>
      <c r="E317">
        <v>6</v>
      </c>
      <c r="F317" t="str">
        <v>77UR032</v>
      </c>
      <c r="G317">
        <v>9.9999999999999822</v>
      </c>
      <c r="H317" t="str">
        <v>hour</v>
      </c>
      <c r="J317">
        <v>76</v>
      </c>
      <c r="K317" s="19">
        <v>45839</v>
      </c>
    </row>
    <row r="318" spans="1:11" x14ac:dyDescent="0.25">
      <c r="A318">
        <v>317</v>
      </c>
      <c r="B318">
        <v>2025</v>
      </c>
      <c r="C318">
        <v>7</v>
      </c>
      <c r="D318">
        <v>31</v>
      </c>
      <c r="E318">
        <v>6</v>
      </c>
      <c r="F318" t="str">
        <v>90LS143</v>
      </c>
      <c r="G318">
        <v>5.9999999999999929</v>
      </c>
      <c r="H318" t="str">
        <v>hour</v>
      </c>
      <c r="J318">
        <v>80</v>
      </c>
      <c r="K318" s="19">
        <v>45839</v>
      </c>
    </row>
    <row r="319" spans="1:11" x14ac:dyDescent="0.25">
      <c r="A319">
        <v>318</v>
      </c>
      <c r="B319">
        <v>2025</v>
      </c>
      <c r="C319">
        <v>7</v>
      </c>
      <c r="D319">
        <v>31</v>
      </c>
      <c r="E319">
        <v>6</v>
      </c>
      <c r="F319" t="str">
        <v>90SL686</v>
      </c>
      <c r="G319">
        <v>108.99999999999999</v>
      </c>
      <c r="H319" t="str">
        <v>hour</v>
      </c>
      <c r="J319">
        <v>20</v>
      </c>
      <c r="K319" s="19">
        <v>45839</v>
      </c>
    </row>
    <row r="320" spans="1:11" x14ac:dyDescent="0.25">
      <c r="A320">
        <v>319</v>
      </c>
      <c r="B320">
        <v>2025</v>
      </c>
      <c r="C320">
        <v>7</v>
      </c>
      <c r="D320">
        <v>31</v>
      </c>
      <c r="E320">
        <v>6</v>
      </c>
      <c r="F320" t="str">
        <v>90VS316</v>
      </c>
      <c r="G320">
        <v>89.999999999999972</v>
      </c>
      <c r="H320" t="str">
        <v>hour</v>
      </c>
      <c r="J320">
        <v>86</v>
      </c>
      <c r="K320" s="19">
        <v>45839</v>
      </c>
    </row>
    <row r="321" spans="1:11" x14ac:dyDescent="0.25">
      <c r="A321">
        <v>320</v>
      </c>
      <c r="B321">
        <v>2025</v>
      </c>
      <c r="C321">
        <v>7</v>
      </c>
      <c r="D321">
        <v>31</v>
      </c>
      <c r="E321">
        <v>6</v>
      </c>
      <c r="F321" t="str">
        <v>99KL663</v>
      </c>
      <c r="G321">
        <v>49.999999999999986</v>
      </c>
      <c r="H321" t="str">
        <v>hour</v>
      </c>
      <c r="J321">
        <v>105</v>
      </c>
      <c r="K321" s="19">
        <v>45839</v>
      </c>
    </row>
    <row r="322" spans="1:11" x14ac:dyDescent="0.25">
      <c r="A322">
        <v>321</v>
      </c>
      <c r="B322">
        <v>2025</v>
      </c>
      <c r="C322">
        <v>7</v>
      </c>
      <c r="D322">
        <v>31</v>
      </c>
      <c r="E322">
        <v>6</v>
      </c>
      <c r="F322" t="str">
        <v>99LM412</v>
      </c>
      <c r="G322">
        <v>61.000000000000014</v>
      </c>
      <c r="H322" t="str">
        <v>hour</v>
      </c>
      <c r="J322">
        <v>115</v>
      </c>
      <c r="K322" s="19">
        <v>45839</v>
      </c>
    </row>
    <row r="323" spans="1:11" x14ac:dyDescent="0.25">
      <c r="A323">
        <v>322</v>
      </c>
      <c r="B323">
        <v>2025</v>
      </c>
      <c r="C323">
        <v>7</v>
      </c>
      <c r="D323">
        <v>31</v>
      </c>
      <c r="E323">
        <v>6</v>
      </c>
      <c r="F323" t="str">
        <v>99MN472</v>
      </c>
      <c r="G323">
        <v>71.999999999999957</v>
      </c>
      <c r="H323" t="str">
        <v>hour</v>
      </c>
      <c r="J323">
        <v>107</v>
      </c>
      <c r="K323" s="19">
        <v>45839</v>
      </c>
    </row>
    <row r="324" spans="1:11" x14ac:dyDescent="0.25">
      <c r="A324">
        <v>323</v>
      </c>
      <c r="B324">
        <v>2025</v>
      </c>
      <c r="C324">
        <v>10</v>
      </c>
      <c r="D324">
        <v>46</v>
      </c>
      <c r="E324">
        <v>6</v>
      </c>
      <c r="F324" t="str">
        <v>110FY524</v>
      </c>
      <c r="G324">
        <v>19</v>
      </c>
      <c r="H324" t="str">
        <v>single</v>
      </c>
      <c r="J324">
        <v>7</v>
      </c>
      <c r="K324" s="19">
        <v>45931</v>
      </c>
    </row>
    <row r="325" spans="1:11" x14ac:dyDescent="0.25">
      <c r="A325">
        <v>324</v>
      </c>
      <c r="B325">
        <v>2025</v>
      </c>
      <c r="C325">
        <v>10</v>
      </c>
      <c r="D325">
        <v>46</v>
      </c>
      <c r="E325">
        <v>6</v>
      </c>
      <c r="F325" t="str">
        <v>10AD801</v>
      </c>
      <c r="G325">
        <v>1</v>
      </c>
      <c r="H325" t="str">
        <v>single</v>
      </c>
      <c r="J325">
        <v>4</v>
      </c>
      <c r="K325" s="19">
        <v>45931</v>
      </c>
    </row>
    <row r="326" spans="1:11" x14ac:dyDescent="0.25">
      <c r="A326">
        <v>325</v>
      </c>
      <c r="B326">
        <v>2025</v>
      </c>
      <c r="C326">
        <v>10</v>
      </c>
      <c r="D326">
        <v>46</v>
      </c>
      <c r="E326">
        <v>6</v>
      </c>
      <c r="F326" t="str">
        <v>110FY523</v>
      </c>
      <c r="G326">
        <v>29</v>
      </c>
      <c r="H326" t="str">
        <v>double</v>
      </c>
      <c r="J326">
        <v>2</v>
      </c>
      <c r="K326" s="19">
        <v>45931</v>
      </c>
    </row>
    <row r="327" spans="1:11" x14ac:dyDescent="0.25">
      <c r="A327">
        <v>326</v>
      </c>
      <c r="B327">
        <v>2025</v>
      </c>
      <c r="C327">
        <v>10</v>
      </c>
      <c r="D327">
        <v>46</v>
      </c>
      <c r="E327">
        <v>6</v>
      </c>
      <c r="F327" t="str">
        <v>110FY524</v>
      </c>
      <c r="G327">
        <v>11</v>
      </c>
      <c r="H327" t="str">
        <v>double</v>
      </c>
      <c r="J327">
        <v>8</v>
      </c>
      <c r="K327" s="19">
        <v>45931</v>
      </c>
    </row>
    <row r="328" spans="1:11" x14ac:dyDescent="0.25">
      <c r="A328">
        <v>327</v>
      </c>
      <c r="B328">
        <v>2025</v>
      </c>
      <c r="C328">
        <v>10</v>
      </c>
      <c r="D328">
        <v>46</v>
      </c>
      <c r="E328">
        <v>6</v>
      </c>
      <c r="F328" t="str">
        <v>10AD801</v>
      </c>
      <c r="G328">
        <v>28</v>
      </c>
      <c r="H328" t="str">
        <v>double</v>
      </c>
      <c r="J328">
        <v>5</v>
      </c>
      <c r="K328" s="19">
        <v>45931</v>
      </c>
    </row>
    <row r="329" spans="1:11" x14ac:dyDescent="0.25">
      <c r="A329">
        <v>328</v>
      </c>
      <c r="B329">
        <v>2025</v>
      </c>
      <c r="C329">
        <v>11</v>
      </c>
      <c r="D329">
        <v>50</v>
      </c>
      <c r="E329">
        <v>6</v>
      </c>
      <c r="F329" t="str">
        <v>61AB256</v>
      </c>
      <c r="G329">
        <v>28</v>
      </c>
      <c r="H329" t="str">
        <v>single</v>
      </c>
      <c r="J329">
        <v>1</v>
      </c>
      <c r="K329" s="19">
        <v>45962</v>
      </c>
    </row>
    <row r="330" spans="1:11" x14ac:dyDescent="0.25">
      <c r="A330">
        <v>329</v>
      </c>
      <c r="B330">
        <v>2026</v>
      </c>
      <c r="C330">
        <v>1</v>
      </c>
      <c r="D330">
        <v>51</v>
      </c>
      <c r="E330">
        <v>6</v>
      </c>
      <c r="F330" t="str">
        <v>10AD015</v>
      </c>
      <c r="G330">
        <v>8</v>
      </c>
      <c r="H330" t="str">
        <v>single</v>
      </c>
      <c r="J330">
        <v>7</v>
      </c>
      <c r="K330" s="19">
        <v>46023</v>
      </c>
    </row>
    <row r="331" spans="1:11" x14ac:dyDescent="0.25">
      <c r="A331">
        <v>330</v>
      </c>
      <c r="B331">
        <v>2026</v>
      </c>
      <c r="C331">
        <v>1</v>
      </c>
      <c r="D331">
        <v>51</v>
      </c>
      <c r="E331">
        <v>6</v>
      </c>
      <c r="F331" t="str">
        <v>10AD071</v>
      </c>
      <c r="G331">
        <v>27</v>
      </c>
      <c r="H331" t="str">
        <v>single</v>
      </c>
      <c r="J331">
        <v>5</v>
      </c>
      <c r="K331" s="19">
        <v>46023</v>
      </c>
    </row>
    <row r="332" spans="1:11" x14ac:dyDescent="0.25">
      <c r="A332">
        <v>331</v>
      </c>
      <c r="B332">
        <v>2026</v>
      </c>
      <c r="C332">
        <v>1</v>
      </c>
      <c r="D332">
        <v>51</v>
      </c>
      <c r="E332">
        <v>6</v>
      </c>
      <c r="F332" t="str">
        <v>10AD071</v>
      </c>
      <c r="G332">
        <v>30.000000000000014</v>
      </c>
      <c r="H332" t="str">
        <v>hour</v>
      </c>
      <c r="J332">
        <v>6</v>
      </c>
      <c r="K332" s="19">
        <v>46023</v>
      </c>
    </row>
    <row r="333" spans="1:11" x14ac:dyDescent="0.25">
      <c r="A333">
        <v>332</v>
      </c>
      <c r="B333">
        <v>2025</v>
      </c>
      <c r="C333">
        <v>10</v>
      </c>
      <c r="D333">
        <v>65</v>
      </c>
      <c r="E333">
        <v>6</v>
      </c>
      <c r="F333" t="str">
        <v>01BA176</v>
      </c>
      <c r="G333">
        <v>14</v>
      </c>
      <c r="H333" t="str">
        <v>single</v>
      </c>
      <c r="J333">
        <v>1</v>
      </c>
      <c r="K333" s="19">
        <v>45931</v>
      </c>
    </row>
    <row r="334" spans="1:11" x14ac:dyDescent="0.25">
      <c r="A334">
        <v>333</v>
      </c>
      <c r="B334">
        <v>2025</v>
      </c>
      <c r="C334">
        <v>10</v>
      </c>
      <c r="D334">
        <v>65</v>
      </c>
      <c r="E334">
        <v>6</v>
      </c>
      <c r="F334" t="str">
        <v>10BD252</v>
      </c>
      <c r="G334">
        <v>29</v>
      </c>
      <c r="H334" t="str">
        <v>single</v>
      </c>
      <c r="J334">
        <v>2</v>
      </c>
      <c r="K334" s="19">
        <v>45931</v>
      </c>
    </row>
    <row r="335" spans="1:11" x14ac:dyDescent="0.25">
      <c r="A335">
        <v>334</v>
      </c>
      <c r="B335">
        <v>2025</v>
      </c>
      <c r="C335">
        <v>11</v>
      </c>
      <c r="D335">
        <v>85</v>
      </c>
      <c r="E335">
        <v>6</v>
      </c>
      <c r="F335" t="str">
        <v>77SN951</v>
      </c>
      <c r="G335">
        <v>29</v>
      </c>
      <c r="H335" t="str">
        <v>single</v>
      </c>
      <c r="J335">
        <v>1</v>
      </c>
      <c r="K335" s="19">
        <v>45962</v>
      </c>
    </row>
    <row r="336" spans="1:11" x14ac:dyDescent="0.25">
      <c r="A336">
        <v>335</v>
      </c>
      <c r="B336">
        <v>2025</v>
      </c>
      <c r="C336">
        <v>11</v>
      </c>
      <c r="D336">
        <v>85</v>
      </c>
      <c r="E336">
        <v>6</v>
      </c>
      <c r="F336" t="str">
        <v>77SN951</v>
      </c>
      <c r="G336">
        <v>51.999999999999972</v>
      </c>
      <c r="H336" t="str">
        <v>hour</v>
      </c>
      <c r="J336">
        <v>2</v>
      </c>
      <c r="K336" s="19">
        <v>45962</v>
      </c>
    </row>
    <row r="337" spans="1:11" x14ac:dyDescent="0.25">
      <c r="A337">
        <v>336</v>
      </c>
      <c r="B337">
        <v>2025</v>
      </c>
      <c r="C337">
        <v>12</v>
      </c>
      <c r="D337">
        <v>95</v>
      </c>
      <c r="E337">
        <v>6</v>
      </c>
      <c r="F337" t="str">
        <v>54BA209</v>
      </c>
      <c r="G337">
        <v>23</v>
      </c>
      <c r="H337" t="str">
        <v>single</v>
      </c>
      <c r="J337">
        <v>1</v>
      </c>
      <c r="K337" s="19">
        <v>45992</v>
      </c>
    </row>
    <row r="338" spans="1:11" x14ac:dyDescent="0.25">
      <c r="A338">
        <v>337</v>
      </c>
      <c r="B338">
        <v>2025</v>
      </c>
      <c r="C338">
        <v>12</v>
      </c>
      <c r="D338">
        <v>98</v>
      </c>
      <c r="E338">
        <v>6</v>
      </c>
      <c r="F338" t="str">
        <v>50BD416</v>
      </c>
      <c r="G338">
        <v>27</v>
      </c>
      <c r="H338" t="str">
        <v>single</v>
      </c>
      <c r="J338">
        <v>1</v>
      </c>
      <c r="K338" s="19">
        <v>45992</v>
      </c>
    </row>
    <row r="339" spans="1:11" x14ac:dyDescent="0.25">
      <c r="A339">
        <v>338</v>
      </c>
      <c r="B339">
        <v>2025</v>
      </c>
      <c r="C339">
        <v>12</v>
      </c>
      <c r="D339">
        <v>100</v>
      </c>
      <c r="E339">
        <v>6</v>
      </c>
      <c r="F339" t="str">
        <v>22AB273</v>
      </c>
      <c r="G339">
        <v>29</v>
      </c>
      <c r="H339" t="str">
        <v>single</v>
      </c>
      <c r="J339">
        <v>1</v>
      </c>
      <c r="K339" s="19">
        <v>45992</v>
      </c>
    </row>
    <row r="340" spans="1:11" x14ac:dyDescent="0.25">
      <c r="A340">
        <v>339</v>
      </c>
      <c r="B340">
        <v>2026</v>
      </c>
      <c r="C340">
        <v>1</v>
      </c>
      <c r="D340">
        <v>102</v>
      </c>
      <c r="E340">
        <v>6</v>
      </c>
      <c r="F340" t="str">
        <v>54BM823</v>
      </c>
      <c r="G340">
        <v>25</v>
      </c>
      <c r="H340" t="str">
        <v>single</v>
      </c>
      <c r="J340">
        <v>5</v>
      </c>
      <c r="K340" s="19">
        <v>46023</v>
      </c>
    </row>
    <row r="341" spans="1:11" x14ac:dyDescent="0.25">
      <c r="A341">
        <v>340</v>
      </c>
      <c r="B341">
        <v>2026</v>
      </c>
      <c r="C341">
        <v>1</v>
      </c>
      <c r="D341">
        <v>102</v>
      </c>
      <c r="E341">
        <v>6</v>
      </c>
      <c r="F341" t="str">
        <v>01BT754</v>
      </c>
      <c r="G341">
        <v>25</v>
      </c>
      <c r="H341" t="str">
        <v>single</v>
      </c>
      <c r="J341">
        <v>6</v>
      </c>
      <c r="K341" s="19">
        <v>46023</v>
      </c>
    </row>
    <row r="342" spans="1:11" x14ac:dyDescent="0.25">
      <c r="A342">
        <v>341</v>
      </c>
      <c r="B342">
        <v>2026</v>
      </c>
      <c r="C342">
        <v>1</v>
      </c>
      <c r="D342">
        <v>102</v>
      </c>
      <c r="E342">
        <v>6</v>
      </c>
      <c r="F342" t="str">
        <v>10MF640</v>
      </c>
      <c r="G342">
        <v>30</v>
      </c>
      <c r="H342" t="str">
        <v>single</v>
      </c>
      <c r="J342">
        <v>3</v>
      </c>
      <c r="K342" s="19">
        <v>46023</v>
      </c>
    </row>
    <row r="343" spans="1:11" x14ac:dyDescent="0.25">
      <c r="A343">
        <v>342</v>
      </c>
      <c r="B343">
        <v>2026</v>
      </c>
      <c r="C343">
        <v>1</v>
      </c>
      <c r="D343">
        <v>102</v>
      </c>
      <c r="E343">
        <v>6</v>
      </c>
      <c r="F343" t="str">
        <v>10MF640</v>
      </c>
      <c r="G343">
        <v>21.000000000000007</v>
      </c>
      <c r="H343" t="str">
        <v>hour</v>
      </c>
      <c r="J343">
        <v>4</v>
      </c>
      <c r="K343" s="19">
        <v>46023</v>
      </c>
    </row>
    <row r="344" spans="1:11" x14ac:dyDescent="0.25">
      <c r="A344">
        <v>343</v>
      </c>
      <c r="B344">
        <v>2026</v>
      </c>
      <c r="C344">
        <v>1</v>
      </c>
      <c r="D344">
        <v>110</v>
      </c>
      <c r="E344">
        <v>6</v>
      </c>
      <c r="F344" t="str">
        <v>99XC106</v>
      </c>
      <c r="G344">
        <v>28</v>
      </c>
      <c r="H344" t="str">
        <v>single</v>
      </c>
      <c r="J344">
        <v>1</v>
      </c>
      <c r="K344" s="19">
        <v>46023</v>
      </c>
    </row>
    <row r="345" spans="1:11" x14ac:dyDescent="0.25">
      <c r="A345">
        <v>344</v>
      </c>
      <c r="B345">
        <v>2026</v>
      </c>
      <c r="C345">
        <v>3</v>
      </c>
      <c r="D345">
        <v>121</v>
      </c>
      <c r="E345">
        <v>6</v>
      </c>
      <c r="F345" t="str">
        <v>11BC843</v>
      </c>
      <c r="G345">
        <v>26</v>
      </c>
      <c r="H345" t="str">
        <v>single</v>
      </c>
      <c r="J345">
        <v>1</v>
      </c>
      <c r="K345" s="19">
        <v>46082</v>
      </c>
    </row>
    <row r="346" spans="1:11" x14ac:dyDescent="0.25">
      <c r="A346">
        <v>345</v>
      </c>
      <c r="B346">
        <v>2025</v>
      </c>
      <c r="C346">
        <v>8</v>
      </c>
      <c r="D346">
        <v>31</v>
      </c>
      <c r="E346">
        <v>7</v>
      </c>
      <c r="F346" t="str">
        <v>01CC689</v>
      </c>
      <c r="G346">
        <v>8</v>
      </c>
      <c r="H346" t="str">
        <v>single</v>
      </c>
      <c r="J346">
        <v>26</v>
      </c>
      <c r="K346" s="19">
        <v>45870</v>
      </c>
    </row>
    <row r="347" spans="1:11" x14ac:dyDescent="0.25">
      <c r="A347">
        <v>346</v>
      </c>
      <c r="B347">
        <v>2025</v>
      </c>
      <c r="C347">
        <v>8</v>
      </c>
      <c r="D347">
        <v>31</v>
      </c>
      <c r="E347">
        <v>7</v>
      </c>
      <c r="F347" t="str">
        <v>10RN527</v>
      </c>
      <c r="G347">
        <v>27</v>
      </c>
      <c r="H347" t="str">
        <v>single</v>
      </c>
      <c r="J347">
        <v>32</v>
      </c>
      <c r="K347" s="19">
        <v>45870</v>
      </c>
    </row>
    <row r="348" spans="1:11" x14ac:dyDescent="0.25">
      <c r="A348">
        <v>347</v>
      </c>
      <c r="B348">
        <v>2025</v>
      </c>
      <c r="C348">
        <v>8</v>
      </c>
      <c r="D348">
        <v>31</v>
      </c>
      <c r="E348">
        <v>7</v>
      </c>
      <c r="F348" t="str">
        <v>50BD165</v>
      </c>
      <c r="G348">
        <v>30</v>
      </c>
      <c r="H348" t="str">
        <v>single</v>
      </c>
      <c r="J348">
        <v>41</v>
      </c>
      <c r="K348" s="19">
        <v>45870</v>
      </c>
    </row>
    <row r="349" spans="1:11" x14ac:dyDescent="0.25">
      <c r="A349">
        <v>348</v>
      </c>
      <c r="B349">
        <v>2025</v>
      </c>
      <c r="C349">
        <v>8</v>
      </c>
      <c r="D349">
        <v>31</v>
      </c>
      <c r="E349">
        <v>7</v>
      </c>
      <c r="F349" t="str">
        <v>50BN724</v>
      </c>
      <c r="G349">
        <v>30</v>
      </c>
      <c r="H349" t="str">
        <v>single</v>
      </c>
      <c r="J349">
        <v>43</v>
      </c>
      <c r="K349" s="19">
        <v>45870</v>
      </c>
    </row>
    <row r="350" spans="1:11" x14ac:dyDescent="0.25">
      <c r="A350">
        <v>349</v>
      </c>
      <c r="B350">
        <v>2025</v>
      </c>
      <c r="C350">
        <v>8</v>
      </c>
      <c r="D350">
        <v>31</v>
      </c>
      <c r="E350">
        <v>7</v>
      </c>
      <c r="F350" t="str">
        <v>50CN929</v>
      </c>
      <c r="G350">
        <v>26</v>
      </c>
      <c r="H350" t="str">
        <v>single</v>
      </c>
      <c r="J350">
        <v>45</v>
      </c>
      <c r="K350" s="19">
        <v>45870</v>
      </c>
    </row>
    <row r="351" spans="1:11" x14ac:dyDescent="0.25">
      <c r="A351">
        <v>350</v>
      </c>
      <c r="B351">
        <v>2025</v>
      </c>
      <c r="C351">
        <v>8</v>
      </c>
      <c r="D351">
        <v>31</v>
      </c>
      <c r="E351">
        <v>7</v>
      </c>
      <c r="F351" t="str">
        <v>50DK730</v>
      </c>
      <c r="G351">
        <v>31</v>
      </c>
      <c r="H351" t="str">
        <v>single</v>
      </c>
      <c r="J351">
        <v>47</v>
      </c>
      <c r="K351" s="19">
        <v>45870</v>
      </c>
    </row>
    <row r="352" spans="1:11" x14ac:dyDescent="0.25">
      <c r="A352">
        <v>351</v>
      </c>
      <c r="B352">
        <v>2025</v>
      </c>
      <c r="C352">
        <v>8</v>
      </c>
      <c r="D352">
        <v>31</v>
      </c>
      <c r="E352">
        <v>7</v>
      </c>
      <c r="F352" t="str">
        <v>50EF902</v>
      </c>
      <c r="G352">
        <v>22</v>
      </c>
      <c r="H352" t="str">
        <v>single</v>
      </c>
      <c r="J352">
        <v>49</v>
      </c>
      <c r="K352" s="19">
        <v>45870</v>
      </c>
    </row>
    <row r="353" spans="1:11" x14ac:dyDescent="0.25">
      <c r="A353">
        <v>352</v>
      </c>
      <c r="B353">
        <v>2025</v>
      </c>
      <c r="C353">
        <v>8</v>
      </c>
      <c r="D353">
        <v>31</v>
      </c>
      <c r="E353">
        <v>7</v>
      </c>
      <c r="F353" t="str">
        <v>53BB774</v>
      </c>
      <c r="G353">
        <v>10</v>
      </c>
      <c r="H353" t="str">
        <v>single</v>
      </c>
      <c r="J353">
        <v>53</v>
      </c>
      <c r="K353" s="19">
        <v>45870</v>
      </c>
    </row>
    <row r="354" spans="1:11" x14ac:dyDescent="0.25">
      <c r="A354">
        <v>353</v>
      </c>
      <c r="B354">
        <v>2025</v>
      </c>
      <c r="C354">
        <v>8</v>
      </c>
      <c r="D354">
        <v>31</v>
      </c>
      <c r="E354">
        <v>7</v>
      </c>
      <c r="F354" t="str">
        <v>55CB633</v>
      </c>
      <c r="G354">
        <v>30</v>
      </c>
      <c r="H354" t="str">
        <v>single</v>
      </c>
      <c r="J354">
        <v>57</v>
      </c>
      <c r="K354" s="19">
        <v>45870</v>
      </c>
    </row>
    <row r="355" spans="1:11" x14ac:dyDescent="0.25">
      <c r="A355">
        <v>354</v>
      </c>
      <c r="B355">
        <v>2025</v>
      </c>
      <c r="C355">
        <v>8</v>
      </c>
      <c r="D355">
        <v>31</v>
      </c>
      <c r="E355">
        <v>7</v>
      </c>
      <c r="F355" t="str">
        <v>77AT386</v>
      </c>
      <c r="G355">
        <v>30</v>
      </c>
      <c r="H355" t="str">
        <v>single</v>
      </c>
      <c r="J355">
        <v>13</v>
      </c>
      <c r="K355" s="19">
        <v>45870</v>
      </c>
    </row>
    <row r="356" spans="1:11" x14ac:dyDescent="0.25">
      <c r="A356">
        <v>355</v>
      </c>
      <c r="B356">
        <v>2025</v>
      </c>
      <c r="C356">
        <v>8</v>
      </c>
      <c r="D356">
        <v>31</v>
      </c>
      <c r="E356">
        <v>7</v>
      </c>
      <c r="F356" t="str">
        <v>77QE133</v>
      </c>
      <c r="G356">
        <v>30</v>
      </c>
      <c r="H356" t="str">
        <v>single</v>
      </c>
      <c r="J356">
        <v>69</v>
      </c>
      <c r="K356" s="19">
        <v>45870</v>
      </c>
    </row>
    <row r="357" spans="1:11" x14ac:dyDescent="0.25">
      <c r="A357">
        <v>356</v>
      </c>
      <c r="B357">
        <v>2025</v>
      </c>
      <c r="C357">
        <v>8</v>
      </c>
      <c r="D357">
        <v>31</v>
      </c>
      <c r="E357">
        <v>7</v>
      </c>
      <c r="F357" t="str">
        <v>77TG971</v>
      </c>
      <c r="G357">
        <v>25</v>
      </c>
      <c r="H357" t="str">
        <v>single</v>
      </c>
      <c r="J357">
        <v>75</v>
      </c>
      <c r="K357" s="19">
        <v>45870</v>
      </c>
    </row>
    <row r="358" spans="1:11" x14ac:dyDescent="0.25">
      <c r="A358">
        <v>357</v>
      </c>
      <c r="B358">
        <v>2025</v>
      </c>
      <c r="C358">
        <v>8</v>
      </c>
      <c r="D358">
        <v>31</v>
      </c>
      <c r="E358">
        <v>7</v>
      </c>
      <c r="F358" t="str">
        <v>77UR032</v>
      </c>
      <c r="G358">
        <v>29</v>
      </c>
      <c r="H358" t="str">
        <v>single</v>
      </c>
      <c r="J358">
        <v>77</v>
      </c>
      <c r="K358" s="19">
        <v>45870</v>
      </c>
    </row>
    <row r="359" spans="1:11" x14ac:dyDescent="0.25">
      <c r="A359">
        <v>358</v>
      </c>
      <c r="B359">
        <v>2025</v>
      </c>
      <c r="C359">
        <v>8</v>
      </c>
      <c r="D359">
        <v>31</v>
      </c>
      <c r="E359">
        <v>7</v>
      </c>
      <c r="F359" t="str">
        <v>77VL420</v>
      </c>
      <c r="G359">
        <v>15</v>
      </c>
      <c r="H359" t="str">
        <v>single</v>
      </c>
      <c r="J359">
        <v>118</v>
      </c>
      <c r="K359" s="19">
        <v>45870</v>
      </c>
    </row>
    <row r="360" spans="1:11" x14ac:dyDescent="0.25">
      <c r="A360">
        <v>359</v>
      </c>
      <c r="B360">
        <v>2025</v>
      </c>
      <c r="C360">
        <v>8</v>
      </c>
      <c r="D360">
        <v>31</v>
      </c>
      <c r="E360">
        <v>7</v>
      </c>
      <c r="F360" t="str">
        <v>90LS143</v>
      </c>
      <c r="G360">
        <v>29</v>
      </c>
      <c r="H360" t="str">
        <v>single</v>
      </c>
      <c r="J360">
        <v>81</v>
      </c>
      <c r="K360" s="19">
        <v>45870</v>
      </c>
    </row>
    <row r="361" spans="1:11" x14ac:dyDescent="0.25">
      <c r="A361">
        <v>360</v>
      </c>
      <c r="B361">
        <v>2025</v>
      </c>
      <c r="C361">
        <v>8</v>
      </c>
      <c r="D361">
        <v>31</v>
      </c>
      <c r="E361">
        <v>7</v>
      </c>
      <c r="F361" t="str">
        <v>90OE402</v>
      </c>
      <c r="G361">
        <v>14</v>
      </c>
      <c r="H361" t="str">
        <v>single</v>
      </c>
      <c r="J361">
        <v>83</v>
      </c>
      <c r="K361" s="19">
        <v>45870</v>
      </c>
    </row>
    <row r="362" spans="1:11" x14ac:dyDescent="0.25">
      <c r="A362">
        <v>361</v>
      </c>
      <c r="B362">
        <v>2025</v>
      </c>
      <c r="C362">
        <v>8</v>
      </c>
      <c r="D362">
        <v>31</v>
      </c>
      <c r="E362">
        <v>7</v>
      </c>
      <c r="F362" t="str">
        <v>90PY548</v>
      </c>
      <c r="G362">
        <v>30</v>
      </c>
      <c r="H362" t="str">
        <v>single</v>
      </c>
      <c r="J362">
        <v>85</v>
      </c>
      <c r="K362" s="19">
        <v>45870</v>
      </c>
    </row>
    <row r="363" spans="1:11" x14ac:dyDescent="0.25">
      <c r="A363">
        <v>362</v>
      </c>
      <c r="B363">
        <v>2025</v>
      </c>
      <c r="C363">
        <v>8</v>
      </c>
      <c r="D363">
        <v>31</v>
      </c>
      <c r="E363">
        <v>7</v>
      </c>
      <c r="F363" t="str">
        <v>90SL686</v>
      </c>
      <c r="G363">
        <v>30</v>
      </c>
      <c r="H363" t="str">
        <v>single</v>
      </c>
      <c r="J363">
        <v>19</v>
      </c>
      <c r="K363" s="19">
        <v>45870</v>
      </c>
    </row>
    <row r="364" spans="1:11" x14ac:dyDescent="0.25">
      <c r="A364">
        <v>363</v>
      </c>
      <c r="B364">
        <v>2025</v>
      </c>
      <c r="C364">
        <v>8</v>
      </c>
      <c r="D364">
        <v>31</v>
      </c>
      <c r="E364">
        <v>7</v>
      </c>
      <c r="F364" t="str">
        <v>90VS316</v>
      </c>
      <c r="G364">
        <v>30</v>
      </c>
      <c r="H364" t="str">
        <v>single</v>
      </c>
      <c r="J364">
        <v>87</v>
      </c>
      <c r="K364" s="19">
        <v>45870</v>
      </c>
    </row>
    <row r="365" spans="1:11" x14ac:dyDescent="0.25">
      <c r="A365">
        <v>364</v>
      </c>
      <c r="B365">
        <v>2025</v>
      </c>
      <c r="C365">
        <v>8</v>
      </c>
      <c r="D365">
        <v>31</v>
      </c>
      <c r="E365">
        <v>7</v>
      </c>
      <c r="F365" t="str">
        <v>99BT339</v>
      </c>
      <c r="G365">
        <v>30</v>
      </c>
      <c r="H365" t="str">
        <v>single</v>
      </c>
      <c r="J365">
        <v>93</v>
      </c>
      <c r="K365" s="19">
        <v>45870</v>
      </c>
    </row>
    <row r="366" spans="1:11" x14ac:dyDescent="0.25">
      <c r="A366">
        <v>365</v>
      </c>
      <c r="B366">
        <v>2025</v>
      </c>
      <c r="C366">
        <v>8</v>
      </c>
      <c r="D366">
        <v>31</v>
      </c>
      <c r="E366">
        <v>7</v>
      </c>
      <c r="F366" t="str">
        <v>99EM163</v>
      </c>
      <c r="G366">
        <v>29</v>
      </c>
      <c r="H366" t="str">
        <v>single</v>
      </c>
      <c r="J366">
        <v>100</v>
      </c>
      <c r="K366" s="19">
        <v>45870</v>
      </c>
    </row>
    <row r="367" spans="1:11" x14ac:dyDescent="0.25">
      <c r="A367">
        <v>366</v>
      </c>
      <c r="B367">
        <v>2025</v>
      </c>
      <c r="C367">
        <v>8</v>
      </c>
      <c r="D367">
        <v>31</v>
      </c>
      <c r="E367">
        <v>7</v>
      </c>
      <c r="F367" t="str">
        <v>99HZ395</v>
      </c>
      <c r="G367">
        <v>29</v>
      </c>
      <c r="H367" t="str">
        <v>single</v>
      </c>
      <c r="J367">
        <v>3</v>
      </c>
      <c r="K367" s="19">
        <v>45870</v>
      </c>
    </row>
    <row r="368" spans="1:11" x14ac:dyDescent="0.25">
      <c r="A368">
        <v>367</v>
      </c>
      <c r="B368">
        <v>2025</v>
      </c>
      <c r="C368">
        <v>8</v>
      </c>
      <c r="D368">
        <v>31</v>
      </c>
      <c r="E368">
        <v>7</v>
      </c>
      <c r="F368" t="str">
        <v>99KL663</v>
      </c>
      <c r="G368">
        <v>29</v>
      </c>
      <c r="H368" t="str">
        <v>single</v>
      </c>
      <c r="J368">
        <v>106</v>
      </c>
      <c r="K368" s="19">
        <v>45870</v>
      </c>
    </row>
    <row r="369" spans="1:11" x14ac:dyDescent="0.25">
      <c r="A369">
        <v>368</v>
      </c>
      <c r="B369">
        <v>2025</v>
      </c>
      <c r="C369">
        <v>8</v>
      </c>
      <c r="D369">
        <v>31</v>
      </c>
      <c r="E369">
        <v>7</v>
      </c>
      <c r="F369" t="str">
        <v>99LM412</v>
      </c>
      <c r="G369">
        <v>31</v>
      </c>
      <c r="H369" t="str">
        <v>single</v>
      </c>
      <c r="J369">
        <v>116</v>
      </c>
      <c r="K369" s="19">
        <v>45870</v>
      </c>
    </row>
    <row r="370" spans="1:11" x14ac:dyDescent="0.25">
      <c r="A370">
        <v>369</v>
      </c>
      <c r="B370">
        <v>2025</v>
      </c>
      <c r="C370">
        <v>8</v>
      </c>
      <c r="D370">
        <v>31</v>
      </c>
      <c r="E370">
        <v>7</v>
      </c>
      <c r="F370" t="str">
        <v>99MN472</v>
      </c>
      <c r="G370">
        <v>30</v>
      </c>
      <c r="H370" t="str">
        <v>single</v>
      </c>
      <c r="J370">
        <v>108</v>
      </c>
      <c r="K370" s="19">
        <v>45870</v>
      </c>
    </row>
    <row r="371" spans="1:11" x14ac:dyDescent="0.25">
      <c r="A371">
        <v>370</v>
      </c>
      <c r="B371">
        <v>2025</v>
      </c>
      <c r="C371">
        <v>8</v>
      </c>
      <c r="D371">
        <v>31</v>
      </c>
      <c r="E371">
        <v>7</v>
      </c>
      <c r="F371" t="str">
        <v>77GR998</v>
      </c>
      <c r="G371">
        <v>31</v>
      </c>
      <c r="H371" t="str">
        <v>double</v>
      </c>
      <c r="J371">
        <v>63</v>
      </c>
      <c r="K371" s="19">
        <v>45870</v>
      </c>
    </row>
    <row r="372" spans="1:11" x14ac:dyDescent="0.25">
      <c r="A372">
        <v>371</v>
      </c>
      <c r="B372">
        <v>2025</v>
      </c>
      <c r="C372">
        <v>8</v>
      </c>
      <c r="D372">
        <v>31</v>
      </c>
      <c r="E372">
        <v>7</v>
      </c>
      <c r="F372" t="str">
        <v>01CC689</v>
      </c>
      <c r="G372">
        <v>11.499999999999998</v>
      </c>
      <c r="H372" t="str">
        <v>hour</v>
      </c>
      <c r="J372">
        <v>25</v>
      </c>
      <c r="K372" s="19">
        <v>45870</v>
      </c>
    </row>
    <row r="373" spans="1:11" x14ac:dyDescent="0.25">
      <c r="A373">
        <v>372</v>
      </c>
      <c r="B373">
        <v>2025</v>
      </c>
      <c r="C373">
        <v>8</v>
      </c>
      <c r="D373">
        <v>31</v>
      </c>
      <c r="E373">
        <v>7</v>
      </c>
      <c r="F373" t="str">
        <v>10RN527</v>
      </c>
      <c r="G373">
        <v>64.000000000000014</v>
      </c>
      <c r="H373" t="str">
        <v>hour</v>
      </c>
      <c r="J373">
        <v>30</v>
      </c>
      <c r="K373" s="19">
        <v>45870</v>
      </c>
    </row>
    <row r="374" spans="1:11" x14ac:dyDescent="0.25">
      <c r="A374">
        <v>373</v>
      </c>
      <c r="B374">
        <v>2025</v>
      </c>
      <c r="C374">
        <v>8</v>
      </c>
      <c r="D374">
        <v>31</v>
      </c>
      <c r="E374">
        <v>7</v>
      </c>
      <c r="F374" t="str">
        <v>50BD165</v>
      </c>
      <c r="G374">
        <v>82.999999999999986</v>
      </c>
      <c r="H374" t="str">
        <v>hour</v>
      </c>
      <c r="J374">
        <v>40</v>
      </c>
      <c r="K374" s="19">
        <v>45870</v>
      </c>
    </row>
    <row r="375" spans="1:11" x14ac:dyDescent="0.25">
      <c r="A375">
        <v>374</v>
      </c>
      <c r="B375">
        <v>2025</v>
      </c>
      <c r="C375">
        <v>8</v>
      </c>
      <c r="D375">
        <v>31</v>
      </c>
      <c r="E375">
        <v>7</v>
      </c>
      <c r="F375" t="str">
        <v>50BN724</v>
      </c>
      <c r="G375">
        <v>75.999999999999986</v>
      </c>
      <c r="H375" t="str">
        <v>hour</v>
      </c>
      <c r="J375">
        <v>42</v>
      </c>
      <c r="K375" s="19">
        <v>45870</v>
      </c>
    </row>
    <row r="376" spans="1:11" x14ac:dyDescent="0.25">
      <c r="A376">
        <v>375</v>
      </c>
      <c r="B376">
        <v>2025</v>
      </c>
      <c r="C376">
        <v>8</v>
      </c>
      <c r="D376">
        <v>31</v>
      </c>
      <c r="E376">
        <v>7</v>
      </c>
      <c r="F376" t="str">
        <v>50CN929</v>
      </c>
      <c r="G376">
        <v>20.000000000000007</v>
      </c>
      <c r="H376" t="str">
        <v>hour</v>
      </c>
      <c r="J376">
        <v>44</v>
      </c>
      <c r="K376" s="19">
        <v>45870</v>
      </c>
    </row>
    <row r="377" spans="1:11" x14ac:dyDescent="0.25">
      <c r="A377">
        <v>376</v>
      </c>
      <c r="B377">
        <v>2025</v>
      </c>
      <c r="C377">
        <v>8</v>
      </c>
      <c r="D377">
        <v>31</v>
      </c>
      <c r="E377">
        <v>7</v>
      </c>
      <c r="F377" t="str">
        <v>50DK730</v>
      </c>
      <c r="G377">
        <v>98</v>
      </c>
      <c r="H377" t="str">
        <v>hour</v>
      </c>
      <c r="J377">
        <v>46</v>
      </c>
      <c r="K377" s="19">
        <v>45870</v>
      </c>
    </row>
    <row r="378" spans="1:11" x14ac:dyDescent="0.25">
      <c r="A378">
        <v>377</v>
      </c>
      <c r="B378">
        <v>2025</v>
      </c>
      <c r="C378">
        <v>8</v>
      </c>
      <c r="D378">
        <v>31</v>
      </c>
      <c r="E378">
        <v>7</v>
      </c>
      <c r="F378" t="str">
        <v>50EF902</v>
      </c>
      <c r="G378">
        <v>19.999999999999993</v>
      </c>
      <c r="H378" t="str">
        <v>hour</v>
      </c>
      <c r="J378">
        <v>48</v>
      </c>
      <c r="K378" s="19">
        <v>45870</v>
      </c>
    </row>
    <row r="379" spans="1:11" x14ac:dyDescent="0.25">
      <c r="A379">
        <v>378</v>
      </c>
      <c r="B379">
        <v>2025</v>
      </c>
      <c r="C379">
        <v>8</v>
      </c>
      <c r="D379">
        <v>31</v>
      </c>
      <c r="E379">
        <v>7</v>
      </c>
      <c r="F379" t="str">
        <v>53BB774</v>
      </c>
      <c r="G379">
        <v>25.999999999999986</v>
      </c>
      <c r="H379" t="str">
        <v>hour</v>
      </c>
      <c r="J379">
        <v>52</v>
      </c>
      <c r="K379" s="19">
        <v>45870</v>
      </c>
    </row>
    <row r="380" spans="1:11" x14ac:dyDescent="0.25">
      <c r="A380">
        <v>379</v>
      </c>
      <c r="B380">
        <v>2025</v>
      </c>
      <c r="C380">
        <v>8</v>
      </c>
      <c r="D380">
        <v>31</v>
      </c>
      <c r="E380">
        <v>7</v>
      </c>
      <c r="F380" t="str">
        <v>55CB633</v>
      </c>
      <c r="G380">
        <v>100</v>
      </c>
      <c r="H380" t="str">
        <v>hour</v>
      </c>
      <c r="J380">
        <v>56</v>
      </c>
      <c r="K380" s="19">
        <v>45870</v>
      </c>
    </row>
    <row r="381" spans="1:11" x14ac:dyDescent="0.25">
      <c r="A381">
        <v>380</v>
      </c>
      <c r="B381">
        <v>2025</v>
      </c>
      <c r="C381">
        <v>8</v>
      </c>
      <c r="D381">
        <v>31</v>
      </c>
      <c r="E381">
        <v>7</v>
      </c>
      <c r="F381" t="str">
        <v>90LS143</v>
      </c>
      <c r="G381">
        <v>11.999999999999995</v>
      </c>
      <c r="H381" t="str">
        <v>hour</v>
      </c>
      <c r="J381">
        <v>80</v>
      </c>
      <c r="K381" s="19">
        <v>45870</v>
      </c>
    </row>
    <row r="382" spans="1:11" x14ac:dyDescent="0.25">
      <c r="A382">
        <v>381</v>
      </c>
      <c r="B382">
        <v>2025</v>
      </c>
      <c r="C382">
        <v>8</v>
      </c>
      <c r="D382">
        <v>31</v>
      </c>
      <c r="E382">
        <v>7</v>
      </c>
      <c r="F382" t="str">
        <v>90SL686</v>
      </c>
      <c r="G382">
        <v>116.49989999999997</v>
      </c>
      <c r="H382" t="str">
        <v>hour</v>
      </c>
      <c r="J382">
        <v>20</v>
      </c>
      <c r="K382" s="19">
        <v>45870</v>
      </c>
    </row>
    <row r="383" spans="1:11" x14ac:dyDescent="0.25">
      <c r="A383">
        <v>382</v>
      </c>
      <c r="B383">
        <v>2025</v>
      </c>
      <c r="C383">
        <v>8</v>
      </c>
      <c r="D383">
        <v>31</v>
      </c>
      <c r="E383">
        <v>7</v>
      </c>
      <c r="F383" t="str">
        <v>90VS316</v>
      </c>
      <c r="G383">
        <v>102</v>
      </c>
      <c r="H383" t="str">
        <v>hour</v>
      </c>
      <c r="J383">
        <v>86</v>
      </c>
      <c r="K383" s="19">
        <v>45870</v>
      </c>
    </row>
    <row r="384" spans="1:11" x14ac:dyDescent="0.25">
      <c r="A384">
        <v>383</v>
      </c>
      <c r="B384">
        <v>2025</v>
      </c>
      <c r="C384">
        <v>8</v>
      </c>
      <c r="D384">
        <v>31</v>
      </c>
      <c r="E384">
        <v>7</v>
      </c>
      <c r="F384" t="str">
        <v>99BT339</v>
      </c>
      <c r="G384">
        <v>89.999999999999986</v>
      </c>
      <c r="H384" t="str">
        <v>hour</v>
      </c>
      <c r="J384">
        <v>92</v>
      </c>
      <c r="K384" s="19">
        <v>45870</v>
      </c>
    </row>
    <row r="385" spans="1:11" x14ac:dyDescent="0.25">
      <c r="A385">
        <v>384</v>
      </c>
      <c r="B385">
        <v>2025</v>
      </c>
      <c r="C385">
        <v>8</v>
      </c>
      <c r="D385">
        <v>31</v>
      </c>
      <c r="E385">
        <v>7</v>
      </c>
      <c r="F385" t="str">
        <v>99EM163</v>
      </c>
      <c r="G385">
        <v>200</v>
      </c>
      <c r="H385" t="str">
        <v>hour</v>
      </c>
      <c r="J385">
        <v>99</v>
      </c>
      <c r="K385" s="19">
        <v>45870</v>
      </c>
    </row>
    <row r="386" spans="1:11" x14ac:dyDescent="0.25">
      <c r="A386">
        <v>385</v>
      </c>
      <c r="B386">
        <v>2025</v>
      </c>
      <c r="C386">
        <v>8</v>
      </c>
      <c r="D386">
        <v>31</v>
      </c>
      <c r="E386">
        <v>7</v>
      </c>
      <c r="F386" t="str">
        <v>99KL663</v>
      </c>
      <c r="G386">
        <v>57.999999999999993</v>
      </c>
      <c r="H386" t="str">
        <v>hour</v>
      </c>
      <c r="J386">
        <v>105</v>
      </c>
      <c r="K386" s="19">
        <v>45870</v>
      </c>
    </row>
    <row r="387" spans="1:11" x14ac:dyDescent="0.25">
      <c r="A387">
        <v>386</v>
      </c>
      <c r="B387">
        <v>2025</v>
      </c>
      <c r="C387">
        <v>8</v>
      </c>
      <c r="D387">
        <v>31</v>
      </c>
      <c r="E387">
        <v>7</v>
      </c>
      <c r="F387" t="str">
        <v>99LM412</v>
      </c>
      <c r="G387">
        <v>54.000000000000014</v>
      </c>
      <c r="H387" t="str">
        <v>hour</v>
      </c>
      <c r="J387">
        <v>115</v>
      </c>
      <c r="K387" s="19">
        <v>45870</v>
      </c>
    </row>
    <row r="388" spans="1:11" x14ac:dyDescent="0.25">
      <c r="A388">
        <v>387</v>
      </c>
      <c r="B388">
        <v>2025</v>
      </c>
      <c r="C388">
        <v>8</v>
      </c>
      <c r="D388">
        <v>31</v>
      </c>
      <c r="E388">
        <v>7</v>
      </c>
      <c r="F388" t="str">
        <v>99MN472</v>
      </c>
      <c r="G388">
        <v>93</v>
      </c>
      <c r="H388" t="str">
        <v>hour</v>
      </c>
      <c r="J388">
        <v>107</v>
      </c>
      <c r="K388" s="19">
        <v>45870</v>
      </c>
    </row>
    <row r="389" spans="1:11" x14ac:dyDescent="0.25">
      <c r="A389">
        <v>388</v>
      </c>
      <c r="B389">
        <v>2025</v>
      </c>
      <c r="C389">
        <v>11</v>
      </c>
      <c r="D389">
        <v>46</v>
      </c>
      <c r="E389">
        <v>7</v>
      </c>
      <c r="F389" t="str">
        <v>110FY523</v>
      </c>
      <c r="G389">
        <v>28</v>
      </c>
      <c r="H389" t="str">
        <v>single</v>
      </c>
      <c r="J389">
        <v>1</v>
      </c>
      <c r="K389" s="19">
        <v>45962</v>
      </c>
    </row>
    <row r="390" spans="1:11" x14ac:dyDescent="0.25">
      <c r="A390">
        <v>389</v>
      </c>
      <c r="B390">
        <v>2025</v>
      </c>
      <c r="C390">
        <v>11</v>
      </c>
      <c r="D390">
        <v>46</v>
      </c>
      <c r="E390">
        <v>7</v>
      </c>
      <c r="F390" t="str">
        <v>10AD801</v>
      </c>
      <c r="G390">
        <v>19</v>
      </c>
      <c r="H390" t="str">
        <v>single</v>
      </c>
      <c r="J390">
        <v>4</v>
      </c>
      <c r="K390" s="19">
        <v>45962</v>
      </c>
    </row>
    <row r="391" spans="1:11" x14ac:dyDescent="0.25">
      <c r="A391">
        <v>390</v>
      </c>
      <c r="B391">
        <v>2025</v>
      </c>
      <c r="C391">
        <v>12</v>
      </c>
      <c r="D391">
        <v>50</v>
      </c>
      <c r="E391">
        <v>7</v>
      </c>
      <c r="F391" t="str">
        <v>61AB256</v>
      </c>
      <c r="G391">
        <v>28</v>
      </c>
      <c r="H391" t="str">
        <v>single</v>
      </c>
      <c r="J391">
        <v>1</v>
      </c>
      <c r="K391" s="19">
        <v>45992</v>
      </c>
    </row>
    <row r="392" spans="1:11" x14ac:dyDescent="0.25">
      <c r="A392">
        <v>391</v>
      </c>
      <c r="B392">
        <v>2026</v>
      </c>
      <c r="C392">
        <v>2</v>
      </c>
      <c r="D392">
        <v>51</v>
      </c>
      <c r="E392">
        <v>7</v>
      </c>
      <c r="F392" t="str">
        <v>10AD071</v>
      </c>
      <c r="G392">
        <v>30</v>
      </c>
      <c r="H392" t="str">
        <v>single</v>
      </c>
      <c r="J392">
        <v>5</v>
      </c>
      <c r="K392" s="19">
        <v>46054</v>
      </c>
    </row>
    <row r="393" spans="1:11" x14ac:dyDescent="0.25">
      <c r="A393">
        <v>392</v>
      </c>
      <c r="B393">
        <v>2026</v>
      </c>
      <c r="C393">
        <v>2</v>
      </c>
      <c r="D393">
        <v>51</v>
      </c>
      <c r="E393">
        <v>7</v>
      </c>
      <c r="F393" t="str">
        <v>10AD071</v>
      </c>
      <c r="G393">
        <v>4.0000000000000018</v>
      </c>
      <c r="H393" t="str">
        <v>hour</v>
      </c>
      <c r="J393">
        <v>6</v>
      </c>
      <c r="K393" s="19">
        <v>46054</v>
      </c>
    </row>
    <row r="394" spans="1:11" x14ac:dyDescent="0.25">
      <c r="A394">
        <v>393</v>
      </c>
      <c r="B394">
        <v>2025</v>
      </c>
      <c r="C394">
        <v>11</v>
      </c>
      <c r="D394">
        <v>65</v>
      </c>
      <c r="E394">
        <v>7</v>
      </c>
      <c r="F394" t="str">
        <v>01BA176</v>
      </c>
      <c r="G394">
        <v>27</v>
      </c>
      <c r="H394" t="str">
        <v>single</v>
      </c>
      <c r="J394">
        <v>1</v>
      </c>
      <c r="K394" s="19">
        <v>45962</v>
      </c>
    </row>
    <row r="395" spans="1:11" x14ac:dyDescent="0.25">
      <c r="A395">
        <v>394</v>
      </c>
      <c r="B395">
        <v>2025</v>
      </c>
      <c r="C395">
        <v>11</v>
      </c>
      <c r="D395">
        <v>65</v>
      </c>
      <c r="E395">
        <v>7</v>
      </c>
      <c r="F395" t="str">
        <v>10BD252</v>
      </c>
      <c r="G395">
        <v>28</v>
      </c>
      <c r="H395" t="str">
        <v>single</v>
      </c>
      <c r="J395">
        <v>2</v>
      </c>
      <c r="K395" s="19">
        <v>45962</v>
      </c>
    </row>
    <row r="396" spans="1:11" x14ac:dyDescent="0.25">
      <c r="A396">
        <v>395</v>
      </c>
      <c r="B396">
        <v>2025</v>
      </c>
      <c r="C396">
        <v>12</v>
      </c>
      <c r="D396">
        <v>85</v>
      </c>
      <c r="E396">
        <v>7</v>
      </c>
      <c r="F396" t="str">
        <v>77SN951</v>
      </c>
      <c r="G396">
        <v>27</v>
      </c>
      <c r="H396" t="str">
        <v>single</v>
      </c>
      <c r="J396">
        <v>1</v>
      </c>
      <c r="K396" s="19">
        <v>45992</v>
      </c>
    </row>
    <row r="397" spans="1:11" x14ac:dyDescent="0.25">
      <c r="A397">
        <v>396</v>
      </c>
      <c r="B397">
        <v>2025</v>
      </c>
      <c r="C397">
        <v>12</v>
      </c>
      <c r="D397">
        <v>85</v>
      </c>
      <c r="E397">
        <v>7</v>
      </c>
      <c r="F397" t="str">
        <v>77SN951</v>
      </c>
      <c r="G397">
        <v>55.999999999999986</v>
      </c>
      <c r="H397" t="str">
        <v>hour</v>
      </c>
      <c r="J397">
        <v>2</v>
      </c>
      <c r="K397" s="19">
        <v>45992</v>
      </c>
    </row>
    <row r="398" spans="1:11" x14ac:dyDescent="0.25">
      <c r="A398">
        <v>397</v>
      </c>
      <c r="B398">
        <v>2026</v>
      </c>
      <c r="C398">
        <v>1</v>
      </c>
      <c r="D398">
        <v>95</v>
      </c>
      <c r="E398">
        <v>7</v>
      </c>
      <c r="F398" t="str">
        <v>54BA209</v>
      </c>
      <c r="G398">
        <v>15.6</v>
      </c>
      <c r="H398" t="str">
        <v>single</v>
      </c>
      <c r="J398">
        <v>1</v>
      </c>
      <c r="K398" s="19">
        <v>46023</v>
      </c>
    </row>
    <row r="399" spans="1:11" x14ac:dyDescent="0.25">
      <c r="A399">
        <v>398</v>
      </c>
      <c r="B399">
        <v>2026</v>
      </c>
      <c r="C399">
        <v>1</v>
      </c>
      <c r="D399">
        <v>98</v>
      </c>
      <c r="E399">
        <v>7</v>
      </c>
      <c r="F399" t="str">
        <v>50BD416</v>
      </c>
      <c r="G399">
        <v>30</v>
      </c>
      <c r="H399" t="str">
        <v>single</v>
      </c>
      <c r="J399">
        <v>1</v>
      </c>
      <c r="K399" s="19">
        <v>46023</v>
      </c>
    </row>
    <row r="400" spans="1:11" x14ac:dyDescent="0.25">
      <c r="A400">
        <v>399</v>
      </c>
      <c r="B400">
        <v>2026</v>
      </c>
      <c r="C400">
        <v>1</v>
      </c>
      <c r="D400">
        <v>98</v>
      </c>
      <c r="E400">
        <v>7</v>
      </c>
      <c r="F400" t="str">
        <v>50BD416</v>
      </c>
      <c r="G400">
        <v>8.0000000000000071</v>
      </c>
      <c r="H400" t="str">
        <v>hour</v>
      </c>
      <c r="J400">
        <v>2</v>
      </c>
      <c r="K400" s="19">
        <v>46023</v>
      </c>
    </row>
    <row r="401" spans="1:11" x14ac:dyDescent="0.25">
      <c r="A401">
        <v>400</v>
      </c>
      <c r="B401">
        <v>2026</v>
      </c>
      <c r="C401">
        <v>1</v>
      </c>
      <c r="D401">
        <v>100</v>
      </c>
      <c r="E401">
        <v>7</v>
      </c>
      <c r="F401" t="str">
        <v>22AB273</v>
      </c>
      <c r="G401">
        <v>29</v>
      </c>
      <c r="H401" t="str">
        <v>single</v>
      </c>
      <c r="J401">
        <v>1</v>
      </c>
      <c r="K401" s="19">
        <v>46023</v>
      </c>
    </row>
    <row r="402" spans="1:11" x14ac:dyDescent="0.25">
      <c r="A402">
        <v>401</v>
      </c>
      <c r="B402">
        <v>2026</v>
      </c>
      <c r="C402">
        <v>2</v>
      </c>
      <c r="D402">
        <v>102</v>
      </c>
      <c r="E402">
        <v>7</v>
      </c>
      <c r="F402" t="str">
        <v>54BM823</v>
      </c>
      <c r="G402">
        <v>24</v>
      </c>
      <c r="H402" t="str">
        <v>single</v>
      </c>
      <c r="J402">
        <v>5</v>
      </c>
      <c r="K402" s="19">
        <v>46054</v>
      </c>
    </row>
    <row r="403" spans="1:11" x14ac:dyDescent="0.25">
      <c r="A403">
        <v>402</v>
      </c>
      <c r="B403">
        <v>2026</v>
      </c>
      <c r="C403">
        <v>2</v>
      </c>
      <c r="D403">
        <v>102</v>
      </c>
      <c r="E403">
        <v>7</v>
      </c>
      <c r="F403" t="str">
        <v>01BT754</v>
      </c>
      <c r="G403">
        <v>24</v>
      </c>
      <c r="H403" t="str">
        <v>single</v>
      </c>
      <c r="J403">
        <v>6</v>
      </c>
      <c r="K403" s="19">
        <v>46054</v>
      </c>
    </row>
    <row r="404" spans="1:11" x14ac:dyDescent="0.25">
      <c r="A404">
        <v>403</v>
      </c>
      <c r="B404">
        <v>2026</v>
      </c>
      <c r="C404">
        <v>2</v>
      </c>
      <c r="D404">
        <v>102</v>
      </c>
      <c r="E404">
        <v>7</v>
      </c>
      <c r="F404" t="str">
        <v>10MF640</v>
      </c>
      <c r="G404">
        <v>30</v>
      </c>
      <c r="H404" t="str">
        <v>single</v>
      </c>
      <c r="J404">
        <v>3</v>
      </c>
      <c r="K404" s="19">
        <v>46054</v>
      </c>
    </row>
    <row r="405" spans="1:11" x14ac:dyDescent="0.25">
      <c r="A405">
        <v>404</v>
      </c>
      <c r="B405">
        <v>2026</v>
      </c>
      <c r="C405">
        <v>2</v>
      </c>
      <c r="D405">
        <v>102</v>
      </c>
      <c r="E405">
        <v>7</v>
      </c>
      <c r="F405" t="str">
        <v>10MF640</v>
      </c>
      <c r="G405">
        <v>15</v>
      </c>
      <c r="H405" t="str">
        <v>hour</v>
      </c>
      <c r="J405">
        <v>4</v>
      </c>
      <c r="K405" s="19">
        <v>46054</v>
      </c>
    </row>
    <row r="406" spans="1:11" x14ac:dyDescent="0.25">
      <c r="A406">
        <v>405</v>
      </c>
      <c r="B406">
        <v>2026</v>
      </c>
      <c r="C406">
        <v>2</v>
      </c>
      <c r="D406">
        <v>110</v>
      </c>
      <c r="E406">
        <v>7</v>
      </c>
      <c r="F406" t="str">
        <v>99XC106</v>
      </c>
      <c r="G406">
        <v>10</v>
      </c>
      <c r="H406" t="str">
        <v>single</v>
      </c>
      <c r="J406">
        <v>1</v>
      </c>
      <c r="K406" s="19">
        <v>46054</v>
      </c>
    </row>
    <row r="407" spans="1:11" x14ac:dyDescent="0.25">
      <c r="A407">
        <v>406</v>
      </c>
      <c r="B407">
        <v>2025</v>
      </c>
      <c r="C407">
        <v>9</v>
      </c>
      <c r="D407">
        <v>31</v>
      </c>
      <c r="E407">
        <v>8</v>
      </c>
      <c r="F407" t="str">
        <v>10RN527</v>
      </c>
      <c r="G407">
        <v>30</v>
      </c>
      <c r="H407" t="str">
        <v>single</v>
      </c>
      <c r="J407">
        <v>32</v>
      </c>
      <c r="K407" s="19">
        <v>45901</v>
      </c>
    </row>
    <row r="408" spans="1:11" x14ac:dyDescent="0.25">
      <c r="A408">
        <v>407</v>
      </c>
      <c r="B408">
        <v>2025</v>
      </c>
      <c r="C408">
        <v>9</v>
      </c>
      <c r="D408">
        <v>31</v>
      </c>
      <c r="E408">
        <v>8</v>
      </c>
      <c r="F408" t="str">
        <v>50BD165</v>
      </c>
      <c r="G408">
        <v>29</v>
      </c>
      <c r="H408" t="str">
        <v>single</v>
      </c>
      <c r="J408">
        <v>41</v>
      </c>
      <c r="K408" s="19">
        <v>45901</v>
      </c>
    </row>
    <row r="409" spans="1:11" x14ac:dyDescent="0.25">
      <c r="A409">
        <v>408</v>
      </c>
      <c r="B409">
        <v>2025</v>
      </c>
      <c r="C409">
        <v>9</v>
      </c>
      <c r="D409">
        <v>31</v>
      </c>
      <c r="E409">
        <v>8</v>
      </c>
      <c r="F409" t="str">
        <v>50BN724</v>
      </c>
      <c r="G409">
        <v>30</v>
      </c>
      <c r="H409" t="str">
        <v>single</v>
      </c>
      <c r="J409">
        <v>43</v>
      </c>
      <c r="K409" s="19">
        <v>45901</v>
      </c>
    </row>
    <row r="410" spans="1:11" x14ac:dyDescent="0.25">
      <c r="A410">
        <v>409</v>
      </c>
      <c r="B410">
        <v>2025</v>
      </c>
      <c r="C410">
        <v>9</v>
      </c>
      <c r="D410">
        <v>31</v>
      </c>
      <c r="E410">
        <v>8</v>
      </c>
      <c r="F410" t="str">
        <v>50CN929</v>
      </c>
      <c r="G410">
        <v>29</v>
      </c>
      <c r="H410" t="str">
        <v>single</v>
      </c>
      <c r="J410">
        <v>45</v>
      </c>
      <c r="K410" s="19">
        <v>45901</v>
      </c>
    </row>
    <row r="411" spans="1:11" x14ac:dyDescent="0.25">
      <c r="A411">
        <v>410</v>
      </c>
      <c r="B411">
        <v>2025</v>
      </c>
      <c r="C411">
        <v>9</v>
      </c>
      <c r="D411">
        <v>31</v>
      </c>
      <c r="E411">
        <v>8</v>
      </c>
      <c r="F411" t="str">
        <v>50DK730</v>
      </c>
      <c r="G411">
        <v>29</v>
      </c>
      <c r="H411" t="str">
        <v>single</v>
      </c>
      <c r="J411">
        <v>47</v>
      </c>
      <c r="K411" s="19">
        <v>45901</v>
      </c>
    </row>
    <row r="412" spans="1:11" x14ac:dyDescent="0.25">
      <c r="A412">
        <v>411</v>
      </c>
      <c r="B412">
        <v>2025</v>
      </c>
      <c r="C412">
        <v>9</v>
      </c>
      <c r="D412">
        <v>31</v>
      </c>
      <c r="E412">
        <v>8</v>
      </c>
      <c r="F412" t="str">
        <v>50EF902</v>
      </c>
      <c r="G412">
        <v>30</v>
      </c>
      <c r="H412" t="str">
        <v>single</v>
      </c>
      <c r="J412">
        <v>49</v>
      </c>
      <c r="K412" s="19">
        <v>45901</v>
      </c>
    </row>
    <row r="413" spans="1:11" x14ac:dyDescent="0.25">
      <c r="A413">
        <v>412</v>
      </c>
      <c r="B413">
        <v>2025</v>
      </c>
      <c r="C413">
        <v>9</v>
      </c>
      <c r="D413">
        <v>31</v>
      </c>
      <c r="E413">
        <v>8</v>
      </c>
      <c r="F413" t="str">
        <v>55CB633</v>
      </c>
      <c r="G413">
        <v>27</v>
      </c>
      <c r="H413" t="str">
        <v>single</v>
      </c>
      <c r="J413">
        <v>57</v>
      </c>
      <c r="K413" s="19">
        <v>45901</v>
      </c>
    </row>
    <row r="414" spans="1:11" x14ac:dyDescent="0.25">
      <c r="A414">
        <v>413</v>
      </c>
      <c r="B414">
        <v>2025</v>
      </c>
      <c r="C414">
        <v>9</v>
      </c>
      <c r="D414">
        <v>31</v>
      </c>
      <c r="E414">
        <v>8</v>
      </c>
      <c r="F414" t="str">
        <v>77AT386</v>
      </c>
      <c r="G414">
        <v>30</v>
      </c>
      <c r="H414" t="str">
        <v>single</v>
      </c>
      <c r="J414">
        <v>13</v>
      </c>
      <c r="K414" s="19">
        <v>45901</v>
      </c>
    </row>
    <row r="415" spans="1:11" x14ac:dyDescent="0.25">
      <c r="A415">
        <v>414</v>
      </c>
      <c r="B415">
        <v>2025</v>
      </c>
      <c r="C415">
        <v>9</v>
      </c>
      <c r="D415">
        <v>31</v>
      </c>
      <c r="E415">
        <v>8</v>
      </c>
      <c r="F415" t="str">
        <v>77QE133</v>
      </c>
      <c r="G415">
        <v>8</v>
      </c>
      <c r="H415" t="str">
        <v>single</v>
      </c>
      <c r="J415">
        <v>69</v>
      </c>
      <c r="K415" s="19">
        <v>45901</v>
      </c>
    </row>
    <row r="416" spans="1:11" x14ac:dyDescent="0.25">
      <c r="A416">
        <v>415</v>
      </c>
      <c r="B416">
        <v>2025</v>
      </c>
      <c r="C416">
        <v>9</v>
      </c>
      <c r="D416">
        <v>31</v>
      </c>
      <c r="E416">
        <v>8</v>
      </c>
      <c r="F416" t="str">
        <v>77SR538</v>
      </c>
      <c r="G416">
        <v>30</v>
      </c>
      <c r="H416" t="str">
        <v>single</v>
      </c>
      <c r="J416">
        <v>73</v>
      </c>
      <c r="K416" s="19">
        <v>45901</v>
      </c>
    </row>
    <row r="417" spans="1:11" x14ac:dyDescent="0.25">
      <c r="A417">
        <v>416</v>
      </c>
      <c r="B417">
        <v>2025</v>
      </c>
      <c r="C417">
        <v>9</v>
      </c>
      <c r="D417">
        <v>31</v>
      </c>
      <c r="E417">
        <v>8</v>
      </c>
      <c r="F417" t="str">
        <v>77TG971</v>
      </c>
      <c r="G417">
        <v>29</v>
      </c>
      <c r="H417" t="str">
        <v>single</v>
      </c>
      <c r="J417">
        <v>75</v>
      </c>
      <c r="K417" s="19">
        <v>45901</v>
      </c>
    </row>
    <row r="418" spans="1:11" x14ac:dyDescent="0.25">
      <c r="A418">
        <v>417</v>
      </c>
      <c r="B418">
        <v>2025</v>
      </c>
      <c r="C418">
        <v>9</v>
      </c>
      <c r="D418">
        <v>31</v>
      </c>
      <c r="E418">
        <v>8</v>
      </c>
      <c r="F418" t="str">
        <v>77UR032</v>
      </c>
      <c r="G418">
        <v>27</v>
      </c>
      <c r="H418" t="str">
        <v>single</v>
      </c>
      <c r="J418">
        <v>77</v>
      </c>
      <c r="K418" s="19">
        <v>45901</v>
      </c>
    </row>
    <row r="419" spans="1:11" x14ac:dyDescent="0.25">
      <c r="A419">
        <v>418</v>
      </c>
      <c r="B419">
        <v>2025</v>
      </c>
      <c r="C419">
        <v>9</v>
      </c>
      <c r="D419">
        <v>31</v>
      </c>
      <c r="E419">
        <v>8</v>
      </c>
      <c r="F419" t="str">
        <v>77VL420</v>
      </c>
      <c r="G419">
        <v>15</v>
      </c>
      <c r="H419" t="str">
        <v>single</v>
      </c>
      <c r="J419">
        <v>118</v>
      </c>
      <c r="K419" s="19">
        <v>45901</v>
      </c>
    </row>
    <row r="420" spans="1:11" x14ac:dyDescent="0.25">
      <c r="A420">
        <v>419</v>
      </c>
      <c r="B420">
        <v>2025</v>
      </c>
      <c r="C420">
        <v>9</v>
      </c>
      <c r="D420">
        <v>31</v>
      </c>
      <c r="E420">
        <v>8</v>
      </c>
      <c r="F420" t="str">
        <v>90LS143</v>
      </c>
      <c r="G420">
        <v>27</v>
      </c>
      <c r="H420" t="str">
        <v>single</v>
      </c>
      <c r="J420">
        <v>81</v>
      </c>
      <c r="K420" s="19">
        <v>45901</v>
      </c>
    </row>
    <row r="421" spans="1:11" x14ac:dyDescent="0.25">
      <c r="A421">
        <v>420</v>
      </c>
      <c r="B421">
        <v>2025</v>
      </c>
      <c r="C421">
        <v>9</v>
      </c>
      <c r="D421">
        <v>31</v>
      </c>
      <c r="E421">
        <v>8</v>
      </c>
      <c r="F421" t="str">
        <v>90OE402</v>
      </c>
      <c r="G421">
        <v>30</v>
      </c>
      <c r="H421" t="str">
        <v>single</v>
      </c>
      <c r="J421">
        <v>83</v>
      </c>
      <c r="K421" s="19">
        <v>45901</v>
      </c>
    </row>
    <row r="422" spans="1:11" x14ac:dyDescent="0.25">
      <c r="A422">
        <v>421</v>
      </c>
      <c r="B422">
        <v>2025</v>
      </c>
      <c r="C422">
        <v>9</v>
      </c>
      <c r="D422">
        <v>31</v>
      </c>
      <c r="E422">
        <v>8</v>
      </c>
      <c r="F422" t="str">
        <v>90PY548</v>
      </c>
      <c r="G422">
        <v>30</v>
      </c>
      <c r="H422" t="str">
        <v>single</v>
      </c>
      <c r="J422">
        <v>85</v>
      </c>
      <c r="K422" s="19">
        <v>45901</v>
      </c>
    </row>
    <row r="423" spans="1:11" x14ac:dyDescent="0.25">
      <c r="A423">
        <v>422</v>
      </c>
      <c r="B423">
        <v>2025</v>
      </c>
      <c r="C423">
        <v>9</v>
      </c>
      <c r="D423">
        <v>31</v>
      </c>
      <c r="E423">
        <v>8</v>
      </c>
      <c r="F423" t="str">
        <v>90SL686</v>
      </c>
      <c r="G423">
        <v>11</v>
      </c>
      <c r="H423" t="str">
        <v>single</v>
      </c>
      <c r="J423">
        <v>19</v>
      </c>
      <c r="K423" s="19">
        <v>45901</v>
      </c>
    </row>
    <row r="424" spans="1:11" x14ac:dyDescent="0.25">
      <c r="A424">
        <v>423</v>
      </c>
      <c r="B424">
        <v>2025</v>
      </c>
      <c r="C424">
        <v>9</v>
      </c>
      <c r="D424">
        <v>31</v>
      </c>
      <c r="E424">
        <v>8</v>
      </c>
      <c r="F424" t="str">
        <v>90VS316</v>
      </c>
      <c r="G424">
        <v>29</v>
      </c>
      <c r="H424" t="str">
        <v>single</v>
      </c>
      <c r="J424">
        <v>87</v>
      </c>
      <c r="K424" s="19">
        <v>45901</v>
      </c>
    </row>
    <row r="425" spans="1:11" x14ac:dyDescent="0.25">
      <c r="A425">
        <v>424</v>
      </c>
      <c r="B425">
        <v>2025</v>
      </c>
      <c r="C425">
        <v>9</v>
      </c>
      <c r="D425">
        <v>31</v>
      </c>
      <c r="E425">
        <v>8</v>
      </c>
      <c r="F425" t="str">
        <v>99BT339</v>
      </c>
      <c r="G425">
        <v>29</v>
      </c>
      <c r="H425" t="str">
        <v>single</v>
      </c>
      <c r="J425">
        <v>93</v>
      </c>
      <c r="K425" s="19">
        <v>45901</v>
      </c>
    </row>
    <row r="426" spans="1:11" x14ac:dyDescent="0.25">
      <c r="A426">
        <v>425</v>
      </c>
      <c r="B426">
        <v>2025</v>
      </c>
      <c r="C426">
        <v>9</v>
      </c>
      <c r="D426">
        <v>31</v>
      </c>
      <c r="E426">
        <v>8</v>
      </c>
      <c r="F426" t="str">
        <v>99CN447</v>
      </c>
      <c r="G426">
        <v>24</v>
      </c>
      <c r="H426" t="str">
        <v>single</v>
      </c>
      <c r="J426">
        <v>94</v>
      </c>
      <c r="K426" s="19">
        <v>45901</v>
      </c>
    </row>
    <row r="427" spans="1:11" x14ac:dyDescent="0.25">
      <c r="A427">
        <v>426</v>
      </c>
      <c r="B427">
        <v>2025</v>
      </c>
      <c r="C427">
        <v>9</v>
      </c>
      <c r="D427">
        <v>31</v>
      </c>
      <c r="E427">
        <v>8</v>
      </c>
      <c r="F427" t="str">
        <v>99FO779</v>
      </c>
      <c r="G427">
        <v>22</v>
      </c>
      <c r="H427" t="str">
        <v>single</v>
      </c>
      <c r="J427">
        <v>101</v>
      </c>
      <c r="K427" s="19">
        <v>45901</v>
      </c>
    </row>
    <row r="428" spans="1:11" x14ac:dyDescent="0.25">
      <c r="A428">
        <v>427</v>
      </c>
      <c r="B428">
        <v>2025</v>
      </c>
      <c r="C428">
        <v>9</v>
      </c>
      <c r="D428">
        <v>31</v>
      </c>
      <c r="E428">
        <v>8</v>
      </c>
      <c r="F428" t="str">
        <v>99HZ395</v>
      </c>
      <c r="G428">
        <v>30</v>
      </c>
      <c r="H428" t="str">
        <v>single</v>
      </c>
      <c r="J428">
        <v>3</v>
      </c>
      <c r="K428" s="19">
        <v>45901</v>
      </c>
    </row>
    <row r="429" spans="1:11" x14ac:dyDescent="0.25">
      <c r="A429">
        <v>428</v>
      </c>
      <c r="B429">
        <v>2025</v>
      </c>
      <c r="C429">
        <v>9</v>
      </c>
      <c r="D429">
        <v>31</v>
      </c>
      <c r="E429">
        <v>8</v>
      </c>
      <c r="F429" t="str">
        <v>99KL663</v>
      </c>
      <c r="G429">
        <v>29</v>
      </c>
      <c r="H429" t="str">
        <v>single</v>
      </c>
      <c r="J429">
        <v>106</v>
      </c>
      <c r="K429" s="19">
        <v>45901</v>
      </c>
    </row>
    <row r="430" spans="1:11" x14ac:dyDescent="0.25">
      <c r="A430">
        <v>429</v>
      </c>
      <c r="B430">
        <v>2025</v>
      </c>
      <c r="C430">
        <v>9</v>
      </c>
      <c r="D430">
        <v>31</v>
      </c>
      <c r="E430">
        <v>8</v>
      </c>
      <c r="F430" t="str">
        <v>99LM412</v>
      </c>
      <c r="G430">
        <v>30</v>
      </c>
      <c r="H430" t="str">
        <v>single</v>
      </c>
      <c r="J430">
        <v>116</v>
      </c>
      <c r="K430" s="19">
        <v>45901</v>
      </c>
    </row>
    <row r="431" spans="1:11" x14ac:dyDescent="0.25">
      <c r="A431">
        <v>430</v>
      </c>
      <c r="B431">
        <v>2025</v>
      </c>
      <c r="C431">
        <v>9</v>
      </c>
      <c r="D431">
        <v>31</v>
      </c>
      <c r="E431">
        <v>8</v>
      </c>
      <c r="F431" t="str">
        <v>99MN472</v>
      </c>
      <c r="G431">
        <v>30</v>
      </c>
      <c r="H431" t="str">
        <v>single</v>
      </c>
      <c r="J431">
        <v>108</v>
      </c>
      <c r="K431" s="19">
        <v>45901</v>
      </c>
    </row>
    <row r="432" spans="1:11" x14ac:dyDescent="0.25">
      <c r="A432">
        <v>431</v>
      </c>
      <c r="B432">
        <v>2025</v>
      </c>
      <c r="C432">
        <v>9</v>
      </c>
      <c r="D432">
        <v>31</v>
      </c>
      <c r="E432">
        <v>8</v>
      </c>
      <c r="F432" t="str">
        <v>99OR961</v>
      </c>
      <c r="G432">
        <v>25</v>
      </c>
      <c r="H432" t="str">
        <v>single</v>
      </c>
      <c r="J432">
        <v>109</v>
      </c>
      <c r="K432" s="19">
        <v>45901</v>
      </c>
    </row>
    <row r="433" spans="1:11" x14ac:dyDescent="0.25">
      <c r="A433">
        <v>432</v>
      </c>
      <c r="B433">
        <v>2025</v>
      </c>
      <c r="C433">
        <v>9</v>
      </c>
      <c r="D433">
        <v>31</v>
      </c>
      <c r="E433">
        <v>8</v>
      </c>
      <c r="F433" t="str">
        <v>99UK314</v>
      </c>
      <c r="G433">
        <v>25</v>
      </c>
      <c r="H433" t="str">
        <v>single</v>
      </c>
      <c r="J433">
        <v>114</v>
      </c>
      <c r="K433" s="19">
        <v>45901</v>
      </c>
    </row>
    <row r="434" spans="1:11" x14ac:dyDescent="0.25">
      <c r="A434">
        <v>433</v>
      </c>
      <c r="B434">
        <v>2025</v>
      </c>
      <c r="C434">
        <v>9</v>
      </c>
      <c r="D434">
        <v>31</v>
      </c>
      <c r="E434">
        <v>8</v>
      </c>
      <c r="F434" t="str">
        <v>90YN163</v>
      </c>
      <c r="G434">
        <v>2</v>
      </c>
      <c r="H434" t="str">
        <v>single</v>
      </c>
      <c r="J434">
        <v>89</v>
      </c>
      <c r="K434" s="19">
        <v>45901</v>
      </c>
    </row>
    <row r="435" spans="1:11" x14ac:dyDescent="0.25">
      <c r="A435">
        <v>434</v>
      </c>
      <c r="B435">
        <v>2025</v>
      </c>
      <c r="C435">
        <v>9</v>
      </c>
      <c r="D435">
        <v>31</v>
      </c>
      <c r="E435">
        <v>8</v>
      </c>
      <c r="F435" t="str">
        <v>77GR998</v>
      </c>
      <c r="G435">
        <v>30</v>
      </c>
      <c r="H435" t="str">
        <v>double</v>
      </c>
      <c r="J435">
        <v>63</v>
      </c>
      <c r="K435" s="19">
        <v>45901</v>
      </c>
    </row>
    <row r="436" spans="1:11" x14ac:dyDescent="0.25">
      <c r="A436">
        <v>435</v>
      </c>
      <c r="B436">
        <v>2025</v>
      </c>
      <c r="C436">
        <v>9</v>
      </c>
      <c r="D436">
        <v>31</v>
      </c>
      <c r="E436">
        <v>8</v>
      </c>
      <c r="F436" t="str">
        <v>99EM163</v>
      </c>
      <c r="G436">
        <v>28</v>
      </c>
      <c r="H436" t="str">
        <v>double</v>
      </c>
      <c r="J436">
        <v>98</v>
      </c>
      <c r="K436" s="19">
        <v>45901</v>
      </c>
    </row>
    <row r="437" spans="1:11" x14ac:dyDescent="0.25">
      <c r="A437">
        <v>436</v>
      </c>
      <c r="B437">
        <v>2025</v>
      </c>
      <c r="C437">
        <v>9</v>
      </c>
      <c r="D437">
        <v>31</v>
      </c>
      <c r="E437">
        <v>8</v>
      </c>
      <c r="F437" t="str">
        <v>10RN527</v>
      </c>
      <c r="G437">
        <v>67</v>
      </c>
      <c r="H437" t="str">
        <v>hour</v>
      </c>
      <c r="J437">
        <v>30</v>
      </c>
      <c r="K437" s="19">
        <v>45901</v>
      </c>
    </row>
    <row r="438" spans="1:11" x14ac:dyDescent="0.25">
      <c r="A438">
        <v>437</v>
      </c>
      <c r="B438">
        <v>2025</v>
      </c>
      <c r="C438">
        <v>9</v>
      </c>
      <c r="D438">
        <v>31</v>
      </c>
      <c r="E438">
        <v>8</v>
      </c>
      <c r="F438" t="str">
        <v>50BD165</v>
      </c>
      <c r="G438">
        <v>57.500000000000007</v>
      </c>
      <c r="H438" t="str">
        <v>hour</v>
      </c>
      <c r="J438">
        <v>40</v>
      </c>
      <c r="K438" s="19">
        <v>45901</v>
      </c>
    </row>
    <row r="439" spans="1:11" x14ac:dyDescent="0.25">
      <c r="A439">
        <v>438</v>
      </c>
      <c r="B439">
        <v>2025</v>
      </c>
      <c r="C439">
        <v>9</v>
      </c>
      <c r="D439">
        <v>31</v>
      </c>
      <c r="E439">
        <v>8</v>
      </c>
      <c r="F439" t="str">
        <v>50BN724</v>
      </c>
      <c r="G439">
        <v>69.999999999999986</v>
      </c>
      <c r="H439" t="str">
        <v>hour</v>
      </c>
      <c r="J439">
        <v>42</v>
      </c>
      <c r="K439" s="19">
        <v>45901</v>
      </c>
    </row>
    <row r="440" spans="1:11" x14ac:dyDescent="0.25">
      <c r="A440">
        <v>439</v>
      </c>
      <c r="B440">
        <v>2025</v>
      </c>
      <c r="C440">
        <v>9</v>
      </c>
      <c r="D440">
        <v>31</v>
      </c>
      <c r="E440">
        <v>8</v>
      </c>
      <c r="F440" t="str">
        <v>50DK730</v>
      </c>
      <c r="G440">
        <v>87</v>
      </c>
      <c r="H440" t="str">
        <v>hour</v>
      </c>
      <c r="J440">
        <v>46</v>
      </c>
      <c r="K440" s="19">
        <v>45901</v>
      </c>
    </row>
    <row r="441" spans="1:11" x14ac:dyDescent="0.25">
      <c r="A441">
        <v>440</v>
      </c>
      <c r="B441">
        <v>2025</v>
      </c>
      <c r="C441">
        <v>9</v>
      </c>
      <c r="D441">
        <v>31</v>
      </c>
      <c r="E441">
        <v>8</v>
      </c>
      <c r="F441" t="str">
        <v>50EF902</v>
      </c>
      <c r="G441">
        <v>21.999999999999972</v>
      </c>
      <c r="H441" t="str">
        <v>hour</v>
      </c>
      <c r="J441">
        <v>48</v>
      </c>
      <c r="K441" s="19">
        <v>45901</v>
      </c>
    </row>
    <row r="442" spans="1:11" x14ac:dyDescent="0.25">
      <c r="A442">
        <v>441</v>
      </c>
      <c r="B442">
        <v>2025</v>
      </c>
      <c r="C442">
        <v>9</v>
      </c>
      <c r="D442">
        <v>31</v>
      </c>
      <c r="E442">
        <v>8</v>
      </c>
      <c r="F442" t="str">
        <v>55CB633</v>
      </c>
      <c r="G442">
        <v>114.99999999999999</v>
      </c>
      <c r="H442" t="str">
        <v>hour</v>
      </c>
      <c r="J442">
        <v>56</v>
      </c>
      <c r="K442" s="19">
        <v>45901</v>
      </c>
    </row>
    <row r="443" spans="1:11" x14ac:dyDescent="0.25">
      <c r="A443">
        <v>442</v>
      </c>
      <c r="B443">
        <v>2025</v>
      </c>
      <c r="C443">
        <v>9</v>
      </c>
      <c r="D443">
        <v>31</v>
      </c>
      <c r="E443">
        <v>8</v>
      </c>
      <c r="F443" t="str">
        <v>77UR032</v>
      </c>
      <c r="G443">
        <v>32.999999999999986</v>
      </c>
      <c r="H443" t="str">
        <v>hour</v>
      </c>
      <c r="J443">
        <v>76</v>
      </c>
      <c r="K443" s="19">
        <v>45901</v>
      </c>
    </row>
    <row r="444" spans="1:11" x14ac:dyDescent="0.25">
      <c r="A444">
        <v>443</v>
      </c>
      <c r="B444">
        <v>2025</v>
      </c>
      <c r="C444">
        <v>9</v>
      </c>
      <c r="D444">
        <v>31</v>
      </c>
      <c r="E444">
        <v>8</v>
      </c>
      <c r="F444" t="str">
        <v>90LS143</v>
      </c>
      <c r="G444">
        <v>30.999999999999986</v>
      </c>
      <c r="H444" t="str">
        <v>hour</v>
      </c>
      <c r="J444">
        <v>80</v>
      </c>
      <c r="K444" s="19">
        <v>45901</v>
      </c>
    </row>
    <row r="445" spans="1:11" x14ac:dyDescent="0.25">
      <c r="A445">
        <v>444</v>
      </c>
      <c r="B445">
        <v>2025</v>
      </c>
      <c r="C445">
        <v>9</v>
      </c>
      <c r="D445">
        <v>31</v>
      </c>
      <c r="E445">
        <v>8</v>
      </c>
      <c r="F445" t="str">
        <v>90SL686</v>
      </c>
      <c r="G445">
        <v>46.999999999999986</v>
      </c>
      <c r="H445" t="str">
        <v>hour</v>
      </c>
      <c r="J445">
        <v>20</v>
      </c>
      <c r="K445" s="19">
        <v>45901</v>
      </c>
    </row>
    <row r="446" spans="1:11" x14ac:dyDescent="0.25">
      <c r="A446">
        <v>445</v>
      </c>
      <c r="B446">
        <v>2025</v>
      </c>
      <c r="C446">
        <v>9</v>
      </c>
      <c r="D446">
        <v>31</v>
      </c>
      <c r="E446">
        <v>8</v>
      </c>
      <c r="F446" t="str">
        <v>90VS316</v>
      </c>
      <c r="G446">
        <v>97.999999999999986</v>
      </c>
      <c r="H446" t="str">
        <v>hour</v>
      </c>
      <c r="J446">
        <v>86</v>
      </c>
      <c r="K446" s="19">
        <v>45901</v>
      </c>
    </row>
    <row r="447" spans="1:11" x14ac:dyDescent="0.25">
      <c r="A447">
        <v>446</v>
      </c>
      <c r="B447">
        <v>2025</v>
      </c>
      <c r="C447">
        <v>9</v>
      </c>
      <c r="D447">
        <v>31</v>
      </c>
      <c r="E447">
        <v>8</v>
      </c>
      <c r="F447" t="str">
        <v>99BT339</v>
      </c>
      <c r="G447">
        <v>50.999999999999986</v>
      </c>
      <c r="H447" t="str">
        <v>hour</v>
      </c>
      <c r="J447">
        <v>92</v>
      </c>
      <c r="K447" s="19">
        <v>45901</v>
      </c>
    </row>
    <row r="448" spans="1:11" x14ac:dyDescent="0.25">
      <c r="A448">
        <v>447</v>
      </c>
      <c r="B448">
        <v>2025</v>
      </c>
      <c r="C448">
        <v>9</v>
      </c>
      <c r="D448">
        <v>31</v>
      </c>
      <c r="E448">
        <v>8</v>
      </c>
      <c r="F448" t="str">
        <v>99CN447</v>
      </c>
      <c r="G448">
        <v>29.999999999999986</v>
      </c>
      <c r="H448" t="str">
        <v>hour</v>
      </c>
      <c r="J448">
        <v>95</v>
      </c>
      <c r="K448" s="19">
        <v>45901</v>
      </c>
    </row>
    <row r="449" spans="1:11" x14ac:dyDescent="0.25">
      <c r="A449">
        <v>448</v>
      </c>
      <c r="B449">
        <v>2025</v>
      </c>
      <c r="C449">
        <v>9</v>
      </c>
      <c r="D449">
        <v>31</v>
      </c>
      <c r="E449">
        <v>8</v>
      </c>
      <c r="F449" t="str">
        <v>99FO779</v>
      </c>
      <c r="G449">
        <v>44.000000000000014</v>
      </c>
      <c r="H449" t="str">
        <v>hour</v>
      </c>
      <c r="J449">
        <v>102</v>
      </c>
      <c r="K449" s="19">
        <v>45901</v>
      </c>
    </row>
    <row r="450" spans="1:11" x14ac:dyDescent="0.25">
      <c r="A450">
        <v>449</v>
      </c>
      <c r="B450">
        <v>2025</v>
      </c>
      <c r="C450">
        <v>9</v>
      </c>
      <c r="D450">
        <v>31</v>
      </c>
      <c r="E450">
        <v>8</v>
      </c>
      <c r="F450" t="str">
        <v>99KL663</v>
      </c>
      <c r="G450">
        <v>37.999999999999986</v>
      </c>
      <c r="H450" t="str">
        <v>hour</v>
      </c>
      <c r="J450">
        <v>105</v>
      </c>
      <c r="K450" s="19">
        <v>45901</v>
      </c>
    </row>
    <row r="451" spans="1:11" x14ac:dyDescent="0.25">
      <c r="A451">
        <v>450</v>
      </c>
      <c r="B451">
        <v>2025</v>
      </c>
      <c r="C451">
        <v>9</v>
      </c>
      <c r="D451">
        <v>31</v>
      </c>
      <c r="E451">
        <v>8</v>
      </c>
      <c r="F451" t="str">
        <v>99LM412</v>
      </c>
      <c r="G451">
        <v>49.999999999999986</v>
      </c>
      <c r="H451" t="str">
        <v>hour</v>
      </c>
      <c r="J451">
        <v>115</v>
      </c>
      <c r="K451" s="19">
        <v>45901</v>
      </c>
    </row>
    <row r="452" spans="1:11" x14ac:dyDescent="0.25">
      <c r="A452">
        <v>451</v>
      </c>
      <c r="B452">
        <v>2025</v>
      </c>
      <c r="C452">
        <v>9</v>
      </c>
      <c r="D452">
        <v>31</v>
      </c>
      <c r="E452">
        <v>8</v>
      </c>
      <c r="F452" t="str">
        <v>99MN472</v>
      </c>
      <c r="G452">
        <v>90</v>
      </c>
      <c r="H452" t="str">
        <v>hour</v>
      </c>
      <c r="J452">
        <v>107</v>
      </c>
      <c r="K452" s="19">
        <v>45901</v>
      </c>
    </row>
    <row r="453" spans="1:11" x14ac:dyDescent="0.25">
      <c r="A453">
        <v>452</v>
      </c>
      <c r="B453">
        <v>2025</v>
      </c>
      <c r="C453">
        <v>9</v>
      </c>
      <c r="D453">
        <v>31</v>
      </c>
      <c r="E453">
        <v>8</v>
      </c>
      <c r="F453" t="str">
        <v>99UK314</v>
      </c>
      <c r="G453">
        <v>90</v>
      </c>
      <c r="H453" t="str">
        <v>hour</v>
      </c>
      <c r="J453">
        <v>113</v>
      </c>
      <c r="K453" s="19">
        <v>45901</v>
      </c>
    </row>
    <row r="454" spans="1:11" x14ac:dyDescent="0.25">
      <c r="A454">
        <v>453</v>
      </c>
      <c r="B454">
        <v>2025</v>
      </c>
      <c r="C454">
        <v>12</v>
      </c>
      <c r="D454">
        <v>46</v>
      </c>
      <c r="E454">
        <v>8</v>
      </c>
      <c r="F454" t="str">
        <v>110FY523</v>
      </c>
      <c r="G454">
        <v>9</v>
      </c>
      <c r="H454" t="str">
        <v>single</v>
      </c>
      <c r="J454">
        <v>1</v>
      </c>
      <c r="K454" s="19">
        <v>45992</v>
      </c>
    </row>
    <row r="455" spans="1:11" x14ac:dyDescent="0.25">
      <c r="A455">
        <v>454</v>
      </c>
      <c r="B455">
        <v>2026</v>
      </c>
      <c r="C455">
        <v>1</v>
      </c>
      <c r="D455">
        <v>50</v>
      </c>
      <c r="E455">
        <v>8</v>
      </c>
      <c r="F455" t="str">
        <v>61AB256</v>
      </c>
      <c r="G455">
        <v>29</v>
      </c>
      <c r="H455" t="str">
        <v>single</v>
      </c>
      <c r="J455">
        <v>1</v>
      </c>
      <c r="K455" s="19">
        <v>46023</v>
      </c>
    </row>
    <row r="456" spans="1:11" x14ac:dyDescent="0.25">
      <c r="A456">
        <v>455</v>
      </c>
      <c r="B456">
        <v>2026</v>
      </c>
      <c r="C456">
        <v>3</v>
      </c>
      <c r="D456">
        <v>51</v>
      </c>
      <c r="E456">
        <v>8</v>
      </c>
      <c r="F456" t="str">
        <v>10AD071</v>
      </c>
      <c r="G456">
        <v>26</v>
      </c>
      <c r="H456" t="str">
        <v>single</v>
      </c>
      <c r="J456">
        <v>5</v>
      </c>
      <c r="K456" s="19">
        <v>46082</v>
      </c>
    </row>
    <row r="457" spans="1:11" x14ac:dyDescent="0.25">
      <c r="A457">
        <v>456</v>
      </c>
      <c r="B457">
        <v>2026</v>
      </c>
      <c r="C457">
        <v>3</v>
      </c>
      <c r="D457">
        <v>51</v>
      </c>
      <c r="E457">
        <v>8</v>
      </c>
      <c r="F457" t="str">
        <v>10AD071</v>
      </c>
      <c r="G457">
        <v>3</v>
      </c>
      <c r="H457" t="str">
        <v>hour</v>
      </c>
      <c r="J457">
        <v>6</v>
      </c>
      <c r="K457" s="19">
        <v>46082</v>
      </c>
    </row>
    <row r="458" spans="1:11" x14ac:dyDescent="0.25">
      <c r="A458">
        <v>457</v>
      </c>
      <c r="B458">
        <v>2025</v>
      </c>
      <c r="C458">
        <v>12</v>
      </c>
      <c r="D458">
        <v>65</v>
      </c>
      <c r="E458">
        <v>8</v>
      </c>
      <c r="F458" t="str">
        <v>01BA176</v>
      </c>
      <c r="G458">
        <v>26</v>
      </c>
      <c r="H458" t="str">
        <v>single</v>
      </c>
      <c r="J458">
        <v>1</v>
      </c>
      <c r="K458" s="19">
        <v>45992</v>
      </c>
    </row>
    <row r="459" spans="1:11" x14ac:dyDescent="0.25">
      <c r="A459">
        <v>458</v>
      </c>
      <c r="B459">
        <v>2025</v>
      </c>
      <c r="C459">
        <v>12</v>
      </c>
      <c r="D459">
        <v>65</v>
      </c>
      <c r="E459">
        <v>8</v>
      </c>
      <c r="F459" t="str">
        <v>10BD252</v>
      </c>
      <c r="G459">
        <v>28</v>
      </c>
      <c r="H459" t="str">
        <v>single</v>
      </c>
      <c r="J459">
        <v>2</v>
      </c>
      <c r="K459" s="19">
        <v>45992</v>
      </c>
    </row>
    <row r="460" spans="1:11" x14ac:dyDescent="0.25">
      <c r="A460">
        <v>459</v>
      </c>
      <c r="B460">
        <v>2026</v>
      </c>
      <c r="C460">
        <v>1</v>
      </c>
      <c r="D460">
        <v>85</v>
      </c>
      <c r="E460">
        <v>8</v>
      </c>
      <c r="F460" t="str">
        <v>77SN951</v>
      </c>
      <c r="G460">
        <v>29</v>
      </c>
      <c r="H460" t="str">
        <v>single</v>
      </c>
      <c r="J460">
        <v>1</v>
      </c>
      <c r="K460" s="19">
        <v>46023</v>
      </c>
    </row>
    <row r="461" spans="1:11" x14ac:dyDescent="0.25">
      <c r="A461">
        <v>460</v>
      </c>
      <c r="B461">
        <v>2026</v>
      </c>
      <c r="C461">
        <v>1</v>
      </c>
      <c r="D461">
        <v>85</v>
      </c>
      <c r="E461">
        <v>8</v>
      </c>
      <c r="F461" t="str">
        <v>77SN951</v>
      </c>
      <c r="G461">
        <v>63.999999999999986</v>
      </c>
      <c r="H461" t="str">
        <v>hour</v>
      </c>
      <c r="J461">
        <v>2</v>
      </c>
      <c r="K461" s="19">
        <v>46023</v>
      </c>
    </row>
    <row r="462" spans="1:11" x14ac:dyDescent="0.25">
      <c r="A462">
        <v>461</v>
      </c>
      <c r="B462">
        <v>2026</v>
      </c>
      <c r="C462">
        <v>2</v>
      </c>
      <c r="D462">
        <v>95</v>
      </c>
      <c r="E462">
        <v>8</v>
      </c>
      <c r="F462" t="str">
        <v>54BA209</v>
      </c>
      <c r="G462">
        <v>27</v>
      </c>
      <c r="H462" t="str">
        <v>single</v>
      </c>
      <c r="J462">
        <v>1</v>
      </c>
      <c r="K462" s="19">
        <v>46054</v>
      </c>
    </row>
    <row r="463" spans="1:11" x14ac:dyDescent="0.25">
      <c r="A463">
        <v>462</v>
      </c>
      <c r="B463">
        <v>2026</v>
      </c>
      <c r="C463">
        <v>2</v>
      </c>
      <c r="D463">
        <v>98</v>
      </c>
      <c r="E463">
        <v>8</v>
      </c>
      <c r="F463" t="str">
        <v>50BD416</v>
      </c>
      <c r="G463">
        <v>29</v>
      </c>
      <c r="H463" t="str">
        <v>single</v>
      </c>
      <c r="J463">
        <v>1</v>
      </c>
      <c r="K463" s="19">
        <v>46054</v>
      </c>
    </row>
    <row r="464" spans="1:11" x14ac:dyDescent="0.25">
      <c r="A464">
        <v>463</v>
      </c>
      <c r="B464">
        <v>2026</v>
      </c>
      <c r="C464">
        <v>2</v>
      </c>
      <c r="D464">
        <v>100</v>
      </c>
      <c r="E464">
        <v>8</v>
      </c>
      <c r="F464" t="str">
        <v>22AB273</v>
      </c>
      <c r="G464">
        <v>27.999797999999998</v>
      </c>
      <c r="H464" t="str">
        <v>single</v>
      </c>
      <c r="J464">
        <v>1</v>
      </c>
      <c r="K464" s="19">
        <v>46054</v>
      </c>
    </row>
    <row r="465" spans="1:11" x14ac:dyDescent="0.25">
      <c r="A465">
        <v>464</v>
      </c>
      <c r="B465">
        <v>2026</v>
      </c>
      <c r="C465">
        <v>3</v>
      </c>
      <c r="D465">
        <v>102</v>
      </c>
      <c r="E465">
        <v>8</v>
      </c>
      <c r="F465" t="str">
        <v>54BM823</v>
      </c>
      <c r="G465">
        <v>25</v>
      </c>
      <c r="H465" t="str">
        <v>single</v>
      </c>
      <c r="J465">
        <v>5</v>
      </c>
      <c r="K465" s="19">
        <v>46082</v>
      </c>
    </row>
    <row r="466" spans="1:11" x14ac:dyDescent="0.25">
      <c r="A466">
        <v>465</v>
      </c>
      <c r="B466">
        <v>2026</v>
      </c>
      <c r="C466">
        <v>3</v>
      </c>
      <c r="D466">
        <v>102</v>
      </c>
      <c r="E466">
        <v>8</v>
      </c>
      <c r="F466" t="str">
        <v>01BT754</v>
      </c>
      <c r="G466">
        <v>24</v>
      </c>
      <c r="H466" t="str">
        <v>single</v>
      </c>
      <c r="J466">
        <v>6</v>
      </c>
      <c r="K466" s="19">
        <v>46082</v>
      </c>
    </row>
    <row r="467" spans="1:11" x14ac:dyDescent="0.25">
      <c r="A467">
        <v>466</v>
      </c>
      <c r="B467">
        <v>2026</v>
      </c>
      <c r="C467">
        <v>3</v>
      </c>
      <c r="D467">
        <v>102</v>
      </c>
      <c r="E467">
        <v>8</v>
      </c>
      <c r="F467" t="str">
        <v>10MF640</v>
      </c>
      <c r="G467">
        <v>29</v>
      </c>
      <c r="H467" t="str">
        <v>single</v>
      </c>
      <c r="J467">
        <v>3</v>
      </c>
      <c r="K467" s="19">
        <v>46082</v>
      </c>
    </row>
    <row r="468" spans="1:11" x14ac:dyDescent="0.25">
      <c r="A468">
        <v>467</v>
      </c>
      <c r="B468">
        <v>2026</v>
      </c>
      <c r="C468">
        <v>3</v>
      </c>
      <c r="D468">
        <v>102</v>
      </c>
      <c r="E468">
        <v>8</v>
      </c>
      <c r="F468" t="str">
        <v>10MF640</v>
      </c>
      <c r="G468">
        <v>26</v>
      </c>
      <c r="H468" t="str">
        <v>hour</v>
      </c>
      <c r="J468">
        <v>4</v>
      </c>
      <c r="K468" s="19">
        <v>46082</v>
      </c>
    </row>
    <row r="469" spans="1:11" x14ac:dyDescent="0.25">
      <c r="A469">
        <v>468</v>
      </c>
      <c r="B469">
        <v>2025</v>
      </c>
      <c r="C469">
        <v>10</v>
      </c>
      <c r="D469">
        <v>31</v>
      </c>
      <c r="E469">
        <v>9</v>
      </c>
      <c r="F469" t="str">
        <v>10RN527</v>
      </c>
      <c r="G469">
        <v>31</v>
      </c>
      <c r="H469" t="str">
        <v>single</v>
      </c>
      <c r="J469">
        <v>32</v>
      </c>
      <c r="K469" s="19">
        <v>45931</v>
      </c>
    </row>
    <row r="470" spans="1:11" x14ac:dyDescent="0.25">
      <c r="A470">
        <v>469</v>
      </c>
      <c r="B470">
        <v>2025</v>
      </c>
      <c r="C470">
        <v>10</v>
      </c>
      <c r="D470">
        <v>31</v>
      </c>
      <c r="E470">
        <v>9</v>
      </c>
      <c r="F470" t="str">
        <v>17BE358</v>
      </c>
      <c r="G470">
        <v>1</v>
      </c>
      <c r="H470" t="str">
        <v>single</v>
      </c>
      <c r="J470">
        <v>37</v>
      </c>
      <c r="K470" s="19">
        <v>45931</v>
      </c>
    </row>
    <row r="471" spans="1:11" x14ac:dyDescent="0.25">
      <c r="A471">
        <v>470</v>
      </c>
      <c r="B471">
        <v>2025</v>
      </c>
      <c r="C471">
        <v>10</v>
      </c>
      <c r="D471">
        <v>31</v>
      </c>
      <c r="E471">
        <v>9</v>
      </c>
      <c r="F471" t="str">
        <v>21BF442</v>
      </c>
      <c r="G471">
        <v>29</v>
      </c>
      <c r="H471" t="str">
        <v>single</v>
      </c>
      <c r="J471">
        <v>39</v>
      </c>
      <c r="K471" s="19">
        <v>45931</v>
      </c>
    </row>
    <row r="472" spans="1:11" x14ac:dyDescent="0.25">
      <c r="A472">
        <v>471</v>
      </c>
      <c r="B472">
        <v>2025</v>
      </c>
      <c r="C472">
        <v>10</v>
      </c>
      <c r="D472">
        <v>31</v>
      </c>
      <c r="E472">
        <v>9</v>
      </c>
      <c r="F472" t="str">
        <v>50BD165</v>
      </c>
      <c r="G472">
        <v>31</v>
      </c>
      <c r="H472" t="str">
        <v>single</v>
      </c>
      <c r="J472">
        <v>41</v>
      </c>
      <c r="K472" s="19">
        <v>45931</v>
      </c>
    </row>
    <row r="473" spans="1:11" x14ac:dyDescent="0.25">
      <c r="A473">
        <v>472</v>
      </c>
      <c r="B473">
        <v>2025</v>
      </c>
      <c r="C473">
        <v>10</v>
      </c>
      <c r="D473">
        <v>31</v>
      </c>
      <c r="E473">
        <v>9</v>
      </c>
      <c r="F473" t="str">
        <v>50BN724</v>
      </c>
      <c r="G473">
        <v>17</v>
      </c>
      <c r="H473" t="str">
        <v>single</v>
      </c>
      <c r="J473">
        <v>43</v>
      </c>
      <c r="K473" s="19">
        <v>45931</v>
      </c>
    </row>
    <row r="474" spans="1:11" x14ac:dyDescent="0.25">
      <c r="A474">
        <v>473</v>
      </c>
      <c r="B474">
        <v>2025</v>
      </c>
      <c r="C474">
        <v>10</v>
      </c>
      <c r="D474">
        <v>31</v>
      </c>
      <c r="E474">
        <v>9</v>
      </c>
      <c r="F474" t="str">
        <v>50CN929</v>
      </c>
      <c r="G474">
        <v>24</v>
      </c>
      <c r="H474" t="str">
        <v>single</v>
      </c>
      <c r="J474">
        <v>45</v>
      </c>
      <c r="K474" s="19">
        <v>45931</v>
      </c>
    </row>
    <row r="475" spans="1:11" x14ac:dyDescent="0.25">
      <c r="A475">
        <v>474</v>
      </c>
      <c r="B475">
        <v>2025</v>
      </c>
      <c r="C475">
        <v>10</v>
      </c>
      <c r="D475">
        <v>31</v>
      </c>
      <c r="E475">
        <v>9</v>
      </c>
      <c r="F475" t="str">
        <v>50DK730</v>
      </c>
      <c r="G475">
        <v>30</v>
      </c>
      <c r="H475" t="str">
        <v>single</v>
      </c>
      <c r="J475">
        <v>47</v>
      </c>
      <c r="K475" s="19">
        <v>45931</v>
      </c>
    </row>
    <row r="476" spans="1:11" x14ac:dyDescent="0.25">
      <c r="A476">
        <v>475</v>
      </c>
      <c r="B476">
        <v>2025</v>
      </c>
      <c r="C476">
        <v>10</v>
      </c>
      <c r="D476">
        <v>31</v>
      </c>
      <c r="E476">
        <v>9</v>
      </c>
      <c r="F476" t="str">
        <v>50EF902</v>
      </c>
      <c r="G476">
        <v>31</v>
      </c>
      <c r="H476" t="str">
        <v>single</v>
      </c>
      <c r="J476">
        <v>49</v>
      </c>
      <c r="K476" s="19">
        <v>45931</v>
      </c>
    </row>
    <row r="477" spans="1:11" x14ac:dyDescent="0.25">
      <c r="A477">
        <v>476</v>
      </c>
      <c r="B477">
        <v>2025</v>
      </c>
      <c r="C477">
        <v>10</v>
      </c>
      <c r="D477">
        <v>31</v>
      </c>
      <c r="E477">
        <v>9</v>
      </c>
      <c r="F477" t="str">
        <v>50FB264</v>
      </c>
      <c r="G477">
        <v>19</v>
      </c>
      <c r="H477" t="str">
        <v>single</v>
      </c>
      <c r="J477">
        <v>23</v>
      </c>
      <c r="K477" s="19">
        <v>45931</v>
      </c>
    </row>
    <row r="478" spans="1:11" x14ac:dyDescent="0.25">
      <c r="A478">
        <v>477</v>
      </c>
      <c r="B478">
        <v>2025</v>
      </c>
      <c r="C478">
        <v>10</v>
      </c>
      <c r="D478">
        <v>31</v>
      </c>
      <c r="E478">
        <v>9</v>
      </c>
      <c r="F478" t="str">
        <v>53BD338</v>
      </c>
      <c r="G478">
        <v>2</v>
      </c>
      <c r="H478" t="str">
        <v>single</v>
      </c>
      <c r="J478">
        <v>55</v>
      </c>
      <c r="K478" s="19">
        <v>45931</v>
      </c>
    </row>
    <row r="479" spans="1:11" x14ac:dyDescent="0.25">
      <c r="A479">
        <v>478</v>
      </c>
      <c r="B479">
        <v>2025</v>
      </c>
      <c r="C479">
        <v>10</v>
      </c>
      <c r="D479">
        <v>31</v>
      </c>
      <c r="E479">
        <v>9</v>
      </c>
      <c r="F479" t="str">
        <v>55CB633</v>
      </c>
      <c r="G479">
        <v>30</v>
      </c>
      <c r="H479" t="str">
        <v>single</v>
      </c>
      <c r="J479">
        <v>57</v>
      </c>
      <c r="K479" s="19">
        <v>45931</v>
      </c>
    </row>
    <row r="480" spans="1:11" x14ac:dyDescent="0.25">
      <c r="A480">
        <v>479</v>
      </c>
      <c r="B480">
        <v>2025</v>
      </c>
      <c r="C480">
        <v>10</v>
      </c>
      <c r="D480">
        <v>31</v>
      </c>
      <c r="E480">
        <v>9</v>
      </c>
      <c r="F480" t="str">
        <v>77AT386</v>
      </c>
      <c r="G480">
        <v>30</v>
      </c>
      <c r="H480" t="str">
        <v>single</v>
      </c>
      <c r="J480">
        <v>13</v>
      </c>
      <c r="K480" s="19">
        <v>45931</v>
      </c>
    </row>
    <row r="481" spans="1:11" x14ac:dyDescent="0.25">
      <c r="A481">
        <v>480</v>
      </c>
      <c r="B481">
        <v>2025</v>
      </c>
      <c r="C481">
        <v>10</v>
      </c>
      <c r="D481">
        <v>31</v>
      </c>
      <c r="E481">
        <v>9</v>
      </c>
      <c r="F481" t="str">
        <v>77DK884</v>
      </c>
      <c r="G481">
        <v>7</v>
      </c>
      <c r="H481" t="str">
        <v>single</v>
      </c>
      <c r="J481">
        <v>21</v>
      </c>
      <c r="K481" s="19">
        <v>45931</v>
      </c>
    </row>
    <row r="482" spans="1:11" x14ac:dyDescent="0.25">
      <c r="A482">
        <v>481</v>
      </c>
      <c r="B482">
        <v>2025</v>
      </c>
      <c r="C482">
        <v>10</v>
      </c>
      <c r="D482">
        <v>31</v>
      </c>
      <c r="E482">
        <v>9</v>
      </c>
      <c r="F482" t="str">
        <v>77SR538</v>
      </c>
      <c r="G482">
        <v>30</v>
      </c>
      <c r="H482" t="str">
        <v>single</v>
      </c>
      <c r="J482">
        <v>73</v>
      </c>
      <c r="K482" s="19">
        <v>45931</v>
      </c>
    </row>
    <row r="483" spans="1:11" x14ac:dyDescent="0.25">
      <c r="A483">
        <v>482</v>
      </c>
      <c r="B483">
        <v>2025</v>
      </c>
      <c r="C483">
        <v>10</v>
      </c>
      <c r="D483">
        <v>31</v>
      </c>
      <c r="E483">
        <v>9</v>
      </c>
      <c r="F483" t="str">
        <v>77TG971</v>
      </c>
      <c r="G483">
        <v>28</v>
      </c>
      <c r="H483" t="str">
        <v>single</v>
      </c>
      <c r="J483">
        <v>75</v>
      </c>
      <c r="K483" s="19">
        <v>45931</v>
      </c>
    </row>
    <row r="484" spans="1:11" x14ac:dyDescent="0.25">
      <c r="A484">
        <v>483</v>
      </c>
      <c r="B484">
        <v>2025</v>
      </c>
      <c r="C484">
        <v>10</v>
      </c>
      <c r="D484">
        <v>31</v>
      </c>
      <c r="E484">
        <v>9</v>
      </c>
      <c r="F484" t="str">
        <v>77UR032</v>
      </c>
      <c r="G484">
        <v>29</v>
      </c>
      <c r="H484" t="str">
        <v>single</v>
      </c>
      <c r="J484">
        <v>77</v>
      </c>
      <c r="K484" s="19">
        <v>45931</v>
      </c>
    </row>
    <row r="485" spans="1:11" x14ac:dyDescent="0.25">
      <c r="A485">
        <v>484</v>
      </c>
      <c r="B485">
        <v>2025</v>
      </c>
      <c r="C485">
        <v>10</v>
      </c>
      <c r="D485">
        <v>31</v>
      </c>
      <c r="E485">
        <v>9</v>
      </c>
      <c r="F485" t="str">
        <v>77VL420</v>
      </c>
      <c r="G485">
        <v>31</v>
      </c>
      <c r="H485" t="str">
        <v>single</v>
      </c>
      <c r="J485">
        <v>118</v>
      </c>
      <c r="K485" s="19">
        <v>45931</v>
      </c>
    </row>
    <row r="486" spans="1:11" x14ac:dyDescent="0.25">
      <c r="A486">
        <v>485</v>
      </c>
      <c r="B486">
        <v>2025</v>
      </c>
      <c r="C486">
        <v>10</v>
      </c>
      <c r="D486">
        <v>31</v>
      </c>
      <c r="E486">
        <v>9</v>
      </c>
      <c r="F486" t="str">
        <v>90EC344</v>
      </c>
      <c r="G486">
        <v>30</v>
      </c>
      <c r="H486" t="str">
        <v>single</v>
      </c>
      <c r="J486">
        <v>79</v>
      </c>
      <c r="K486" s="19">
        <v>45931</v>
      </c>
    </row>
    <row r="487" spans="1:11" x14ac:dyDescent="0.25">
      <c r="A487">
        <v>486</v>
      </c>
      <c r="B487">
        <v>2025</v>
      </c>
      <c r="C487">
        <v>10</v>
      </c>
      <c r="D487">
        <v>31</v>
      </c>
      <c r="E487">
        <v>9</v>
      </c>
      <c r="F487" t="str">
        <v>90LS143</v>
      </c>
      <c r="G487">
        <v>31</v>
      </c>
      <c r="H487" t="str">
        <v>single</v>
      </c>
      <c r="J487">
        <v>81</v>
      </c>
      <c r="K487" s="19">
        <v>45931</v>
      </c>
    </row>
    <row r="488" spans="1:11" x14ac:dyDescent="0.25">
      <c r="A488">
        <v>487</v>
      </c>
      <c r="B488">
        <v>2025</v>
      </c>
      <c r="C488">
        <v>10</v>
      </c>
      <c r="D488">
        <v>31</v>
      </c>
      <c r="E488">
        <v>9</v>
      </c>
      <c r="F488" t="str">
        <v>90OE402</v>
      </c>
      <c r="G488">
        <v>30</v>
      </c>
      <c r="H488" t="str">
        <v>single</v>
      </c>
      <c r="J488">
        <v>83</v>
      </c>
      <c r="K488" s="19">
        <v>45931</v>
      </c>
    </row>
    <row r="489" spans="1:11" x14ac:dyDescent="0.25">
      <c r="A489">
        <v>488</v>
      </c>
      <c r="B489">
        <v>2025</v>
      </c>
      <c r="C489">
        <v>10</v>
      </c>
      <c r="D489">
        <v>31</v>
      </c>
      <c r="E489">
        <v>9</v>
      </c>
      <c r="F489" t="str">
        <v>90PY548</v>
      </c>
      <c r="G489">
        <v>30</v>
      </c>
      <c r="H489" t="str">
        <v>single</v>
      </c>
      <c r="J489">
        <v>85</v>
      </c>
      <c r="K489" s="19">
        <v>45931</v>
      </c>
    </row>
    <row r="490" spans="1:11" x14ac:dyDescent="0.25">
      <c r="A490">
        <v>489</v>
      </c>
      <c r="B490">
        <v>2025</v>
      </c>
      <c r="C490">
        <v>10</v>
      </c>
      <c r="D490">
        <v>31</v>
      </c>
      <c r="E490">
        <v>9</v>
      </c>
      <c r="F490" t="str">
        <v>90VS316</v>
      </c>
      <c r="G490">
        <v>31</v>
      </c>
      <c r="H490" t="str">
        <v>single</v>
      </c>
      <c r="J490">
        <v>87</v>
      </c>
      <c r="K490" s="19">
        <v>45931</v>
      </c>
    </row>
    <row r="491" spans="1:11" x14ac:dyDescent="0.25">
      <c r="A491">
        <v>490</v>
      </c>
      <c r="B491">
        <v>2025</v>
      </c>
      <c r="C491">
        <v>10</v>
      </c>
      <c r="D491">
        <v>31</v>
      </c>
      <c r="E491">
        <v>9</v>
      </c>
      <c r="F491" t="str">
        <v>90YN163</v>
      </c>
      <c r="G491">
        <v>30</v>
      </c>
      <c r="H491" t="str">
        <v>single</v>
      </c>
      <c r="J491">
        <v>89</v>
      </c>
      <c r="K491" s="19">
        <v>45931</v>
      </c>
    </row>
    <row r="492" spans="1:11" x14ac:dyDescent="0.25">
      <c r="A492">
        <v>491</v>
      </c>
      <c r="B492">
        <v>2025</v>
      </c>
      <c r="C492">
        <v>10</v>
      </c>
      <c r="D492">
        <v>31</v>
      </c>
      <c r="E492">
        <v>9</v>
      </c>
      <c r="F492" t="str">
        <v>99BT339</v>
      </c>
      <c r="G492">
        <v>31</v>
      </c>
      <c r="H492" t="str">
        <v>single</v>
      </c>
      <c r="J492">
        <v>93</v>
      </c>
      <c r="K492" s="19">
        <v>45931</v>
      </c>
    </row>
    <row r="493" spans="1:11" x14ac:dyDescent="0.25">
      <c r="A493">
        <v>492</v>
      </c>
      <c r="B493">
        <v>2025</v>
      </c>
      <c r="C493">
        <v>10</v>
      </c>
      <c r="D493">
        <v>31</v>
      </c>
      <c r="E493">
        <v>9</v>
      </c>
      <c r="F493" t="str">
        <v>99CN447</v>
      </c>
      <c r="G493">
        <v>30</v>
      </c>
      <c r="H493" t="str">
        <v>single</v>
      </c>
      <c r="J493">
        <v>94</v>
      </c>
      <c r="K493" s="19">
        <v>45931</v>
      </c>
    </row>
    <row r="494" spans="1:11" x14ac:dyDescent="0.25">
      <c r="A494">
        <v>493</v>
      </c>
      <c r="B494">
        <v>2025</v>
      </c>
      <c r="C494">
        <v>10</v>
      </c>
      <c r="D494">
        <v>31</v>
      </c>
      <c r="E494">
        <v>9</v>
      </c>
      <c r="F494" t="str">
        <v>99FO779</v>
      </c>
      <c r="G494">
        <v>30</v>
      </c>
      <c r="H494" t="str">
        <v>single</v>
      </c>
      <c r="J494">
        <v>101</v>
      </c>
      <c r="K494" s="19">
        <v>45931</v>
      </c>
    </row>
    <row r="495" spans="1:11" x14ac:dyDescent="0.25">
      <c r="A495">
        <v>494</v>
      </c>
      <c r="B495">
        <v>2025</v>
      </c>
      <c r="C495">
        <v>10</v>
      </c>
      <c r="D495">
        <v>31</v>
      </c>
      <c r="E495">
        <v>9</v>
      </c>
      <c r="F495" t="str">
        <v>99GZ612</v>
      </c>
      <c r="G495">
        <v>12</v>
      </c>
      <c r="H495" t="str">
        <v>single</v>
      </c>
      <c r="J495">
        <v>104</v>
      </c>
      <c r="K495" s="19">
        <v>45931</v>
      </c>
    </row>
    <row r="496" spans="1:11" x14ac:dyDescent="0.25">
      <c r="A496">
        <v>495</v>
      </c>
      <c r="B496">
        <v>2025</v>
      </c>
      <c r="C496">
        <v>10</v>
      </c>
      <c r="D496">
        <v>31</v>
      </c>
      <c r="E496">
        <v>9</v>
      </c>
      <c r="F496" t="str">
        <v>99HZ395</v>
      </c>
      <c r="G496">
        <v>29</v>
      </c>
      <c r="H496" t="str">
        <v>single</v>
      </c>
      <c r="J496">
        <v>3</v>
      </c>
      <c r="K496" s="19">
        <v>45931</v>
      </c>
    </row>
    <row r="497" spans="1:11" x14ac:dyDescent="0.25">
      <c r="A497">
        <v>496</v>
      </c>
      <c r="B497">
        <v>2025</v>
      </c>
      <c r="C497">
        <v>10</v>
      </c>
      <c r="D497">
        <v>31</v>
      </c>
      <c r="E497">
        <v>9</v>
      </c>
      <c r="F497" t="str">
        <v>99KL663</v>
      </c>
      <c r="G497">
        <v>31</v>
      </c>
      <c r="H497" t="str">
        <v>single</v>
      </c>
      <c r="J497">
        <v>106</v>
      </c>
      <c r="K497" s="19">
        <v>45931</v>
      </c>
    </row>
    <row r="498" spans="1:11" x14ac:dyDescent="0.25">
      <c r="A498">
        <v>497</v>
      </c>
      <c r="B498">
        <v>2025</v>
      </c>
      <c r="C498">
        <v>10</v>
      </c>
      <c r="D498">
        <v>31</v>
      </c>
      <c r="E498">
        <v>9</v>
      </c>
      <c r="F498" t="str">
        <v>99LM412</v>
      </c>
      <c r="G498">
        <v>31</v>
      </c>
      <c r="H498" t="str">
        <v>single</v>
      </c>
      <c r="J498">
        <v>116</v>
      </c>
      <c r="K498" s="19">
        <v>45931</v>
      </c>
    </row>
    <row r="499" spans="1:11" x14ac:dyDescent="0.25">
      <c r="A499">
        <v>498</v>
      </c>
      <c r="B499">
        <v>2025</v>
      </c>
      <c r="C499">
        <v>10</v>
      </c>
      <c r="D499">
        <v>31</v>
      </c>
      <c r="E499">
        <v>9</v>
      </c>
      <c r="F499" t="str">
        <v>99MN472</v>
      </c>
      <c r="G499">
        <v>28</v>
      </c>
      <c r="H499" t="str">
        <v>single</v>
      </c>
      <c r="J499">
        <v>108</v>
      </c>
      <c r="K499" s="19">
        <v>45931</v>
      </c>
    </row>
    <row r="500" spans="1:11" x14ac:dyDescent="0.25">
      <c r="A500">
        <v>499</v>
      </c>
      <c r="B500">
        <v>2025</v>
      </c>
      <c r="C500">
        <v>10</v>
      </c>
      <c r="D500">
        <v>31</v>
      </c>
      <c r="E500">
        <v>9</v>
      </c>
      <c r="F500" t="str">
        <v>99OR961</v>
      </c>
      <c r="G500">
        <v>30</v>
      </c>
      <c r="H500" t="str">
        <v>single</v>
      </c>
      <c r="J500">
        <v>109</v>
      </c>
      <c r="K500" s="19">
        <v>45931</v>
      </c>
    </row>
    <row r="501" spans="1:11" x14ac:dyDescent="0.25">
      <c r="A501">
        <v>500</v>
      </c>
      <c r="B501">
        <v>2025</v>
      </c>
      <c r="C501">
        <v>10</v>
      </c>
      <c r="D501">
        <v>31</v>
      </c>
      <c r="E501">
        <v>9</v>
      </c>
      <c r="F501" t="str">
        <v>99UK314</v>
      </c>
      <c r="G501">
        <v>31</v>
      </c>
      <c r="H501" t="str">
        <v>single</v>
      </c>
      <c r="J501">
        <v>114</v>
      </c>
      <c r="K501" s="19">
        <v>45931</v>
      </c>
    </row>
    <row r="502" spans="1:11" x14ac:dyDescent="0.25">
      <c r="A502">
        <v>501</v>
      </c>
      <c r="B502">
        <v>2025</v>
      </c>
      <c r="C502">
        <v>10</v>
      </c>
      <c r="D502">
        <v>31</v>
      </c>
      <c r="E502">
        <v>9</v>
      </c>
      <c r="F502" t="str">
        <v>77GR998</v>
      </c>
      <c r="G502">
        <v>31</v>
      </c>
      <c r="H502" t="str">
        <v>double</v>
      </c>
      <c r="J502">
        <v>63</v>
      </c>
      <c r="K502" s="19">
        <v>45931</v>
      </c>
    </row>
    <row r="503" spans="1:11" x14ac:dyDescent="0.25">
      <c r="A503">
        <v>502</v>
      </c>
      <c r="B503">
        <v>2025</v>
      </c>
      <c r="C503">
        <v>10</v>
      </c>
      <c r="D503">
        <v>31</v>
      </c>
      <c r="E503">
        <v>9</v>
      </c>
      <c r="F503" t="str">
        <v>99EM163</v>
      </c>
      <c r="G503">
        <v>31</v>
      </c>
      <c r="H503" t="str">
        <v>double</v>
      </c>
      <c r="J503">
        <v>98</v>
      </c>
      <c r="K503" s="19">
        <v>45931</v>
      </c>
    </row>
    <row r="504" spans="1:11" x14ac:dyDescent="0.25">
      <c r="A504">
        <v>503</v>
      </c>
      <c r="B504">
        <v>2025</v>
      </c>
      <c r="C504">
        <v>10</v>
      </c>
      <c r="D504">
        <v>31</v>
      </c>
      <c r="E504">
        <v>9</v>
      </c>
      <c r="F504" t="str">
        <v>10RN527</v>
      </c>
      <c r="G504">
        <v>87</v>
      </c>
      <c r="H504" t="str">
        <v>hour</v>
      </c>
      <c r="J504">
        <v>30</v>
      </c>
      <c r="K504" s="19">
        <v>45931</v>
      </c>
    </row>
    <row r="505" spans="1:11" x14ac:dyDescent="0.25">
      <c r="A505">
        <v>504</v>
      </c>
      <c r="B505">
        <v>2025</v>
      </c>
      <c r="C505">
        <v>10</v>
      </c>
      <c r="D505">
        <v>31</v>
      </c>
      <c r="E505">
        <v>9</v>
      </c>
      <c r="F505" t="str">
        <v>21BF442</v>
      </c>
      <c r="G505">
        <v>87</v>
      </c>
      <c r="H505" t="str">
        <v>hour</v>
      </c>
      <c r="J505">
        <v>38</v>
      </c>
      <c r="K505" s="19">
        <v>45931</v>
      </c>
    </row>
    <row r="506" spans="1:11" x14ac:dyDescent="0.25">
      <c r="A506">
        <v>505</v>
      </c>
      <c r="B506">
        <v>2025</v>
      </c>
      <c r="C506">
        <v>10</v>
      </c>
      <c r="D506">
        <v>31</v>
      </c>
      <c r="E506">
        <v>9</v>
      </c>
      <c r="F506" t="str">
        <v>50BD165</v>
      </c>
      <c r="G506">
        <v>28.999999999999975</v>
      </c>
      <c r="H506" t="str">
        <v>hour</v>
      </c>
      <c r="J506">
        <v>40</v>
      </c>
      <c r="K506" s="19">
        <v>45931</v>
      </c>
    </row>
    <row r="507" spans="1:11" x14ac:dyDescent="0.25">
      <c r="A507">
        <v>506</v>
      </c>
      <c r="B507">
        <v>2025</v>
      </c>
      <c r="C507">
        <v>10</v>
      </c>
      <c r="D507">
        <v>31</v>
      </c>
      <c r="E507">
        <v>9</v>
      </c>
      <c r="F507" t="str">
        <v>50BN724</v>
      </c>
      <c r="G507">
        <v>35.999999999999943</v>
      </c>
      <c r="H507" t="str">
        <v>hour</v>
      </c>
      <c r="J507">
        <v>42</v>
      </c>
      <c r="K507" s="19">
        <v>45931</v>
      </c>
    </row>
    <row r="508" spans="1:11" x14ac:dyDescent="0.25">
      <c r="A508">
        <v>507</v>
      </c>
      <c r="B508">
        <v>2025</v>
      </c>
      <c r="C508">
        <v>10</v>
      </c>
      <c r="D508">
        <v>31</v>
      </c>
      <c r="E508">
        <v>9</v>
      </c>
      <c r="F508" t="str">
        <v>50CN929</v>
      </c>
      <c r="G508">
        <v>72</v>
      </c>
      <c r="H508" t="str">
        <v>hour</v>
      </c>
      <c r="J508">
        <v>44</v>
      </c>
      <c r="K508" s="19">
        <v>45931</v>
      </c>
    </row>
    <row r="509" spans="1:11" x14ac:dyDescent="0.25">
      <c r="A509">
        <v>508</v>
      </c>
      <c r="B509">
        <v>2025</v>
      </c>
      <c r="C509">
        <v>10</v>
      </c>
      <c r="D509">
        <v>31</v>
      </c>
      <c r="E509">
        <v>9</v>
      </c>
      <c r="F509" t="str">
        <v>50DK730</v>
      </c>
      <c r="G509">
        <v>90</v>
      </c>
      <c r="H509" t="str">
        <v>hour</v>
      </c>
      <c r="J509">
        <v>46</v>
      </c>
      <c r="K509" s="19">
        <v>45931</v>
      </c>
    </row>
    <row r="510" spans="1:11" x14ac:dyDescent="0.25">
      <c r="A510">
        <v>509</v>
      </c>
      <c r="B510">
        <v>2025</v>
      </c>
      <c r="C510">
        <v>10</v>
      </c>
      <c r="D510">
        <v>31</v>
      </c>
      <c r="E510">
        <v>9</v>
      </c>
      <c r="F510" t="str">
        <v>50EF902</v>
      </c>
      <c r="G510">
        <v>63.999999999999943</v>
      </c>
      <c r="H510" t="str">
        <v>hour</v>
      </c>
      <c r="J510">
        <v>48</v>
      </c>
      <c r="K510" s="19">
        <v>45931</v>
      </c>
    </row>
    <row r="511" spans="1:11" x14ac:dyDescent="0.25">
      <c r="A511">
        <v>510</v>
      </c>
      <c r="B511">
        <v>2025</v>
      </c>
      <c r="C511">
        <v>10</v>
      </c>
      <c r="D511">
        <v>31</v>
      </c>
      <c r="E511">
        <v>9</v>
      </c>
      <c r="F511" t="str">
        <v>50FB264</v>
      </c>
      <c r="G511">
        <v>44.999999999999957</v>
      </c>
      <c r="H511" t="str">
        <v>hour</v>
      </c>
      <c r="J511">
        <v>24</v>
      </c>
      <c r="K511" s="19">
        <v>45931</v>
      </c>
    </row>
    <row r="512" spans="1:11" x14ac:dyDescent="0.25">
      <c r="A512">
        <v>511</v>
      </c>
      <c r="B512">
        <v>2025</v>
      </c>
      <c r="C512">
        <v>10</v>
      </c>
      <c r="D512">
        <v>31</v>
      </c>
      <c r="E512">
        <v>9</v>
      </c>
      <c r="F512" t="str">
        <v>55CB633</v>
      </c>
      <c r="G512">
        <v>89</v>
      </c>
      <c r="H512" t="str">
        <v>hour</v>
      </c>
      <c r="J512">
        <v>56</v>
      </c>
      <c r="K512" s="19">
        <v>45931</v>
      </c>
    </row>
    <row r="513" spans="1:11" x14ac:dyDescent="0.25">
      <c r="A513">
        <v>512</v>
      </c>
      <c r="B513">
        <v>2025</v>
      </c>
      <c r="C513">
        <v>10</v>
      </c>
      <c r="D513">
        <v>31</v>
      </c>
      <c r="E513">
        <v>9</v>
      </c>
      <c r="F513" t="str">
        <v>77TG971</v>
      </c>
      <c r="G513">
        <v>7.9999999999999858</v>
      </c>
      <c r="H513" t="str">
        <v>hour</v>
      </c>
      <c r="J513">
        <v>74</v>
      </c>
      <c r="K513" s="19">
        <v>45931</v>
      </c>
    </row>
    <row r="514" spans="1:11" x14ac:dyDescent="0.25">
      <c r="A514">
        <v>513</v>
      </c>
      <c r="B514">
        <v>2025</v>
      </c>
      <c r="C514">
        <v>10</v>
      </c>
      <c r="D514">
        <v>31</v>
      </c>
      <c r="E514">
        <v>9</v>
      </c>
      <c r="F514" t="str">
        <v>90EC344</v>
      </c>
      <c r="G514">
        <v>41</v>
      </c>
      <c r="H514" t="str">
        <v>hour</v>
      </c>
      <c r="J514">
        <v>78</v>
      </c>
      <c r="K514" s="19">
        <v>45931</v>
      </c>
    </row>
    <row r="515" spans="1:11" x14ac:dyDescent="0.25">
      <c r="A515">
        <v>514</v>
      </c>
      <c r="B515">
        <v>2025</v>
      </c>
      <c r="C515">
        <v>10</v>
      </c>
      <c r="D515">
        <v>31</v>
      </c>
      <c r="E515">
        <v>9</v>
      </c>
      <c r="F515" t="str">
        <v>90LS143</v>
      </c>
      <c r="G515">
        <v>25.999999999999986</v>
      </c>
      <c r="H515" t="str">
        <v>hour</v>
      </c>
      <c r="J515">
        <v>80</v>
      </c>
      <c r="K515" s="19">
        <v>45931</v>
      </c>
    </row>
    <row r="516" spans="1:11" x14ac:dyDescent="0.25">
      <c r="A516">
        <v>515</v>
      </c>
      <c r="B516">
        <v>2025</v>
      </c>
      <c r="C516">
        <v>10</v>
      </c>
      <c r="D516">
        <v>31</v>
      </c>
      <c r="E516">
        <v>9</v>
      </c>
      <c r="F516" t="str">
        <v>90VS316</v>
      </c>
      <c r="G516">
        <v>76.999999999999986</v>
      </c>
      <c r="H516" t="str">
        <v>hour</v>
      </c>
      <c r="J516">
        <v>86</v>
      </c>
      <c r="K516" s="19">
        <v>45931</v>
      </c>
    </row>
    <row r="517" spans="1:11" x14ac:dyDescent="0.25">
      <c r="A517">
        <v>516</v>
      </c>
      <c r="B517">
        <v>2025</v>
      </c>
      <c r="C517">
        <v>10</v>
      </c>
      <c r="D517">
        <v>31</v>
      </c>
      <c r="E517">
        <v>9</v>
      </c>
      <c r="F517" t="str">
        <v>99BT339</v>
      </c>
      <c r="G517">
        <v>55.999999999999972</v>
      </c>
      <c r="H517" t="str">
        <v>hour</v>
      </c>
      <c r="J517">
        <v>92</v>
      </c>
      <c r="K517" s="19">
        <v>45931</v>
      </c>
    </row>
    <row r="518" spans="1:11" x14ac:dyDescent="0.25">
      <c r="A518">
        <v>517</v>
      </c>
      <c r="B518">
        <v>2025</v>
      </c>
      <c r="C518">
        <v>10</v>
      </c>
      <c r="D518">
        <v>31</v>
      </c>
      <c r="E518">
        <v>9</v>
      </c>
      <c r="F518" t="str">
        <v>99CN447</v>
      </c>
      <c r="G518">
        <v>73.999999999999972</v>
      </c>
      <c r="H518" t="str">
        <v>hour</v>
      </c>
      <c r="J518">
        <v>95</v>
      </c>
      <c r="K518" s="19">
        <v>45931</v>
      </c>
    </row>
    <row r="519" spans="1:11" x14ac:dyDescent="0.25">
      <c r="A519">
        <v>518</v>
      </c>
      <c r="B519">
        <v>2025</v>
      </c>
      <c r="C519">
        <v>10</v>
      </c>
      <c r="D519">
        <v>31</v>
      </c>
      <c r="E519">
        <v>9</v>
      </c>
      <c r="F519" t="str">
        <v>99FO779</v>
      </c>
      <c r="G519">
        <v>86.999999999999986</v>
      </c>
      <c r="H519" t="str">
        <v>hour</v>
      </c>
      <c r="J519">
        <v>102</v>
      </c>
      <c r="K519" s="19">
        <v>45931</v>
      </c>
    </row>
    <row r="520" spans="1:11" x14ac:dyDescent="0.25">
      <c r="A520">
        <v>519</v>
      </c>
      <c r="B520">
        <v>2025</v>
      </c>
      <c r="C520">
        <v>10</v>
      </c>
      <c r="D520">
        <v>31</v>
      </c>
      <c r="E520">
        <v>9</v>
      </c>
      <c r="F520" t="str">
        <v>99KL663</v>
      </c>
      <c r="G520">
        <v>74.999999999999986</v>
      </c>
      <c r="H520" t="str">
        <v>hour</v>
      </c>
      <c r="J520">
        <v>105</v>
      </c>
      <c r="K520" s="19">
        <v>45931</v>
      </c>
    </row>
    <row r="521" spans="1:11" x14ac:dyDescent="0.25">
      <c r="A521">
        <v>520</v>
      </c>
      <c r="B521">
        <v>2025</v>
      </c>
      <c r="C521">
        <v>10</v>
      </c>
      <c r="D521">
        <v>31</v>
      </c>
      <c r="E521">
        <v>9</v>
      </c>
      <c r="F521" t="str">
        <v>99LM412</v>
      </c>
      <c r="G521">
        <v>49.999999999999943</v>
      </c>
      <c r="H521" t="str">
        <v>hour</v>
      </c>
      <c r="J521">
        <v>115</v>
      </c>
      <c r="K521" s="19">
        <v>45931</v>
      </c>
    </row>
    <row r="522" spans="1:11" x14ac:dyDescent="0.25">
      <c r="A522">
        <v>521</v>
      </c>
      <c r="B522">
        <v>2025</v>
      </c>
      <c r="C522">
        <v>10</v>
      </c>
      <c r="D522">
        <v>31</v>
      </c>
      <c r="E522">
        <v>9</v>
      </c>
      <c r="F522" t="str">
        <v>99MN472</v>
      </c>
      <c r="G522">
        <v>83</v>
      </c>
      <c r="H522" t="str">
        <v>hour</v>
      </c>
      <c r="J522">
        <v>107</v>
      </c>
      <c r="K522" s="19">
        <v>45931</v>
      </c>
    </row>
    <row r="523" spans="1:11" x14ac:dyDescent="0.25">
      <c r="A523">
        <v>522</v>
      </c>
      <c r="B523">
        <v>2025</v>
      </c>
      <c r="C523">
        <v>10</v>
      </c>
      <c r="D523">
        <v>31</v>
      </c>
      <c r="E523">
        <v>9</v>
      </c>
      <c r="F523" t="str">
        <v>99OR961</v>
      </c>
      <c r="G523">
        <v>40.999999999999986</v>
      </c>
      <c r="H523" t="str">
        <v>hour</v>
      </c>
      <c r="J523">
        <v>110</v>
      </c>
      <c r="K523" s="19">
        <v>45931</v>
      </c>
    </row>
    <row r="524" spans="1:11" x14ac:dyDescent="0.25">
      <c r="A524">
        <v>523</v>
      </c>
      <c r="B524">
        <v>2025</v>
      </c>
      <c r="C524">
        <v>10</v>
      </c>
      <c r="D524">
        <v>31</v>
      </c>
      <c r="E524">
        <v>9</v>
      </c>
      <c r="F524" t="str">
        <v>99UK314</v>
      </c>
      <c r="G524">
        <v>101</v>
      </c>
      <c r="H524" t="str">
        <v>hour</v>
      </c>
      <c r="J524">
        <v>113</v>
      </c>
      <c r="K524" s="19">
        <v>45931</v>
      </c>
    </row>
    <row r="525" spans="1:11" x14ac:dyDescent="0.25">
      <c r="A525">
        <v>524</v>
      </c>
      <c r="B525">
        <v>2026</v>
      </c>
      <c r="C525">
        <v>2</v>
      </c>
      <c r="D525">
        <v>50</v>
      </c>
      <c r="E525">
        <v>9</v>
      </c>
      <c r="F525" t="str">
        <v>61AB256</v>
      </c>
      <c r="G525">
        <v>28</v>
      </c>
      <c r="H525" t="str">
        <v>single</v>
      </c>
      <c r="J525">
        <v>1</v>
      </c>
      <c r="K525" s="19">
        <v>46054</v>
      </c>
    </row>
    <row r="526" spans="1:11" x14ac:dyDescent="0.25">
      <c r="A526">
        <v>525</v>
      </c>
      <c r="B526">
        <v>2026</v>
      </c>
      <c r="C526">
        <v>1</v>
      </c>
      <c r="D526">
        <v>65</v>
      </c>
      <c r="E526">
        <v>9</v>
      </c>
      <c r="F526" t="str">
        <v>10BD252</v>
      </c>
      <c r="G526">
        <v>8</v>
      </c>
      <c r="H526" t="str">
        <v>single</v>
      </c>
      <c r="J526">
        <v>2</v>
      </c>
      <c r="K526" s="19">
        <v>46023</v>
      </c>
    </row>
    <row r="527" spans="1:11" x14ac:dyDescent="0.25">
      <c r="A527">
        <v>526</v>
      </c>
      <c r="B527">
        <v>2026</v>
      </c>
      <c r="C527">
        <v>1</v>
      </c>
      <c r="D527">
        <v>65</v>
      </c>
      <c r="E527">
        <v>9</v>
      </c>
      <c r="F527" t="str">
        <v>01BA176</v>
      </c>
      <c r="G527">
        <v>25</v>
      </c>
      <c r="H527" t="str">
        <v>single</v>
      </c>
      <c r="J527">
        <v>1</v>
      </c>
      <c r="K527" s="19">
        <v>46023</v>
      </c>
    </row>
    <row r="528" spans="1:11" x14ac:dyDescent="0.25">
      <c r="A528">
        <v>527</v>
      </c>
      <c r="B528">
        <v>2026</v>
      </c>
      <c r="C528">
        <v>2</v>
      </c>
      <c r="D528">
        <v>85</v>
      </c>
      <c r="E528">
        <v>9</v>
      </c>
      <c r="F528" t="str">
        <v>77SN951</v>
      </c>
      <c r="G528">
        <v>29</v>
      </c>
      <c r="H528" t="str">
        <v>single</v>
      </c>
      <c r="J528">
        <v>3</v>
      </c>
      <c r="K528" s="19">
        <v>46054</v>
      </c>
    </row>
    <row r="529" spans="1:11" x14ac:dyDescent="0.25">
      <c r="A529">
        <v>528</v>
      </c>
      <c r="B529">
        <v>2026</v>
      </c>
      <c r="C529">
        <v>2</v>
      </c>
      <c r="D529">
        <v>85</v>
      </c>
      <c r="E529">
        <v>9</v>
      </c>
      <c r="F529" t="str">
        <v>77SN951</v>
      </c>
      <c r="G529">
        <v>65</v>
      </c>
      <c r="H529" t="str">
        <v>hour</v>
      </c>
      <c r="J529">
        <v>4</v>
      </c>
      <c r="K529" s="19">
        <v>46054</v>
      </c>
    </row>
    <row r="530" spans="1:11" x14ac:dyDescent="0.25">
      <c r="A530">
        <v>529</v>
      </c>
      <c r="B530">
        <v>2026</v>
      </c>
      <c r="C530">
        <v>3</v>
      </c>
      <c r="D530">
        <v>95</v>
      </c>
      <c r="E530">
        <v>9</v>
      </c>
      <c r="F530" t="str">
        <v>54BA209</v>
      </c>
      <c r="G530">
        <v>28</v>
      </c>
      <c r="H530" t="str">
        <v>single</v>
      </c>
      <c r="J530">
        <v>1</v>
      </c>
      <c r="K530" s="19">
        <v>46082</v>
      </c>
    </row>
    <row r="531" spans="1:11" x14ac:dyDescent="0.25">
      <c r="A531">
        <v>530</v>
      </c>
      <c r="B531">
        <v>2026</v>
      </c>
      <c r="C531">
        <v>3</v>
      </c>
      <c r="D531">
        <v>95</v>
      </c>
      <c r="E531">
        <v>9</v>
      </c>
      <c r="F531" t="str">
        <v>54BA209</v>
      </c>
      <c r="G531">
        <v>3</v>
      </c>
      <c r="H531" t="str">
        <v>hour</v>
      </c>
      <c r="J531">
        <v>2</v>
      </c>
      <c r="K531" s="19">
        <v>46082</v>
      </c>
    </row>
    <row r="532" spans="1:11" x14ac:dyDescent="0.25">
      <c r="A532">
        <v>531</v>
      </c>
      <c r="B532">
        <v>2026</v>
      </c>
      <c r="C532">
        <v>3</v>
      </c>
      <c r="D532">
        <v>98</v>
      </c>
      <c r="E532">
        <v>9</v>
      </c>
      <c r="F532" t="str">
        <v>50BD416</v>
      </c>
      <c r="G532">
        <v>26</v>
      </c>
      <c r="H532" t="str">
        <v>single</v>
      </c>
      <c r="J532">
        <v>1</v>
      </c>
      <c r="K532" s="19">
        <v>46082</v>
      </c>
    </row>
    <row r="533" spans="1:11" x14ac:dyDescent="0.25">
      <c r="A533">
        <v>532</v>
      </c>
      <c r="B533">
        <v>2026</v>
      </c>
      <c r="C533">
        <v>3</v>
      </c>
      <c r="D533">
        <v>100</v>
      </c>
      <c r="E533">
        <v>9</v>
      </c>
      <c r="F533" t="str">
        <v>22AB273</v>
      </c>
      <c r="G533">
        <v>27</v>
      </c>
      <c r="H533" t="str">
        <v>single</v>
      </c>
      <c r="J533">
        <v>1</v>
      </c>
      <c r="K533" s="19">
        <v>46082</v>
      </c>
    </row>
    <row r="534" spans="1:11" x14ac:dyDescent="0.25">
      <c r="A534">
        <v>533</v>
      </c>
      <c r="B534">
        <v>2026</v>
      </c>
      <c r="C534">
        <v>3</v>
      </c>
      <c r="D534">
        <v>100</v>
      </c>
      <c r="E534">
        <v>9</v>
      </c>
      <c r="F534" t="str">
        <v>22AB283</v>
      </c>
      <c r="G534">
        <v>26</v>
      </c>
      <c r="H534" t="str">
        <v>single</v>
      </c>
      <c r="J534">
        <v>2</v>
      </c>
      <c r="K534" s="19">
        <v>46082</v>
      </c>
    </row>
    <row r="535" spans="1:11" x14ac:dyDescent="0.25">
      <c r="A535">
        <v>534</v>
      </c>
      <c r="B535">
        <v>2025</v>
      </c>
      <c r="C535">
        <v>11</v>
      </c>
      <c r="D535">
        <v>31</v>
      </c>
      <c r="E535">
        <v>10</v>
      </c>
      <c r="F535" t="str">
        <v>10RN527</v>
      </c>
      <c r="G535">
        <v>29</v>
      </c>
      <c r="H535" t="str">
        <v>single</v>
      </c>
      <c r="J535">
        <v>32</v>
      </c>
      <c r="K535" s="19">
        <v>45962</v>
      </c>
    </row>
    <row r="536" spans="1:11" x14ac:dyDescent="0.25">
      <c r="A536">
        <v>535</v>
      </c>
      <c r="B536">
        <v>2025</v>
      </c>
      <c r="C536">
        <v>11</v>
      </c>
      <c r="D536">
        <v>31</v>
      </c>
      <c r="E536">
        <v>10</v>
      </c>
      <c r="F536" t="str">
        <v>21BF442</v>
      </c>
      <c r="G536">
        <v>28</v>
      </c>
      <c r="H536" t="str">
        <v>single</v>
      </c>
      <c r="J536">
        <v>39</v>
      </c>
      <c r="K536" s="19">
        <v>45962</v>
      </c>
    </row>
    <row r="537" spans="1:11" x14ac:dyDescent="0.25">
      <c r="A537">
        <v>536</v>
      </c>
      <c r="B537">
        <v>2025</v>
      </c>
      <c r="C537">
        <v>11</v>
      </c>
      <c r="D537">
        <v>31</v>
      </c>
      <c r="E537">
        <v>10</v>
      </c>
      <c r="F537" t="str">
        <v>50BD165</v>
      </c>
      <c r="G537">
        <v>12</v>
      </c>
      <c r="H537" t="str">
        <v>single</v>
      </c>
      <c r="J537">
        <v>41</v>
      </c>
      <c r="K537" s="19">
        <v>45962</v>
      </c>
    </row>
    <row r="538" spans="1:11" x14ac:dyDescent="0.25">
      <c r="A538">
        <v>537</v>
      </c>
      <c r="B538">
        <v>2025</v>
      </c>
      <c r="C538">
        <v>11</v>
      </c>
      <c r="D538">
        <v>31</v>
      </c>
      <c r="E538">
        <v>10</v>
      </c>
      <c r="F538" t="str">
        <v>50DK730</v>
      </c>
      <c r="G538">
        <v>29</v>
      </c>
      <c r="H538" t="str">
        <v>single</v>
      </c>
      <c r="J538">
        <v>47</v>
      </c>
      <c r="K538" s="19">
        <v>45962</v>
      </c>
    </row>
    <row r="539" spans="1:11" x14ac:dyDescent="0.25">
      <c r="A539">
        <v>538</v>
      </c>
      <c r="B539">
        <v>2025</v>
      </c>
      <c r="C539">
        <v>11</v>
      </c>
      <c r="D539">
        <v>31</v>
      </c>
      <c r="E539">
        <v>10</v>
      </c>
      <c r="F539" t="str">
        <v>50EF902</v>
      </c>
      <c r="G539">
        <v>28</v>
      </c>
      <c r="H539" t="str">
        <v>single</v>
      </c>
      <c r="J539">
        <v>49</v>
      </c>
      <c r="K539" s="19">
        <v>45962</v>
      </c>
    </row>
    <row r="540" spans="1:11" x14ac:dyDescent="0.25">
      <c r="A540">
        <v>539</v>
      </c>
      <c r="B540">
        <v>2025</v>
      </c>
      <c r="C540">
        <v>11</v>
      </c>
      <c r="D540">
        <v>31</v>
      </c>
      <c r="E540">
        <v>10</v>
      </c>
      <c r="F540" t="str">
        <v>55CB633</v>
      </c>
      <c r="G540">
        <v>29</v>
      </c>
      <c r="H540" t="str">
        <v>single</v>
      </c>
      <c r="J540">
        <v>57</v>
      </c>
      <c r="K540" s="19">
        <v>45962</v>
      </c>
    </row>
    <row r="541" spans="1:11" x14ac:dyDescent="0.25">
      <c r="A541">
        <v>540</v>
      </c>
      <c r="B541">
        <v>2025</v>
      </c>
      <c r="C541">
        <v>11</v>
      </c>
      <c r="D541">
        <v>31</v>
      </c>
      <c r="E541">
        <v>10</v>
      </c>
      <c r="F541" t="str">
        <v>77SR538</v>
      </c>
      <c r="G541">
        <v>30</v>
      </c>
      <c r="H541" t="str">
        <v>single</v>
      </c>
      <c r="J541">
        <v>73</v>
      </c>
      <c r="K541" s="19">
        <v>45962</v>
      </c>
    </row>
    <row r="542" spans="1:11" x14ac:dyDescent="0.25">
      <c r="A542">
        <v>541</v>
      </c>
      <c r="B542">
        <v>2025</v>
      </c>
      <c r="C542">
        <v>11</v>
      </c>
      <c r="D542">
        <v>31</v>
      </c>
      <c r="E542">
        <v>10</v>
      </c>
      <c r="F542" t="str">
        <v>77TG971</v>
      </c>
      <c r="G542">
        <v>29</v>
      </c>
      <c r="H542" t="str">
        <v>single</v>
      </c>
      <c r="J542">
        <v>75</v>
      </c>
      <c r="K542" s="19">
        <v>45962</v>
      </c>
    </row>
    <row r="543" spans="1:11" x14ac:dyDescent="0.25">
      <c r="A543">
        <v>542</v>
      </c>
      <c r="B543">
        <v>2025</v>
      </c>
      <c r="C543">
        <v>11</v>
      </c>
      <c r="D543">
        <v>31</v>
      </c>
      <c r="E543">
        <v>10</v>
      </c>
      <c r="F543" t="str">
        <v>77UR032</v>
      </c>
      <c r="G543">
        <v>28</v>
      </c>
      <c r="H543" t="str">
        <v>single</v>
      </c>
      <c r="J543">
        <v>77</v>
      </c>
      <c r="K543" s="19">
        <v>45962</v>
      </c>
    </row>
    <row r="544" spans="1:11" x14ac:dyDescent="0.25">
      <c r="A544">
        <v>543</v>
      </c>
      <c r="B544">
        <v>2025</v>
      </c>
      <c r="C544">
        <v>11</v>
      </c>
      <c r="D544">
        <v>31</v>
      </c>
      <c r="E544">
        <v>10</v>
      </c>
      <c r="F544" t="str">
        <v>77VL420</v>
      </c>
      <c r="G544">
        <v>29</v>
      </c>
      <c r="H544" t="str">
        <v>single</v>
      </c>
      <c r="J544">
        <v>118</v>
      </c>
      <c r="K544" s="19">
        <v>45962</v>
      </c>
    </row>
    <row r="545" spans="1:11" x14ac:dyDescent="0.25">
      <c r="A545">
        <v>544</v>
      </c>
      <c r="B545">
        <v>2025</v>
      </c>
      <c r="C545">
        <v>11</v>
      </c>
      <c r="D545">
        <v>31</v>
      </c>
      <c r="E545">
        <v>10</v>
      </c>
      <c r="F545" t="str">
        <v>90EC344</v>
      </c>
      <c r="G545">
        <v>29</v>
      </c>
      <c r="H545" t="str">
        <v>single</v>
      </c>
      <c r="J545">
        <v>79</v>
      </c>
      <c r="K545" s="19">
        <v>45962</v>
      </c>
    </row>
    <row r="546" spans="1:11" x14ac:dyDescent="0.25">
      <c r="A546">
        <v>545</v>
      </c>
      <c r="B546">
        <v>2025</v>
      </c>
      <c r="C546">
        <v>11</v>
      </c>
      <c r="D546">
        <v>31</v>
      </c>
      <c r="E546">
        <v>10</v>
      </c>
      <c r="F546" t="str">
        <v>90LS143</v>
      </c>
      <c r="G546">
        <v>29</v>
      </c>
      <c r="H546" t="str">
        <v>single</v>
      </c>
      <c r="J546">
        <v>81</v>
      </c>
      <c r="K546" s="19">
        <v>45962</v>
      </c>
    </row>
    <row r="547" spans="1:11" x14ac:dyDescent="0.25">
      <c r="A547">
        <v>546</v>
      </c>
      <c r="B547">
        <v>2025</v>
      </c>
      <c r="C547">
        <v>11</v>
      </c>
      <c r="D547">
        <v>31</v>
      </c>
      <c r="E547">
        <v>10</v>
      </c>
      <c r="F547" t="str">
        <v>90OE402</v>
      </c>
      <c r="G547">
        <v>30</v>
      </c>
      <c r="H547" t="str">
        <v>single</v>
      </c>
      <c r="J547">
        <v>83</v>
      </c>
      <c r="K547" s="19">
        <v>45962</v>
      </c>
    </row>
    <row r="548" spans="1:11" x14ac:dyDescent="0.25">
      <c r="A548">
        <v>547</v>
      </c>
      <c r="B548">
        <v>2025</v>
      </c>
      <c r="C548">
        <v>11</v>
      </c>
      <c r="D548">
        <v>31</v>
      </c>
      <c r="E548">
        <v>10</v>
      </c>
      <c r="F548" t="str">
        <v>90VS316</v>
      </c>
      <c r="G548">
        <v>13</v>
      </c>
      <c r="H548" t="str">
        <v>single</v>
      </c>
      <c r="J548">
        <v>87</v>
      </c>
      <c r="K548" s="19">
        <v>45962</v>
      </c>
    </row>
    <row r="549" spans="1:11" x14ac:dyDescent="0.25">
      <c r="A549">
        <v>548</v>
      </c>
      <c r="B549">
        <v>2025</v>
      </c>
      <c r="C549">
        <v>11</v>
      </c>
      <c r="D549">
        <v>31</v>
      </c>
      <c r="E549">
        <v>10</v>
      </c>
      <c r="F549" t="str">
        <v>99BT339</v>
      </c>
      <c r="G549">
        <v>29</v>
      </c>
      <c r="H549" t="str">
        <v>single</v>
      </c>
      <c r="J549">
        <v>93</v>
      </c>
      <c r="K549" s="19">
        <v>45962</v>
      </c>
    </row>
    <row r="550" spans="1:11" x14ac:dyDescent="0.25">
      <c r="A550">
        <v>549</v>
      </c>
      <c r="B550">
        <v>2025</v>
      </c>
      <c r="C550">
        <v>11</v>
      </c>
      <c r="D550">
        <v>31</v>
      </c>
      <c r="E550">
        <v>10</v>
      </c>
      <c r="F550" t="str">
        <v>99CN447</v>
      </c>
      <c r="G550">
        <v>29</v>
      </c>
      <c r="H550" t="str">
        <v>single</v>
      </c>
      <c r="J550">
        <v>94</v>
      </c>
      <c r="K550" s="19">
        <v>45962</v>
      </c>
    </row>
    <row r="551" spans="1:11" x14ac:dyDescent="0.25">
      <c r="A551">
        <v>550</v>
      </c>
      <c r="B551">
        <v>2025</v>
      </c>
      <c r="C551">
        <v>11</v>
      </c>
      <c r="D551">
        <v>31</v>
      </c>
      <c r="E551">
        <v>10</v>
      </c>
      <c r="F551" t="str">
        <v>99EM163</v>
      </c>
      <c r="G551">
        <v>1</v>
      </c>
      <c r="H551" t="str">
        <v>single</v>
      </c>
      <c r="J551">
        <v>100</v>
      </c>
      <c r="K551" s="19">
        <v>45962</v>
      </c>
    </row>
    <row r="552" spans="1:11" x14ac:dyDescent="0.25">
      <c r="A552">
        <v>551</v>
      </c>
      <c r="B552">
        <v>2025</v>
      </c>
      <c r="C552">
        <v>11</v>
      </c>
      <c r="D552">
        <v>31</v>
      </c>
      <c r="E552">
        <v>10</v>
      </c>
      <c r="F552" t="str">
        <v>99FO779</v>
      </c>
      <c r="G552">
        <v>28</v>
      </c>
      <c r="H552" t="str">
        <v>single</v>
      </c>
      <c r="J552">
        <v>101</v>
      </c>
      <c r="K552" s="19">
        <v>45962</v>
      </c>
    </row>
    <row r="553" spans="1:11" x14ac:dyDescent="0.25">
      <c r="A553">
        <v>552</v>
      </c>
      <c r="B553">
        <v>2025</v>
      </c>
      <c r="C553">
        <v>11</v>
      </c>
      <c r="D553">
        <v>31</v>
      </c>
      <c r="E553">
        <v>10</v>
      </c>
      <c r="F553" t="str">
        <v>99KL663</v>
      </c>
      <c r="G553">
        <v>29</v>
      </c>
      <c r="H553" t="str">
        <v>single</v>
      </c>
      <c r="J553">
        <v>106</v>
      </c>
      <c r="K553" s="19">
        <v>45962</v>
      </c>
    </row>
    <row r="554" spans="1:11" x14ac:dyDescent="0.25">
      <c r="A554">
        <v>553</v>
      </c>
      <c r="B554">
        <v>2025</v>
      </c>
      <c r="C554">
        <v>11</v>
      </c>
      <c r="D554">
        <v>31</v>
      </c>
      <c r="E554">
        <v>10</v>
      </c>
      <c r="F554" t="str">
        <v>99LM412</v>
      </c>
      <c r="G554">
        <v>29</v>
      </c>
      <c r="H554" t="str">
        <v>single</v>
      </c>
      <c r="J554">
        <v>116</v>
      </c>
      <c r="K554" s="19">
        <v>45962</v>
      </c>
    </row>
    <row r="555" spans="1:11" x14ac:dyDescent="0.25">
      <c r="A555">
        <v>554</v>
      </c>
      <c r="B555">
        <v>2025</v>
      </c>
      <c r="C555">
        <v>11</v>
      </c>
      <c r="D555">
        <v>31</v>
      </c>
      <c r="E555">
        <v>10</v>
      </c>
      <c r="F555" t="str">
        <v>99MN472</v>
      </c>
      <c r="G555">
        <v>29</v>
      </c>
      <c r="H555" t="str">
        <v>single</v>
      </c>
      <c r="J555">
        <v>108</v>
      </c>
      <c r="K555" s="19">
        <v>45962</v>
      </c>
    </row>
    <row r="556" spans="1:11" x14ac:dyDescent="0.25">
      <c r="A556">
        <v>555</v>
      </c>
      <c r="B556">
        <v>2025</v>
      </c>
      <c r="C556">
        <v>11</v>
      </c>
      <c r="D556">
        <v>31</v>
      </c>
      <c r="E556">
        <v>10</v>
      </c>
      <c r="F556" t="str">
        <v>99OR961</v>
      </c>
      <c r="G556">
        <v>29</v>
      </c>
      <c r="H556" t="str">
        <v>single</v>
      </c>
      <c r="J556">
        <v>109</v>
      </c>
      <c r="K556" s="19">
        <v>45962</v>
      </c>
    </row>
    <row r="557" spans="1:11" x14ac:dyDescent="0.25">
      <c r="A557">
        <v>556</v>
      </c>
      <c r="B557">
        <v>2025</v>
      </c>
      <c r="C557">
        <v>11</v>
      </c>
      <c r="D557">
        <v>31</v>
      </c>
      <c r="E557">
        <v>10</v>
      </c>
      <c r="F557" t="str">
        <v>99UK314</v>
      </c>
      <c r="G557">
        <v>30</v>
      </c>
      <c r="H557" t="str">
        <v>single</v>
      </c>
      <c r="J557">
        <v>114</v>
      </c>
      <c r="K557" s="19">
        <v>45962</v>
      </c>
    </row>
    <row r="558" spans="1:11" x14ac:dyDescent="0.25">
      <c r="A558">
        <v>557</v>
      </c>
      <c r="B558">
        <v>2025</v>
      </c>
      <c r="C558">
        <v>11</v>
      </c>
      <c r="D558">
        <v>31</v>
      </c>
      <c r="E558">
        <v>10</v>
      </c>
      <c r="F558" t="str">
        <v>10NS184</v>
      </c>
      <c r="G558">
        <v>16</v>
      </c>
      <c r="H558" t="str">
        <v>single</v>
      </c>
      <c r="J558">
        <v>28</v>
      </c>
      <c r="K558" s="19">
        <v>45962</v>
      </c>
    </row>
    <row r="559" spans="1:11" x14ac:dyDescent="0.25">
      <c r="A559">
        <v>558</v>
      </c>
      <c r="B559">
        <v>2025</v>
      </c>
      <c r="C559">
        <v>11</v>
      </c>
      <c r="D559">
        <v>31</v>
      </c>
      <c r="E559">
        <v>10</v>
      </c>
      <c r="F559" t="str">
        <v>10ZS260</v>
      </c>
      <c r="G559">
        <v>1</v>
      </c>
      <c r="H559" t="str">
        <v>single</v>
      </c>
      <c r="J559">
        <v>33</v>
      </c>
      <c r="K559" s="19">
        <v>45962</v>
      </c>
    </row>
    <row r="560" spans="1:11" x14ac:dyDescent="0.25">
      <c r="A560">
        <v>559</v>
      </c>
      <c r="B560">
        <v>2025</v>
      </c>
      <c r="C560">
        <v>11</v>
      </c>
      <c r="D560">
        <v>31</v>
      </c>
      <c r="E560">
        <v>10</v>
      </c>
      <c r="F560" t="str">
        <v>50FB264</v>
      </c>
      <c r="G560">
        <v>28</v>
      </c>
      <c r="H560" t="str">
        <v>single</v>
      </c>
      <c r="J560">
        <v>23</v>
      </c>
      <c r="K560" s="19">
        <v>45962</v>
      </c>
    </row>
    <row r="561" spans="1:11" x14ac:dyDescent="0.25">
      <c r="A561">
        <v>560</v>
      </c>
      <c r="B561">
        <v>2025</v>
      </c>
      <c r="C561">
        <v>11</v>
      </c>
      <c r="D561">
        <v>31</v>
      </c>
      <c r="E561">
        <v>10</v>
      </c>
      <c r="F561" t="str">
        <v>57BV285</v>
      </c>
      <c r="G561">
        <v>13</v>
      </c>
      <c r="H561" t="str">
        <v>single</v>
      </c>
      <c r="J561">
        <v>119</v>
      </c>
      <c r="K561" s="19">
        <v>45962</v>
      </c>
    </row>
    <row r="562" spans="1:11" x14ac:dyDescent="0.25">
      <c r="A562">
        <v>561</v>
      </c>
      <c r="B562">
        <v>2025</v>
      </c>
      <c r="C562">
        <v>11</v>
      </c>
      <c r="D562">
        <v>31</v>
      </c>
      <c r="E562">
        <v>10</v>
      </c>
      <c r="F562" t="str">
        <v>77DK884</v>
      </c>
      <c r="G562">
        <v>29</v>
      </c>
      <c r="H562" t="str">
        <v>single</v>
      </c>
      <c r="J562">
        <v>21</v>
      </c>
      <c r="K562" s="19">
        <v>45962</v>
      </c>
    </row>
    <row r="563" spans="1:11" x14ac:dyDescent="0.25">
      <c r="A563">
        <v>562</v>
      </c>
      <c r="B563">
        <v>2025</v>
      </c>
      <c r="C563">
        <v>11</v>
      </c>
      <c r="D563">
        <v>31</v>
      </c>
      <c r="E563">
        <v>10</v>
      </c>
      <c r="F563" t="str">
        <v>90RC631</v>
      </c>
      <c r="G563">
        <v>4</v>
      </c>
      <c r="H563" t="str">
        <v>single</v>
      </c>
      <c r="J563">
        <v>125</v>
      </c>
      <c r="K563" s="19">
        <v>45962</v>
      </c>
    </row>
    <row r="564" spans="1:11" x14ac:dyDescent="0.25">
      <c r="A564">
        <v>563</v>
      </c>
      <c r="B564">
        <v>2025</v>
      </c>
      <c r="C564">
        <v>11</v>
      </c>
      <c r="D564">
        <v>31</v>
      </c>
      <c r="E564">
        <v>10</v>
      </c>
      <c r="F564" t="str">
        <v>90UX686</v>
      </c>
      <c r="G564">
        <v>16</v>
      </c>
      <c r="H564" t="str">
        <v>single</v>
      </c>
      <c r="J564">
        <v>121</v>
      </c>
      <c r="K564" s="19">
        <v>45962</v>
      </c>
    </row>
    <row r="565" spans="1:11" x14ac:dyDescent="0.25">
      <c r="A565">
        <v>564</v>
      </c>
      <c r="B565">
        <v>2025</v>
      </c>
      <c r="C565">
        <v>11</v>
      </c>
      <c r="D565">
        <v>31</v>
      </c>
      <c r="E565">
        <v>10</v>
      </c>
      <c r="F565" t="str">
        <v>99DT131</v>
      </c>
      <c r="G565">
        <v>21</v>
      </c>
      <c r="H565" t="str">
        <v>single</v>
      </c>
      <c r="J565">
        <v>123</v>
      </c>
      <c r="K565" s="19">
        <v>45962</v>
      </c>
    </row>
    <row r="566" spans="1:11" x14ac:dyDescent="0.25">
      <c r="A566">
        <v>565</v>
      </c>
      <c r="B566">
        <v>2025</v>
      </c>
      <c r="C566">
        <v>11</v>
      </c>
      <c r="D566">
        <v>31</v>
      </c>
      <c r="E566">
        <v>10</v>
      </c>
      <c r="F566" t="str">
        <v>77AT386</v>
      </c>
      <c r="G566">
        <v>30</v>
      </c>
      <c r="H566" t="str">
        <v>single</v>
      </c>
      <c r="J566">
        <v>13</v>
      </c>
      <c r="K566" s="19">
        <v>45962</v>
      </c>
    </row>
    <row r="567" spans="1:11" x14ac:dyDescent="0.25">
      <c r="A567">
        <v>566</v>
      </c>
      <c r="B567">
        <v>2025</v>
      </c>
      <c r="C567">
        <v>11</v>
      </c>
      <c r="D567">
        <v>31</v>
      </c>
      <c r="E567">
        <v>10</v>
      </c>
      <c r="F567" t="str">
        <v>90PY548</v>
      </c>
      <c r="G567">
        <v>30</v>
      </c>
      <c r="H567" t="str">
        <v>single</v>
      </c>
      <c r="J567">
        <v>85</v>
      </c>
      <c r="K567" s="19">
        <v>45962</v>
      </c>
    </row>
    <row r="568" spans="1:11" x14ac:dyDescent="0.25">
      <c r="A568">
        <v>567</v>
      </c>
      <c r="B568">
        <v>2025</v>
      </c>
      <c r="C568">
        <v>11</v>
      </c>
      <c r="D568">
        <v>31</v>
      </c>
      <c r="E568">
        <v>10</v>
      </c>
      <c r="F568" t="str">
        <v>99HZ395</v>
      </c>
      <c r="G568">
        <v>30</v>
      </c>
      <c r="H568" t="str">
        <v>single</v>
      </c>
      <c r="J568">
        <v>3</v>
      </c>
      <c r="K568" s="19">
        <v>45962</v>
      </c>
    </row>
    <row r="569" spans="1:11" x14ac:dyDescent="0.25">
      <c r="A569">
        <v>568</v>
      </c>
      <c r="B569">
        <v>2025</v>
      </c>
      <c r="C569">
        <v>11</v>
      </c>
      <c r="D569">
        <v>31</v>
      </c>
      <c r="E569">
        <v>10</v>
      </c>
      <c r="F569" t="str">
        <v>53BD338</v>
      </c>
      <c r="G569">
        <v>29</v>
      </c>
      <c r="H569" t="str">
        <v>single</v>
      </c>
      <c r="J569">
        <v>55</v>
      </c>
      <c r="K569" s="19">
        <v>45962</v>
      </c>
    </row>
    <row r="570" spans="1:11" x14ac:dyDescent="0.25">
      <c r="A570">
        <v>569</v>
      </c>
      <c r="B570">
        <v>2025</v>
      </c>
      <c r="C570">
        <v>11</v>
      </c>
      <c r="D570">
        <v>31</v>
      </c>
      <c r="E570">
        <v>10</v>
      </c>
      <c r="F570" t="str">
        <v>17BE358</v>
      </c>
      <c r="G570">
        <v>18</v>
      </c>
      <c r="H570" t="str">
        <v>single</v>
      </c>
      <c r="J570">
        <v>37</v>
      </c>
      <c r="K570" s="19">
        <v>45962</v>
      </c>
    </row>
    <row r="571" spans="1:11" x14ac:dyDescent="0.25">
      <c r="A571">
        <v>570</v>
      </c>
      <c r="B571">
        <v>2025</v>
      </c>
      <c r="C571">
        <v>11</v>
      </c>
      <c r="D571">
        <v>31</v>
      </c>
      <c r="E571">
        <v>10</v>
      </c>
      <c r="F571" t="str">
        <v>99GZ612</v>
      </c>
      <c r="G571">
        <v>29</v>
      </c>
      <c r="H571" t="str">
        <v>single</v>
      </c>
      <c r="J571">
        <v>104</v>
      </c>
      <c r="K571" s="19">
        <v>45962</v>
      </c>
    </row>
    <row r="572" spans="1:11" x14ac:dyDescent="0.25">
      <c r="A572">
        <v>571</v>
      </c>
      <c r="B572">
        <v>2025</v>
      </c>
      <c r="C572">
        <v>11</v>
      </c>
      <c r="D572">
        <v>31</v>
      </c>
      <c r="E572">
        <v>10</v>
      </c>
      <c r="F572" t="str">
        <v>77PV619</v>
      </c>
      <c r="G572">
        <v>30</v>
      </c>
      <c r="H572" t="str">
        <v>single</v>
      </c>
      <c r="J572">
        <v>67</v>
      </c>
      <c r="K572" s="19">
        <v>45962</v>
      </c>
    </row>
    <row r="573" spans="1:11" x14ac:dyDescent="0.25">
      <c r="A573">
        <v>572</v>
      </c>
      <c r="B573">
        <v>2025</v>
      </c>
      <c r="C573">
        <v>11</v>
      </c>
      <c r="D573">
        <v>31</v>
      </c>
      <c r="E573">
        <v>10</v>
      </c>
      <c r="F573" t="str">
        <v>77GR998</v>
      </c>
      <c r="G573">
        <v>30</v>
      </c>
      <c r="H573" t="str">
        <v>double</v>
      </c>
      <c r="J573">
        <v>63</v>
      </c>
      <c r="K573" s="19">
        <v>45962</v>
      </c>
    </row>
    <row r="574" spans="1:11" x14ac:dyDescent="0.25">
      <c r="A574">
        <v>573</v>
      </c>
      <c r="B574">
        <v>2025</v>
      </c>
      <c r="C574">
        <v>11</v>
      </c>
      <c r="D574">
        <v>31</v>
      </c>
      <c r="E574">
        <v>10</v>
      </c>
      <c r="F574" t="str">
        <v>99EM163</v>
      </c>
      <c r="G574">
        <v>26</v>
      </c>
      <c r="H574" t="str">
        <v>double</v>
      </c>
      <c r="J574">
        <v>98</v>
      </c>
      <c r="K574" s="19">
        <v>45962</v>
      </c>
    </row>
    <row r="575" spans="1:11" x14ac:dyDescent="0.25">
      <c r="A575">
        <v>574</v>
      </c>
      <c r="B575">
        <v>2025</v>
      </c>
      <c r="C575">
        <v>11</v>
      </c>
      <c r="D575">
        <v>31</v>
      </c>
      <c r="E575">
        <v>10</v>
      </c>
      <c r="F575" t="str">
        <v>10RN527</v>
      </c>
      <c r="G575">
        <v>84</v>
      </c>
      <c r="H575" t="str">
        <v>hour</v>
      </c>
      <c r="J575">
        <v>30</v>
      </c>
      <c r="K575" s="19">
        <v>45962</v>
      </c>
    </row>
    <row r="576" spans="1:11" x14ac:dyDescent="0.25">
      <c r="A576">
        <v>575</v>
      </c>
      <c r="B576">
        <v>2025</v>
      </c>
      <c r="C576">
        <v>11</v>
      </c>
      <c r="D576">
        <v>31</v>
      </c>
      <c r="E576">
        <v>10</v>
      </c>
      <c r="F576" t="str">
        <v>21BF442</v>
      </c>
      <c r="G576">
        <v>84</v>
      </c>
      <c r="H576" t="str">
        <v>hour</v>
      </c>
      <c r="J576">
        <v>38</v>
      </c>
      <c r="K576" s="19">
        <v>45962</v>
      </c>
    </row>
    <row r="577" spans="1:11" x14ac:dyDescent="0.25">
      <c r="A577">
        <v>576</v>
      </c>
      <c r="B577">
        <v>2025</v>
      </c>
      <c r="C577">
        <v>11</v>
      </c>
      <c r="D577">
        <v>31</v>
      </c>
      <c r="E577">
        <v>10</v>
      </c>
      <c r="F577" t="str">
        <v>50DK730</v>
      </c>
      <c r="G577">
        <v>87</v>
      </c>
      <c r="H577" t="str">
        <v>hour</v>
      </c>
      <c r="J577">
        <v>46</v>
      </c>
      <c r="K577" s="19">
        <v>45962</v>
      </c>
    </row>
    <row r="578" spans="1:11" x14ac:dyDescent="0.25">
      <c r="A578">
        <v>577</v>
      </c>
      <c r="B578">
        <v>2025</v>
      </c>
      <c r="C578">
        <v>11</v>
      </c>
      <c r="D578">
        <v>31</v>
      </c>
      <c r="E578">
        <v>10</v>
      </c>
      <c r="F578" t="str">
        <v>50EF902</v>
      </c>
      <c r="G578">
        <v>27.999999999999972</v>
      </c>
      <c r="H578" t="str">
        <v>hour</v>
      </c>
      <c r="J578">
        <v>48</v>
      </c>
      <c r="K578" s="19">
        <v>45962</v>
      </c>
    </row>
    <row r="579" spans="1:11" x14ac:dyDescent="0.25">
      <c r="A579">
        <v>578</v>
      </c>
      <c r="B579">
        <v>2025</v>
      </c>
      <c r="C579">
        <v>11</v>
      </c>
      <c r="D579">
        <v>31</v>
      </c>
      <c r="E579">
        <v>10</v>
      </c>
      <c r="F579" t="str">
        <v>55CB633</v>
      </c>
      <c r="G579">
        <v>60.999999999999986</v>
      </c>
      <c r="H579" t="str">
        <v>hour</v>
      </c>
      <c r="J579">
        <v>56</v>
      </c>
      <c r="K579" s="19">
        <v>45962</v>
      </c>
    </row>
    <row r="580" spans="1:11" x14ac:dyDescent="0.25">
      <c r="A580">
        <v>579</v>
      </c>
      <c r="B580">
        <v>2025</v>
      </c>
      <c r="C580">
        <v>11</v>
      </c>
      <c r="D580">
        <v>31</v>
      </c>
      <c r="E580">
        <v>10</v>
      </c>
      <c r="F580" t="str">
        <v>77SR538</v>
      </c>
      <c r="G580">
        <v>108</v>
      </c>
      <c r="H580" t="str">
        <v>hour</v>
      </c>
      <c r="J580">
        <v>72</v>
      </c>
      <c r="K580" s="19">
        <v>45962</v>
      </c>
    </row>
    <row r="581" spans="1:11" x14ac:dyDescent="0.25">
      <c r="A581">
        <v>580</v>
      </c>
      <c r="B581">
        <v>2025</v>
      </c>
      <c r="C581">
        <v>11</v>
      </c>
      <c r="D581">
        <v>31</v>
      </c>
      <c r="E581">
        <v>10</v>
      </c>
      <c r="F581" t="str">
        <v>90EC344</v>
      </c>
      <c r="G581">
        <v>39.999999999999972</v>
      </c>
      <c r="H581" t="str">
        <v>hour</v>
      </c>
      <c r="J581">
        <v>78</v>
      </c>
      <c r="K581" s="19">
        <v>45962</v>
      </c>
    </row>
    <row r="582" spans="1:11" x14ac:dyDescent="0.25">
      <c r="A582">
        <v>581</v>
      </c>
      <c r="B582">
        <v>2025</v>
      </c>
      <c r="C582">
        <v>11</v>
      </c>
      <c r="D582">
        <v>31</v>
      </c>
      <c r="E582">
        <v>10</v>
      </c>
      <c r="F582" t="str">
        <v>90LS143</v>
      </c>
      <c r="G582">
        <v>47</v>
      </c>
      <c r="H582" t="str">
        <v>hour</v>
      </c>
      <c r="J582">
        <v>80</v>
      </c>
      <c r="K582" s="19">
        <v>45962</v>
      </c>
    </row>
    <row r="583" spans="1:11" x14ac:dyDescent="0.25">
      <c r="A583">
        <v>582</v>
      </c>
      <c r="B583">
        <v>2025</v>
      </c>
      <c r="C583">
        <v>11</v>
      </c>
      <c r="D583">
        <v>31</v>
      </c>
      <c r="E583">
        <v>10</v>
      </c>
      <c r="F583" t="str">
        <v>90OE402</v>
      </c>
      <c r="G583">
        <v>59.999999999999943</v>
      </c>
      <c r="H583" t="str">
        <v>hour</v>
      </c>
      <c r="J583">
        <v>82</v>
      </c>
      <c r="K583" s="19">
        <v>45962</v>
      </c>
    </row>
    <row r="584" spans="1:11" x14ac:dyDescent="0.25">
      <c r="A584">
        <v>583</v>
      </c>
      <c r="B584">
        <v>2025</v>
      </c>
      <c r="C584">
        <v>11</v>
      </c>
      <c r="D584">
        <v>31</v>
      </c>
      <c r="E584">
        <v>10</v>
      </c>
      <c r="F584" t="str">
        <v>90VS316</v>
      </c>
      <c r="G584">
        <v>20.999999999999993</v>
      </c>
      <c r="H584" t="str">
        <v>hour</v>
      </c>
      <c r="J584">
        <v>86</v>
      </c>
      <c r="K584" s="19">
        <v>45962</v>
      </c>
    </row>
    <row r="585" spans="1:11" x14ac:dyDescent="0.25">
      <c r="A585">
        <v>584</v>
      </c>
      <c r="B585">
        <v>2025</v>
      </c>
      <c r="C585">
        <v>11</v>
      </c>
      <c r="D585">
        <v>31</v>
      </c>
      <c r="E585">
        <v>10</v>
      </c>
      <c r="F585" t="str">
        <v>99BT339</v>
      </c>
      <c r="G585">
        <v>46</v>
      </c>
      <c r="H585" t="str">
        <v>hour</v>
      </c>
      <c r="J585">
        <v>92</v>
      </c>
      <c r="K585" s="19">
        <v>45962</v>
      </c>
    </row>
    <row r="586" spans="1:11" x14ac:dyDescent="0.25">
      <c r="A586">
        <v>585</v>
      </c>
      <c r="B586">
        <v>2025</v>
      </c>
      <c r="C586">
        <v>11</v>
      </c>
      <c r="D586">
        <v>31</v>
      </c>
      <c r="E586">
        <v>10</v>
      </c>
      <c r="F586" t="str">
        <v>99CN447</v>
      </c>
      <c r="G586">
        <v>30</v>
      </c>
      <c r="H586" t="str">
        <v>hour</v>
      </c>
      <c r="J586">
        <v>95</v>
      </c>
      <c r="K586" s="19">
        <v>45962</v>
      </c>
    </row>
    <row r="587" spans="1:11" x14ac:dyDescent="0.25">
      <c r="A587">
        <v>586</v>
      </c>
      <c r="B587">
        <v>2025</v>
      </c>
      <c r="C587">
        <v>11</v>
      </c>
      <c r="D587">
        <v>31</v>
      </c>
      <c r="E587">
        <v>10</v>
      </c>
      <c r="F587" t="str">
        <v>99FO779</v>
      </c>
      <c r="G587">
        <v>65</v>
      </c>
      <c r="H587" t="str">
        <v>hour</v>
      </c>
      <c r="J587">
        <v>102</v>
      </c>
      <c r="K587" s="19">
        <v>45962</v>
      </c>
    </row>
    <row r="588" spans="1:11" x14ac:dyDescent="0.25">
      <c r="A588">
        <v>587</v>
      </c>
      <c r="B588">
        <v>2025</v>
      </c>
      <c r="C588">
        <v>11</v>
      </c>
      <c r="D588">
        <v>31</v>
      </c>
      <c r="E588">
        <v>10</v>
      </c>
      <c r="F588" t="str">
        <v>99KL663</v>
      </c>
      <c r="G588">
        <v>70.999999999999986</v>
      </c>
      <c r="H588" t="str">
        <v>hour</v>
      </c>
      <c r="J588">
        <v>105</v>
      </c>
      <c r="K588" s="19">
        <v>45962</v>
      </c>
    </row>
    <row r="589" spans="1:11" x14ac:dyDescent="0.25">
      <c r="A589">
        <v>588</v>
      </c>
      <c r="B589">
        <v>2025</v>
      </c>
      <c r="C589">
        <v>11</v>
      </c>
      <c r="D589">
        <v>31</v>
      </c>
      <c r="E589">
        <v>10</v>
      </c>
      <c r="F589" t="str">
        <v>99LM412</v>
      </c>
      <c r="G589">
        <v>59.999999999999943</v>
      </c>
      <c r="H589" t="str">
        <v>hour</v>
      </c>
      <c r="J589">
        <v>115</v>
      </c>
      <c r="K589" s="19">
        <v>45962</v>
      </c>
    </row>
    <row r="590" spans="1:11" x14ac:dyDescent="0.25">
      <c r="A590">
        <v>589</v>
      </c>
      <c r="B590">
        <v>2025</v>
      </c>
      <c r="C590">
        <v>11</v>
      </c>
      <c r="D590">
        <v>31</v>
      </c>
      <c r="E590">
        <v>10</v>
      </c>
      <c r="F590" t="str">
        <v>99MN472</v>
      </c>
      <c r="G590">
        <v>86.999999999999986</v>
      </c>
      <c r="H590" t="str">
        <v>hour</v>
      </c>
      <c r="J590">
        <v>107</v>
      </c>
      <c r="K590" s="19">
        <v>45962</v>
      </c>
    </row>
    <row r="591" spans="1:11" x14ac:dyDescent="0.25">
      <c r="A591">
        <v>590</v>
      </c>
      <c r="B591">
        <v>2025</v>
      </c>
      <c r="C591">
        <v>11</v>
      </c>
      <c r="D591">
        <v>31</v>
      </c>
      <c r="E591">
        <v>10</v>
      </c>
      <c r="F591" t="str">
        <v>99OR961</v>
      </c>
      <c r="G591">
        <v>36.999999999999993</v>
      </c>
      <c r="H591" t="str">
        <v>hour</v>
      </c>
      <c r="J591">
        <v>110</v>
      </c>
      <c r="K591" s="19">
        <v>45962</v>
      </c>
    </row>
    <row r="592" spans="1:11" x14ac:dyDescent="0.25">
      <c r="A592">
        <v>591</v>
      </c>
      <c r="B592">
        <v>2025</v>
      </c>
      <c r="C592">
        <v>11</v>
      </c>
      <c r="D592">
        <v>31</v>
      </c>
      <c r="E592">
        <v>10</v>
      </c>
      <c r="F592" t="str">
        <v>99UK314</v>
      </c>
      <c r="G592">
        <v>98</v>
      </c>
      <c r="H592" t="str">
        <v>hour</v>
      </c>
      <c r="J592">
        <v>113</v>
      </c>
      <c r="K592" s="19">
        <v>45962</v>
      </c>
    </row>
    <row r="593" spans="1:11" x14ac:dyDescent="0.25">
      <c r="A593">
        <v>592</v>
      </c>
      <c r="B593">
        <v>2025</v>
      </c>
      <c r="C593">
        <v>11</v>
      </c>
      <c r="D593">
        <v>31</v>
      </c>
      <c r="E593">
        <v>10</v>
      </c>
      <c r="F593" t="str">
        <v>10NS184</v>
      </c>
      <c r="G593">
        <v>3</v>
      </c>
      <c r="H593" t="str">
        <v>hour</v>
      </c>
      <c r="J593">
        <v>27</v>
      </c>
      <c r="K593" s="19">
        <v>45962</v>
      </c>
    </row>
    <row r="594" spans="1:11" x14ac:dyDescent="0.25">
      <c r="A594">
        <v>593</v>
      </c>
      <c r="B594">
        <v>2025</v>
      </c>
      <c r="C594">
        <v>11</v>
      </c>
      <c r="D594">
        <v>31</v>
      </c>
      <c r="E594">
        <v>10</v>
      </c>
      <c r="F594" t="str">
        <v>50FB264</v>
      </c>
      <c r="G594">
        <v>79.999999999999986</v>
      </c>
      <c r="H594" t="str">
        <v>hour</v>
      </c>
      <c r="J594">
        <v>24</v>
      </c>
      <c r="K594" s="19">
        <v>45962</v>
      </c>
    </row>
    <row r="595" spans="1:11" x14ac:dyDescent="0.25">
      <c r="A595">
        <v>594</v>
      </c>
      <c r="B595">
        <v>2025</v>
      </c>
      <c r="C595">
        <v>11</v>
      </c>
      <c r="D595">
        <v>31</v>
      </c>
      <c r="E595">
        <v>10</v>
      </c>
      <c r="F595" t="str">
        <v>57BV285</v>
      </c>
      <c r="G595">
        <v>22.999999999999993</v>
      </c>
      <c r="H595" t="str">
        <v>hour</v>
      </c>
      <c r="J595">
        <v>120</v>
      </c>
      <c r="K595" s="19">
        <v>45962</v>
      </c>
    </row>
    <row r="596" spans="1:11" x14ac:dyDescent="0.25">
      <c r="A596">
        <v>595</v>
      </c>
      <c r="B596">
        <v>2025</v>
      </c>
      <c r="C596">
        <v>11</v>
      </c>
      <c r="D596">
        <v>31</v>
      </c>
      <c r="E596">
        <v>10</v>
      </c>
      <c r="F596" t="str">
        <v>77DK884</v>
      </c>
      <c r="G596">
        <v>94.999999999999986</v>
      </c>
      <c r="H596" t="str">
        <v>hour</v>
      </c>
      <c r="J596">
        <v>22</v>
      </c>
      <c r="K596" s="19">
        <v>45962</v>
      </c>
    </row>
    <row r="597" spans="1:11" x14ac:dyDescent="0.25">
      <c r="A597">
        <v>596</v>
      </c>
      <c r="B597">
        <v>2025</v>
      </c>
      <c r="C597">
        <v>11</v>
      </c>
      <c r="D597">
        <v>31</v>
      </c>
      <c r="E597">
        <v>10</v>
      </c>
      <c r="F597" t="str">
        <v>90UX686</v>
      </c>
      <c r="G597">
        <v>21.999999999999986</v>
      </c>
      <c r="H597" t="str">
        <v>hour</v>
      </c>
      <c r="J597">
        <v>122</v>
      </c>
      <c r="K597" s="19">
        <v>45962</v>
      </c>
    </row>
    <row r="598" spans="1:11" x14ac:dyDescent="0.25">
      <c r="A598">
        <v>597</v>
      </c>
      <c r="B598">
        <v>2025</v>
      </c>
      <c r="C598">
        <v>11</v>
      </c>
      <c r="D598">
        <v>31</v>
      </c>
      <c r="E598">
        <v>10</v>
      </c>
      <c r="F598" t="str">
        <v>99DT131</v>
      </c>
      <c r="G598">
        <v>7.9999999999999982</v>
      </c>
      <c r="H598" t="str">
        <v>hour</v>
      </c>
      <c r="J598">
        <v>124</v>
      </c>
      <c r="K598" s="19">
        <v>45962</v>
      </c>
    </row>
    <row r="599" spans="1:11" x14ac:dyDescent="0.25">
      <c r="A599">
        <v>598</v>
      </c>
      <c r="B599">
        <v>2025</v>
      </c>
      <c r="C599">
        <v>11</v>
      </c>
      <c r="D599">
        <v>31</v>
      </c>
      <c r="E599">
        <v>10</v>
      </c>
      <c r="F599" t="str">
        <v>99HZ395</v>
      </c>
      <c r="G599">
        <v>84</v>
      </c>
      <c r="H599" t="str">
        <v>hour</v>
      </c>
      <c r="J599">
        <v>4</v>
      </c>
      <c r="K599" s="19">
        <v>45962</v>
      </c>
    </row>
    <row r="600" spans="1:11" x14ac:dyDescent="0.25">
      <c r="A600">
        <v>599</v>
      </c>
      <c r="B600">
        <v>2025</v>
      </c>
      <c r="C600">
        <v>11</v>
      </c>
      <c r="D600">
        <v>31</v>
      </c>
      <c r="E600">
        <v>10</v>
      </c>
      <c r="F600" t="str">
        <v>53BD338</v>
      </c>
      <c r="G600">
        <v>37.999999999999979</v>
      </c>
      <c r="H600" t="str">
        <v>hour</v>
      </c>
      <c r="J600">
        <v>54</v>
      </c>
      <c r="K600" s="19">
        <v>45962</v>
      </c>
    </row>
    <row r="601" spans="1:11" x14ac:dyDescent="0.25">
      <c r="A601">
        <v>600</v>
      </c>
      <c r="B601">
        <v>2025</v>
      </c>
      <c r="C601">
        <v>11</v>
      </c>
      <c r="D601">
        <v>31</v>
      </c>
      <c r="E601">
        <v>10</v>
      </c>
      <c r="F601" t="str">
        <v>99GZ612</v>
      </c>
      <c r="G601">
        <v>20</v>
      </c>
      <c r="H601" t="str">
        <v>hour</v>
      </c>
      <c r="J601">
        <v>103</v>
      </c>
      <c r="K601" s="19">
        <v>45962</v>
      </c>
    </row>
    <row r="602" spans="1:11" x14ac:dyDescent="0.25">
      <c r="A602">
        <v>601</v>
      </c>
      <c r="B602">
        <v>2026</v>
      </c>
      <c r="C602">
        <v>3</v>
      </c>
      <c r="D602">
        <v>50</v>
      </c>
      <c r="E602">
        <v>10</v>
      </c>
      <c r="F602" t="str">
        <v>61AB256</v>
      </c>
      <c r="G602">
        <v>14</v>
      </c>
      <c r="H602" t="str">
        <v>single</v>
      </c>
      <c r="J602">
        <v>1</v>
      </c>
      <c r="K602" s="19">
        <v>46082</v>
      </c>
    </row>
    <row r="603" spans="1:11" x14ac:dyDescent="0.25">
      <c r="A603">
        <v>602</v>
      </c>
      <c r="B603">
        <v>2026</v>
      </c>
      <c r="C603">
        <v>2</v>
      </c>
      <c r="D603">
        <v>65</v>
      </c>
      <c r="E603">
        <v>10</v>
      </c>
      <c r="F603" t="str">
        <v>01BA176</v>
      </c>
      <c r="G603">
        <v>28</v>
      </c>
      <c r="H603" t="str">
        <v>single</v>
      </c>
      <c r="J603">
        <v>1</v>
      </c>
      <c r="K603" s="19">
        <v>46054</v>
      </c>
    </row>
    <row r="604" spans="1:11" x14ac:dyDescent="0.25">
      <c r="A604">
        <v>603</v>
      </c>
      <c r="B604">
        <v>2026</v>
      </c>
      <c r="C604">
        <v>3</v>
      </c>
      <c r="D604">
        <v>85</v>
      </c>
      <c r="E604">
        <v>10</v>
      </c>
      <c r="F604" t="str">
        <v>77SN951</v>
      </c>
      <c r="G604">
        <v>28</v>
      </c>
      <c r="H604" t="str">
        <v>single</v>
      </c>
      <c r="J604">
        <v>3</v>
      </c>
      <c r="K604" s="19">
        <v>46082</v>
      </c>
    </row>
    <row r="605" spans="1:11" x14ac:dyDescent="0.25">
      <c r="A605">
        <v>604</v>
      </c>
      <c r="B605">
        <v>2026</v>
      </c>
      <c r="C605">
        <v>3</v>
      </c>
      <c r="D605">
        <v>85</v>
      </c>
      <c r="E605">
        <v>10</v>
      </c>
      <c r="F605" t="str">
        <v>77SN951</v>
      </c>
      <c r="G605">
        <v>47</v>
      </c>
      <c r="H605" t="str">
        <v>hour</v>
      </c>
      <c r="J605">
        <v>4</v>
      </c>
      <c r="K605" s="19">
        <v>46082</v>
      </c>
    </row>
    <row r="606" spans="1:11" x14ac:dyDescent="0.25">
      <c r="A606">
        <v>605</v>
      </c>
      <c r="B606">
        <v>2026</v>
      </c>
      <c r="C606">
        <v>4</v>
      </c>
      <c r="D606">
        <v>85</v>
      </c>
      <c r="E606">
        <v>10</v>
      </c>
      <c r="F606" t="str">
        <v>77SN951</v>
      </c>
      <c r="G606">
        <v>8</v>
      </c>
      <c r="H606" t="str">
        <v>single</v>
      </c>
      <c r="J606">
        <v>3</v>
      </c>
      <c r="K606" s="19">
        <v>46113</v>
      </c>
    </row>
    <row r="607" spans="1:11" x14ac:dyDescent="0.25">
      <c r="A607">
        <v>606</v>
      </c>
      <c r="B607">
        <v>2026</v>
      </c>
      <c r="C607">
        <v>4</v>
      </c>
      <c r="D607">
        <v>85</v>
      </c>
      <c r="E607">
        <v>10</v>
      </c>
      <c r="F607" t="str">
        <v>77SN951</v>
      </c>
      <c r="G607">
        <v>7</v>
      </c>
      <c r="H607" t="str">
        <v>hour</v>
      </c>
      <c r="J607">
        <v>4</v>
      </c>
      <c r="K607" s="19">
        <v>46113</v>
      </c>
    </row>
    <row r="608" spans="1:11" x14ac:dyDescent="0.25">
      <c r="A608">
        <v>607</v>
      </c>
      <c r="B608">
        <v>2025</v>
      </c>
      <c r="C608">
        <v>12</v>
      </c>
      <c r="D608">
        <v>31</v>
      </c>
      <c r="E608">
        <v>11</v>
      </c>
      <c r="F608" t="str">
        <v>10NS184</v>
      </c>
      <c r="G608">
        <v>30</v>
      </c>
      <c r="H608" t="str">
        <v>single</v>
      </c>
      <c r="J608">
        <v>28</v>
      </c>
      <c r="K608" s="19">
        <v>45992</v>
      </c>
    </row>
    <row r="609" spans="1:11" x14ac:dyDescent="0.25">
      <c r="A609">
        <v>608</v>
      </c>
      <c r="B609">
        <v>2025</v>
      </c>
      <c r="C609">
        <v>12</v>
      </c>
      <c r="D609">
        <v>31</v>
      </c>
      <c r="E609">
        <v>11</v>
      </c>
      <c r="F609" t="str">
        <v>10RN527</v>
      </c>
      <c r="G609">
        <v>30</v>
      </c>
      <c r="H609" t="str">
        <v>single</v>
      </c>
      <c r="J609">
        <v>32</v>
      </c>
      <c r="K609" s="19">
        <v>45992</v>
      </c>
    </row>
    <row r="610" spans="1:11" x14ac:dyDescent="0.25">
      <c r="A610">
        <v>609</v>
      </c>
      <c r="B610">
        <v>2025</v>
      </c>
      <c r="C610">
        <v>12</v>
      </c>
      <c r="D610">
        <v>31</v>
      </c>
      <c r="E610">
        <v>11</v>
      </c>
      <c r="F610" t="str">
        <v>17BE358</v>
      </c>
      <c r="G610">
        <v>28</v>
      </c>
      <c r="H610" t="str">
        <v>single</v>
      </c>
      <c r="J610">
        <v>37</v>
      </c>
      <c r="K610" s="19">
        <v>45992</v>
      </c>
    </row>
    <row r="611" spans="1:11" x14ac:dyDescent="0.25">
      <c r="A611">
        <v>610</v>
      </c>
      <c r="B611">
        <v>2025</v>
      </c>
      <c r="C611">
        <v>12</v>
      </c>
      <c r="D611">
        <v>31</v>
      </c>
      <c r="E611">
        <v>11</v>
      </c>
      <c r="F611" t="str">
        <v>21BF442</v>
      </c>
      <c r="G611">
        <v>30</v>
      </c>
      <c r="H611" t="str">
        <v>single</v>
      </c>
      <c r="J611">
        <v>39</v>
      </c>
      <c r="K611" s="19">
        <v>45992</v>
      </c>
    </row>
    <row r="612" spans="1:11" x14ac:dyDescent="0.25">
      <c r="A612">
        <v>611</v>
      </c>
      <c r="B612">
        <v>2025</v>
      </c>
      <c r="C612">
        <v>12</v>
      </c>
      <c r="D612">
        <v>31</v>
      </c>
      <c r="E612">
        <v>11</v>
      </c>
      <c r="F612" t="str">
        <v>50DK730</v>
      </c>
      <c r="G612">
        <v>30</v>
      </c>
      <c r="H612" t="str">
        <v>single</v>
      </c>
      <c r="J612">
        <v>47</v>
      </c>
      <c r="K612" s="19">
        <v>45992</v>
      </c>
    </row>
    <row r="613" spans="1:11" x14ac:dyDescent="0.25">
      <c r="A613">
        <v>612</v>
      </c>
      <c r="B613">
        <v>2025</v>
      </c>
      <c r="C613">
        <v>12</v>
      </c>
      <c r="D613">
        <v>31</v>
      </c>
      <c r="E613">
        <v>11</v>
      </c>
      <c r="F613" t="str">
        <v>50EF902</v>
      </c>
      <c r="G613">
        <v>28</v>
      </c>
      <c r="H613" t="str">
        <v>single</v>
      </c>
      <c r="J613">
        <v>49</v>
      </c>
      <c r="K613" s="19">
        <v>45992</v>
      </c>
    </row>
    <row r="614" spans="1:11" x14ac:dyDescent="0.25">
      <c r="A614">
        <v>613</v>
      </c>
      <c r="B614">
        <v>2025</v>
      </c>
      <c r="C614">
        <v>12</v>
      </c>
      <c r="D614">
        <v>31</v>
      </c>
      <c r="E614">
        <v>11</v>
      </c>
      <c r="F614" t="str">
        <v>50EL608</v>
      </c>
      <c r="G614">
        <v>14</v>
      </c>
      <c r="H614" t="str">
        <v>single</v>
      </c>
      <c r="J614">
        <v>182</v>
      </c>
      <c r="K614" s="19">
        <v>45992</v>
      </c>
    </row>
    <row r="615" spans="1:11" x14ac:dyDescent="0.25">
      <c r="A615">
        <v>614</v>
      </c>
      <c r="B615">
        <v>2025</v>
      </c>
      <c r="C615">
        <v>12</v>
      </c>
      <c r="D615">
        <v>31</v>
      </c>
      <c r="E615">
        <v>11</v>
      </c>
      <c r="F615" t="str">
        <v>50FB264</v>
      </c>
      <c r="G615">
        <v>30</v>
      </c>
      <c r="H615" t="str">
        <v>single</v>
      </c>
      <c r="J615">
        <v>23</v>
      </c>
      <c r="K615" s="19">
        <v>45992</v>
      </c>
    </row>
    <row r="616" spans="1:11" x14ac:dyDescent="0.25">
      <c r="A616">
        <v>615</v>
      </c>
      <c r="B616">
        <v>2025</v>
      </c>
      <c r="C616">
        <v>12</v>
      </c>
      <c r="D616">
        <v>31</v>
      </c>
      <c r="E616">
        <v>11</v>
      </c>
      <c r="F616" t="str">
        <v>53BD338</v>
      </c>
      <c r="G616">
        <v>29</v>
      </c>
      <c r="H616" t="str">
        <v>single</v>
      </c>
      <c r="J616">
        <v>55</v>
      </c>
      <c r="K616" s="19">
        <v>45992</v>
      </c>
    </row>
    <row r="617" spans="1:11" x14ac:dyDescent="0.25">
      <c r="A617">
        <v>616</v>
      </c>
      <c r="B617">
        <v>2025</v>
      </c>
      <c r="C617">
        <v>12</v>
      </c>
      <c r="D617">
        <v>31</v>
      </c>
      <c r="E617">
        <v>11</v>
      </c>
      <c r="F617" t="str">
        <v>55CB633</v>
      </c>
      <c r="G617">
        <v>29</v>
      </c>
      <c r="H617" t="str">
        <v>single</v>
      </c>
      <c r="J617">
        <v>57</v>
      </c>
      <c r="K617" s="19">
        <v>45992</v>
      </c>
    </row>
    <row r="618" spans="1:11" x14ac:dyDescent="0.25">
      <c r="A618">
        <v>617</v>
      </c>
      <c r="B618">
        <v>2025</v>
      </c>
      <c r="C618">
        <v>12</v>
      </c>
      <c r="D618">
        <v>31</v>
      </c>
      <c r="E618">
        <v>11</v>
      </c>
      <c r="F618" t="str">
        <v>57BV285</v>
      </c>
      <c r="G618">
        <v>30</v>
      </c>
      <c r="H618" t="str">
        <v>single</v>
      </c>
      <c r="J618">
        <v>119</v>
      </c>
      <c r="K618" s="19">
        <v>45992</v>
      </c>
    </row>
    <row r="619" spans="1:11" x14ac:dyDescent="0.25">
      <c r="A619">
        <v>618</v>
      </c>
      <c r="B619">
        <v>2025</v>
      </c>
      <c r="C619">
        <v>12</v>
      </c>
      <c r="D619">
        <v>31</v>
      </c>
      <c r="E619">
        <v>11</v>
      </c>
      <c r="F619" t="str">
        <v>77AT386</v>
      </c>
      <c r="G619">
        <v>30</v>
      </c>
      <c r="H619" t="str">
        <v>single</v>
      </c>
      <c r="J619">
        <v>13</v>
      </c>
      <c r="K619" s="19">
        <v>45992</v>
      </c>
    </row>
    <row r="620" spans="1:11" x14ac:dyDescent="0.25">
      <c r="A620">
        <v>619</v>
      </c>
      <c r="B620">
        <v>2025</v>
      </c>
      <c r="C620">
        <v>12</v>
      </c>
      <c r="D620">
        <v>31</v>
      </c>
      <c r="E620">
        <v>11</v>
      </c>
      <c r="F620" t="str">
        <v>77DK884</v>
      </c>
      <c r="G620">
        <v>19</v>
      </c>
      <c r="H620" t="str">
        <v>single</v>
      </c>
      <c r="J620">
        <v>21</v>
      </c>
      <c r="K620" s="19">
        <v>45992</v>
      </c>
    </row>
    <row r="621" spans="1:11" x14ac:dyDescent="0.25">
      <c r="A621">
        <v>620</v>
      </c>
      <c r="B621">
        <v>2025</v>
      </c>
      <c r="C621">
        <v>12</v>
      </c>
      <c r="D621">
        <v>31</v>
      </c>
      <c r="E621">
        <v>11</v>
      </c>
      <c r="F621" t="str">
        <v>77MU119</v>
      </c>
      <c r="G621">
        <v>12</v>
      </c>
      <c r="H621" t="str">
        <v>single</v>
      </c>
      <c r="J621">
        <v>180</v>
      </c>
      <c r="K621" s="19">
        <v>45992</v>
      </c>
    </row>
    <row r="622" spans="1:11" x14ac:dyDescent="0.25">
      <c r="A622">
        <v>621</v>
      </c>
      <c r="B622">
        <v>2025</v>
      </c>
      <c r="C622">
        <v>12</v>
      </c>
      <c r="D622">
        <v>31</v>
      </c>
      <c r="E622">
        <v>11</v>
      </c>
      <c r="F622" t="str">
        <v>77PV619</v>
      </c>
      <c r="G622">
        <v>30</v>
      </c>
      <c r="H622" t="str">
        <v>single</v>
      </c>
      <c r="J622">
        <v>67</v>
      </c>
      <c r="K622" s="19">
        <v>45992</v>
      </c>
    </row>
    <row r="623" spans="1:11" x14ac:dyDescent="0.25">
      <c r="A623">
        <v>622</v>
      </c>
      <c r="B623">
        <v>2025</v>
      </c>
      <c r="C623">
        <v>12</v>
      </c>
      <c r="D623">
        <v>31</v>
      </c>
      <c r="E623">
        <v>11</v>
      </c>
      <c r="F623" t="str">
        <v>77SR538</v>
      </c>
      <c r="G623">
        <v>24</v>
      </c>
      <c r="H623" t="str">
        <v>single</v>
      </c>
      <c r="J623">
        <v>73</v>
      </c>
      <c r="K623" s="19">
        <v>45992</v>
      </c>
    </row>
    <row r="624" spans="1:11" x14ac:dyDescent="0.25">
      <c r="A624">
        <v>623</v>
      </c>
      <c r="B624">
        <v>2025</v>
      </c>
      <c r="C624">
        <v>12</v>
      </c>
      <c r="D624">
        <v>31</v>
      </c>
      <c r="E624">
        <v>11</v>
      </c>
      <c r="F624" t="str">
        <v>77TG971</v>
      </c>
      <c r="G624">
        <v>28</v>
      </c>
      <c r="H624" t="str">
        <v>single</v>
      </c>
      <c r="J624">
        <v>75</v>
      </c>
      <c r="K624" s="19">
        <v>45992</v>
      </c>
    </row>
    <row r="625" spans="1:11" x14ac:dyDescent="0.25">
      <c r="A625">
        <v>624</v>
      </c>
      <c r="B625">
        <v>2025</v>
      </c>
      <c r="C625">
        <v>12</v>
      </c>
      <c r="D625">
        <v>31</v>
      </c>
      <c r="E625">
        <v>11</v>
      </c>
      <c r="F625" t="str">
        <v>77UR032</v>
      </c>
      <c r="G625">
        <v>28</v>
      </c>
      <c r="H625" t="str">
        <v>single</v>
      </c>
      <c r="J625">
        <v>77</v>
      </c>
      <c r="K625" s="19">
        <v>45992</v>
      </c>
    </row>
    <row r="626" spans="1:11" x14ac:dyDescent="0.25">
      <c r="A626">
        <v>625</v>
      </c>
      <c r="B626">
        <v>2025</v>
      </c>
      <c r="C626">
        <v>12</v>
      </c>
      <c r="D626">
        <v>31</v>
      </c>
      <c r="E626">
        <v>11</v>
      </c>
      <c r="F626" t="str">
        <v>77VL420</v>
      </c>
      <c r="G626">
        <v>30</v>
      </c>
      <c r="H626" t="str">
        <v>single</v>
      </c>
      <c r="J626">
        <v>118</v>
      </c>
      <c r="K626" s="19">
        <v>45992</v>
      </c>
    </row>
    <row r="627" spans="1:11" x14ac:dyDescent="0.25">
      <c r="A627">
        <v>626</v>
      </c>
      <c r="B627">
        <v>2025</v>
      </c>
      <c r="C627">
        <v>12</v>
      </c>
      <c r="D627">
        <v>31</v>
      </c>
      <c r="E627">
        <v>11</v>
      </c>
      <c r="F627" t="str">
        <v>90EC344</v>
      </c>
      <c r="G627">
        <v>30</v>
      </c>
      <c r="H627" t="str">
        <v>single</v>
      </c>
      <c r="J627">
        <v>79</v>
      </c>
      <c r="K627" s="19">
        <v>45992</v>
      </c>
    </row>
    <row r="628" spans="1:11" x14ac:dyDescent="0.25">
      <c r="A628">
        <v>627</v>
      </c>
      <c r="B628">
        <v>2025</v>
      </c>
      <c r="C628">
        <v>12</v>
      </c>
      <c r="D628">
        <v>31</v>
      </c>
      <c r="E628">
        <v>11</v>
      </c>
      <c r="F628" t="str">
        <v>90LS143</v>
      </c>
      <c r="G628">
        <v>28</v>
      </c>
      <c r="H628" t="str">
        <v>single</v>
      </c>
      <c r="J628">
        <v>81</v>
      </c>
      <c r="K628" s="19">
        <v>45992</v>
      </c>
    </row>
    <row r="629" spans="1:11" x14ac:dyDescent="0.25">
      <c r="A629">
        <v>628</v>
      </c>
      <c r="B629">
        <v>2025</v>
      </c>
      <c r="C629">
        <v>12</v>
      </c>
      <c r="D629">
        <v>31</v>
      </c>
      <c r="E629">
        <v>11</v>
      </c>
      <c r="F629" t="str">
        <v>90OE402</v>
      </c>
      <c r="G629">
        <v>30</v>
      </c>
      <c r="H629" t="str">
        <v>single</v>
      </c>
      <c r="J629">
        <v>83</v>
      </c>
      <c r="K629" s="19">
        <v>45992</v>
      </c>
    </row>
    <row r="630" spans="1:11" x14ac:dyDescent="0.25">
      <c r="A630">
        <v>629</v>
      </c>
      <c r="B630">
        <v>2025</v>
      </c>
      <c r="C630">
        <v>12</v>
      </c>
      <c r="D630">
        <v>31</v>
      </c>
      <c r="E630">
        <v>11</v>
      </c>
      <c r="F630" t="str">
        <v>90PY548</v>
      </c>
      <c r="G630">
        <v>30</v>
      </c>
      <c r="H630" t="str">
        <v>single</v>
      </c>
      <c r="J630">
        <v>85</v>
      </c>
      <c r="K630" s="19">
        <v>45992</v>
      </c>
    </row>
    <row r="631" spans="1:11" x14ac:dyDescent="0.25">
      <c r="A631">
        <v>630</v>
      </c>
      <c r="B631">
        <v>2025</v>
      </c>
      <c r="C631">
        <v>12</v>
      </c>
      <c r="D631">
        <v>31</v>
      </c>
      <c r="E631">
        <v>11</v>
      </c>
      <c r="F631" t="str">
        <v>90RC631</v>
      </c>
      <c r="G631">
        <v>22</v>
      </c>
      <c r="H631" t="str">
        <v>single</v>
      </c>
      <c r="J631">
        <v>125</v>
      </c>
      <c r="K631" s="19">
        <v>45992</v>
      </c>
    </row>
    <row r="632" spans="1:11" x14ac:dyDescent="0.25">
      <c r="A632">
        <v>631</v>
      </c>
      <c r="B632">
        <v>2025</v>
      </c>
      <c r="C632">
        <v>12</v>
      </c>
      <c r="D632">
        <v>31</v>
      </c>
      <c r="E632">
        <v>11</v>
      </c>
      <c r="F632" t="str">
        <v>90UX686</v>
      </c>
      <c r="G632">
        <v>29</v>
      </c>
      <c r="H632" t="str">
        <v>single</v>
      </c>
      <c r="J632">
        <v>121</v>
      </c>
      <c r="K632" s="19">
        <v>45992</v>
      </c>
    </row>
    <row r="633" spans="1:11" x14ac:dyDescent="0.25">
      <c r="A633">
        <v>632</v>
      </c>
      <c r="B633">
        <v>2025</v>
      </c>
      <c r="C633">
        <v>12</v>
      </c>
      <c r="D633">
        <v>31</v>
      </c>
      <c r="E633">
        <v>11</v>
      </c>
      <c r="F633" t="str">
        <v>99BT339</v>
      </c>
      <c r="G633">
        <v>29</v>
      </c>
      <c r="H633" t="str">
        <v>single</v>
      </c>
      <c r="J633">
        <v>93</v>
      </c>
      <c r="K633" s="19">
        <v>45992</v>
      </c>
    </row>
    <row r="634" spans="1:11" x14ac:dyDescent="0.25">
      <c r="A634">
        <v>633</v>
      </c>
      <c r="B634">
        <v>2025</v>
      </c>
      <c r="C634">
        <v>12</v>
      </c>
      <c r="D634">
        <v>31</v>
      </c>
      <c r="E634">
        <v>11</v>
      </c>
      <c r="F634" t="str">
        <v>99CN447</v>
      </c>
      <c r="G634">
        <v>28</v>
      </c>
      <c r="H634" t="str">
        <v>single</v>
      </c>
      <c r="J634">
        <v>94</v>
      </c>
      <c r="K634" s="19">
        <v>45992</v>
      </c>
    </row>
    <row r="635" spans="1:11" x14ac:dyDescent="0.25">
      <c r="A635">
        <v>634</v>
      </c>
      <c r="B635">
        <v>2025</v>
      </c>
      <c r="C635">
        <v>12</v>
      </c>
      <c r="D635">
        <v>31</v>
      </c>
      <c r="E635">
        <v>11</v>
      </c>
      <c r="F635" t="str">
        <v>99DT131</v>
      </c>
      <c r="G635">
        <v>30</v>
      </c>
      <c r="H635" t="str">
        <v>single</v>
      </c>
      <c r="J635">
        <v>123</v>
      </c>
      <c r="K635" s="19">
        <v>45992</v>
      </c>
    </row>
    <row r="636" spans="1:11" x14ac:dyDescent="0.25">
      <c r="A636">
        <v>635</v>
      </c>
      <c r="B636">
        <v>2025</v>
      </c>
      <c r="C636">
        <v>12</v>
      </c>
      <c r="D636">
        <v>31</v>
      </c>
      <c r="E636">
        <v>11</v>
      </c>
      <c r="F636" t="str">
        <v>99FO779</v>
      </c>
      <c r="G636">
        <v>29</v>
      </c>
      <c r="H636" t="str">
        <v>single</v>
      </c>
      <c r="J636">
        <v>101</v>
      </c>
      <c r="K636" s="19">
        <v>45992</v>
      </c>
    </row>
    <row r="637" spans="1:11" x14ac:dyDescent="0.25">
      <c r="A637">
        <v>636</v>
      </c>
      <c r="B637">
        <v>2025</v>
      </c>
      <c r="C637">
        <v>12</v>
      </c>
      <c r="D637">
        <v>31</v>
      </c>
      <c r="E637">
        <v>11</v>
      </c>
      <c r="F637" t="str">
        <v>99GZ612</v>
      </c>
      <c r="G637">
        <v>30</v>
      </c>
      <c r="H637" t="str">
        <v>single</v>
      </c>
      <c r="J637">
        <v>104</v>
      </c>
      <c r="K637" s="19">
        <v>45992</v>
      </c>
    </row>
    <row r="638" spans="1:11" x14ac:dyDescent="0.25">
      <c r="A638">
        <v>637</v>
      </c>
      <c r="B638">
        <v>2025</v>
      </c>
      <c r="C638">
        <v>12</v>
      </c>
      <c r="D638">
        <v>31</v>
      </c>
      <c r="E638">
        <v>11</v>
      </c>
      <c r="F638" t="str">
        <v>99HZ395</v>
      </c>
      <c r="G638">
        <v>30</v>
      </c>
      <c r="H638" t="str">
        <v>single</v>
      </c>
      <c r="J638">
        <v>3</v>
      </c>
      <c r="K638" s="19">
        <v>45992</v>
      </c>
    </row>
    <row r="639" spans="1:11" x14ac:dyDescent="0.25">
      <c r="A639">
        <v>638</v>
      </c>
      <c r="B639">
        <v>2025</v>
      </c>
      <c r="C639">
        <v>12</v>
      </c>
      <c r="D639">
        <v>31</v>
      </c>
      <c r="E639">
        <v>11</v>
      </c>
      <c r="F639" t="str">
        <v>99KL663</v>
      </c>
      <c r="G639">
        <v>29</v>
      </c>
      <c r="H639" t="str">
        <v>single</v>
      </c>
      <c r="J639">
        <v>106</v>
      </c>
      <c r="K639" s="19">
        <v>45992</v>
      </c>
    </row>
    <row r="640" spans="1:11" x14ac:dyDescent="0.25">
      <c r="A640">
        <v>639</v>
      </c>
      <c r="B640">
        <v>2025</v>
      </c>
      <c r="C640">
        <v>12</v>
      </c>
      <c r="D640">
        <v>31</v>
      </c>
      <c r="E640">
        <v>11</v>
      </c>
      <c r="F640" t="str">
        <v>99LM412</v>
      </c>
      <c r="G640">
        <v>30</v>
      </c>
      <c r="H640" t="str">
        <v>single</v>
      </c>
      <c r="J640">
        <v>116</v>
      </c>
      <c r="K640" s="19">
        <v>45992</v>
      </c>
    </row>
    <row r="641" spans="1:11" x14ac:dyDescent="0.25">
      <c r="A641">
        <v>640</v>
      </c>
      <c r="B641">
        <v>2025</v>
      </c>
      <c r="C641">
        <v>12</v>
      </c>
      <c r="D641">
        <v>31</v>
      </c>
      <c r="E641">
        <v>11</v>
      </c>
      <c r="F641" t="str">
        <v>99MN472</v>
      </c>
      <c r="G641">
        <v>30</v>
      </c>
      <c r="H641" t="str">
        <v>single</v>
      </c>
      <c r="J641">
        <v>108</v>
      </c>
      <c r="K641" s="19">
        <v>45992</v>
      </c>
    </row>
    <row r="642" spans="1:11" x14ac:dyDescent="0.25">
      <c r="A642">
        <v>641</v>
      </c>
      <c r="B642">
        <v>2025</v>
      </c>
      <c r="C642">
        <v>12</v>
      </c>
      <c r="D642">
        <v>31</v>
      </c>
      <c r="E642">
        <v>11</v>
      </c>
      <c r="F642" t="str">
        <v>99OR961</v>
      </c>
      <c r="G642">
        <v>30</v>
      </c>
      <c r="H642" t="str">
        <v>single</v>
      </c>
      <c r="J642">
        <v>109</v>
      </c>
      <c r="K642" s="19">
        <v>45992</v>
      </c>
    </row>
    <row r="643" spans="1:11" x14ac:dyDescent="0.25">
      <c r="A643">
        <v>642</v>
      </c>
      <c r="B643">
        <v>2025</v>
      </c>
      <c r="C643">
        <v>12</v>
      </c>
      <c r="D643">
        <v>31</v>
      </c>
      <c r="E643">
        <v>11</v>
      </c>
      <c r="F643" t="str">
        <v>99UK314</v>
      </c>
      <c r="G643">
        <v>30</v>
      </c>
      <c r="H643" t="str">
        <v>single</v>
      </c>
      <c r="J643">
        <v>114</v>
      </c>
      <c r="K643" s="19">
        <v>45992</v>
      </c>
    </row>
    <row r="644" spans="1:11" x14ac:dyDescent="0.25">
      <c r="A644">
        <v>643</v>
      </c>
      <c r="B644">
        <v>2025</v>
      </c>
      <c r="C644">
        <v>12</v>
      </c>
      <c r="D644">
        <v>31</v>
      </c>
      <c r="E644">
        <v>11</v>
      </c>
      <c r="F644" t="str">
        <v>77GR998</v>
      </c>
      <c r="G644">
        <v>31</v>
      </c>
      <c r="H644" t="str">
        <v>double</v>
      </c>
      <c r="J644">
        <v>63</v>
      </c>
      <c r="K644" s="19">
        <v>45992</v>
      </c>
    </row>
    <row r="645" spans="1:11" x14ac:dyDescent="0.25">
      <c r="A645">
        <v>644</v>
      </c>
      <c r="B645">
        <v>2025</v>
      </c>
      <c r="C645">
        <v>12</v>
      </c>
      <c r="D645">
        <v>31</v>
      </c>
      <c r="E645">
        <v>11</v>
      </c>
      <c r="F645" t="str">
        <v>99EM163</v>
      </c>
      <c r="G645">
        <v>28</v>
      </c>
      <c r="H645" t="str">
        <v>double</v>
      </c>
      <c r="J645">
        <v>98</v>
      </c>
      <c r="K645" s="19">
        <v>45992</v>
      </c>
    </row>
    <row r="646" spans="1:11" x14ac:dyDescent="0.25">
      <c r="A646">
        <v>645</v>
      </c>
      <c r="B646">
        <v>2025</v>
      </c>
      <c r="C646">
        <v>12</v>
      </c>
      <c r="D646">
        <v>31</v>
      </c>
      <c r="E646">
        <v>11</v>
      </c>
      <c r="F646" t="str">
        <v>10NS184</v>
      </c>
      <c r="G646">
        <v>3.9999999999999982</v>
      </c>
      <c r="H646" t="str">
        <v>hour</v>
      </c>
      <c r="J646">
        <v>27</v>
      </c>
      <c r="K646" s="19">
        <v>45992</v>
      </c>
    </row>
    <row r="647" spans="1:11" x14ac:dyDescent="0.25">
      <c r="A647">
        <v>646</v>
      </c>
      <c r="B647">
        <v>2025</v>
      </c>
      <c r="C647">
        <v>12</v>
      </c>
      <c r="D647">
        <v>31</v>
      </c>
      <c r="E647">
        <v>11</v>
      </c>
      <c r="F647" t="str">
        <v>10RN527</v>
      </c>
      <c r="G647">
        <v>86</v>
      </c>
      <c r="H647" t="str">
        <v>hour</v>
      </c>
      <c r="J647">
        <v>30</v>
      </c>
      <c r="K647" s="19">
        <v>45992</v>
      </c>
    </row>
    <row r="648" spans="1:11" x14ac:dyDescent="0.25">
      <c r="A648">
        <v>647</v>
      </c>
      <c r="B648">
        <v>2025</v>
      </c>
      <c r="C648">
        <v>12</v>
      </c>
      <c r="D648">
        <v>31</v>
      </c>
      <c r="E648">
        <v>11</v>
      </c>
      <c r="F648" t="str">
        <v>21BF442</v>
      </c>
      <c r="G648">
        <v>90</v>
      </c>
      <c r="H648" t="str">
        <v>hour</v>
      </c>
      <c r="J648">
        <v>38</v>
      </c>
      <c r="K648" s="19">
        <v>45992</v>
      </c>
    </row>
    <row r="649" spans="1:11" x14ac:dyDescent="0.25">
      <c r="A649">
        <v>648</v>
      </c>
      <c r="B649">
        <v>2025</v>
      </c>
      <c r="C649">
        <v>12</v>
      </c>
      <c r="D649">
        <v>31</v>
      </c>
      <c r="E649">
        <v>11</v>
      </c>
      <c r="F649" t="str">
        <v>50DK730</v>
      </c>
      <c r="G649">
        <v>90</v>
      </c>
      <c r="H649" t="str">
        <v>hour</v>
      </c>
      <c r="J649">
        <v>46</v>
      </c>
      <c r="K649" s="19">
        <v>45992</v>
      </c>
    </row>
    <row r="650" spans="1:11" x14ac:dyDescent="0.25">
      <c r="A650">
        <v>649</v>
      </c>
      <c r="B650">
        <v>2025</v>
      </c>
      <c r="C650">
        <v>12</v>
      </c>
      <c r="D650">
        <v>31</v>
      </c>
      <c r="E650">
        <v>11</v>
      </c>
      <c r="F650" t="str">
        <v>50EF902</v>
      </c>
      <c r="G650">
        <v>43</v>
      </c>
      <c r="H650" t="str">
        <v>hour</v>
      </c>
      <c r="J650">
        <v>48</v>
      </c>
      <c r="K650" s="19">
        <v>45992</v>
      </c>
    </row>
    <row r="651" spans="1:11" x14ac:dyDescent="0.25">
      <c r="A651">
        <v>650</v>
      </c>
      <c r="B651">
        <v>2025</v>
      </c>
      <c r="C651">
        <v>12</v>
      </c>
      <c r="D651">
        <v>31</v>
      </c>
      <c r="E651">
        <v>11</v>
      </c>
      <c r="F651" t="str">
        <v>50FB264</v>
      </c>
      <c r="G651">
        <v>89.999999999999986</v>
      </c>
      <c r="H651" t="str">
        <v>hour</v>
      </c>
      <c r="J651">
        <v>24</v>
      </c>
      <c r="K651" s="19">
        <v>45992</v>
      </c>
    </row>
    <row r="652" spans="1:11" x14ac:dyDescent="0.25">
      <c r="A652">
        <v>651</v>
      </c>
      <c r="B652">
        <v>2025</v>
      </c>
      <c r="C652">
        <v>12</v>
      </c>
      <c r="D652">
        <v>31</v>
      </c>
      <c r="E652">
        <v>11</v>
      </c>
      <c r="F652" t="str">
        <v>53BD338</v>
      </c>
      <c r="G652">
        <v>31.999999999999993</v>
      </c>
      <c r="H652" t="str">
        <v>hour</v>
      </c>
      <c r="J652">
        <v>54</v>
      </c>
      <c r="K652" s="19">
        <v>45992</v>
      </c>
    </row>
    <row r="653" spans="1:11" x14ac:dyDescent="0.25">
      <c r="A653">
        <v>652</v>
      </c>
      <c r="B653">
        <v>2025</v>
      </c>
      <c r="C653">
        <v>12</v>
      </c>
      <c r="D653">
        <v>31</v>
      </c>
      <c r="E653">
        <v>11</v>
      </c>
      <c r="F653" t="str">
        <v>55CB633</v>
      </c>
      <c r="G653">
        <v>39.999999999999986</v>
      </c>
      <c r="H653" t="str">
        <v>hour</v>
      </c>
      <c r="J653">
        <v>56</v>
      </c>
      <c r="K653" s="19">
        <v>45992</v>
      </c>
    </row>
    <row r="654" spans="1:11" x14ac:dyDescent="0.25">
      <c r="A654">
        <v>653</v>
      </c>
      <c r="B654">
        <v>2025</v>
      </c>
      <c r="C654">
        <v>12</v>
      </c>
      <c r="D654">
        <v>31</v>
      </c>
      <c r="E654">
        <v>11</v>
      </c>
      <c r="F654" t="str">
        <v>57BV285</v>
      </c>
      <c r="G654">
        <v>39.999999999999972</v>
      </c>
      <c r="H654" t="str">
        <v>hour</v>
      </c>
      <c r="J654">
        <v>120</v>
      </c>
      <c r="K654" s="19">
        <v>45992</v>
      </c>
    </row>
    <row r="655" spans="1:11" x14ac:dyDescent="0.25">
      <c r="A655">
        <v>654</v>
      </c>
      <c r="B655">
        <v>2025</v>
      </c>
      <c r="C655">
        <v>12</v>
      </c>
      <c r="D655">
        <v>31</v>
      </c>
      <c r="E655">
        <v>11</v>
      </c>
      <c r="F655" t="str">
        <v>77MU119</v>
      </c>
      <c r="G655">
        <v>32.999999999999979</v>
      </c>
      <c r="H655" t="str">
        <v>hour</v>
      </c>
      <c r="J655">
        <v>181</v>
      </c>
      <c r="K655" s="19">
        <v>45992</v>
      </c>
    </row>
    <row r="656" spans="1:11" x14ac:dyDescent="0.25">
      <c r="A656">
        <v>655</v>
      </c>
      <c r="B656">
        <v>2025</v>
      </c>
      <c r="C656">
        <v>12</v>
      </c>
      <c r="D656">
        <v>31</v>
      </c>
      <c r="E656">
        <v>11</v>
      </c>
      <c r="F656" t="str">
        <v>77SR538</v>
      </c>
      <c r="G656">
        <v>92</v>
      </c>
      <c r="H656" t="str">
        <v>hour</v>
      </c>
      <c r="J656">
        <v>72</v>
      </c>
      <c r="K656" s="19">
        <v>45992</v>
      </c>
    </row>
    <row r="657" spans="1:11" x14ac:dyDescent="0.25">
      <c r="A657">
        <v>656</v>
      </c>
      <c r="B657">
        <v>2025</v>
      </c>
      <c r="C657">
        <v>12</v>
      </c>
      <c r="D657">
        <v>31</v>
      </c>
      <c r="E657">
        <v>11</v>
      </c>
      <c r="F657" t="str">
        <v>77TG971</v>
      </c>
      <c r="G657">
        <v>7.9999999999999982</v>
      </c>
      <c r="H657" t="str">
        <v>hour</v>
      </c>
      <c r="J657">
        <v>74</v>
      </c>
      <c r="K657" s="19">
        <v>45992</v>
      </c>
    </row>
    <row r="658" spans="1:11" x14ac:dyDescent="0.25">
      <c r="A658">
        <v>657</v>
      </c>
      <c r="B658">
        <v>2025</v>
      </c>
      <c r="C658">
        <v>12</v>
      </c>
      <c r="D658">
        <v>31</v>
      </c>
      <c r="E658">
        <v>11</v>
      </c>
      <c r="F658" t="str">
        <v>77UR032</v>
      </c>
      <c r="G658">
        <v>74.999999999999972</v>
      </c>
      <c r="H658" t="str">
        <v>hour</v>
      </c>
      <c r="J658">
        <v>76</v>
      </c>
      <c r="K658" s="19">
        <v>45992</v>
      </c>
    </row>
    <row r="659" spans="1:11" x14ac:dyDescent="0.25">
      <c r="A659">
        <v>658</v>
      </c>
      <c r="B659">
        <v>2025</v>
      </c>
      <c r="C659">
        <v>12</v>
      </c>
      <c r="D659">
        <v>31</v>
      </c>
      <c r="E659">
        <v>11</v>
      </c>
      <c r="F659" t="str">
        <v>90EC344</v>
      </c>
      <c r="G659">
        <v>71.999999999999986</v>
      </c>
      <c r="H659" t="str">
        <v>hour</v>
      </c>
      <c r="J659">
        <v>78</v>
      </c>
      <c r="K659" s="19">
        <v>45992</v>
      </c>
    </row>
    <row r="660" spans="1:11" x14ac:dyDescent="0.25">
      <c r="A660">
        <v>659</v>
      </c>
      <c r="B660">
        <v>2025</v>
      </c>
      <c r="C660">
        <v>12</v>
      </c>
      <c r="D660">
        <v>31</v>
      </c>
      <c r="E660">
        <v>11</v>
      </c>
      <c r="F660" t="str">
        <v>90LS143</v>
      </c>
      <c r="G660">
        <v>5.9999999999999964</v>
      </c>
      <c r="H660" t="str">
        <v>hour</v>
      </c>
      <c r="J660">
        <v>80</v>
      </c>
      <c r="K660" s="19">
        <v>45992</v>
      </c>
    </row>
    <row r="661" spans="1:11" x14ac:dyDescent="0.25">
      <c r="A661">
        <v>660</v>
      </c>
      <c r="B661">
        <v>2025</v>
      </c>
      <c r="C661">
        <v>12</v>
      </c>
      <c r="D661">
        <v>31</v>
      </c>
      <c r="E661">
        <v>11</v>
      </c>
      <c r="F661" t="str">
        <v>90OE402</v>
      </c>
      <c r="G661">
        <v>89.999999999999986</v>
      </c>
      <c r="H661" t="str">
        <v>hour</v>
      </c>
      <c r="J661">
        <v>82</v>
      </c>
      <c r="K661" s="19">
        <v>45992</v>
      </c>
    </row>
    <row r="662" spans="1:11" x14ac:dyDescent="0.25">
      <c r="A662">
        <v>661</v>
      </c>
      <c r="B662">
        <v>2025</v>
      </c>
      <c r="C662">
        <v>12</v>
      </c>
      <c r="D662">
        <v>31</v>
      </c>
      <c r="E662">
        <v>11</v>
      </c>
      <c r="F662" t="str">
        <v>90UX686</v>
      </c>
      <c r="G662">
        <v>60.999999999999986</v>
      </c>
      <c r="H662" t="str">
        <v>hour</v>
      </c>
      <c r="J662">
        <v>122</v>
      </c>
      <c r="K662" s="19">
        <v>45992</v>
      </c>
    </row>
    <row r="663" spans="1:11" x14ac:dyDescent="0.25">
      <c r="A663">
        <v>662</v>
      </c>
      <c r="B663">
        <v>2025</v>
      </c>
      <c r="C663">
        <v>12</v>
      </c>
      <c r="D663">
        <v>31</v>
      </c>
      <c r="E663">
        <v>11</v>
      </c>
      <c r="F663" t="str">
        <v>99BT339</v>
      </c>
      <c r="G663">
        <v>81.999999999999986</v>
      </c>
      <c r="H663" t="str">
        <v>hour</v>
      </c>
      <c r="J663">
        <v>92</v>
      </c>
      <c r="K663" s="19">
        <v>45992</v>
      </c>
    </row>
    <row r="664" spans="1:11" x14ac:dyDescent="0.25">
      <c r="A664">
        <v>663</v>
      </c>
      <c r="B664">
        <v>2025</v>
      </c>
      <c r="C664">
        <v>12</v>
      </c>
      <c r="D664">
        <v>31</v>
      </c>
      <c r="E664">
        <v>11</v>
      </c>
      <c r="F664" t="str">
        <v>99CN447</v>
      </c>
      <c r="G664">
        <v>19.999999999999982</v>
      </c>
      <c r="H664" t="str">
        <v>hour</v>
      </c>
      <c r="J664">
        <v>95</v>
      </c>
      <c r="K664" s="19">
        <v>45992</v>
      </c>
    </row>
    <row r="665" spans="1:11" x14ac:dyDescent="0.25">
      <c r="A665">
        <v>664</v>
      </c>
      <c r="B665">
        <v>2025</v>
      </c>
      <c r="C665">
        <v>12</v>
      </c>
      <c r="D665">
        <v>31</v>
      </c>
      <c r="E665">
        <v>11</v>
      </c>
      <c r="F665" t="str">
        <v>99DT131</v>
      </c>
      <c r="G665">
        <v>40.999999999999972</v>
      </c>
      <c r="H665" t="str">
        <v>hour</v>
      </c>
      <c r="J665">
        <v>124</v>
      </c>
      <c r="K665" s="19">
        <v>45992</v>
      </c>
    </row>
    <row r="666" spans="1:11" x14ac:dyDescent="0.25">
      <c r="A666">
        <v>665</v>
      </c>
      <c r="B666">
        <v>2025</v>
      </c>
      <c r="C666">
        <v>12</v>
      </c>
      <c r="D666">
        <v>31</v>
      </c>
      <c r="E666">
        <v>11</v>
      </c>
      <c r="F666" t="str">
        <v>99FO779</v>
      </c>
      <c r="G666">
        <v>80.999999999999972</v>
      </c>
      <c r="H666" t="str">
        <v>hour</v>
      </c>
      <c r="J666">
        <v>102</v>
      </c>
      <c r="K666" s="19">
        <v>45992</v>
      </c>
    </row>
    <row r="667" spans="1:11" x14ac:dyDescent="0.25">
      <c r="A667">
        <v>666</v>
      </c>
      <c r="B667">
        <v>2025</v>
      </c>
      <c r="C667">
        <v>12</v>
      </c>
      <c r="D667">
        <v>31</v>
      </c>
      <c r="E667">
        <v>11</v>
      </c>
      <c r="F667" t="str">
        <v>99GZ612</v>
      </c>
      <c r="G667">
        <v>14.999999999999991</v>
      </c>
      <c r="H667" t="str">
        <v>hour</v>
      </c>
      <c r="J667">
        <v>103</v>
      </c>
      <c r="K667" s="19">
        <v>45992</v>
      </c>
    </row>
    <row r="668" spans="1:11" x14ac:dyDescent="0.25">
      <c r="A668">
        <v>667</v>
      </c>
      <c r="B668">
        <v>2025</v>
      </c>
      <c r="C668">
        <v>12</v>
      </c>
      <c r="D668">
        <v>31</v>
      </c>
      <c r="E668">
        <v>11</v>
      </c>
      <c r="F668" t="str">
        <v>99HZ395</v>
      </c>
      <c r="G668">
        <v>120</v>
      </c>
      <c r="H668" t="str">
        <v>hour</v>
      </c>
      <c r="J668">
        <v>4</v>
      </c>
      <c r="K668" s="19">
        <v>45992</v>
      </c>
    </row>
    <row r="669" spans="1:11" x14ac:dyDescent="0.25">
      <c r="A669">
        <v>668</v>
      </c>
      <c r="B669">
        <v>2025</v>
      </c>
      <c r="C669">
        <v>12</v>
      </c>
      <c r="D669">
        <v>31</v>
      </c>
      <c r="E669">
        <v>11</v>
      </c>
      <c r="F669" t="str">
        <v>99KL663</v>
      </c>
      <c r="G669">
        <v>34.999999999999972</v>
      </c>
      <c r="H669" t="str">
        <v>hour</v>
      </c>
      <c r="J669">
        <v>105</v>
      </c>
      <c r="K669" s="19">
        <v>45992</v>
      </c>
    </row>
    <row r="670" spans="1:11" x14ac:dyDescent="0.25">
      <c r="A670">
        <v>669</v>
      </c>
      <c r="B670">
        <v>2025</v>
      </c>
      <c r="C670">
        <v>12</v>
      </c>
      <c r="D670">
        <v>31</v>
      </c>
      <c r="E670">
        <v>11</v>
      </c>
      <c r="F670" t="str">
        <v>99LM412</v>
      </c>
      <c r="G670">
        <v>115.99999999999999</v>
      </c>
      <c r="H670" t="str">
        <v>hour</v>
      </c>
      <c r="J670">
        <v>115</v>
      </c>
      <c r="K670" s="19">
        <v>45992</v>
      </c>
    </row>
    <row r="671" spans="1:11" x14ac:dyDescent="0.25">
      <c r="A671">
        <v>670</v>
      </c>
      <c r="B671">
        <v>2025</v>
      </c>
      <c r="C671">
        <v>12</v>
      </c>
      <c r="D671">
        <v>31</v>
      </c>
      <c r="E671">
        <v>11</v>
      </c>
      <c r="F671" t="str">
        <v>99MN472</v>
      </c>
      <c r="G671">
        <v>90</v>
      </c>
      <c r="H671" t="str">
        <v>hour</v>
      </c>
      <c r="J671">
        <v>107</v>
      </c>
      <c r="K671" s="19">
        <v>45992</v>
      </c>
    </row>
    <row r="672" spans="1:11" x14ac:dyDescent="0.25">
      <c r="A672">
        <v>671</v>
      </c>
      <c r="B672">
        <v>2025</v>
      </c>
      <c r="C672">
        <v>12</v>
      </c>
      <c r="D672">
        <v>31</v>
      </c>
      <c r="E672">
        <v>11</v>
      </c>
      <c r="F672" t="str">
        <v>99OR961</v>
      </c>
      <c r="G672">
        <v>109.99999999999999</v>
      </c>
      <c r="H672" t="str">
        <v>hour</v>
      </c>
      <c r="J672">
        <v>110</v>
      </c>
      <c r="K672" s="19">
        <v>45992</v>
      </c>
    </row>
    <row r="673" spans="1:11" x14ac:dyDescent="0.25">
      <c r="A673">
        <v>672</v>
      </c>
      <c r="B673">
        <v>2025</v>
      </c>
      <c r="C673">
        <v>12</v>
      </c>
      <c r="D673">
        <v>31</v>
      </c>
      <c r="E673">
        <v>11</v>
      </c>
      <c r="F673" t="str">
        <v>99UK314</v>
      </c>
      <c r="G673">
        <v>97</v>
      </c>
      <c r="H673" t="str">
        <v>hour</v>
      </c>
      <c r="J673">
        <v>113</v>
      </c>
      <c r="K673" s="19">
        <v>45992</v>
      </c>
    </row>
    <row r="674" spans="1:11" x14ac:dyDescent="0.25">
      <c r="A674">
        <v>673</v>
      </c>
      <c r="B674">
        <v>2026</v>
      </c>
      <c r="C674">
        <v>3</v>
      </c>
      <c r="D674">
        <v>65</v>
      </c>
      <c r="E674">
        <v>11</v>
      </c>
      <c r="F674" t="str">
        <v>01BA176</v>
      </c>
      <c r="G674">
        <v>27</v>
      </c>
      <c r="H674" t="str">
        <v>single</v>
      </c>
      <c r="J674">
        <v>1</v>
      </c>
      <c r="K674" s="19">
        <v>46082</v>
      </c>
    </row>
    <row r="675" spans="1:11" x14ac:dyDescent="0.25">
      <c r="A675">
        <v>674</v>
      </c>
      <c r="B675">
        <v>2026</v>
      </c>
      <c r="C675">
        <v>1</v>
      </c>
      <c r="D675">
        <v>31</v>
      </c>
      <c r="E675">
        <v>12</v>
      </c>
      <c r="F675" t="str">
        <v>10NS184</v>
      </c>
      <c r="G675">
        <v>30</v>
      </c>
      <c r="H675" t="str">
        <v>single</v>
      </c>
      <c r="J675">
        <v>28</v>
      </c>
      <c r="K675" s="19">
        <v>46023</v>
      </c>
    </row>
    <row r="676" spans="1:11" x14ac:dyDescent="0.25">
      <c r="A676">
        <v>675</v>
      </c>
      <c r="B676">
        <v>2026</v>
      </c>
      <c r="C676">
        <v>1</v>
      </c>
      <c r="D676">
        <v>31</v>
      </c>
      <c r="E676">
        <v>12</v>
      </c>
      <c r="F676" t="str">
        <v>10RN527</v>
      </c>
      <c r="G676">
        <v>30</v>
      </c>
      <c r="H676" t="str">
        <v>single</v>
      </c>
      <c r="J676">
        <v>32</v>
      </c>
      <c r="K676" s="19">
        <v>46023</v>
      </c>
    </row>
    <row r="677" spans="1:11" x14ac:dyDescent="0.25">
      <c r="A677">
        <v>676</v>
      </c>
      <c r="B677">
        <v>2026</v>
      </c>
      <c r="C677">
        <v>1</v>
      </c>
      <c r="D677">
        <v>31</v>
      </c>
      <c r="E677">
        <v>12</v>
      </c>
      <c r="F677" t="str">
        <v>17BE358</v>
      </c>
      <c r="G677">
        <v>26</v>
      </c>
      <c r="H677" t="str">
        <v>single</v>
      </c>
      <c r="J677">
        <v>37</v>
      </c>
      <c r="K677" s="19">
        <v>46023</v>
      </c>
    </row>
    <row r="678" spans="1:11" x14ac:dyDescent="0.25">
      <c r="A678">
        <v>677</v>
      </c>
      <c r="B678">
        <v>2026</v>
      </c>
      <c r="C678">
        <v>1</v>
      </c>
      <c r="D678">
        <v>31</v>
      </c>
      <c r="E678">
        <v>12</v>
      </c>
      <c r="F678" t="str">
        <v>21BF442</v>
      </c>
      <c r="G678">
        <v>29</v>
      </c>
      <c r="H678" t="str">
        <v>single</v>
      </c>
      <c r="J678">
        <v>39</v>
      </c>
      <c r="K678" s="19">
        <v>46023</v>
      </c>
    </row>
    <row r="679" spans="1:11" x14ac:dyDescent="0.25">
      <c r="A679">
        <v>678</v>
      </c>
      <c r="B679">
        <v>2026</v>
      </c>
      <c r="C679">
        <v>1</v>
      </c>
      <c r="D679">
        <v>31</v>
      </c>
      <c r="E679">
        <v>12</v>
      </c>
      <c r="F679" t="str">
        <v>50DK730</v>
      </c>
      <c r="G679">
        <v>30</v>
      </c>
      <c r="H679" t="str">
        <v>single</v>
      </c>
      <c r="J679">
        <v>47</v>
      </c>
      <c r="K679" s="19">
        <v>46023</v>
      </c>
    </row>
    <row r="680" spans="1:11" x14ac:dyDescent="0.25">
      <c r="A680">
        <v>679</v>
      </c>
      <c r="B680">
        <v>2026</v>
      </c>
      <c r="C680">
        <v>1</v>
      </c>
      <c r="D680">
        <v>31</v>
      </c>
      <c r="E680">
        <v>12</v>
      </c>
      <c r="F680" t="str">
        <v>50EF902</v>
      </c>
      <c r="G680">
        <v>29</v>
      </c>
      <c r="H680" t="str">
        <v>single</v>
      </c>
      <c r="J680">
        <v>49</v>
      </c>
      <c r="K680" s="19">
        <v>46023</v>
      </c>
    </row>
    <row r="681" spans="1:11" x14ac:dyDescent="0.25">
      <c r="A681">
        <v>680</v>
      </c>
      <c r="B681">
        <v>2026</v>
      </c>
      <c r="C681">
        <v>1</v>
      </c>
      <c r="D681">
        <v>31</v>
      </c>
      <c r="E681">
        <v>12</v>
      </c>
      <c r="F681" t="str">
        <v>50FB264</v>
      </c>
      <c r="G681">
        <v>31</v>
      </c>
      <c r="H681" t="str">
        <v>single</v>
      </c>
      <c r="J681">
        <v>23</v>
      </c>
      <c r="K681" s="19">
        <v>46023</v>
      </c>
    </row>
    <row r="682" spans="1:11" x14ac:dyDescent="0.25">
      <c r="A682">
        <v>681</v>
      </c>
      <c r="B682">
        <v>2026</v>
      </c>
      <c r="C682">
        <v>1</v>
      </c>
      <c r="D682">
        <v>31</v>
      </c>
      <c r="E682">
        <v>12</v>
      </c>
      <c r="F682" t="str">
        <v>55CB633</v>
      </c>
      <c r="G682">
        <v>29</v>
      </c>
      <c r="H682" t="str">
        <v>single</v>
      </c>
      <c r="J682">
        <v>57</v>
      </c>
      <c r="K682" s="19">
        <v>46023</v>
      </c>
    </row>
    <row r="683" spans="1:11" x14ac:dyDescent="0.25">
      <c r="A683">
        <v>682</v>
      </c>
      <c r="B683">
        <v>2026</v>
      </c>
      <c r="C683">
        <v>1</v>
      </c>
      <c r="D683">
        <v>31</v>
      </c>
      <c r="E683">
        <v>12</v>
      </c>
      <c r="F683" t="str">
        <v>57BV285</v>
      </c>
      <c r="G683">
        <v>30</v>
      </c>
      <c r="H683" t="str">
        <v>single</v>
      </c>
      <c r="J683">
        <v>119</v>
      </c>
      <c r="K683" s="19">
        <v>46023</v>
      </c>
    </row>
    <row r="684" spans="1:11" x14ac:dyDescent="0.25">
      <c r="A684">
        <v>683</v>
      </c>
      <c r="B684">
        <v>2026</v>
      </c>
      <c r="C684">
        <v>1</v>
      </c>
      <c r="D684">
        <v>31</v>
      </c>
      <c r="E684">
        <v>12</v>
      </c>
      <c r="F684" t="str">
        <v>77AT386</v>
      </c>
      <c r="G684">
        <v>30</v>
      </c>
      <c r="H684" t="str">
        <v>single</v>
      </c>
      <c r="J684">
        <v>13</v>
      </c>
      <c r="K684" s="19">
        <v>46023</v>
      </c>
    </row>
    <row r="685" spans="1:11" x14ac:dyDescent="0.25">
      <c r="A685">
        <v>684</v>
      </c>
      <c r="B685">
        <v>2026</v>
      </c>
      <c r="C685">
        <v>1</v>
      </c>
      <c r="D685">
        <v>31</v>
      </c>
      <c r="E685">
        <v>12</v>
      </c>
      <c r="F685" t="str">
        <v>77DK884</v>
      </c>
      <c r="G685">
        <v>10</v>
      </c>
      <c r="H685" t="str">
        <v>single</v>
      </c>
      <c r="J685">
        <v>200</v>
      </c>
      <c r="K685" s="19">
        <v>46023</v>
      </c>
    </row>
    <row r="686" spans="1:11" x14ac:dyDescent="0.25">
      <c r="A686">
        <v>685</v>
      </c>
      <c r="B686">
        <v>2026</v>
      </c>
      <c r="C686">
        <v>1</v>
      </c>
      <c r="D686">
        <v>31</v>
      </c>
      <c r="E686">
        <v>12</v>
      </c>
      <c r="F686" t="str">
        <v>77MU119</v>
      </c>
      <c r="G686">
        <v>30</v>
      </c>
      <c r="H686" t="str">
        <v>single</v>
      </c>
      <c r="J686">
        <v>180</v>
      </c>
      <c r="K686" s="19">
        <v>46023</v>
      </c>
    </row>
    <row r="687" spans="1:11" x14ac:dyDescent="0.25">
      <c r="A687">
        <v>686</v>
      </c>
      <c r="B687">
        <v>2026</v>
      </c>
      <c r="C687">
        <v>1</v>
      </c>
      <c r="D687">
        <v>31</v>
      </c>
      <c r="E687">
        <v>12</v>
      </c>
      <c r="F687" t="str">
        <v>77PV619</v>
      </c>
      <c r="G687">
        <v>30</v>
      </c>
      <c r="H687" t="str">
        <v>single</v>
      </c>
      <c r="J687">
        <v>67</v>
      </c>
      <c r="K687" s="19">
        <v>46023</v>
      </c>
    </row>
    <row r="688" spans="1:11" x14ac:dyDescent="0.25">
      <c r="A688">
        <v>687</v>
      </c>
      <c r="B688">
        <v>2026</v>
      </c>
      <c r="C688">
        <v>1</v>
      </c>
      <c r="D688">
        <v>31</v>
      </c>
      <c r="E688">
        <v>12</v>
      </c>
      <c r="F688" t="str">
        <v>77TG971</v>
      </c>
      <c r="G688">
        <v>30</v>
      </c>
      <c r="H688" t="str">
        <v>single</v>
      </c>
      <c r="J688">
        <v>75</v>
      </c>
      <c r="K688" s="19">
        <v>46023</v>
      </c>
    </row>
    <row r="689" spans="1:11" x14ac:dyDescent="0.25">
      <c r="A689">
        <v>688</v>
      </c>
      <c r="B689">
        <v>2026</v>
      </c>
      <c r="C689">
        <v>1</v>
      </c>
      <c r="D689">
        <v>31</v>
      </c>
      <c r="E689">
        <v>12</v>
      </c>
      <c r="F689" t="str">
        <v>77UR032</v>
      </c>
      <c r="G689">
        <v>28</v>
      </c>
      <c r="H689" t="str">
        <v>single</v>
      </c>
      <c r="J689">
        <v>77</v>
      </c>
      <c r="K689" s="19">
        <v>46023</v>
      </c>
    </row>
    <row r="690" spans="1:11" x14ac:dyDescent="0.25">
      <c r="A690">
        <v>689</v>
      </c>
      <c r="B690">
        <v>2026</v>
      </c>
      <c r="C690">
        <v>1</v>
      </c>
      <c r="D690">
        <v>31</v>
      </c>
      <c r="E690">
        <v>12</v>
      </c>
      <c r="F690" t="str">
        <v>77VL420</v>
      </c>
      <c r="G690">
        <v>30</v>
      </c>
      <c r="H690" t="str">
        <v>single</v>
      </c>
      <c r="J690">
        <v>118</v>
      </c>
      <c r="K690" s="19">
        <v>46023</v>
      </c>
    </row>
    <row r="691" spans="1:11" x14ac:dyDescent="0.25">
      <c r="A691">
        <v>690</v>
      </c>
      <c r="B691">
        <v>2026</v>
      </c>
      <c r="C691">
        <v>1</v>
      </c>
      <c r="D691">
        <v>31</v>
      </c>
      <c r="E691">
        <v>12</v>
      </c>
      <c r="F691" t="str">
        <v>90EC344</v>
      </c>
      <c r="G691">
        <v>29</v>
      </c>
      <c r="H691" t="str">
        <v>single</v>
      </c>
      <c r="J691">
        <v>79</v>
      </c>
      <c r="K691" s="19">
        <v>46023</v>
      </c>
    </row>
    <row r="692" spans="1:11" x14ac:dyDescent="0.25">
      <c r="A692">
        <v>691</v>
      </c>
      <c r="B692">
        <v>2026</v>
      </c>
      <c r="C692">
        <v>1</v>
      </c>
      <c r="D692">
        <v>31</v>
      </c>
      <c r="E692">
        <v>12</v>
      </c>
      <c r="F692" t="str">
        <v>90LS143</v>
      </c>
      <c r="G692">
        <v>30</v>
      </c>
      <c r="H692" t="str">
        <v>single</v>
      </c>
      <c r="J692">
        <v>81</v>
      </c>
      <c r="K692" s="19">
        <v>46023</v>
      </c>
    </row>
    <row r="693" spans="1:11" x14ac:dyDescent="0.25">
      <c r="A693">
        <v>692</v>
      </c>
      <c r="B693">
        <v>2026</v>
      </c>
      <c r="C693">
        <v>1</v>
      </c>
      <c r="D693">
        <v>31</v>
      </c>
      <c r="E693">
        <v>12</v>
      </c>
      <c r="F693" t="str">
        <v>90OE402</v>
      </c>
      <c r="G693">
        <v>30</v>
      </c>
      <c r="H693" t="str">
        <v>single</v>
      </c>
      <c r="J693">
        <v>83</v>
      </c>
      <c r="K693" s="19">
        <v>46023</v>
      </c>
    </row>
    <row r="694" spans="1:11" x14ac:dyDescent="0.25">
      <c r="A694">
        <v>693</v>
      </c>
      <c r="B694">
        <v>2026</v>
      </c>
      <c r="C694">
        <v>1</v>
      </c>
      <c r="D694">
        <v>31</v>
      </c>
      <c r="E694">
        <v>12</v>
      </c>
      <c r="F694" t="str">
        <v>90PY548</v>
      </c>
      <c r="G694">
        <v>30</v>
      </c>
      <c r="H694" t="str">
        <v>single</v>
      </c>
      <c r="J694">
        <v>85</v>
      </c>
      <c r="K694" s="19">
        <v>46023</v>
      </c>
    </row>
    <row r="695" spans="1:11" x14ac:dyDescent="0.25">
      <c r="A695">
        <v>694</v>
      </c>
      <c r="B695">
        <v>2026</v>
      </c>
      <c r="C695">
        <v>1</v>
      </c>
      <c r="D695">
        <v>31</v>
      </c>
      <c r="E695">
        <v>12</v>
      </c>
      <c r="F695" t="str">
        <v>90UX686</v>
      </c>
      <c r="G695">
        <v>30</v>
      </c>
      <c r="H695" t="str">
        <v>single</v>
      </c>
      <c r="J695">
        <v>121</v>
      </c>
      <c r="K695" s="19">
        <v>46023</v>
      </c>
    </row>
    <row r="696" spans="1:11" x14ac:dyDescent="0.25">
      <c r="A696">
        <v>695</v>
      </c>
      <c r="B696">
        <v>2026</v>
      </c>
      <c r="C696">
        <v>1</v>
      </c>
      <c r="D696">
        <v>31</v>
      </c>
      <c r="E696">
        <v>12</v>
      </c>
      <c r="F696" t="str">
        <v>99BT339</v>
      </c>
      <c r="G696">
        <v>30</v>
      </c>
      <c r="H696" t="str">
        <v>single</v>
      </c>
      <c r="J696">
        <v>93</v>
      </c>
      <c r="K696" s="19">
        <v>46023</v>
      </c>
    </row>
    <row r="697" spans="1:11" x14ac:dyDescent="0.25">
      <c r="A697">
        <v>696</v>
      </c>
      <c r="B697">
        <v>2026</v>
      </c>
      <c r="C697">
        <v>1</v>
      </c>
      <c r="D697">
        <v>31</v>
      </c>
      <c r="E697">
        <v>12</v>
      </c>
      <c r="F697" t="str">
        <v>99CN447</v>
      </c>
      <c r="G697">
        <v>29</v>
      </c>
      <c r="H697" t="str">
        <v>single</v>
      </c>
      <c r="J697">
        <v>94</v>
      </c>
      <c r="K697" s="19">
        <v>46023</v>
      </c>
    </row>
    <row r="698" spans="1:11" x14ac:dyDescent="0.25">
      <c r="A698">
        <v>697</v>
      </c>
      <c r="B698">
        <v>2026</v>
      </c>
      <c r="C698">
        <v>1</v>
      </c>
      <c r="D698">
        <v>31</v>
      </c>
      <c r="E698">
        <v>12</v>
      </c>
      <c r="F698" t="str">
        <v>99DT131</v>
      </c>
      <c r="G698">
        <v>30</v>
      </c>
      <c r="H698" t="str">
        <v>single</v>
      </c>
      <c r="J698">
        <v>123</v>
      </c>
      <c r="K698" s="19">
        <v>46023</v>
      </c>
    </row>
    <row r="699" spans="1:11" x14ac:dyDescent="0.25">
      <c r="A699">
        <v>698</v>
      </c>
      <c r="B699">
        <v>2026</v>
      </c>
      <c r="C699">
        <v>1</v>
      </c>
      <c r="D699">
        <v>31</v>
      </c>
      <c r="E699">
        <v>12</v>
      </c>
      <c r="F699" t="str">
        <v>99EM163</v>
      </c>
      <c r="G699">
        <v>29</v>
      </c>
      <c r="H699" t="str">
        <v>single</v>
      </c>
      <c r="J699">
        <v>100</v>
      </c>
      <c r="K699" s="19">
        <v>46023</v>
      </c>
    </row>
    <row r="700" spans="1:11" x14ac:dyDescent="0.25">
      <c r="A700">
        <v>699</v>
      </c>
      <c r="B700">
        <v>2026</v>
      </c>
      <c r="C700">
        <v>1</v>
      </c>
      <c r="D700">
        <v>31</v>
      </c>
      <c r="E700">
        <v>12</v>
      </c>
      <c r="F700" t="str">
        <v>99FO779</v>
      </c>
      <c r="G700">
        <v>29</v>
      </c>
      <c r="H700" t="str">
        <v>single</v>
      </c>
      <c r="J700">
        <v>101</v>
      </c>
      <c r="K700" s="19">
        <v>46023</v>
      </c>
    </row>
    <row r="701" spans="1:11" x14ac:dyDescent="0.25">
      <c r="A701">
        <v>700</v>
      </c>
      <c r="B701">
        <v>2026</v>
      </c>
      <c r="C701">
        <v>1</v>
      </c>
      <c r="D701">
        <v>31</v>
      </c>
      <c r="E701">
        <v>12</v>
      </c>
      <c r="F701" t="str">
        <v>99GZ612</v>
      </c>
      <c r="G701">
        <v>29</v>
      </c>
      <c r="H701" t="str">
        <v>single</v>
      </c>
      <c r="J701">
        <v>104</v>
      </c>
      <c r="K701" s="19">
        <v>46023</v>
      </c>
    </row>
    <row r="702" spans="1:11" x14ac:dyDescent="0.25">
      <c r="A702">
        <v>701</v>
      </c>
      <c r="B702">
        <v>2026</v>
      </c>
      <c r="C702">
        <v>1</v>
      </c>
      <c r="D702">
        <v>31</v>
      </c>
      <c r="E702">
        <v>12</v>
      </c>
      <c r="F702" t="str">
        <v>99HZ395</v>
      </c>
      <c r="G702">
        <v>27</v>
      </c>
      <c r="H702" t="str">
        <v>single</v>
      </c>
      <c r="J702">
        <v>3</v>
      </c>
      <c r="K702" s="19">
        <v>46023</v>
      </c>
    </row>
    <row r="703" spans="1:11" x14ac:dyDescent="0.25">
      <c r="A703">
        <v>702</v>
      </c>
      <c r="B703">
        <v>2026</v>
      </c>
      <c r="C703">
        <v>1</v>
      </c>
      <c r="D703">
        <v>31</v>
      </c>
      <c r="E703">
        <v>12</v>
      </c>
      <c r="F703" t="str">
        <v>99KL663</v>
      </c>
      <c r="G703">
        <v>30</v>
      </c>
      <c r="H703" t="str">
        <v>single</v>
      </c>
      <c r="J703">
        <v>106</v>
      </c>
      <c r="K703" s="19">
        <v>46023</v>
      </c>
    </row>
    <row r="704" spans="1:11" x14ac:dyDescent="0.25">
      <c r="A704">
        <v>703</v>
      </c>
      <c r="B704">
        <v>2026</v>
      </c>
      <c r="C704">
        <v>1</v>
      </c>
      <c r="D704">
        <v>31</v>
      </c>
      <c r="E704">
        <v>12</v>
      </c>
      <c r="F704" t="str">
        <v>99LM412</v>
      </c>
      <c r="G704">
        <v>30</v>
      </c>
      <c r="H704" t="str">
        <v>single</v>
      </c>
      <c r="J704">
        <v>116</v>
      </c>
      <c r="K704" s="19">
        <v>46023</v>
      </c>
    </row>
    <row r="705" spans="1:11" x14ac:dyDescent="0.25">
      <c r="A705">
        <v>704</v>
      </c>
      <c r="B705">
        <v>2026</v>
      </c>
      <c r="C705">
        <v>1</v>
      </c>
      <c r="D705">
        <v>31</v>
      </c>
      <c r="E705">
        <v>12</v>
      </c>
      <c r="F705" t="str">
        <v>99MN472</v>
      </c>
      <c r="G705">
        <v>31</v>
      </c>
      <c r="H705" t="str">
        <v>single</v>
      </c>
      <c r="J705">
        <v>108</v>
      </c>
      <c r="K705" s="19">
        <v>46023</v>
      </c>
    </row>
    <row r="706" spans="1:11" x14ac:dyDescent="0.25">
      <c r="A706">
        <v>705</v>
      </c>
      <c r="B706">
        <v>2026</v>
      </c>
      <c r="C706">
        <v>1</v>
      </c>
      <c r="D706">
        <v>31</v>
      </c>
      <c r="E706">
        <v>12</v>
      </c>
      <c r="F706" t="str">
        <v>99OR961</v>
      </c>
      <c r="G706">
        <v>29</v>
      </c>
      <c r="H706" t="str">
        <v>single</v>
      </c>
      <c r="J706">
        <v>109</v>
      </c>
      <c r="K706" s="19">
        <v>46023</v>
      </c>
    </row>
    <row r="707" spans="1:11" x14ac:dyDescent="0.25">
      <c r="A707">
        <v>706</v>
      </c>
      <c r="B707">
        <v>2026</v>
      </c>
      <c r="C707">
        <v>1</v>
      </c>
      <c r="D707">
        <v>31</v>
      </c>
      <c r="E707">
        <v>12</v>
      </c>
      <c r="F707" t="str">
        <v>99UK314</v>
      </c>
      <c r="G707">
        <v>31</v>
      </c>
      <c r="H707" t="str">
        <v>single</v>
      </c>
      <c r="J707">
        <v>114</v>
      </c>
      <c r="K707" s="19">
        <v>46023</v>
      </c>
    </row>
    <row r="708" spans="1:11" x14ac:dyDescent="0.25">
      <c r="A708">
        <v>707</v>
      </c>
      <c r="B708">
        <v>2026</v>
      </c>
      <c r="C708">
        <v>1</v>
      </c>
      <c r="D708">
        <v>31</v>
      </c>
      <c r="E708">
        <v>12</v>
      </c>
      <c r="F708" t="str">
        <v>10NG198</v>
      </c>
      <c r="G708">
        <v>24</v>
      </c>
      <c r="H708" t="str">
        <v>single</v>
      </c>
      <c r="J708">
        <v>184</v>
      </c>
      <c r="K708" s="19">
        <v>46023</v>
      </c>
    </row>
    <row r="709" spans="1:11" x14ac:dyDescent="0.25">
      <c r="A709">
        <v>708</v>
      </c>
      <c r="B709">
        <v>2026</v>
      </c>
      <c r="C709">
        <v>1</v>
      </c>
      <c r="D709">
        <v>31</v>
      </c>
      <c r="E709">
        <v>12</v>
      </c>
      <c r="F709" t="str">
        <v>27BP916</v>
      </c>
      <c r="G709">
        <v>19</v>
      </c>
      <c r="H709" t="str">
        <v>single</v>
      </c>
      <c r="J709">
        <v>186</v>
      </c>
      <c r="K709" s="19">
        <v>46023</v>
      </c>
    </row>
    <row r="710" spans="1:11" x14ac:dyDescent="0.25">
      <c r="A710">
        <v>709</v>
      </c>
      <c r="B710">
        <v>2026</v>
      </c>
      <c r="C710">
        <v>1</v>
      </c>
      <c r="D710">
        <v>31</v>
      </c>
      <c r="E710">
        <v>12</v>
      </c>
      <c r="F710" t="str">
        <v>10ON175</v>
      </c>
      <c r="G710">
        <v>26</v>
      </c>
      <c r="H710" t="str">
        <v>single</v>
      </c>
      <c r="J710">
        <v>188</v>
      </c>
      <c r="K710" s="19">
        <v>46023</v>
      </c>
    </row>
    <row r="711" spans="1:11" x14ac:dyDescent="0.25">
      <c r="A711">
        <v>710</v>
      </c>
      <c r="B711">
        <v>2026</v>
      </c>
      <c r="C711">
        <v>1</v>
      </c>
      <c r="D711">
        <v>31</v>
      </c>
      <c r="E711">
        <v>12</v>
      </c>
      <c r="F711" t="str">
        <v>27BZ361</v>
      </c>
      <c r="G711">
        <v>16</v>
      </c>
      <c r="H711" t="str">
        <v>single</v>
      </c>
      <c r="J711">
        <v>190</v>
      </c>
      <c r="K711" s="19">
        <v>46023</v>
      </c>
    </row>
    <row r="712" spans="1:11" x14ac:dyDescent="0.25">
      <c r="A712">
        <v>711</v>
      </c>
      <c r="B712">
        <v>2026</v>
      </c>
      <c r="C712">
        <v>1</v>
      </c>
      <c r="D712">
        <v>31</v>
      </c>
      <c r="E712">
        <v>12</v>
      </c>
      <c r="F712" t="str">
        <v>10ZU722</v>
      </c>
      <c r="G712">
        <v>15</v>
      </c>
      <c r="H712" t="str">
        <v>single</v>
      </c>
      <c r="J712">
        <v>192</v>
      </c>
      <c r="K712" s="19">
        <v>46023</v>
      </c>
    </row>
    <row r="713" spans="1:11" x14ac:dyDescent="0.25">
      <c r="A713">
        <v>712</v>
      </c>
      <c r="B713">
        <v>2026</v>
      </c>
      <c r="C713">
        <v>1</v>
      </c>
      <c r="D713">
        <v>31</v>
      </c>
      <c r="E713">
        <v>12</v>
      </c>
      <c r="F713" t="str">
        <v>77PV319</v>
      </c>
      <c r="G713">
        <v>15</v>
      </c>
      <c r="H713" t="str">
        <v>single</v>
      </c>
      <c r="J713">
        <v>194</v>
      </c>
      <c r="K713" s="19">
        <v>46023</v>
      </c>
    </row>
    <row r="714" spans="1:11" x14ac:dyDescent="0.25">
      <c r="A714">
        <v>713</v>
      </c>
      <c r="B714">
        <v>2026</v>
      </c>
      <c r="C714">
        <v>1</v>
      </c>
      <c r="D714">
        <v>31</v>
      </c>
      <c r="E714">
        <v>12</v>
      </c>
      <c r="F714" t="str">
        <v>38BG860</v>
      </c>
      <c r="G714">
        <v>11</v>
      </c>
      <c r="H714" t="str">
        <v>single</v>
      </c>
      <c r="J714">
        <v>196</v>
      </c>
      <c r="K714" s="19">
        <v>46023</v>
      </c>
    </row>
    <row r="715" spans="1:11" x14ac:dyDescent="0.25">
      <c r="A715">
        <v>714</v>
      </c>
      <c r="B715">
        <v>2026</v>
      </c>
      <c r="C715">
        <v>1</v>
      </c>
      <c r="D715">
        <v>31</v>
      </c>
      <c r="E715">
        <v>12</v>
      </c>
      <c r="F715" t="str">
        <v>77PV659</v>
      </c>
      <c r="G715">
        <v>5</v>
      </c>
      <c r="H715" t="str">
        <v>single</v>
      </c>
      <c r="J715">
        <v>198</v>
      </c>
      <c r="K715" s="19">
        <v>46023</v>
      </c>
    </row>
    <row r="716" spans="1:11" x14ac:dyDescent="0.25">
      <c r="A716">
        <v>715</v>
      </c>
      <c r="B716">
        <v>2026</v>
      </c>
      <c r="C716">
        <v>1</v>
      </c>
      <c r="D716">
        <v>31</v>
      </c>
      <c r="E716">
        <v>12</v>
      </c>
      <c r="F716" t="str">
        <v>77GR998</v>
      </c>
      <c r="G716">
        <v>31.000000000078455</v>
      </c>
      <c r="H716" t="str">
        <v>double</v>
      </c>
      <c r="J716">
        <v>63</v>
      </c>
      <c r="K716" s="19">
        <v>46023</v>
      </c>
    </row>
    <row r="717" spans="1:11" x14ac:dyDescent="0.25">
      <c r="A717">
        <v>716</v>
      </c>
      <c r="B717">
        <v>2026</v>
      </c>
      <c r="C717">
        <v>1</v>
      </c>
      <c r="D717">
        <v>31</v>
      </c>
      <c r="E717">
        <v>12</v>
      </c>
      <c r="F717" t="str">
        <v>10NS184</v>
      </c>
      <c r="G717">
        <v>17.999999999999993</v>
      </c>
      <c r="H717" t="str">
        <v>hour</v>
      </c>
      <c r="J717">
        <v>27</v>
      </c>
      <c r="K717" s="19">
        <v>46023</v>
      </c>
    </row>
    <row r="718" spans="1:11" x14ac:dyDescent="0.25">
      <c r="A718">
        <v>717</v>
      </c>
      <c r="B718">
        <v>2026</v>
      </c>
      <c r="C718">
        <v>1</v>
      </c>
      <c r="D718">
        <v>31</v>
      </c>
      <c r="E718">
        <v>12</v>
      </c>
      <c r="F718" t="str">
        <v>10RN527</v>
      </c>
      <c r="G718">
        <v>88</v>
      </c>
      <c r="H718" t="str">
        <v>hour</v>
      </c>
      <c r="J718">
        <v>30</v>
      </c>
      <c r="K718" s="19">
        <v>46023</v>
      </c>
    </row>
    <row r="719" spans="1:11" x14ac:dyDescent="0.25">
      <c r="A719">
        <v>718</v>
      </c>
      <c r="B719">
        <v>2026</v>
      </c>
      <c r="C719">
        <v>1</v>
      </c>
      <c r="D719">
        <v>31</v>
      </c>
      <c r="E719">
        <v>12</v>
      </c>
      <c r="F719" t="str">
        <v>17BE358</v>
      </c>
      <c r="G719">
        <v>10.499999999999996</v>
      </c>
      <c r="H719" t="str">
        <v>hour</v>
      </c>
      <c r="J719">
        <v>36</v>
      </c>
      <c r="K719" s="19">
        <v>46023</v>
      </c>
    </row>
    <row r="720" spans="1:11" x14ac:dyDescent="0.25">
      <c r="A720">
        <v>719</v>
      </c>
      <c r="B720">
        <v>2026</v>
      </c>
      <c r="C720">
        <v>1</v>
      </c>
      <c r="D720">
        <v>31</v>
      </c>
      <c r="E720">
        <v>12</v>
      </c>
      <c r="F720" t="str">
        <v>21BF442</v>
      </c>
      <c r="G720">
        <v>87</v>
      </c>
      <c r="H720" t="str">
        <v>hour</v>
      </c>
      <c r="J720">
        <v>38</v>
      </c>
      <c r="K720" s="19">
        <v>46023</v>
      </c>
    </row>
    <row r="721" spans="1:11" x14ac:dyDescent="0.25">
      <c r="A721">
        <v>720</v>
      </c>
      <c r="B721">
        <v>2026</v>
      </c>
      <c r="C721">
        <v>1</v>
      </c>
      <c r="D721">
        <v>31</v>
      </c>
      <c r="E721">
        <v>12</v>
      </c>
      <c r="F721" t="str">
        <v>50DK730</v>
      </c>
      <c r="G721">
        <v>92</v>
      </c>
      <c r="H721" t="str">
        <v>hour</v>
      </c>
      <c r="J721">
        <v>46</v>
      </c>
      <c r="K721" s="19">
        <v>46023</v>
      </c>
    </row>
    <row r="722" spans="1:11" x14ac:dyDescent="0.25">
      <c r="A722">
        <v>721</v>
      </c>
      <c r="B722">
        <v>2026</v>
      </c>
      <c r="C722">
        <v>1</v>
      </c>
      <c r="D722">
        <v>31</v>
      </c>
      <c r="E722">
        <v>12</v>
      </c>
      <c r="F722" t="str">
        <v>50EF902</v>
      </c>
      <c r="G722">
        <v>18.999999999999982</v>
      </c>
      <c r="H722" t="str">
        <v>hour</v>
      </c>
      <c r="J722">
        <v>48</v>
      </c>
      <c r="K722" s="19">
        <v>46023</v>
      </c>
    </row>
    <row r="723" spans="1:11" x14ac:dyDescent="0.25">
      <c r="A723">
        <v>722</v>
      </c>
      <c r="B723">
        <v>2026</v>
      </c>
      <c r="C723">
        <v>1</v>
      </c>
      <c r="D723">
        <v>31</v>
      </c>
      <c r="E723">
        <v>12</v>
      </c>
      <c r="F723" t="str">
        <v>50FB264</v>
      </c>
      <c r="G723">
        <v>99.999999999999972</v>
      </c>
      <c r="H723" t="str">
        <v>hour</v>
      </c>
      <c r="J723">
        <v>24</v>
      </c>
      <c r="K723" s="19">
        <v>46023</v>
      </c>
    </row>
    <row r="724" spans="1:11" x14ac:dyDescent="0.25">
      <c r="A724">
        <v>723</v>
      </c>
      <c r="B724">
        <v>2026</v>
      </c>
      <c r="C724">
        <v>1</v>
      </c>
      <c r="D724">
        <v>31</v>
      </c>
      <c r="E724">
        <v>12</v>
      </c>
      <c r="F724" t="str">
        <v>55CB633</v>
      </c>
      <c r="G724">
        <v>23.000000001222361</v>
      </c>
      <c r="H724" t="str">
        <v>hour</v>
      </c>
      <c r="J724">
        <v>56</v>
      </c>
      <c r="K724" s="19">
        <v>46023</v>
      </c>
    </row>
    <row r="725" spans="1:11" x14ac:dyDescent="0.25">
      <c r="A725">
        <v>724</v>
      </c>
      <c r="B725">
        <v>2026</v>
      </c>
      <c r="C725">
        <v>1</v>
      </c>
      <c r="D725">
        <v>31</v>
      </c>
      <c r="E725">
        <v>12</v>
      </c>
      <c r="F725" t="str">
        <v>57BV285</v>
      </c>
      <c r="G725">
        <v>21.999999999999986</v>
      </c>
      <c r="H725" t="str">
        <v>hour</v>
      </c>
      <c r="J725">
        <v>120</v>
      </c>
      <c r="K725" s="19">
        <v>46023</v>
      </c>
    </row>
    <row r="726" spans="1:11" x14ac:dyDescent="0.25">
      <c r="A726">
        <v>725</v>
      </c>
      <c r="B726">
        <v>2026</v>
      </c>
      <c r="C726">
        <v>1</v>
      </c>
      <c r="D726">
        <v>31</v>
      </c>
      <c r="E726">
        <v>12</v>
      </c>
      <c r="F726" t="str">
        <v>77MU119</v>
      </c>
      <c r="G726">
        <v>63.999999999999993</v>
      </c>
      <c r="H726" t="str">
        <v>hour</v>
      </c>
      <c r="J726">
        <v>181</v>
      </c>
      <c r="K726" s="19">
        <v>46023</v>
      </c>
    </row>
    <row r="727" spans="1:11" x14ac:dyDescent="0.25">
      <c r="A727">
        <v>726</v>
      </c>
      <c r="B727">
        <v>2026</v>
      </c>
      <c r="C727">
        <v>1</v>
      </c>
      <c r="D727">
        <v>31</v>
      </c>
      <c r="E727">
        <v>12</v>
      </c>
      <c r="F727" t="str">
        <v>77UR032</v>
      </c>
      <c r="G727">
        <v>47.999999999999986</v>
      </c>
      <c r="H727" t="str">
        <v>hour</v>
      </c>
      <c r="J727">
        <v>76</v>
      </c>
      <c r="K727" s="19">
        <v>46023</v>
      </c>
    </row>
    <row r="728" spans="1:11" x14ac:dyDescent="0.25">
      <c r="A728">
        <v>727</v>
      </c>
      <c r="B728">
        <v>2026</v>
      </c>
      <c r="C728">
        <v>1</v>
      </c>
      <c r="D728">
        <v>31</v>
      </c>
      <c r="E728">
        <v>12</v>
      </c>
      <c r="F728" t="str">
        <v>90EC344</v>
      </c>
      <c r="G728">
        <v>68.000000000698492</v>
      </c>
      <c r="H728" t="str">
        <v>hour</v>
      </c>
      <c r="J728">
        <v>78</v>
      </c>
      <c r="K728" s="19">
        <v>46023</v>
      </c>
    </row>
    <row r="729" spans="1:11" x14ac:dyDescent="0.25">
      <c r="A729">
        <v>728</v>
      </c>
      <c r="B729">
        <v>2026</v>
      </c>
      <c r="C729">
        <v>1</v>
      </c>
      <c r="D729">
        <v>31</v>
      </c>
      <c r="E729">
        <v>12</v>
      </c>
      <c r="F729" t="str">
        <v>90LS143</v>
      </c>
      <c r="G729">
        <v>13.999999999999986</v>
      </c>
      <c r="H729" t="str">
        <v>hour</v>
      </c>
      <c r="J729">
        <v>80</v>
      </c>
      <c r="K729" s="19">
        <v>46023</v>
      </c>
    </row>
    <row r="730" spans="1:11" x14ac:dyDescent="0.25">
      <c r="A730">
        <v>729</v>
      </c>
      <c r="B730">
        <v>2026</v>
      </c>
      <c r="C730">
        <v>1</v>
      </c>
      <c r="D730">
        <v>31</v>
      </c>
      <c r="E730">
        <v>12</v>
      </c>
      <c r="F730" t="str">
        <v>90OE402</v>
      </c>
      <c r="G730">
        <v>90.999999999999986</v>
      </c>
      <c r="H730" t="str">
        <v>hour</v>
      </c>
      <c r="J730">
        <v>82</v>
      </c>
      <c r="K730" s="19">
        <v>46023</v>
      </c>
    </row>
    <row r="731" spans="1:11" x14ac:dyDescent="0.25">
      <c r="A731">
        <v>730</v>
      </c>
      <c r="B731">
        <v>2026</v>
      </c>
      <c r="C731">
        <v>1</v>
      </c>
      <c r="D731">
        <v>31</v>
      </c>
      <c r="E731">
        <v>12</v>
      </c>
      <c r="F731" t="str">
        <v>90UX686</v>
      </c>
      <c r="G731">
        <v>59.999999999999986</v>
      </c>
      <c r="H731" t="str">
        <v>hour</v>
      </c>
      <c r="J731">
        <v>122</v>
      </c>
      <c r="K731" s="19">
        <v>46023</v>
      </c>
    </row>
    <row r="732" spans="1:11" x14ac:dyDescent="0.25">
      <c r="A732">
        <v>731</v>
      </c>
      <c r="B732">
        <v>2026</v>
      </c>
      <c r="C732">
        <v>1</v>
      </c>
      <c r="D732">
        <v>31</v>
      </c>
      <c r="E732">
        <v>12</v>
      </c>
      <c r="F732" t="str">
        <v>99BT339</v>
      </c>
      <c r="G732">
        <v>60.999999999999986</v>
      </c>
      <c r="H732" t="str">
        <v>hour</v>
      </c>
      <c r="J732">
        <v>92</v>
      </c>
      <c r="K732" s="19">
        <v>46023</v>
      </c>
    </row>
    <row r="733" spans="1:11" x14ac:dyDescent="0.25">
      <c r="A733">
        <v>732</v>
      </c>
      <c r="B733">
        <v>2026</v>
      </c>
      <c r="C733">
        <v>1</v>
      </c>
      <c r="D733">
        <v>31</v>
      </c>
      <c r="E733">
        <v>12</v>
      </c>
      <c r="F733" t="str">
        <v>99CN447</v>
      </c>
      <c r="G733">
        <v>40.999999999999979</v>
      </c>
      <c r="H733" t="str">
        <v>hour</v>
      </c>
      <c r="J733">
        <v>95</v>
      </c>
      <c r="K733" s="19">
        <v>46023</v>
      </c>
    </row>
    <row r="734" spans="1:11" x14ac:dyDescent="0.25">
      <c r="A734">
        <v>733</v>
      </c>
      <c r="B734">
        <v>2026</v>
      </c>
      <c r="C734">
        <v>1</v>
      </c>
      <c r="D734">
        <v>31</v>
      </c>
      <c r="E734">
        <v>12</v>
      </c>
      <c r="F734" t="str">
        <v>99DT131</v>
      </c>
      <c r="G734">
        <v>24.999999999999993</v>
      </c>
      <c r="H734" t="str">
        <v>hour</v>
      </c>
      <c r="J734">
        <v>124</v>
      </c>
      <c r="K734" s="19">
        <v>46023</v>
      </c>
    </row>
    <row r="735" spans="1:11" x14ac:dyDescent="0.25">
      <c r="A735">
        <v>734</v>
      </c>
      <c r="B735">
        <v>2026</v>
      </c>
      <c r="C735">
        <v>1</v>
      </c>
      <c r="D735">
        <v>31</v>
      </c>
      <c r="E735">
        <v>12</v>
      </c>
      <c r="F735" t="str">
        <v>99EM163</v>
      </c>
      <c r="G735">
        <v>53.999999999999986</v>
      </c>
      <c r="H735" t="str">
        <v>hour</v>
      </c>
      <c r="J735">
        <v>99</v>
      </c>
      <c r="K735" s="19">
        <v>46023</v>
      </c>
    </row>
    <row r="736" spans="1:11" x14ac:dyDescent="0.25">
      <c r="A736">
        <v>735</v>
      </c>
      <c r="B736">
        <v>2026</v>
      </c>
      <c r="C736">
        <v>1</v>
      </c>
      <c r="D736">
        <v>31</v>
      </c>
      <c r="E736">
        <v>12</v>
      </c>
      <c r="F736" t="str">
        <v>99FO779</v>
      </c>
      <c r="G736">
        <v>86.999999999999986</v>
      </c>
      <c r="H736" t="str">
        <v>hour</v>
      </c>
      <c r="J736">
        <v>102</v>
      </c>
      <c r="K736" s="19">
        <v>46023</v>
      </c>
    </row>
    <row r="737" spans="1:11" x14ac:dyDescent="0.25">
      <c r="A737">
        <v>736</v>
      </c>
      <c r="B737">
        <v>2026</v>
      </c>
      <c r="C737">
        <v>1</v>
      </c>
      <c r="D737">
        <v>31</v>
      </c>
      <c r="E737">
        <v>12</v>
      </c>
      <c r="F737" t="str">
        <v>99GZ612</v>
      </c>
      <c r="G737">
        <v>4.4999999999999982</v>
      </c>
      <c r="H737" t="str">
        <v>hour</v>
      </c>
      <c r="J737">
        <v>103</v>
      </c>
      <c r="K737" s="19">
        <v>46023</v>
      </c>
    </row>
    <row r="738" spans="1:11" x14ac:dyDescent="0.25">
      <c r="A738">
        <v>737</v>
      </c>
      <c r="B738">
        <v>2026</v>
      </c>
      <c r="C738">
        <v>1</v>
      </c>
      <c r="D738">
        <v>31</v>
      </c>
      <c r="E738">
        <v>12</v>
      </c>
      <c r="F738" t="str">
        <v>99HZ395</v>
      </c>
      <c r="G738">
        <v>81.000000001571607</v>
      </c>
      <c r="H738" t="str">
        <v>hour</v>
      </c>
      <c r="J738">
        <v>4</v>
      </c>
      <c r="K738" s="19">
        <v>46023</v>
      </c>
    </row>
    <row r="739" spans="1:11" x14ac:dyDescent="0.25">
      <c r="A739">
        <v>738</v>
      </c>
      <c r="B739">
        <v>2026</v>
      </c>
      <c r="C739">
        <v>1</v>
      </c>
      <c r="D739">
        <v>31</v>
      </c>
      <c r="E739">
        <v>12</v>
      </c>
      <c r="F739" t="str">
        <v>99KL663</v>
      </c>
      <c r="G739">
        <v>42.999999999999972</v>
      </c>
      <c r="H739" t="str">
        <v>hour</v>
      </c>
      <c r="J739">
        <v>105</v>
      </c>
      <c r="K739" s="19">
        <v>46023</v>
      </c>
    </row>
    <row r="740" spans="1:11" x14ac:dyDescent="0.25">
      <c r="A740">
        <v>739</v>
      </c>
      <c r="B740">
        <v>2026</v>
      </c>
      <c r="C740">
        <v>1</v>
      </c>
      <c r="D740">
        <v>31</v>
      </c>
      <c r="E740">
        <v>12</v>
      </c>
      <c r="F740" t="str">
        <v>99LM412</v>
      </c>
      <c r="G740">
        <v>89.999999999999986</v>
      </c>
      <c r="H740" t="str">
        <v>hour</v>
      </c>
      <c r="J740">
        <v>115</v>
      </c>
      <c r="K740" s="19">
        <v>46023</v>
      </c>
    </row>
    <row r="741" spans="1:11" x14ac:dyDescent="0.25">
      <c r="A741">
        <v>740</v>
      </c>
      <c r="B741">
        <v>2026</v>
      </c>
      <c r="C741">
        <v>1</v>
      </c>
      <c r="D741">
        <v>31</v>
      </c>
      <c r="E741">
        <v>12</v>
      </c>
      <c r="F741" t="str">
        <v>99MN472</v>
      </c>
      <c r="G741">
        <v>93.000000000000043</v>
      </c>
      <c r="H741" t="str">
        <v>hour</v>
      </c>
      <c r="J741">
        <v>107</v>
      </c>
      <c r="K741" s="19">
        <v>46023</v>
      </c>
    </row>
    <row r="742" spans="1:11" x14ac:dyDescent="0.25">
      <c r="A742">
        <v>741</v>
      </c>
      <c r="B742">
        <v>2026</v>
      </c>
      <c r="C742">
        <v>1</v>
      </c>
      <c r="D742">
        <v>31</v>
      </c>
      <c r="E742">
        <v>12</v>
      </c>
      <c r="F742" t="str">
        <v>99OR961</v>
      </c>
      <c r="G742">
        <v>56.999999999999972</v>
      </c>
      <c r="H742" t="str">
        <v>hour</v>
      </c>
      <c r="J742">
        <v>110</v>
      </c>
      <c r="K742" s="19">
        <v>46023</v>
      </c>
    </row>
    <row r="743" spans="1:11" x14ac:dyDescent="0.25">
      <c r="A743">
        <v>742</v>
      </c>
      <c r="B743">
        <v>2026</v>
      </c>
      <c r="C743">
        <v>1</v>
      </c>
      <c r="D743">
        <v>31</v>
      </c>
      <c r="E743">
        <v>12</v>
      </c>
      <c r="F743" t="str">
        <v>99UK314</v>
      </c>
      <c r="G743">
        <v>99</v>
      </c>
      <c r="H743" t="str">
        <v>hour</v>
      </c>
      <c r="J743">
        <v>113</v>
      </c>
      <c r="K743" s="19">
        <v>46023</v>
      </c>
    </row>
    <row r="744" spans="1:11" x14ac:dyDescent="0.25">
      <c r="A744">
        <v>743</v>
      </c>
      <c r="B744">
        <v>2026</v>
      </c>
      <c r="C744">
        <v>1</v>
      </c>
      <c r="D744">
        <v>31</v>
      </c>
      <c r="E744">
        <v>12</v>
      </c>
      <c r="F744" t="str">
        <v>10NG198</v>
      </c>
      <c r="G744">
        <v>37.999999999999986</v>
      </c>
      <c r="H744" t="str">
        <v>hour</v>
      </c>
      <c r="J744">
        <v>185</v>
      </c>
      <c r="K744" s="19">
        <v>46023</v>
      </c>
    </row>
    <row r="745" spans="1:11" x14ac:dyDescent="0.25">
      <c r="A745">
        <v>744</v>
      </c>
      <c r="B745">
        <v>2026</v>
      </c>
      <c r="C745">
        <v>1</v>
      </c>
      <c r="D745">
        <v>31</v>
      </c>
      <c r="E745">
        <v>12</v>
      </c>
      <c r="F745" t="str">
        <v>10ON175</v>
      </c>
      <c r="G745">
        <v>23.999999999999979</v>
      </c>
      <c r="H745" t="str">
        <v>hour</v>
      </c>
      <c r="J745">
        <v>189</v>
      </c>
      <c r="K745" s="19">
        <v>46023</v>
      </c>
    </row>
    <row r="746" spans="1:11" x14ac:dyDescent="0.25">
      <c r="A746">
        <v>745</v>
      </c>
      <c r="B746">
        <v>2026</v>
      </c>
      <c r="C746">
        <v>1</v>
      </c>
      <c r="D746">
        <v>31</v>
      </c>
      <c r="E746">
        <v>12</v>
      </c>
      <c r="F746" t="str">
        <v>27BZ361</v>
      </c>
      <c r="G746">
        <v>29.999999999999993</v>
      </c>
      <c r="H746" t="str">
        <v>hour</v>
      </c>
      <c r="J746">
        <v>191</v>
      </c>
      <c r="K746" s="19">
        <v>46023</v>
      </c>
    </row>
    <row r="747" spans="1:11" x14ac:dyDescent="0.25">
      <c r="A747">
        <v>746</v>
      </c>
      <c r="B747">
        <v>2026</v>
      </c>
      <c r="C747">
        <v>1</v>
      </c>
      <c r="D747">
        <v>31</v>
      </c>
      <c r="E747">
        <v>12</v>
      </c>
      <c r="F747" t="str">
        <v>10ZU722</v>
      </c>
      <c r="G747">
        <v>13.999999999999996</v>
      </c>
      <c r="H747" t="str">
        <v>hour</v>
      </c>
      <c r="J747">
        <v>193</v>
      </c>
      <c r="K747" s="19">
        <v>46023</v>
      </c>
    </row>
    <row r="748" spans="1:11" x14ac:dyDescent="0.25">
      <c r="A748">
        <v>747</v>
      </c>
      <c r="B748">
        <v>2026</v>
      </c>
      <c r="C748">
        <v>2</v>
      </c>
      <c r="D748">
        <v>31</v>
      </c>
      <c r="E748">
        <v>13</v>
      </c>
      <c r="F748" t="str">
        <v>77GR998</v>
      </c>
      <c r="G748">
        <v>2</v>
      </c>
      <c r="H748" t="str">
        <v>single</v>
      </c>
      <c r="J748">
        <v>65</v>
      </c>
      <c r="K748" s="19">
        <v>46054</v>
      </c>
    </row>
    <row r="749" spans="1:11" x14ac:dyDescent="0.25">
      <c r="A749">
        <v>748</v>
      </c>
      <c r="B749">
        <v>2026</v>
      </c>
      <c r="C749">
        <v>2</v>
      </c>
      <c r="D749">
        <v>31</v>
      </c>
      <c r="E749">
        <v>13</v>
      </c>
      <c r="F749" t="str">
        <v>10NS184</v>
      </c>
      <c r="G749">
        <v>30</v>
      </c>
      <c r="H749" t="str">
        <v>single</v>
      </c>
      <c r="J749">
        <v>28</v>
      </c>
      <c r="K749" s="19">
        <v>46054</v>
      </c>
    </row>
    <row r="750" spans="1:11" x14ac:dyDescent="0.25">
      <c r="A750">
        <v>749</v>
      </c>
      <c r="B750">
        <v>2026</v>
      </c>
      <c r="C750">
        <v>2</v>
      </c>
      <c r="D750">
        <v>31</v>
      </c>
      <c r="E750">
        <v>13</v>
      </c>
      <c r="F750" t="str">
        <v>10RN527</v>
      </c>
      <c r="G750">
        <v>30</v>
      </c>
      <c r="H750" t="str">
        <v>single</v>
      </c>
      <c r="J750">
        <v>32</v>
      </c>
      <c r="K750" s="19">
        <v>46054</v>
      </c>
    </row>
    <row r="751" spans="1:11" x14ac:dyDescent="0.25">
      <c r="A751">
        <v>750</v>
      </c>
      <c r="B751">
        <v>2026</v>
      </c>
      <c r="C751">
        <v>2</v>
      </c>
      <c r="D751">
        <v>31</v>
      </c>
      <c r="E751">
        <v>13</v>
      </c>
      <c r="F751" t="str">
        <v>17BE358</v>
      </c>
      <c r="G751">
        <v>24</v>
      </c>
      <c r="H751" t="str">
        <v>single</v>
      </c>
      <c r="J751">
        <v>37</v>
      </c>
      <c r="K751" s="19">
        <v>46054</v>
      </c>
    </row>
    <row r="752" spans="1:11" x14ac:dyDescent="0.25">
      <c r="A752">
        <v>751</v>
      </c>
      <c r="B752">
        <v>2026</v>
      </c>
      <c r="C752">
        <v>2</v>
      </c>
      <c r="D752">
        <v>31</v>
      </c>
      <c r="E752">
        <v>13</v>
      </c>
      <c r="F752" t="str">
        <v>21BF442</v>
      </c>
      <c r="G752">
        <v>30</v>
      </c>
      <c r="H752" t="str">
        <v>single</v>
      </c>
      <c r="J752">
        <v>39</v>
      </c>
      <c r="K752" s="19">
        <v>46054</v>
      </c>
    </row>
    <row r="753" spans="1:11" x14ac:dyDescent="0.25">
      <c r="A753">
        <v>752</v>
      </c>
      <c r="B753">
        <v>2026</v>
      </c>
      <c r="C753">
        <v>2</v>
      </c>
      <c r="D753">
        <v>31</v>
      </c>
      <c r="E753">
        <v>13</v>
      </c>
      <c r="F753" t="str">
        <v>50DK730</v>
      </c>
      <c r="G753">
        <v>29</v>
      </c>
      <c r="H753" t="str">
        <v>single</v>
      </c>
      <c r="J753">
        <v>47</v>
      </c>
      <c r="K753" s="19">
        <v>46054</v>
      </c>
    </row>
    <row r="754" spans="1:11" x14ac:dyDescent="0.25">
      <c r="A754">
        <v>753</v>
      </c>
      <c r="B754">
        <v>2026</v>
      </c>
      <c r="C754">
        <v>2</v>
      </c>
      <c r="D754">
        <v>31</v>
      </c>
      <c r="E754">
        <v>13</v>
      </c>
      <c r="F754" t="str">
        <v>50EF902</v>
      </c>
      <c r="G754">
        <v>29</v>
      </c>
      <c r="H754" t="str">
        <v>single</v>
      </c>
      <c r="J754">
        <v>49</v>
      </c>
      <c r="K754" s="19">
        <v>46054</v>
      </c>
    </row>
    <row r="755" spans="1:11" x14ac:dyDescent="0.25">
      <c r="A755">
        <v>754</v>
      </c>
      <c r="B755">
        <v>2026</v>
      </c>
      <c r="C755">
        <v>2</v>
      </c>
      <c r="D755">
        <v>31</v>
      </c>
      <c r="E755">
        <v>13</v>
      </c>
      <c r="F755" t="str">
        <v>50FB264</v>
      </c>
      <c r="G755">
        <v>28</v>
      </c>
      <c r="H755" t="str">
        <v>single</v>
      </c>
      <c r="J755">
        <v>23</v>
      </c>
      <c r="K755" s="19">
        <v>46054</v>
      </c>
    </row>
    <row r="756" spans="1:11" x14ac:dyDescent="0.25">
      <c r="A756">
        <v>755</v>
      </c>
      <c r="B756">
        <v>2026</v>
      </c>
      <c r="C756">
        <v>2</v>
      </c>
      <c r="D756">
        <v>31</v>
      </c>
      <c r="E756">
        <v>13</v>
      </c>
      <c r="F756" t="str">
        <v>55CB633</v>
      </c>
      <c r="G756">
        <v>30</v>
      </c>
      <c r="H756" t="str">
        <v>single</v>
      </c>
      <c r="J756">
        <v>57</v>
      </c>
      <c r="K756" s="19">
        <v>46054</v>
      </c>
    </row>
    <row r="757" spans="1:11" x14ac:dyDescent="0.25">
      <c r="A757">
        <v>756</v>
      </c>
      <c r="B757">
        <v>2026</v>
      </c>
      <c r="C757">
        <v>2</v>
      </c>
      <c r="D757">
        <v>31</v>
      </c>
      <c r="E757">
        <v>13</v>
      </c>
      <c r="F757" t="str">
        <v>57BV285</v>
      </c>
      <c r="G757">
        <v>30</v>
      </c>
      <c r="H757" t="str">
        <v>single</v>
      </c>
      <c r="J757">
        <v>119</v>
      </c>
      <c r="K757" s="19">
        <v>46054</v>
      </c>
    </row>
    <row r="758" spans="1:11" x14ac:dyDescent="0.25">
      <c r="A758">
        <v>757</v>
      </c>
      <c r="B758">
        <v>2026</v>
      </c>
      <c r="C758">
        <v>2</v>
      </c>
      <c r="D758">
        <v>31</v>
      </c>
      <c r="E758">
        <v>13</v>
      </c>
      <c r="F758" t="str">
        <v>77AT386</v>
      </c>
      <c r="G758">
        <v>30</v>
      </c>
      <c r="H758" t="str">
        <v>single</v>
      </c>
      <c r="J758">
        <v>13</v>
      </c>
      <c r="K758" s="19">
        <v>46054</v>
      </c>
    </row>
    <row r="759" spans="1:11" x14ac:dyDescent="0.25">
      <c r="A759">
        <v>758</v>
      </c>
      <c r="B759">
        <v>2026</v>
      </c>
      <c r="C759">
        <v>2</v>
      </c>
      <c r="D759">
        <v>31</v>
      </c>
      <c r="E759">
        <v>13</v>
      </c>
      <c r="F759" t="str">
        <v>77DK884</v>
      </c>
      <c r="G759">
        <v>30</v>
      </c>
      <c r="H759" t="str">
        <v>single</v>
      </c>
      <c r="J759">
        <v>200</v>
      </c>
      <c r="K759" s="19">
        <v>46054</v>
      </c>
    </row>
    <row r="760" spans="1:11" x14ac:dyDescent="0.25">
      <c r="A760">
        <v>759</v>
      </c>
      <c r="B760">
        <v>2026</v>
      </c>
      <c r="C760">
        <v>2</v>
      </c>
      <c r="D760">
        <v>31</v>
      </c>
      <c r="E760">
        <v>13</v>
      </c>
      <c r="F760" t="str">
        <v>77MU119</v>
      </c>
      <c r="G760">
        <v>30</v>
      </c>
      <c r="H760" t="str">
        <v>single</v>
      </c>
      <c r="J760">
        <v>180</v>
      </c>
      <c r="K760" s="19">
        <v>46054</v>
      </c>
    </row>
    <row r="761" spans="1:11" x14ac:dyDescent="0.25">
      <c r="A761">
        <v>760</v>
      </c>
      <c r="B761">
        <v>2026</v>
      </c>
      <c r="C761">
        <v>2</v>
      </c>
      <c r="D761">
        <v>31</v>
      </c>
      <c r="E761">
        <v>13</v>
      </c>
      <c r="F761" t="str">
        <v>77PV619</v>
      </c>
      <c r="G761">
        <v>30</v>
      </c>
      <c r="H761" t="str">
        <v>single</v>
      </c>
      <c r="J761">
        <v>67</v>
      </c>
      <c r="K761" s="19">
        <v>46054</v>
      </c>
    </row>
    <row r="762" spans="1:11" x14ac:dyDescent="0.25">
      <c r="A762">
        <v>761</v>
      </c>
      <c r="B762">
        <v>2026</v>
      </c>
      <c r="C762">
        <v>2</v>
      </c>
      <c r="D762">
        <v>31</v>
      </c>
      <c r="E762">
        <v>13</v>
      </c>
      <c r="F762" t="str">
        <v>77TG971</v>
      </c>
      <c r="G762">
        <v>28</v>
      </c>
      <c r="H762" t="str">
        <v>single</v>
      </c>
      <c r="J762">
        <v>75</v>
      </c>
      <c r="K762" s="19">
        <v>46054</v>
      </c>
    </row>
    <row r="763" spans="1:11" x14ac:dyDescent="0.25">
      <c r="A763">
        <v>762</v>
      </c>
      <c r="B763">
        <v>2026</v>
      </c>
      <c r="C763">
        <v>2</v>
      </c>
      <c r="D763">
        <v>31</v>
      </c>
      <c r="E763">
        <v>13</v>
      </c>
      <c r="F763" t="str">
        <v>77UR032</v>
      </c>
      <c r="G763">
        <v>28</v>
      </c>
      <c r="H763" t="str">
        <v>single</v>
      </c>
      <c r="J763">
        <v>77</v>
      </c>
      <c r="K763" s="19">
        <v>46054</v>
      </c>
    </row>
    <row r="764" spans="1:11" x14ac:dyDescent="0.25">
      <c r="A764">
        <v>763</v>
      </c>
      <c r="B764">
        <v>2026</v>
      </c>
      <c r="C764">
        <v>2</v>
      </c>
      <c r="D764">
        <v>31</v>
      </c>
      <c r="E764">
        <v>13</v>
      </c>
      <c r="F764" t="str">
        <v>77VL420</v>
      </c>
      <c r="G764">
        <v>30</v>
      </c>
      <c r="H764" t="str">
        <v>single</v>
      </c>
      <c r="J764">
        <v>118</v>
      </c>
      <c r="K764" s="19">
        <v>46054</v>
      </c>
    </row>
    <row r="765" spans="1:11" x14ac:dyDescent="0.25">
      <c r="A765">
        <v>764</v>
      </c>
      <c r="B765">
        <v>2026</v>
      </c>
      <c r="C765">
        <v>2</v>
      </c>
      <c r="D765">
        <v>31</v>
      </c>
      <c r="E765">
        <v>13</v>
      </c>
      <c r="F765" t="str">
        <v>90EC344</v>
      </c>
      <c r="G765">
        <v>30</v>
      </c>
      <c r="H765" t="str">
        <v>single</v>
      </c>
      <c r="J765">
        <v>79</v>
      </c>
      <c r="K765" s="19">
        <v>46054</v>
      </c>
    </row>
    <row r="766" spans="1:11" x14ac:dyDescent="0.25">
      <c r="A766">
        <v>765</v>
      </c>
      <c r="B766">
        <v>2026</v>
      </c>
      <c r="C766">
        <v>2</v>
      </c>
      <c r="D766">
        <v>31</v>
      </c>
      <c r="E766">
        <v>13</v>
      </c>
      <c r="F766" t="str">
        <v>90LS143</v>
      </c>
      <c r="G766">
        <v>29</v>
      </c>
      <c r="H766" t="str">
        <v>single</v>
      </c>
      <c r="J766">
        <v>81</v>
      </c>
      <c r="K766" s="19">
        <v>46054</v>
      </c>
    </row>
    <row r="767" spans="1:11" x14ac:dyDescent="0.25">
      <c r="A767">
        <v>766</v>
      </c>
      <c r="B767">
        <v>2026</v>
      </c>
      <c r="C767">
        <v>2</v>
      </c>
      <c r="D767">
        <v>31</v>
      </c>
      <c r="E767">
        <v>13</v>
      </c>
      <c r="F767" t="str">
        <v>90OE402</v>
      </c>
      <c r="G767">
        <v>30</v>
      </c>
      <c r="H767" t="str">
        <v>single</v>
      </c>
      <c r="J767">
        <v>83</v>
      </c>
      <c r="K767" s="19">
        <v>46054</v>
      </c>
    </row>
    <row r="768" spans="1:11" x14ac:dyDescent="0.25">
      <c r="A768">
        <v>767</v>
      </c>
      <c r="B768">
        <v>2026</v>
      </c>
      <c r="C768">
        <v>2</v>
      </c>
      <c r="D768">
        <v>31</v>
      </c>
      <c r="E768">
        <v>13</v>
      </c>
      <c r="F768" t="str">
        <v>90PY548</v>
      </c>
      <c r="G768">
        <v>30</v>
      </c>
      <c r="H768" t="str">
        <v>single</v>
      </c>
      <c r="J768">
        <v>85</v>
      </c>
      <c r="K768" s="19">
        <v>46054</v>
      </c>
    </row>
    <row r="769" spans="1:11" x14ac:dyDescent="0.25">
      <c r="A769">
        <v>768</v>
      </c>
      <c r="B769">
        <v>2026</v>
      </c>
      <c r="C769">
        <v>2</v>
      </c>
      <c r="D769">
        <v>31</v>
      </c>
      <c r="E769">
        <v>13</v>
      </c>
      <c r="F769" t="str">
        <v>90UX686</v>
      </c>
      <c r="G769">
        <v>29</v>
      </c>
      <c r="H769" t="str">
        <v>single</v>
      </c>
      <c r="J769">
        <v>121</v>
      </c>
      <c r="K769" s="19">
        <v>46054</v>
      </c>
    </row>
    <row r="770" spans="1:11" x14ac:dyDescent="0.25">
      <c r="A770">
        <v>769</v>
      </c>
      <c r="B770">
        <v>2026</v>
      </c>
      <c r="C770">
        <v>2</v>
      </c>
      <c r="D770">
        <v>31</v>
      </c>
      <c r="E770">
        <v>13</v>
      </c>
      <c r="F770" t="str">
        <v>99BT339</v>
      </c>
      <c r="G770">
        <v>29</v>
      </c>
      <c r="H770" t="str">
        <v>single</v>
      </c>
      <c r="J770">
        <v>93</v>
      </c>
      <c r="K770" s="19">
        <v>46054</v>
      </c>
    </row>
    <row r="771" spans="1:11" x14ac:dyDescent="0.25">
      <c r="A771">
        <v>770</v>
      </c>
      <c r="B771">
        <v>2026</v>
      </c>
      <c r="C771">
        <v>2</v>
      </c>
      <c r="D771">
        <v>31</v>
      </c>
      <c r="E771">
        <v>13</v>
      </c>
      <c r="F771" t="str">
        <v>99CN447</v>
      </c>
      <c r="G771">
        <v>28</v>
      </c>
      <c r="H771" t="str">
        <v>single</v>
      </c>
      <c r="J771">
        <v>94</v>
      </c>
      <c r="K771" s="19">
        <v>46054</v>
      </c>
    </row>
    <row r="772" spans="1:11" x14ac:dyDescent="0.25">
      <c r="A772">
        <v>771</v>
      </c>
      <c r="B772">
        <v>2026</v>
      </c>
      <c r="C772">
        <v>2</v>
      </c>
      <c r="D772">
        <v>31</v>
      </c>
      <c r="E772">
        <v>13</v>
      </c>
      <c r="F772" t="str">
        <v>99DT131</v>
      </c>
      <c r="G772">
        <v>29</v>
      </c>
      <c r="H772" t="str">
        <v>single</v>
      </c>
      <c r="J772">
        <v>123</v>
      </c>
      <c r="K772" s="19">
        <v>46054</v>
      </c>
    </row>
    <row r="773" spans="1:11" x14ac:dyDescent="0.25">
      <c r="A773">
        <v>772</v>
      </c>
      <c r="B773">
        <v>2026</v>
      </c>
      <c r="C773">
        <v>2</v>
      </c>
      <c r="D773">
        <v>31</v>
      </c>
      <c r="E773">
        <v>13</v>
      </c>
      <c r="F773" t="str">
        <v>99EM163</v>
      </c>
      <c r="G773">
        <v>29</v>
      </c>
      <c r="H773" t="str">
        <v>single</v>
      </c>
      <c r="J773">
        <v>100</v>
      </c>
      <c r="K773" s="19">
        <v>46054</v>
      </c>
    </row>
    <row r="774" spans="1:11" x14ac:dyDescent="0.25">
      <c r="A774">
        <v>773</v>
      </c>
      <c r="B774">
        <v>2026</v>
      </c>
      <c r="C774">
        <v>2</v>
      </c>
      <c r="D774">
        <v>31</v>
      </c>
      <c r="E774">
        <v>13</v>
      </c>
      <c r="F774" t="str">
        <v>99FO779</v>
      </c>
      <c r="G774">
        <v>29</v>
      </c>
      <c r="H774" t="str">
        <v>single</v>
      </c>
      <c r="J774">
        <v>101</v>
      </c>
      <c r="K774" s="19">
        <v>46054</v>
      </c>
    </row>
    <row r="775" spans="1:11" x14ac:dyDescent="0.25">
      <c r="A775">
        <v>774</v>
      </c>
      <c r="B775">
        <v>2026</v>
      </c>
      <c r="C775">
        <v>2</v>
      </c>
      <c r="D775">
        <v>31</v>
      </c>
      <c r="E775">
        <v>13</v>
      </c>
      <c r="F775" t="str">
        <v>99GZ612</v>
      </c>
      <c r="G775">
        <v>30</v>
      </c>
      <c r="H775" t="str">
        <v>single</v>
      </c>
      <c r="J775">
        <v>104</v>
      </c>
      <c r="K775" s="19">
        <v>46054</v>
      </c>
    </row>
    <row r="776" spans="1:11" x14ac:dyDescent="0.25">
      <c r="A776">
        <v>775</v>
      </c>
      <c r="B776">
        <v>2026</v>
      </c>
      <c r="C776">
        <v>2</v>
      </c>
      <c r="D776">
        <v>31</v>
      </c>
      <c r="E776">
        <v>13</v>
      </c>
      <c r="F776" t="str">
        <v>99HZ395</v>
      </c>
      <c r="G776">
        <v>30</v>
      </c>
      <c r="H776" t="str">
        <v>single</v>
      </c>
      <c r="J776">
        <v>3</v>
      </c>
      <c r="K776" s="19">
        <v>46054</v>
      </c>
    </row>
    <row r="777" spans="1:11" x14ac:dyDescent="0.25">
      <c r="A777">
        <v>776</v>
      </c>
      <c r="B777">
        <v>2026</v>
      </c>
      <c r="C777">
        <v>2</v>
      </c>
      <c r="D777">
        <v>31</v>
      </c>
      <c r="E777">
        <v>13</v>
      </c>
      <c r="F777" t="str">
        <v>99KL663</v>
      </c>
      <c r="G777">
        <v>30</v>
      </c>
      <c r="H777" t="str">
        <v>single</v>
      </c>
      <c r="J777">
        <v>106</v>
      </c>
      <c r="K777" s="19">
        <v>46054</v>
      </c>
    </row>
    <row r="778" spans="1:11" x14ac:dyDescent="0.25">
      <c r="A778">
        <v>777</v>
      </c>
      <c r="B778">
        <v>2026</v>
      </c>
      <c r="C778">
        <v>2</v>
      </c>
      <c r="D778">
        <v>31</v>
      </c>
      <c r="E778">
        <v>13</v>
      </c>
      <c r="F778" t="str">
        <v>99LM412</v>
      </c>
      <c r="G778">
        <v>30</v>
      </c>
      <c r="H778" t="str">
        <v>single</v>
      </c>
      <c r="J778">
        <v>116</v>
      </c>
      <c r="K778" s="19">
        <v>46054</v>
      </c>
    </row>
    <row r="779" spans="1:11" x14ac:dyDescent="0.25">
      <c r="A779">
        <v>778</v>
      </c>
      <c r="B779">
        <v>2026</v>
      </c>
      <c r="C779">
        <v>2</v>
      </c>
      <c r="D779">
        <v>31</v>
      </c>
      <c r="E779">
        <v>13</v>
      </c>
      <c r="F779" t="str">
        <v>99MN472</v>
      </c>
      <c r="G779">
        <v>30</v>
      </c>
      <c r="H779" t="str">
        <v>single</v>
      </c>
      <c r="J779">
        <v>108</v>
      </c>
      <c r="K779" s="19">
        <v>46054</v>
      </c>
    </row>
    <row r="780" spans="1:11" x14ac:dyDescent="0.25">
      <c r="A780">
        <v>779</v>
      </c>
      <c r="B780">
        <v>2026</v>
      </c>
      <c r="C780">
        <v>2</v>
      </c>
      <c r="D780">
        <v>31</v>
      </c>
      <c r="E780">
        <v>13</v>
      </c>
      <c r="F780" t="str">
        <v>99OR961</v>
      </c>
      <c r="G780">
        <v>29</v>
      </c>
      <c r="H780" t="str">
        <v>single</v>
      </c>
      <c r="J780">
        <v>109</v>
      </c>
      <c r="K780" s="19">
        <v>46054</v>
      </c>
    </row>
    <row r="781" spans="1:11" x14ac:dyDescent="0.25">
      <c r="A781">
        <v>780</v>
      </c>
      <c r="B781">
        <v>2026</v>
      </c>
      <c r="C781">
        <v>2</v>
      </c>
      <c r="D781">
        <v>31</v>
      </c>
      <c r="E781">
        <v>13</v>
      </c>
      <c r="F781" t="str">
        <v>99UK314</v>
      </c>
      <c r="G781">
        <v>30</v>
      </c>
      <c r="H781" t="str">
        <v>single</v>
      </c>
      <c r="J781">
        <v>114</v>
      </c>
      <c r="K781" s="19">
        <v>46054</v>
      </c>
    </row>
    <row r="782" spans="1:11" x14ac:dyDescent="0.25">
      <c r="A782">
        <v>781</v>
      </c>
      <c r="B782">
        <v>2026</v>
      </c>
      <c r="C782">
        <v>2</v>
      </c>
      <c r="D782">
        <v>31</v>
      </c>
      <c r="E782">
        <v>13</v>
      </c>
      <c r="F782" t="str">
        <v>10NG198</v>
      </c>
      <c r="G782">
        <v>29</v>
      </c>
      <c r="H782" t="str">
        <v>single</v>
      </c>
      <c r="J782">
        <v>184</v>
      </c>
      <c r="K782" s="19">
        <v>46054</v>
      </c>
    </row>
    <row r="783" spans="1:11" x14ac:dyDescent="0.25">
      <c r="A783">
        <v>782</v>
      </c>
      <c r="B783">
        <v>2026</v>
      </c>
      <c r="C783">
        <v>2</v>
      </c>
      <c r="D783">
        <v>31</v>
      </c>
      <c r="E783">
        <v>13</v>
      </c>
      <c r="F783" t="str">
        <v>10ON175</v>
      </c>
      <c r="G783">
        <v>30</v>
      </c>
      <c r="H783" t="str">
        <v>single</v>
      </c>
      <c r="J783">
        <v>188</v>
      </c>
      <c r="K783" s="19">
        <v>46054</v>
      </c>
    </row>
    <row r="784" spans="1:11" x14ac:dyDescent="0.25">
      <c r="A784">
        <v>783</v>
      </c>
      <c r="B784">
        <v>2026</v>
      </c>
      <c r="C784">
        <v>2</v>
      </c>
      <c r="D784">
        <v>31</v>
      </c>
      <c r="E784">
        <v>13</v>
      </c>
      <c r="F784" t="str">
        <v>27BZ361</v>
      </c>
      <c r="G784">
        <v>28</v>
      </c>
      <c r="H784" t="str">
        <v>single</v>
      </c>
      <c r="J784">
        <v>190</v>
      </c>
      <c r="K784" s="19">
        <v>46054</v>
      </c>
    </row>
    <row r="785" spans="1:11" x14ac:dyDescent="0.25">
      <c r="A785">
        <v>784</v>
      </c>
      <c r="B785">
        <v>2026</v>
      </c>
      <c r="C785">
        <v>2</v>
      </c>
      <c r="D785">
        <v>31</v>
      </c>
      <c r="E785">
        <v>13</v>
      </c>
      <c r="F785" t="str">
        <v>10ZU722</v>
      </c>
      <c r="G785">
        <v>29</v>
      </c>
      <c r="H785" t="str">
        <v>single</v>
      </c>
      <c r="J785">
        <v>192</v>
      </c>
      <c r="K785" s="19">
        <v>46054</v>
      </c>
    </row>
    <row r="786" spans="1:11" x14ac:dyDescent="0.25">
      <c r="A786">
        <v>785</v>
      </c>
      <c r="B786">
        <v>2026</v>
      </c>
      <c r="C786">
        <v>2</v>
      </c>
      <c r="D786">
        <v>31</v>
      </c>
      <c r="E786">
        <v>13</v>
      </c>
      <c r="F786" t="str">
        <v>77PV319</v>
      </c>
      <c r="G786">
        <v>30</v>
      </c>
      <c r="H786" t="str">
        <v>single</v>
      </c>
      <c r="J786">
        <v>194</v>
      </c>
      <c r="K786" s="19">
        <v>46054</v>
      </c>
    </row>
    <row r="787" spans="1:11" x14ac:dyDescent="0.25">
      <c r="A787">
        <v>786</v>
      </c>
      <c r="B787">
        <v>2026</v>
      </c>
      <c r="C787">
        <v>2</v>
      </c>
      <c r="D787">
        <v>31</v>
      </c>
      <c r="E787">
        <v>13</v>
      </c>
      <c r="F787" t="str">
        <v>38BG860</v>
      </c>
      <c r="G787">
        <v>30</v>
      </c>
      <c r="H787" t="str">
        <v>single</v>
      </c>
      <c r="J787">
        <v>196</v>
      </c>
      <c r="K787" s="19">
        <v>46054</v>
      </c>
    </row>
    <row r="788" spans="1:11" x14ac:dyDescent="0.25">
      <c r="A788">
        <v>787</v>
      </c>
      <c r="B788">
        <v>2026</v>
      </c>
      <c r="C788">
        <v>2</v>
      </c>
      <c r="D788">
        <v>31</v>
      </c>
      <c r="E788">
        <v>13</v>
      </c>
      <c r="F788" t="str">
        <v>77PV659</v>
      </c>
      <c r="G788">
        <v>30</v>
      </c>
      <c r="H788" t="str">
        <v>single</v>
      </c>
      <c r="J788">
        <v>198</v>
      </c>
      <c r="K788" s="19">
        <v>46054</v>
      </c>
    </row>
    <row r="789" spans="1:11" x14ac:dyDescent="0.25">
      <c r="A789">
        <v>788</v>
      </c>
      <c r="B789">
        <v>2026</v>
      </c>
      <c r="C789">
        <v>2</v>
      </c>
      <c r="D789">
        <v>31</v>
      </c>
      <c r="E789">
        <v>13</v>
      </c>
      <c r="F789" t="str">
        <v>90GG153</v>
      </c>
      <c r="G789">
        <v>29</v>
      </c>
      <c r="H789" t="str">
        <v>single</v>
      </c>
      <c r="J789">
        <v>202</v>
      </c>
      <c r="K789" s="19">
        <v>46054</v>
      </c>
    </row>
    <row r="790" spans="1:11" x14ac:dyDescent="0.25">
      <c r="A790">
        <v>789</v>
      </c>
      <c r="B790">
        <v>2026</v>
      </c>
      <c r="C790">
        <v>2</v>
      </c>
      <c r="D790">
        <v>31</v>
      </c>
      <c r="E790">
        <v>13</v>
      </c>
      <c r="F790" t="str">
        <v>53BD239</v>
      </c>
      <c r="G790">
        <v>20</v>
      </c>
      <c r="H790" t="str">
        <v>single</v>
      </c>
      <c r="J790">
        <v>204</v>
      </c>
      <c r="K790" s="19">
        <v>46054</v>
      </c>
    </row>
    <row r="791" spans="1:11" x14ac:dyDescent="0.25">
      <c r="A791">
        <v>790</v>
      </c>
      <c r="B791">
        <v>2026</v>
      </c>
      <c r="C791">
        <v>2</v>
      </c>
      <c r="D791">
        <v>31</v>
      </c>
      <c r="E791">
        <v>13</v>
      </c>
      <c r="F791" t="str">
        <v>99GN495</v>
      </c>
      <c r="G791">
        <v>14</v>
      </c>
      <c r="H791" t="str">
        <v>single</v>
      </c>
      <c r="J791">
        <v>206</v>
      </c>
      <c r="K791" s="19">
        <v>46054</v>
      </c>
    </row>
    <row r="792" spans="1:11" x14ac:dyDescent="0.25">
      <c r="A792">
        <v>791</v>
      </c>
      <c r="B792">
        <v>2026</v>
      </c>
      <c r="C792">
        <v>2</v>
      </c>
      <c r="D792">
        <v>31</v>
      </c>
      <c r="E792">
        <v>13</v>
      </c>
      <c r="F792" t="str">
        <v>10OG142</v>
      </c>
      <c r="G792">
        <v>14</v>
      </c>
      <c r="H792" t="str">
        <v>single</v>
      </c>
      <c r="J792">
        <v>208</v>
      </c>
      <c r="K792" s="19">
        <v>46054</v>
      </c>
    </row>
    <row r="793" spans="1:11" x14ac:dyDescent="0.25">
      <c r="A793">
        <v>792</v>
      </c>
      <c r="B793">
        <v>2026</v>
      </c>
      <c r="C793">
        <v>2</v>
      </c>
      <c r="D793">
        <v>31</v>
      </c>
      <c r="E793">
        <v>13</v>
      </c>
      <c r="F793" t="str">
        <v>77GR998</v>
      </c>
      <c r="G793">
        <v>28.000000000070862</v>
      </c>
      <c r="H793" t="str">
        <v>double</v>
      </c>
      <c r="J793">
        <v>63</v>
      </c>
      <c r="K793" s="19">
        <v>46054</v>
      </c>
    </row>
    <row r="794" spans="1:11" x14ac:dyDescent="0.25">
      <c r="A794">
        <v>793</v>
      </c>
      <c r="B794">
        <v>2026</v>
      </c>
      <c r="C794">
        <v>2</v>
      </c>
      <c r="D794">
        <v>31</v>
      </c>
      <c r="E794">
        <v>13</v>
      </c>
      <c r="F794" t="str">
        <v>10NS184</v>
      </c>
      <c r="G794">
        <v>20.999999999999986</v>
      </c>
      <c r="H794" t="str">
        <v>hour</v>
      </c>
      <c r="J794">
        <v>27</v>
      </c>
      <c r="K794" s="19">
        <v>46054</v>
      </c>
    </row>
    <row r="795" spans="1:11" x14ac:dyDescent="0.25">
      <c r="A795">
        <v>794</v>
      </c>
      <c r="B795">
        <v>2026</v>
      </c>
      <c r="C795">
        <v>2</v>
      </c>
      <c r="D795">
        <v>31</v>
      </c>
      <c r="E795">
        <v>13</v>
      </c>
      <c r="F795" t="str">
        <v>10RN527</v>
      </c>
      <c r="G795">
        <v>84</v>
      </c>
      <c r="H795" t="str">
        <v>hour</v>
      </c>
      <c r="J795">
        <v>30</v>
      </c>
      <c r="K795" s="19">
        <v>46054</v>
      </c>
    </row>
    <row r="796" spans="1:11" x14ac:dyDescent="0.25">
      <c r="A796">
        <v>795</v>
      </c>
      <c r="B796">
        <v>2026</v>
      </c>
      <c r="C796">
        <v>2</v>
      </c>
      <c r="D796">
        <v>31</v>
      </c>
      <c r="E796">
        <v>13</v>
      </c>
      <c r="F796" t="str">
        <v>17BE358</v>
      </c>
      <c r="G796">
        <v>13.499999999999995</v>
      </c>
      <c r="H796" t="str">
        <v>hour</v>
      </c>
      <c r="J796">
        <v>36</v>
      </c>
      <c r="K796" s="19">
        <v>46054</v>
      </c>
    </row>
    <row r="797" spans="1:11" x14ac:dyDescent="0.25">
      <c r="A797">
        <v>796</v>
      </c>
      <c r="B797">
        <v>2026</v>
      </c>
      <c r="C797">
        <v>2</v>
      </c>
      <c r="D797">
        <v>31</v>
      </c>
      <c r="E797">
        <v>13</v>
      </c>
      <c r="F797" t="str">
        <v>21BF442</v>
      </c>
      <c r="G797">
        <v>84</v>
      </c>
      <c r="H797" t="str">
        <v>hour</v>
      </c>
      <c r="J797">
        <v>38</v>
      </c>
      <c r="K797" s="19">
        <v>46054</v>
      </c>
    </row>
    <row r="798" spans="1:11" x14ac:dyDescent="0.25">
      <c r="A798">
        <v>797</v>
      </c>
      <c r="B798">
        <v>2026</v>
      </c>
      <c r="C798">
        <v>2</v>
      </c>
      <c r="D798">
        <v>31</v>
      </c>
      <c r="E798">
        <v>13</v>
      </c>
      <c r="F798" t="str">
        <v>50DK730</v>
      </c>
      <c r="G798">
        <v>81</v>
      </c>
      <c r="H798" t="str">
        <v>hour</v>
      </c>
      <c r="J798">
        <v>46</v>
      </c>
      <c r="K798" s="19">
        <v>46054</v>
      </c>
    </row>
    <row r="799" spans="1:11" x14ac:dyDescent="0.25">
      <c r="A799">
        <v>798</v>
      </c>
      <c r="B799">
        <v>2026</v>
      </c>
      <c r="C799">
        <v>2</v>
      </c>
      <c r="D799">
        <v>31</v>
      </c>
      <c r="E799">
        <v>13</v>
      </c>
      <c r="F799" t="str">
        <v>50EF902</v>
      </c>
      <c r="G799">
        <v>19.999999999999986</v>
      </c>
      <c r="H799" t="str">
        <v>hour</v>
      </c>
      <c r="J799">
        <v>48</v>
      </c>
      <c r="K799" s="19">
        <v>46054</v>
      </c>
    </row>
    <row r="800" spans="1:11" x14ac:dyDescent="0.25">
      <c r="A800">
        <v>799</v>
      </c>
      <c r="B800">
        <v>2026</v>
      </c>
      <c r="C800">
        <v>2</v>
      </c>
      <c r="D800">
        <v>31</v>
      </c>
      <c r="E800">
        <v>13</v>
      </c>
      <c r="F800" t="str">
        <v>50FB264</v>
      </c>
      <c r="G800">
        <v>60.999999999999957</v>
      </c>
      <c r="H800" t="str">
        <v>hour</v>
      </c>
      <c r="J800">
        <v>24</v>
      </c>
      <c r="K800" s="19">
        <v>46054</v>
      </c>
    </row>
    <row r="801" spans="1:11" x14ac:dyDescent="0.25">
      <c r="A801">
        <v>800</v>
      </c>
      <c r="B801">
        <v>2026</v>
      </c>
      <c r="C801">
        <v>2</v>
      </c>
      <c r="D801">
        <v>31</v>
      </c>
      <c r="E801">
        <v>13</v>
      </c>
      <c r="F801" t="str">
        <v>55CB633</v>
      </c>
      <c r="G801">
        <v>50.999999999999986</v>
      </c>
      <c r="H801" t="str">
        <v>hour</v>
      </c>
      <c r="J801">
        <v>56</v>
      </c>
      <c r="K801" s="19">
        <v>46054</v>
      </c>
    </row>
    <row r="802" spans="1:11" x14ac:dyDescent="0.25">
      <c r="A802">
        <v>801</v>
      </c>
      <c r="B802">
        <v>2026</v>
      </c>
      <c r="C802">
        <v>2</v>
      </c>
      <c r="D802">
        <v>31</v>
      </c>
      <c r="E802">
        <v>13</v>
      </c>
      <c r="F802" t="str">
        <v>57BV285</v>
      </c>
      <c r="G802">
        <v>30.999999999999986</v>
      </c>
      <c r="H802" t="str">
        <v>hour</v>
      </c>
      <c r="J802">
        <v>120</v>
      </c>
      <c r="K802" s="19">
        <v>46054</v>
      </c>
    </row>
    <row r="803" spans="1:11" x14ac:dyDescent="0.25">
      <c r="A803">
        <v>802</v>
      </c>
      <c r="B803">
        <v>2026</v>
      </c>
      <c r="C803">
        <v>2</v>
      </c>
      <c r="D803">
        <v>31</v>
      </c>
      <c r="E803">
        <v>13</v>
      </c>
      <c r="F803" t="str">
        <v>77MU119</v>
      </c>
      <c r="G803">
        <v>76.999999999999986</v>
      </c>
      <c r="H803" t="str">
        <v>hour</v>
      </c>
      <c r="J803">
        <v>181</v>
      </c>
      <c r="K803" s="19">
        <v>46054</v>
      </c>
    </row>
    <row r="804" spans="1:11" x14ac:dyDescent="0.25">
      <c r="A804">
        <v>803</v>
      </c>
      <c r="B804">
        <v>2026</v>
      </c>
      <c r="C804">
        <v>2</v>
      </c>
      <c r="D804">
        <v>31</v>
      </c>
      <c r="E804">
        <v>13</v>
      </c>
      <c r="F804" t="str">
        <v>77UR032</v>
      </c>
      <c r="G804">
        <v>42.999999999999986</v>
      </c>
      <c r="H804" t="str">
        <v>hour</v>
      </c>
      <c r="J804">
        <v>76</v>
      </c>
      <c r="K804" s="19">
        <v>46054</v>
      </c>
    </row>
    <row r="805" spans="1:11" x14ac:dyDescent="0.25">
      <c r="A805">
        <v>804</v>
      </c>
      <c r="B805">
        <v>2026</v>
      </c>
      <c r="C805">
        <v>2</v>
      </c>
      <c r="D805">
        <v>31</v>
      </c>
      <c r="E805">
        <v>13</v>
      </c>
      <c r="F805" t="str">
        <v>90EC344</v>
      </c>
      <c r="G805">
        <v>65</v>
      </c>
      <c r="H805" t="str">
        <v>hour</v>
      </c>
      <c r="J805">
        <v>78</v>
      </c>
      <c r="K805" s="19">
        <v>46054</v>
      </c>
    </row>
    <row r="806" spans="1:11" x14ac:dyDescent="0.25">
      <c r="A806">
        <v>805</v>
      </c>
      <c r="B806">
        <v>2026</v>
      </c>
      <c r="C806">
        <v>2</v>
      </c>
      <c r="D806">
        <v>31</v>
      </c>
      <c r="E806">
        <v>13</v>
      </c>
      <c r="F806" t="str">
        <v>90LS143</v>
      </c>
      <c r="G806">
        <v>12.999999999999986</v>
      </c>
      <c r="H806" t="str">
        <v>hour</v>
      </c>
      <c r="J806">
        <v>80</v>
      </c>
      <c r="K806" s="19">
        <v>46054</v>
      </c>
    </row>
    <row r="807" spans="1:11" x14ac:dyDescent="0.25">
      <c r="A807">
        <v>806</v>
      </c>
      <c r="B807">
        <v>2026</v>
      </c>
      <c r="C807">
        <v>2</v>
      </c>
      <c r="D807">
        <v>31</v>
      </c>
      <c r="E807">
        <v>13</v>
      </c>
      <c r="F807" t="str">
        <v>90OE402</v>
      </c>
      <c r="G807">
        <v>74.999999999999972</v>
      </c>
      <c r="H807" t="str">
        <v>hour</v>
      </c>
      <c r="J807">
        <v>82</v>
      </c>
      <c r="K807" s="19">
        <v>46054</v>
      </c>
    </row>
    <row r="808" spans="1:11" x14ac:dyDescent="0.25">
      <c r="A808">
        <v>807</v>
      </c>
      <c r="B808">
        <v>2026</v>
      </c>
      <c r="C808">
        <v>2</v>
      </c>
      <c r="D808">
        <v>31</v>
      </c>
      <c r="E808">
        <v>13</v>
      </c>
      <c r="F808" t="str">
        <v>90UX686</v>
      </c>
      <c r="G808">
        <v>45</v>
      </c>
      <c r="H808" t="str">
        <v>hour</v>
      </c>
      <c r="J808">
        <v>122</v>
      </c>
      <c r="K808" s="19">
        <v>46054</v>
      </c>
    </row>
    <row r="809" spans="1:11" x14ac:dyDescent="0.25">
      <c r="A809">
        <v>808</v>
      </c>
      <c r="B809">
        <v>2026</v>
      </c>
      <c r="C809">
        <v>2</v>
      </c>
      <c r="D809">
        <v>31</v>
      </c>
      <c r="E809">
        <v>13</v>
      </c>
      <c r="F809" t="str">
        <v>99BT339</v>
      </c>
      <c r="G809">
        <v>52.999999999999986</v>
      </c>
      <c r="H809" t="str">
        <v>hour</v>
      </c>
      <c r="J809">
        <v>92</v>
      </c>
      <c r="K809" s="19">
        <v>46054</v>
      </c>
    </row>
    <row r="810" spans="1:11" x14ac:dyDescent="0.25">
      <c r="A810">
        <v>809</v>
      </c>
      <c r="B810">
        <v>2026</v>
      </c>
      <c r="C810">
        <v>2</v>
      </c>
      <c r="D810">
        <v>31</v>
      </c>
      <c r="E810">
        <v>13</v>
      </c>
      <c r="F810" t="str">
        <v>99CN447</v>
      </c>
      <c r="G810">
        <v>31.999999999999972</v>
      </c>
      <c r="H810" t="str">
        <v>hour</v>
      </c>
      <c r="J810">
        <v>95</v>
      </c>
      <c r="K810" s="19">
        <v>46054</v>
      </c>
    </row>
    <row r="811" spans="1:11" x14ac:dyDescent="0.25">
      <c r="A811">
        <v>810</v>
      </c>
      <c r="B811">
        <v>2026</v>
      </c>
      <c r="C811">
        <v>2</v>
      </c>
      <c r="D811">
        <v>31</v>
      </c>
      <c r="E811">
        <v>13</v>
      </c>
      <c r="F811" t="str">
        <v>99DT131</v>
      </c>
      <c r="G811">
        <v>25.999999999999986</v>
      </c>
      <c r="H811" t="str">
        <v>hour</v>
      </c>
      <c r="J811">
        <v>124</v>
      </c>
      <c r="K811" s="19">
        <v>46054</v>
      </c>
    </row>
    <row r="812" spans="1:11" x14ac:dyDescent="0.25">
      <c r="A812">
        <v>811</v>
      </c>
      <c r="B812">
        <v>2026</v>
      </c>
      <c r="C812">
        <v>2</v>
      </c>
      <c r="D812">
        <v>31</v>
      </c>
      <c r="E812">
        <v>13</v>
      </c>
      <c r="F812" t="str">
        <v>99EM163</v>
      </c>
      <c r="G812">
        <v>26.999999999999961</v>
      </c>
      <c r="H812" t="str">
        <v>hour</v>
      </c>
      <c r="J812">
        <v>99</v>
      </c>
      <c r="K812" s="19">
        <v>46054</v>
      </c>
    </row>
    <row r="813" spans="1:11" x14ac:dyDescent="0.25">
      <c r="A813">
        <v>812</v>
      </c>
      <c r="B813">
        <v>2026</v>
      </c>
      <c r="C813">
        <v>2</v>
      </c>
      <c r="D813">
        <v>31</v>
      </c>
      <c r="E813">
        <v>13</v>
      </c>
      <c r="F813" t="str">
        <v>99FO779</v>
      </c>
      <c r="G813">
        <v>100</v>
      </c>
      <c r="H813" t="str">
        <v>hour</v>
      </c>
      <c r="J813">
        <v>102</v>
      </c>
      <c r="K813" s="19">
        <v>46054</v>
      </c>
    </row>
    <row r="814" spans="1:11" x14ac:dyDescent="0.25">
      <c r="A814">
        <v>813</v>
      </c>
      <c r="B814">
        <v>2026</v>
      </c>
      <c r="C814">
        <v>2</v>
      </c>
      <c r="D814">
        <v>31</v>
      </c>
      <c r="E814">
        <v>13</v>
      </c>
      <c r="F814" t="str">
        <v>99HZ395</v>
      </c>
      <c r="G814">
        <v>84</v>
      </c>
      <c r="H814" t="str">
        <v>hour</v>
      </c>
      <c r="J814">
        <v>4</v>
      </c>
      <c r="K814" s="19">
        <v>46054</v>
      </c>
    </row>
    <row r="815" spans="1:11" x14ac:dyDescent="0.25">
      <c r="A815">
        <v>814</v>
      </c>
      <c r="B815">
        <v>2026</v>
      </c>
      <c r="C815">
        <v>2</v>
      </c>
      <c r="D815">
        <v>31</v>
      </c>
      <c r="E815">
        <v>13</v>
      </c>
      <c r="F815" t="str">
        <v>99KL663</v>
      </c>
      <c r="G815">
        <v>42.999999999999972</v>
      </c>
      <c r="H815" t="str">
        <v>hour</v>
      </c>
      <c r="J815">
        <v>105</v>
      </c>
      <c r="K815" s="19">
        <v>46054</v>
      </c>
    </row>
    <row r="816" spans="1:11" x14ac:dyDescent="0.25">
      <c r="A816">
        <v>815</v>
      </c>
      <c r="B816">
        <v>2026</v>
      </c>
      <c r="C816">
        <v>2</v>
      </c>
      <c r="D816">
        <v>31</v>
      </c>
      <c r="E816">
        <v>13</v>
      </c>
      <c r="F816" t="str">
        <v>99LM412</v>
      </c>
      <c r="G816">
        <v>83.999999999999986</v>
      </c>
      <c r="H816" t="str">
        <v>hour</v>
      </c>
      <c r="J816">
        <v>115</v>
      </c>
      <c r="K816" s="19">
        <v>46054</v>
      </c>
    </row>
    <row r="817" spans="1:11" x14ac:dyDescent="0.25">
      <c r="A817">
        <v>816</v>
      </c>
      <c r="B817">
        <v>2026</v>
      </c>
      <c r="C817">
        <v>2</v>
      </c>
      <c r="D817">
        <v>31</v>
      </c>
      <c r="E817">
        <v>13</v>
      </c>
      <c r="F817" t="str">
        <v>99MN472</v>
      </c>
      <c r="G817">
        <v>84.000000000000043</v>
      </c>
      <c r="H817" t="str">
        <v>hour</v>
      </c>
      <c r="J817">
        <v>107</v>
      </c>
      <c r="K817" s="19">
        <v>46054</v>
      </c>
    </row>
    <row r="818" spans="1:11" x14ac:dyDescent="0.25">
      <c r="A818">
        <v>817</v>
      </c>
      <c r="B818">
        <v>2026</v>
      </c>
      <c r="C818">
        <v>2</v>
      </c>
      <c r="D818">
        <v>31</v>
      </c>
      <c r="E818">
        <v>13</v>
      </c>
      <c r="F818" t="str">
        <v>99OR961</v>
      </c>
      <c r="G818">
        <v>49.999999999999986</v>
      </c>
      <c r="H818" t="str">
        <v>hour</v>
      </c>
      <c r="J818">
        <v>110</v>
      </c>
      <c r="K818" s="19">
        <v>46054</v>
      </c>
    </row>
    <row r="819" spans="1:11" x14ac:dyDescent="0.25">
      <c r="A819">
        <v>818</v>
      </c>
      <c r="B819">
        <v>2026</v>
      </c>
      <c r="C819">
        <v>2</v>
      </c>
      <c r="D819">
        <v>31</v>
      </c>
      <c r="E819">
        <v>13</v>
      </c>
      <c r="F819" t="str">
        <v>99UK314</v>
      </c>
      <c r="G819">
        <v>108</v>
      </c>
      <c r="H819" t="str">
        <v>hour</v>
      </c>
      <c r="J819">
        <v>113</v>
      </c>
      <c r="K819" s="19">
        <v>46054</v>
      </c>
    </row>
    <row r="820" spans="1:11" x14ac:dyDescent="0.25">
      <c r="A820">
        <v>819</v>
      </c>
      <c r="B820">
        <v>2026</v>
      </c>
      <c r="C820">
        <v>2</v>
      </c>
      <c r="D820">
        <v>31</v>
      </c>
      <c r="E820">
        <v>13</v>
      </c>
      <c r="F820" t="str">
        <v>10NG198</v>
      </c>
      <c r="G820">
        <v>16.999999999999993</v>
      </c>
      <c r="H820" t="str">
        <v>hour</v>
      </c>
      <c r="J820">
        <v>185</v>
      </c>
      <c r="K820" s="19">
        <v>46054</v>
      </c>
    </row>
    <row r="821" spans="1:11" x14ac:dyDescent="0.25">
      <c r="A821">
        <v>820</v>
      </c>
      <c r="B821">
        <v>2026</v>
      </c>
      <c r="C821">
        <v>2</v>
      </c>
      <c r="D821">
        <v>31</v>
      </c>
      <c r="E821">
        <v>13</v>
      </c>
      <c r="F821" t="str">
        <v>10ON175</v>
      </c>
      <c r="G821">
        <v>15.999999999999972</v>
      </c>
      <c r="H821" t="str">
        <v>hour</v>
      </c>
      <c r="J821">
        <v>189</v>
      </c>
      <c r="K821" s="19">
        <v>46054</v>
      </c>
    </row>
    <row r="822" spans="1:11" x14ac:dyDescent="0.25">
      <c r="A822">
        <v>821</v>
      </c>
      <c r="B822">
        <v>2026</v>
      </c>
      <c r="C822">
        <v>2</v>
      </c>
      <c r="D822">
        <v>31</v>
      </c>
      <c r="E822">
        <v>13</v>
      </c>
      <c r="F822" t="str">
        <v>27BZ361</v>
      </c>
      <c r="G822">
        <v>19.999999999999975</v>
      </c>
      <c r="H822" t="str">
        <v>hour</v>
      </c>
      <c r="J822">
        <v>191</v>
      </c>
      <c r="K822" s="19">
        <v>46054</v>
      </c>
    </row>
    <row r="823" spans="1:11" x14ac:dyDescent="0.25">
      <c r="A823">
        <v>822</v>
      </c>
      <c r="B823">
        <v>2026</v>
      </c>
      <c r="C823">
        <v>2</v>
      </c>
      <c r="D823">
        <v>31</v>
      </c>
      <c r="E823">
        <v>13</v>
      </c>
      <c r="F823" t="str">
        <v>10ZU722</v>
      </c>
      <c r="G823">
        <v>49.999999999999986</v>
      </c>
      <c r="H823" t="str">
        <v>hour</v>
      </c>
      <c r="J823">
        <v>193</v>
      </c>
      <c r="K823" s="19">
        <v>46054</v>
      </c>
    </row>
    <row r="824" spans="1:11" x14ac:dyDescent="0.25">
      <c r="A824">
        <v>823</v>
      </c>
      <c r="B824">
        <v>2026</v>
      </c>
      <c r="C824">
        <v>2</v>
      </c>
      <c r="D824">
        <v>31</v>
      </c>
      <c r="E824">
        <v>13</v>
      </c>
      <c r="F824" t="str">
        <v>38BG860</v>
      </c>
      <c r="G824">
        <v>19.999999999999979</v>
      </c>
      <c r="H824" t="str">
        <v>hour</v>
      </c>
      <c r="J824">
        <v>197</v>
      </c>
      <c r="K824" s="19">
        <v>46054</v>
      </c>
    </row>
    <row r="825" spans="1:11" x14ac:dyDescent="0.25">
      <c r="A825">
        <v>824</v>
      </c>
      <c r="B825">
        <v>2026</v>
      </c>
      <c r="C825">
        <v>2</v>
      </c>
      <c r="D825">
        <v>31</v>
      </c>
      <c r="E825">
        <v>13</v>
      </c>
      <c r="F825" t="str">
        <v>90GG153</v>
      </c>
      <c r="G825">
        <v>3.0000000000000018</v>
      </c>
      <c r="H825" t="str">
        <v>hour</v>
      </c>
      <c r="J825">
        <v>203</v>
      </c>
      <c r="K825" s="19">
        <v>46054</v>
      </c>
    </row>
    <row r="826" spans="1:11" x14ac:dyDescent="0.25">
      <c r="A826">
        <v>825</v>
      </c>
      <c r="B826">
        <v>2026</v>
      </c>
      <c r="C826">
        <v>2</v>
      </c>
      <c r="D826">
        <v>31</v>
      </c>
      <c r="E826">
        <v>13</v>
      </c>
      <c r="F826" t="str">
        <v>53BD239</v>
      </c>
      <c r="G826">
        <v>15.999999999999989</v>
      </c>
      <c r="H826" t="str">
        <v>hour</v>
      </c>
      <c r="J826">
        <v>205</v>
      </c>
      <c r="K826" s="19">
        <v>46054</v>
      </c>
    </row>
    <row r="827" spans="1:11" x14ac:dyDescent="0.25">
      <c r="A827">
        <v>826</v>
      </c>
      <c r="B827">
        <v>2026</v>
      </c>
      <c r="C827">
        <v>2</v>
      </c>
      <c r="D827">
        <v>31</v>
      </c>
      <c r="E827">
        <v>13</v>
      </c>
      <c r="F827" t="str">
        <v>99GN495</v>
      </c>
      <c r="G827">
        <v>2</v>
      </c>
      <c r="H827" t="str">
        <v>hour</v>
      </c>
      <c r="J827">
        <v>207</v>
      </c>
      <c r="K827" s="19">
        <v>46054</v>
      </c>
    </row>
    <row r="828" spans="1:11" x14ac:dyDescent="0.25">
      <c r="A828">
        <v>827</v>
      </c>
      <c r="B828">
        <v>2026</v>
      </c>
      <c r="C828">
        <v>3</v>
      </c>
      <c r="D828">
        <v>31</v>
      </c>
      <c r="E828">
        <v>14</v>
      </c>
      <c r="F828" t="str">
        <v>90GG153</v>
      </c>
      <c r="G828">
        <v>29</v>
      </c>
      <c r="H828" t="str">
        <v>single</v>
      </c>
      <c r="J828">
        <v>202</v>
      </c>
      <c r="K828" s="19">
        <v>46082</v>
      </c>
    </row>
    <row r="829" spans="1:11" x14ac:dyDescent="0.25">
      <c r="A829">
        <v>828</v>
      </c>
      <c r="B829">
        <v>2026</v>
      </c>
      <c r="C829">
        <v>3</v>
      </c>
      <c r="D829">
        <v>31</v>
      </c>
      <c r="E829">
        <v>14</v>
      </c>
      <c r="F829" t="str">
        <v>90GG153</v>
      </c>
      <c r="G829">
        <v>15</v>
      </c>
      <c r="H829" t="str">
        <v>hour</v>
      </c>
      <c r="J829">
        <v>203</v>
      </c>
      <c r="K829" s="19">
        <v>46082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34DB-1F0F-4961-ABA7-AEB12E872399}">
  <sheetPr codeName="Sheet19" filterMode="1"/>
  <dimension ref="A1:AE1139"/>
  <sheetViews>
    <sheetView workbookViewId="0">
      <pane ySplit="1" topLeftCell="A27" activePane="bottomLeft" state="frozen"/>
      <selection activeCell="O1" sqref="O1"/>
      <selection pane="bottomLeft" activeCell="J192" sqref="J192:J812"/>
    </sheetView>
  </sheetViews>
  <sheetFormatPr defaultRowHeight="15" x14ac:dyDescent="0.25"/>
  <cols>
    <col min="4" max="4" width="6.7109375" bestFit="1" customWidth="1"/>
    <col min="6" max="6" width="12" bestFit="1" customWidth="1"/>
    <col min="7" max="7" width="12.28515625" style="61" bestFit="1" customWidth="1"/>
    <col min="9" max="9" width="29.5703125" customWidth="1"/>
    <col min="10" max="10" width="14" customWidth="1"/>
    <col min="11" max="11" width="9.5703125" style="61" bestFit="1" customWidth="1"/>
    <col min="12" max="12" width="12.28515625" style="61" bestFit="1" customWidth="1"/>
  </cols>
  <sheetData>
    <row r="1" spans="1:31" x14ac:dyDescent="0.25">
      <c r="A1" s="20" t="s">
        <v>69</v>
      </c>
      <c r="B1" s="20" t="s">
        <v>187</v>
      </c>
      <c r="C1" s="20" t="s">
        <v>84</v>
      </c>
      <c r="D1" s="20" t="s">
        <v>76</v>
      </c>
      <c r="E1" s="20" t="s">
        <v>82</v>
      </c>
      <c r="F1" s="20" t="s">
        <v>86</v>
      </c>
      <c r="G1" s="102" t="s">
        <v>85</v>
      </c>
      <c r="H1" s="20" t="s">
        <v>603</v>
      </c>
      <c r="I1" s="20" t="s">
        <v>344</v>
      </c>
      <c r="J1" s="20" t="s">
        <v>600</v>
      </c>
      <c r="K1" s="60" t="s">
        <v>614</v>
      </c>
      <c r="L1" s="60" t="s">
        <v>610</v>
      </c>
      <c r="O1" t="s">
        <v>1168</v>
      </c>
      <c r="AA1" cm="1">
        <f t="array" ref="AA1:AE1139">_xlfn.LET(
 _xlpm.last, MATCH(2,1/(log_daily_records!E:E&lt;&gt;""),1),
 _xlpm.e, log_daily_records!E2:INDEX(log_daily_records!E:E,_xlpm.last),
 _xlpm.F, log_daily_records!F2:INDEX(log_daily_records!F:F,_xlpm.last),
 _xlpm.d, log_daily_records!D2:INDEX(log_daily_records!D:D,_xlpm.last),
 _xlpm.AM,log_daily_records!AM2:INDEX(log_daily_records!AM:AM,_xlpm.last),
 _xlpm.AN,log_daily_records!AN2:INDEX(log_daily_records!AN:AN,_xlpm.last),
 _xlpm.AO,log_daily_records!AO2:INDEX(log_daily_records!AO:AO,_xlpm.last),
 _xlpm.AT,log_daily_records!AS2:INDEX(log_daily_records!AS:AS,_xlpm.last),
 _xlfn.VSTACK(
  _xlfn.IFNA(_xlfn._xlws.FILTER(_xlfn.HSTACK(_xlpm.e,_xlpm.F,_xlpm.d,_xlpm.AM,""),_xlpm.AM&gt;0),"single"),
  _xlfn.IFNA(_xlfn._xlws.FILTER(_xlfn.HSTACK(_xlpm.e,_xlpm.F,_xlpm.d,_xlpm.AN,""),_xlpm.AN&gt;0),"double"),
  _xlfn.IFNA(_xlfn._xlws.FILTER(_xlfn.HSTACK(_xlpm.e,_xlpm.F,_xlpm.d,_xlpm.AO,""),_xlpm.AO&gt;0),"hour"),
  _xlfn.IFNA(_xlfn._xlws.FILTER(_xlfn.HSTACK(_xlpm.e,_xlpm.F,_xlpm.d,_xlpm.AT,""),_xlpm.AT&gt;0),"dist")
 )
)</f>
        <v>30</v>
      </c>
      <c r="AB1">
        <v>1</v>
      </c>
      <c r="AC1" t="str">
        <v>99AS882</v>
      </c>
      <c r="AD1">
        <v>10</v>
      </c>
      <c r="AE1" t="str">
        <v>single</v>
      </c>
    </row>
    <row r="2" spans="1:31" hidden="1" x14ac:dyDescent="0.25">
      <c r="A2" cm="1">
        <f t="array" ref="A2:A1126">_xlfn.SEQUENCE(ROWS(_xlfn.ANCHORARRAY(B2)))</f>
        <v>1</v>
      </c>
      <c r="B2" cm="1">
        <f t="array" ref="B2:J1126">_xlfn.DROP(_xlfn.VSTACK(_xlfn._TRO_TRAILING(daily_quantities!B:J),_xlfn.DROP(_xlfn._TRO_TRAILING(log_monthly_records!B:J),1)),1)</f>
        <v>2025</v>
      </c>
      <c r="C2">
        <v>1</v>
      </c>
      <c r="D2">
        <v>30</v>
      </c>
      <c r="E2">
        <v>1</v>
      </c>
      <c r="F2" t="str">
        <v>99AS882</v>
      </c>
      <c r="G2" s="103">
        <v>10</v>
      </c>
      <c r="H2" t="str">
        <v>single</v>
      </c>
      <c r="I2">
        <v>0</v>
      </c>
      <c r="J2">
        <v>1</v>
      </c>
      <c r="K2" s="61" cm="1">
        <f t="array" ref="K2:K1126">_xlfn.XLOOKUP(INDEX(_xlfn.ANCHORARRAY(B2),,3)&amp;"-"&amp;INDEX(_xlfn.ANCHORARRAY(B2),,9),_xlfn._TRO_TRAILING(log_prices!B:B),_xlfn._TRO_TRAILING(log_prices!I:I),,0)</f>
        <v>183.33333333333334</v>
      </c>
      <c r="L2" s="61" cm="1">
        <f t="array" ref="L2:L1126">_xlfn.LET(_xlpm.d,INDEX(_xlfn.ANCHORARRAY(B2),,6),_xlpm.d*_xlfn.ANCHORARRAY(K2))</f>
        <v>1833.3333333333335</v>
      </c>
      <c r="M2" t="s">
        <v>1116</v>
      </c>
      <c r="AA2">
        <v>30</v>
      </c>
      <c r="AB2">
        <v>2</v>
      </c>
      <c r="AC2" t="str">
        <v>99AS882</v>
      </c>
      <c r="AD2">
        <v>30</v>
      </c>
      <c r="AE2" t="str">
        <v>single</v>
      </c>
    </row>
    <row r="3" spans="1:31" hidden="1" x14ac:dyDescent="0.25">
      <c r="A3">
        <v>2</v>
      </c>
      <c r="B3">
        <v>2025</v>
      </c>
      <c r="C3">
        <v>1</v>
      </c>
      <c r="D3">
        <v>31</v>
      </c>
      <c r="E3">
        <v>1</v>
      </c>
      <c r="F3" t="str">
        <v>99LT168</v>
      </c>
      <c r="G3" s="103">
        <v>8</v>
      </c>
      <c r="H3" t="str">
        <v>single</v>
      </c>
      <c r="I3">
        <v>0</v>
      </c>
      <c r="J3">
        <v>1</v>
      </c>
      <c r="K3" s="61">
        <v>73.33</v>
      </c>
      <c r="L3" s="61">
        <v>586.64</v>
      </c>
      <c r="AA3">
        <v>30</v>
      </c>
      <c r="AB3">
        <v>2</v>
      </c>
      <c r="AC3" t="str">
        <v>99JE233</v>
      </c>
      <c r="AD3">
        <v>30</v>
      </c>
      <c r="AE3" t="str">
        <v>single</v>
      </c>
    </row>
    <row r="4" spans="1:31" hidden="1" x14ac:dyDescent="0.25">
      <c r="A4">
        <v>3</v>
      </c>
      <c r="B4">
        <v>2025</v>
      </c>
      <c r="C4">
        <v>1</v>
      </c>
      <c r="D4">
        <v>31</v>
      </c>
      <c r="E4">
        <v>1</v>
      </c>
      <c r="F4" t="str">
        <v>99HZ395</v>
      </c>
      <c r="G4" s="103">
        <v>3</v>
      </c>
      <c r="H4" t="str">
        <v>single</v>
      </c>
      <c r="I4">
        <v>0</v>
      </c>
      <c r="J4">
        <v>3</v>
      </c>
      <c r="K4" s="61">
        <v>65</v>
      </c>
      <c r="L4" s="61">
        <v>195</v>
      </c>
      <c r="AA4">
        <v>31</v>
      </c>
      <c r="AB4">
        <v>1</v>
      </c>
      <c r="AC4" t="str">
        <v>99LT168</v>
      </c>
      <c r="AD4">
        <v>8</v>
      </c>
      <c r="AE4" t="str">
        <v>single</v>
      </c>
    </row>
    <row r="5" spans="1:31" hidden="1" x14ac:dyDescent="0.25">
      <c r="A5">
        <v>4</v>
      </c>
      <c r="B5">
        <v>2025</v>
      </c>
      <c r="C5">
        <v>2</v>
      </c>
      <c r="D5">
        <v>31</v>
      </c>
      <c r="E5">
        <v>1</v>
      </c>
      <c r="F5" t="str">
        <v>99LT168</v>
      </c>
      <c r="G5" s="103">
        <v>28</v>
      </c>
      <c r="H5" t="str">
        <v>single</v>
      </c>
      <c r="I5">
        <v>0</v>
      </c>
      <c r="J5">
        <v>1</v>
      </c>
      <c r="K5" s="61">
        <v>73.33</v>
      </c>
      <c r="L5" s="61">
        <v>2053.2399999999998</v>
      </c>
      <c r="AA5">
        <v>31</v>
      </c>
      <c r="AB5">
        <v>1</v>
      </c>
      <c r="AC5" t="str">
        <v>99LT168</v>
      </c>
      <c r="AD5">
        <v>28</v>
      </c>
      <c r="AE5" t="str">
        <v>single</v>
      </c>
    </row>
    <row r="6" spans="1:31" hidden="1" x14ac:dyDescent="0.25">
      <c r="A6">
        <v>5</v>
      </c>
      <c r="B6">
        <v>2025</v>
      </c>
      <c r="C6">
        <v>2</v>
      </c>
      <c r="D6">
        <v>31</v>
      </c>
      <c r="E6">
        <v>1</v>
      </c>
      <c r="F6" t="str">
        <v>99HZ395</v>
      </c>
      <c r="G6" s="103">
        <v>28</v>
      </c>
      <c r="H6" t="str">
        <v>single</v>
      </c>
      <c r="I6">
        <v>0</v>
      </c>
      <c r="J6">
        <v>3</v>
      </c>
      <c r="K6" s="61">
        <v>65</v>
      </c>
      <c r="L6" s="61">
        <v>1820</v>
      </c>
      <c r="AA6">
        <v>31</v>
      </c>
      <c r="AB6">
        <v>1</v>
      </c>
      <c r="AC6" t="str">
        <v>99HZ395</v>
      </c>
      <c r="AD6">
        <v>3</v>
      </c>
      <c r="AE6" t="str">
        <v>single</v>
      </c>
    </row>
    <row r="7" spans="1:31" hidden="1" x14ac:dyDescent="0.25">
      <c r="A7">
        <v>6</v>
      </c>
      <c r="B7">
        <v>2025</v>
      </c>
      <c r="C7">
        <v>2</v>
      </c>
      <c r="D7">
        <v>31</v>
      </c>
      <c r="E7">
        <v>1</v>
      </c>
      <c r="F7" t="str">
        <v>99FB123</v>
      </c>
      <c r="G7" s="103">
        <v>6</v>
      </c>
      <c r="H7" t="str">
        <v>single</v>
      </c>
      <c r="I7">
        <v>0</v>
      </c>
      <c r="J7">
        <v>9</v>
      </c>
      <c r="K7" s="61">
        <v>73.33</v>
      </c>
      <c r="L7" s="61">
        <v>439.98</v>
      </c>
      <c r="AA7">
        <v>31</v>
      </c>
      <c r="AB7">
        <v>1</v>
      </c>
      <c r="AC7" t="str">
        <v>99HZ395</v>
      </c>
      <c r="AD7">
        <v>28</v>
      </c>
      <c r="AE7" t="str">
        <v>single</v>
      </c>
    </row>
    <row r="8" spans="1:31" hidden="1" x14ac:dyDescent="0.25">
      <c r="A8">
        <v>7</v>
      </c>
      <c r="B8">
        <v>2025</v>
      </c>
      <c r="C8">
        <v>2</v>
      </c>
      <c r="D8">
        <v>31</v>
      </c>
      <c r="E8">
        <v>1</v>
      </c>
      <c r="F8" t="str">
        <v>90OV187</v>
      </c>
      <c r="G8" s="103">
        <v>17</v>
      </c>
      <c r="H8" t="str">
        <v>single</v>
      </c>
      <c r="I8">
        <v>0</v>
      </c>
      <c r="J8">
        <v>5</v>
      </c>
      <c r="K8" s="61">
        <v>73.33</v>
      </c>
      <c r="L8" s="61">
        <v>1246.6099999999999</v>
      </c>
      <c r="AA8">
        <v>31</v>
      </c>
      <c r="AB8">
        <v>1</v>
      </c>
      <c r="AC8" t="str">
        <v>99FB123</v>
      </c>
      <c r="AD8">
        <v>6</v>
      </c>
      <c r="AE8" t="str">
        <v>single</v>
      </c>
    </row>
    <row r="9" spans="1:31" hidden="1" x14ac:dyDescent="0.25">
      <c r="A9">
        <v>8</v>
      </c>
      <c r="B9">
        <v>2025</v>
      </c>
      <c r="C9">
        <v>2</v>
      </c>
      <c r="D9">
        <v>31</v>
      </c>
      <c r="E9">
        <v>1</v>
      </c>
      <c r="F9" t="str">
        <v>77UG347</v>
      </c>
      <c r="G9" s="103">
        <v>6</v>
      </c>
      <c r="H9" t="str">
        <v>single</v>
      </c>
      <c r="I9">
        <v>0</v>
      </c>
      <c r="J9">
        <v>7</v>
      </c>
      <c r="K9" s="61">
        <v>65</v>
      </c>
      <c r="L9" s="61">
        <v>390</v>
      </c>
      <c r="AA9">
        <v>31</v>
      </c>
      <c r="AB9">
        <v>1</v>
      </c>
      <c r="AC9" t="str">
        <v>90OV187</v>
      </c>
      <c r="AD9">
        <v>17</v>
      </c>
      <c r="AE9" t="str">
        <v>single</v>
      </c>
    </row>
    <row r="10" spans="1:31" hidden="1" x14ac:dyDescent="0.25">
      <c r="A10">
        <v>9</v>
      </c>
      <c r="B10">
        <v>2025</v>
      </c>
      <c r="C10">
        <v>2</v>
      </c>
      <c r="D10">
        <v>31</v>
      </c>
      <c r="E10">
        <v>1</v>
      </c>
      <c r="F10" t="str">
        <v>90ZP408</v>
      </c>
      <c r="G10" s="103">
        <v>17</v>
      </c>
      <c r="H10" t="str">
        <v>single</v>
      </c>
      <c r="I10">
        <v>0</v>
      </c>
      <c r="J10">
        <v>11</v>
      </c>
      <c r="K10" s="61">
        <v>55.36</v>
      </c>
      <c r="L10" s="61">
        <v>941.12</v>
      </c>
      <c r="AA10">
        <v>31</v>
      </c>
      <c r="AB10">
        <v>1</v>
      </c>
      <c r="AC10" t="str">
        <v>77UG347</v>
      </c>
      <c r="AD10">
        <v>6</v>
      </c>
      <c r="AE10" t="str">
        <v>single</v>
      </c>
    </row>
    <row r="11" spans="1:31" hidden="1" x14ac:dyDescent="0.25">
      <c r="A11">
        <v>10</v>
      </c>
      <c r="B11">
        <v>2025</v>
      </c>
      <c r="C11">
        <v>2</v>
      </c>
      <c r="D11">
        <v>31</v>
      </c>
      <c r="E11">
        <v>1</v>
      </c>
      <c r="F11" t="str">
        <v>66CC029</v>
      </c>
      <c r="G11" s="103">
        <v>19</v>
      </c>
      <c r="H11" t="str">
        <v>single</v>
      </c>
      <c r="I11">
        <v>0</v>
      </c>
      <c r="J11">
        <v>15</v>
      </c>
      <c r="K11" s="61">
        <v>55.36</v>
      </c>
      <c r="L11" s="61">
        <v>1051.8399999999999</v>
      </c>
      <c r="AA11">
        <v>31</v>
      </c>
      <c r="AB11">
        <v>1</v>
      </c>
      <c r="AC11" t="str">
        <v>90ZP408</v>
      </c>
      <c r="AD11">
        <v>17</v>
      </c>
      <c r="AE11" t="str">
        <v>single</v>
      </c>
    </row>
    <row r="12" spans="1:31" hidden="1" x14ac:dyDescent="0.25">
      <c r="A12">
        <v>11</v>
      </c>
      <c r="B12">
        <v>2025</v>
      </c>
      <c r="C12">
        <v>2</v>
      </c>
      <c r="D12">
        <v>31</v>
      </c>
      <c r="E12">
        <v>1</v>
      </c>
      <c r="F12" t="str">
        <v>77QK725</v>
      </c>
      <c r="G12" s="103">
        <v>7</v>
      </c>
      <c r="H12" t="str">
        <v>single</v>
      </c>
      <c r="I12">
        <v>0</v>
      </c>
      <c r="J12">
        <v>17</v>
      </c>
      <c r="K12" s="61">
        <v>275</v>
      </c>
      <c r="L12" s="61">
        <v>1925</v>
      </c>
      <c r="AA12">
        <v>31</v>
      </c>
      <c r="AB12">
        <v>1</v>
      </c>
      <c r="AC12" t="str">
        <v>66CC029</v>
      </c>
      <c r="AD12">
        <v>19</v>
      </c>
      <c r="AE12" t="str">
        <v>single</v>
      </c>
    </row>
    <row r="13" spans="1:31" hidden="1" x14ac:dyDescent="0.25">
      <c r="A13">
        <v>12</v>
      </c>
      <c r="B13">
        <v>2025</v>
      </c>
      <c r="C13">
        <v>2</v>
      </c>
      <c r="D13">
        <v>31</v>
      </c>
      <c r="E13">
        <v>1</v>
      </c>
      <c r="F13" t="str">
        <v>77AT386</v>
      </c>
      <c r="G13" s="103">
        <v>9</v>
      </c>
      <c r="H13" t="str">
        <v>single</v>
      </c>
      <c r="I13">
        <v>0</v>
      </c>
      <c r="J13">
        <v>13</v>
      </c>
      <c r="K13" s="61">
        <v>46.67</v>
      </c>
      <c r="L13" s="61">
        <v>420.03000000000003</v>
      </c>
      <c r="AA13">
        <v>31</v>
      </c>
      <c r="AB13">
        <v>1</v>
      </c>
      <c r="AC13" t="str">
        <v>77QK725</v>
      </c>
      <c r="AD13">
        <v>7</v>
      </c>
      <c r="AE13" t="str">
        <v>single</v>
      </c>
    </row>
    <row r="14" spans="1:31" hidden="1" x14ac:dyDescent="0.25">
      <c r="A14">
        <v>13</v>
      </c>
      <c r="B14">
        <v>2025</v>
      </c>
      <c r="C14">
        <v>2</v>
      </c>
      <c r="D14">
        <v>31</v>
      </c>
      <c r="E14">
        <v>1</v>
      </c>
      <c r="F14" t="str">
        <v>99LT168</v>
      </c>
      <c r="G14" s="103">
        <v>1.9999999999999964</v>
      </c>
      <c r="H14" t="str">
        <v>hour</v>
      </c>
      <c r="I14">
        <v>0</v>
      </c>
      <c r="J14">
        <v>2</v>
      </c>
      <c r="K14" s="61">
        <v>7.3330000000000002</v>
      </c>
      <c r="L14" s="61">
        <v>14.665999999999974</v>
      </c>
      <c r="AA14">
        <v>31</v>
      </c>
      <c r="AB14">
        <v>1</v>
      </c>
      <c r="AC14" t="str">
        <v>77AT386</v>
      </c>
      <c r="AD14">
        <v>9</v>
      </c>
      <c r="AE14" t="str">
        <v>single</v>
      </c>
    </row>
    <row r="15" spans="1:31" hidden="1" x14ac:dyDescent="0.25">
      <c r="A15">
        <v>14</v>
      </c>
      <c r="B15">
        <v>2025</v>
      </c>
      <c r="C15">
        <v>2</v>
      </c>
      <c r="D15">
        <v>31</v>
      </c>
      <c r="E15">
        <v>1</v>
      </c>
      <c r="F15" t="str">
        <v>90ZP408</v>
      </c>
      <c r="G15" s="103">
        <v>16.999999999999972</v>
      </c>
      <c r="H15" t="str">
        <v>hour</v>
      </c>
      <c r="I15">
        <v>0</v>
      </c>
      <c r="J15">
        <v>12</v>
      </c>
      <c r="K15" s="61">
        <v>5.5359999999999996</v>
      </c>
      <c r="L15" s="61">
        <v>94.111999999999838</v>
      </c>
      <c r="AA15">
        <v>31</v>
      </c>
      <c r="AB15">
        <v>2</v>
      </c>
      <c r="AC15" t="str">
        <v>99LT168</v>
      </c>
      <c r="AD15">
        <v>21</v>
      </c>
      <c r="AE15" t="str">
        <v>single</v>
      </c>
    </row>
    <row r="16" spans="1:31" hidden="1" x14ac:dyDescent="0.25">
      <c r="A16">
        <v>15</v>
      </c>
      <c r="B16">
        <v>2025</v>
      </c>
      <c r="C16">
        <v>2</v>
      </c>
      <c r="D16">
        <v>31</v>
      </c>
      <c r="E16">
        <v>1</v>
      </c>
      <c r="F16" t="str">
        <v>66CC029</v>
      </c>
      <c r="G16" s="103">
        <v>18.999999999999972</v>
      </c>
      <c r="H16" t="str">
        <v>hour</v>
      </c>
      <c r="I16">
        <v>0</v>
      </c>
      <c r="J16">
        <v>16</v>
      </c>
      <c r="K16" s="61">
        <v>5.5359999999999996</v>
      </c>
      <c r="L16" s="61">
        <v>105.18399999999984</v>
      </c>
      <c r="AA16">
        <v>31</v>
      </c>
      <c r="AB16">
        <v>2</v>
      </c>
      <c r="AC16" t="str">
        <v>90OV187</v>
      </c>
      <c r="AD16">
        <v>30</v>
      </c>
      <c r="AE16" t="str">
        <v>single</v>
      </c>
    </row>
    <row r="17" spans="1:31" hidden="1" x14ac:dyDescent="0.25">
      <c r="A17">
        <v>16</v>
      </c>
      <c r="B17">
        <v>2025</v>
      </c>
      <c r="C17">
        <v>5</v>
      </c>
      <c r="D17">
        <v>46</v>
      </c>
      <c r="E17">
        <v>1</v>
      </c>
      <c r="F17" t="str">
        <v>110FY523</v>
      </c>
      <c r="G17" s="103">
        <v>8</v>
      </c>
      <c r="H17" t="str">
        <v>single</v>
      </c>
      <c r="I17">
        <v>0</v>
      </c>
      <c r="J17">
        <v>1</v>
      </c>
      <c r="K17" s="61">
        <v>214.28571428571428</v>
      </c>
      <c r="L17" s="61">
        <v>1714.2857142857142</v>
      </c>
      <c r="AA17">
        <v>31</v>
      </c>
      <c r="AB17">
        <v>2</v>
      </c>
      <c r="AC17" t="str">
        <v>99HZ395</v>
      </c>
      <c r="AD17">
        <v>25</v>
      </c>
      <c r="AE17" t="str">
        <v>single</v>
      </c>
    </row>
    <row r="18" spans="1:31" hidden="1" x14ac:dyDescent="0.25">
      <c r="A18">
        <v>17</v>
      </c>
      <c r="B18">
        <v>2025</v>
      </c>
      <c r="C18">
        <v>6</v>
      </c>
      <c r="D18">
        <v>50</v>
      </c>
      <c r="E18">
        <v>1</v>
      </c>
      <c r="F18" t="str">
        <v>61AB256</v>
      </c>
      <c r="G18" s="103">
        <v>24.5</v>
      </c>
      <c r="H18" t="str">
        <v>single</v>
      </c>
      <c r="I18">
        <v>0</v>
      </c>
      <c r="J18">
        <v>1</v>
      </c>
      <c r="K18" s="61">
        <v>357.14285714285717</v>
      </c>
      <c r="L18" s="61">
        <v>8750</v>
      </c>
      <c r="AA18">
        <v>31</v>
      </c>
      <c r="AB18">
        <v>2</v>
      </c>
      <c r="AC18" t="str">
        <v>90ZP408</v>
      </c>
      <c r="AD18">
        <v>24</v>
      </c>
      <c r="AE18" t="str">
        <v>single</v>
      </c>
    </row>
    <row r="19" spans="1:31" hidden="1" x14ac:dyDescent="0.25">
      <c r="A19">
        <v>18</v>
      </c>
      <c r="B19">
        <v>2025</v>
      </c>
      <c r="C19">
        <v>7</v>
      </c>
      <c r="D19">
        <v>51</v>
      </c>
      <c r="E19">
        <v>1</v>
      </c>
      <c r="F19" t="str">
        <v>10BA194</v>
      </c>
      <c r="G19" s="103">
        <v>16</v>
      </c>
      <c r="H19" t="str">
        <v>single</v>
      </c>
      <c r="I19">
        <v>0</v>
      </c>
      <c r="J19">
        <v>1</v>
      </c>
      <c r="K19" s="61">
        <v>225</v>
      </c>
      <c r="L19" s="61">
        <v>3600</v>
      </c>
      <c r="AA19">
        <v>31</v>
      </c>
      <c r="AB19">
        <v>2</v>
      </c>
      <c r="AC19" t="str">
        <v>66CC029</v>
      </c>
      <c r="AD19">
        <v>25</v>
      </c>
      <c r="AE19" t="str">
        <v>single</v>
      </c>
    </row>
    <row r="20" spans="1:31" hidden="1" x14ac:dyDescent="0.25">
      <c r="A20">
        <v>19</v>
      </c>
      <c r="B20">
        <v>2025</v>
      </c>
      <c r="C20">
        <v>7</v>
      </c>
      <c r="D20">
        <v>51</v>
      </c>
      <c r="E20">
        <v>1</v>
      </c>
      <c r="F20" t="str">
        <v>10BA194</v>
      </c>
      <c r="G20" s="103">
        <v>3.9999999999999929</v>
      </c>
      <c r="H20" t="str">
        <v>hour</v>
      </c>
      <c r="I20">
        <v>0</v>
      </c>
      <c r="J20">
        <v>2</v>
      </c>
      <c r="K20" s="61">
        <v>25</v>
      </c>
      <c r="L20" s="61">
        <v>99.999999999999829</v>
      </c>
      <c r="AA20">
        <v>31</v>
      </c>
      <c r="AB20">
        <v>2</v>
      </c>
      <c r="AC20" t="str">
        <v>77QK725</v>
      </c>
      <c r="AD20">
        <v>24</v>
      </c>
      <c r="AE20" t="str">
        <v>single</v>
      </c>
    </row>
    <row r="21" spans="1:31" hidden="1" x14ac:dyDescent="0.25">
      <c r="A21">
        <v>20</v>
      </c>
      <c r="B21">
        <v>2025</v>
      </c>
      <c r="C21">
        <v>4</v>
      </c>
      <c r="D21">
        <v>52</v>
      </c>
      <c r="E21">
        <v>1</v>
      </c>
      <c r="F21" t="str">
        <v>10AC750</v>
      </c>
      <c r="G21" s="103">
        <v>16</v>
      </c>
      <c r="H21" t="str">
        <v>single</v>
      </c>
      <c r="I21">
        <v>0</v>
      </c>
      <c r="J21">
        <v>1</v>
      </c>
      <c r="K21" s="61">
        <v>375</v>
      </c>
      <c r="L21" s="61">
        <v>6000</v>
      </c>
      <c r="AA21">
        <v>31</v>
      </c>
      <c r="AB21">
        <v>2</v>
      </c>
      <c r="AC21" t="str">
        <v>77QK725</v>
      </c>
      <c r="AD21" t="str">
        <v/>
      </c>
      <c r="AE21" t="str">
        <v>single</v>
      </c>
    </row>
    <row r="22" spans="1:31" hidden="1" x14ac:dyDescent="0.25">
      <c r="A22">
        <v>21</v>
      </c>
      <c r="B22">
        <v>2025</v>
      </c>
      <c r="C22">
        <v>4</v>
      </c>
      <c r="D22">
        <v>52</v>
      </c>
      <c r="E22">
        <v>1</v>
      </c>
      <c r="F22" t="str">
        <v>10AC750</v>
      </c>
      <c r="G22" s="103">
        <v>6.9999999999999982</v>
      </c>
      <c r="H22" t="str">
        <v>hour</v>
      </c>
      <c r="I22">
        <v>0</v>
      </c>
      <c r="J22">
        <v>2</v>
      </c>
      <c r="K22" s="61">
        <v>37.5</v>
      </c>
      <c r="L22" s="61">
        <v>262.49999999999994</v>
      </c>
      <c r="AA22">
        <v>31</v>
      </c>
      <c r="AB22">
        <v>2</v>
      </c>
      <c r="AC22" t="str">
        <v>77AT386</v>
      </c>
      <c r="AD22">
        <v>31</v>
      </c>
      <c r="AE22" t="str">
        <v>single</v>
      </c>
    </row>
    <row r="23" spans="1:31" hidden="1" x14ac:dyDescent="0.25">
      <c r="A23">
        <v>22</v>
      </c>
      <c r="B23">
        <v>2025</v>
      </c>
      <c r="C23">
        <v>5</v>
      </c>
      <c r="D23">
        <v>65</v>
      </c>
      <c r="E23">
        <v>1</v>
      </c>
      <c r="F23" t="str">
        <v>01BA176</v>
      </c>
      <c r="G23" s="103">
        <v>25</v>
      </c>
      <c r="H23" t="str">
        <v>single</v>
      </c>
      <c r="I23">
        <v>0</v>
      </c>
      <c r="J23">
        <v>1</v>
      </c>
      <c r="K23" s="61">
        <v>196.42857142857142</v>
      </c>
      <c r="L23" s="61">
        <v>4910.7142857142853</v>
      </c>
      <c r="AA23">
        <v>31</v>
      </c>
      <c r="AB23">
        <v>2</v>
      </c>
      <c r="AC23" t="str">
        <v>90SL686</v>
      </c>
      <c r="AD23">
        <v>30</v>
      </c>
      <c r="AE23" t="str">
        <v>single</v>
      </c>
    </row>
    <row r="24" spans="1:31" hidden="1" x14ac:dyDescent="0.25">
      <c r="A24">
        <v>23</v>
      </c>
      <c r="B24">
        <v>2025</v>
      </c>
      <c r="C24">
        <v>5</v>
      </c>
      <c r="D24">
        <v>65</v>
      </c>
      <c r="E24">
        <v>1</v>
      </c>
      <c r="F24" t="str">
        <v>10BD252</v>
      </c>
      <c r="G24" s="103">
        <v>22</v>
      </c>
      <c r="H24" t="str">
        <v>single</v>
      </c>
      <c r="I24">
        <v>0</v>
      </c>
      <c r="J24">
        <v>2</v>
      </c>
      <c r="K24" s="61">
        <v>160.71</v>
      </c>
      <c r="L24" s="61">
        <v>3535.6200000000003</v>
      </c>
      <c r="AA24">
        <v>31</v>
      </c>
      <c r="AB24">
        <v>2</v>
      </c>
      <c r="AC24" t="str">
        <v>55CB633</v>
      </c>
      <c r="AD24">
        <v>25</v>
      </c>
      <c r="AE24" t="str">
        <v>single</v>
      </c>
    </row>
    <row r="25" spans="1:31" hidden="1" x14ac:dyDescent="0.25">
      <c r="A25">
        <v>24</v>
      </c>
      <c r="B25">
        <v>2025</v>
      </c>
      <c r="C25">
        <v>6</v>
      </c>
      <c r="D25">
        <v>85</v>
      </c>
      <c r="E25">
        <v>1</v>
      </c>
      <c r="F25" t="str">
        <v>77SN951</v>
      </c>
      <c r="G25" s="103">
        <v>15</v>
      </c>
      <c r="H25" t="str">
        <v>single</v>
      </c>
      <c r="I25">
        <v>0</v>
      </c>
      <c r="J25">
        <v>1</v>
      </c>
      <c r="K25" s="61">
        <v>446.43</v>
      </c>
      <c r="L25" s="61">
        <v>6696.45</v>
      </c>
      <c r="AA25">
        <v>31</v>
      </c>
      <c r="AB25">
        <v>2</v>
      </c>
      <c r="AC25" t="str">
        <v>77GM723</v>
      </c>
      <c r="AD25">
        <v>28</v>
      </c>
      <c r="AE25" t="str">
        <v>single</v>
      </c>
    </row>
    <row r="26" spans="1:31" hidden="1" x14ac:dyDescent="0.25">
      <c r="A26">
        <v>25</v>
      </c>
      <c r="B26">
        <v>2025</v>
      </c>
      <c r="C26">
        <v>6</v>
      </c>
      <c r="D26">
        <v>85</v>
      </c>
      <c r="E26">
        <v>1</v>
      </c>
      <c r="F26" t="str">
        <v>77SN951</v>
      </c>
      <c r="G26" s="103">
        <v>25.999999999999993</v>
      </c>
      <c r="H26" t="str">
        <v>hour</v>
      </c>
      <c r="I26">
        <v>0</v>
      </c>
      <c r="J26">
        <v>2</v>
      </c>
      <c r="K26" s="61">
        <v>44.643000000000001</v>
      </c>
      <c r="L26" s="61">
        <v>1160.7179999999996</v>
      </c>
      <c r="AA26">
        <v>31</v>
      </c>
      <c r="AB26">
        <v>2</v>
      </c>
      <c r="AC26" t="str">
        <v>99DX531</v>
      </c>
      <c r="AD26">
        <v>27</v>
      </c>
      <c r="AE26" t="str">
        <v>single</v>
      </c>
    </row>
    <row r="27" spans="1:31" hidden="1" x14ac:dyDescent="0.25">
      <c r="A27">
        <v>26</v>
      </c>
      <c r="B27">
        <v>2025</v>
      </c>
      <c r="C27">
        <v>6</v>
      </c>
      <c r="D27">
        <v>94</v>
      </c>
      <c r="E27">
        <v>1</v>
      </c>
      <c r="F27" t="str">
        <v>54BM823</v>
      </c>
      <c r="G27" s="103">
        <v>28</v>
      </c>
      <c r="H27" t="str">
        <v>single</v>
      </c>
      <c r="I27">
        <v>0</v>
      </c>
      <c r="J27">
        <v>1</v>
      </c>
      <c r="K27" s="61">
        <v>125</v>
      </c>
      <c r="L27" s="61">
        <v>3500</v>
      </c>
      <c r="AA27">
        <v>31</v>
      </c>
      <c r="AB27">
        <v>2</v>
      </c>
      <c r="AC27" t="str">
        <v>15BZ942</v>
      </c>
      <c r="AD27">
        <v>29</v>
      </c>
      <c r="AE27" t="str">
        <v>single</v>
      </c>
    </row>
    <row r="28" spans="1:31" hidden="1" x14ac:dyDescent="0.25">
      <c r="A28">
        <v>27</v>
      </c>
      <c r="B28">
        <v>2025</v>
      </c>
      <c r="C28">
        <v>7</v>
      </c>
      <c r="D28">
        <v>95</v>
      </c>
      <c r="E28">
        <v>1</v>
      </c>
      <c r="F28" t="str">
        <v>54BA209</v>
      </c>
      <c r="G28" s="103">
        <v>16.5</v>
      </c>
      <c r="H28" t="str">
        <v>single</v>
      </c>
      <c r="I28">
        <v>0</v>
      </c>
      <c r="J28">
        <v>1</v>
      </c>
      <c r="K28" s="61">
        <v>285.70999999999998</v>
      </c>
      <c r="L28" s="61">
        <v>4714.2149999999992</v>
      </c>
      <c r="AA28">
        <v>31</v>
      </c>
      <c r="AB28">
        <v>2</v>
      </c>
      <c r="AC28" t="str">
        <v>99BT339</v>
      </c>
      <c r="AD28">
        <v>26</v>
      </c>
      <c r="AE28" t="str">
        <v>single</v>
      </c>
    </row>
    <row r="29" spans="1:31" hidden="1" x14ac:dyDescent="0.25">
      <c r="A29">
        <v>28</v>
      </c>
      <c r="B29">
        <v>2025</v>
      </c>
      <c r="C29">
        <v>7</v>
      </c>
      <c r="D29">
        <v>98</v>
      </c>
      <c r="E29">
        <v>1</v>
      </c>
      <c r="F29" t="str">
        <v>50BD416</v>
      </c>
      <c r="G29" s="103">
        <v>12</v>
      </c>
      <c r="H29" t="str">
        <v>single</v>
      </c>
      <c r="I29">
        <v>0</v>
      </c>
      <c r="J29">
        <v>1</v>
      </c>
      <c r="K29" s="61">
        <v>107.14</v>
      </c>
      <c r="L29" s="61">
        <v>1285.68</v>
      </c>
      <c r="AA29">
        <v>31</v>
      </c>
      <c r="AB29">
        <v>2</v>
      </c>
      <c r="AC29" t="str">
        <v>77ET143</v>
      </c>
      <c r="AD29">
        <v>25</v>
      </c>
      <c r="AE29" t="str">
        <v>single</v>
      </c>
    </row>
    <row r="30" spans="1:31" hidden="1" x14ac:dyDescent="0.25">
      <c r="A30">
        <v>29</v>
      </c>
      <c r="B30">
        <v>2025</v>
      </c>
      <c r="C30">
        <v>7</v>
      </c>
      <c r="D30">
        <v>99</v>
      </c>
      <c r="E30">
        <v>1</v>
      </c>
      <c r="F30" t="str">
        <v>50BX301</v>
      </c>
      <c r="G30" s="103">
        <v>10</v>
      </c>
      <c r="H30" t="str">
        <v>single</v>
      </c>
      <c r="I30">
        <v>0</v>
      </c>
      <c r="J30">
        <v>1</v>
      </c>
      <c r="K30" s="61">
        <v>125</v>
      </c>
      <c r="L30" s="61">
        <v>1250</v>
      </c>
      <c r="AA30">
        <v>31</v>
      </c>
      <c r="AB30">
        <v>2</v>
      </c>
      <c r="AC30" t="str">
        <v>50DK730</v>
      </c>
      <c r="AD30">
        <v>28</v>
      </c>
      <c r="AE30" t="str">
        <v>single</v>
      </c>
    </row>
    <row r="31" spans="1:31" hidden="1" x14ac:dyDescent="0.25">
      <c r="A31">
        <v>30</v>
      </c>
      <c r="B31">
        <v>2025</v>
      </c>
      <c r="C31">
        <v>7</v>
      </c>
      <c r="D31">
        <v>100</v>
      </c>
      <c r="E31">
        <v>1</v>
      </c>
      <c r="F31" t="str">
        <v>22AB273</v>
      </c>
      <c r="G31" s="103">
        <v>9</v>
      </c>
      <c r="H31" t="str">
        <v>single</v>
      </c>
      <c r="I31">
        <v>0</v>
      </c>
      <c r="J31">
        <v>1</v>
      </c>
      <c r="K31" s="61">
        <v>196.42857142857142</v>
      </c>
      <c r="L31" s="61">
        <v>1767.8571428571427</v>
      </c>
      <c r="AA31">
        <v>31</v>
      </c>
      <c r="AB31">
        <v>2</v>
      </c>
      <c r="AC31" t="str">
        <v>99MN472</v>
      </c>
      <c r="AD31">
        <v>29</v>
      </c>
      <c r="AE31" t="str">
        <v>single</v>
      </c>
    </row>
    <row r="32" spans="1:31" hidden="1" x14ac:dyDescent="0.25">
      <c r="A32">
        <v>31</v>
      </c>
      <c r="B32">
        <v>2025</v>
      </c>
      <c r="C32">
        <v>8</v>
      </c>
      <c r="D32">
        <v>102</v>
      </c>
      <c r="E32">
        <v>1</v>
      </c>
      <c r="F32" t="str">
        <v>99HQ687</v>
      </c>
      <c r="G32" s="103">
        <v>5</v>
      </c>
      <c r="H32" t="str">
        <v>single</v>
      </c>
      <c r="I32">
        <v>0</v>
      </c>
      <c r="J32">
        <v>1</v>
      </c>
      <c r="K32" s="61">
        <v>125</v>
      </c>
      <c r="L32" s="61">
        <v>625</v>
      </c>
      <c r="AA32">
        <v>31</v>
      </c>
      <c r="AB32">
        <v>2</v>
      </c>
      <c r="AC32" t="str">
        <v>52BK688</v>
      </c>
      <c r="AD32">
        <v>25</v>
      </c>
      <c r="AE32" t="str">
        <v>single</v>
      </c>
    </row>
    <row r="33" spans="1:31" hidden="1" x14ac:dyDescent="0.25">
      <c r="A33">
        <v>32</v>
      </c>
      <c r="B33">
        <v>2025</v>
      </c>
      <c r="C33">
        <v>8</v>
      </c>
      <c r="D33">
        <v>110</v>
      </c>
      <c r="E33">
        <v>1</v>
      </c>
      <c r="F33" t="str">
        <v>99XC106</v>
      </c>
      <c r="G33" s="103">
        <v>6</v>
      </c>
      <c r="H33" t="str">
        <v>single</v>
      </c>
      <c r="I33">
        <v>0</v>
      </c>
      <c r="J33">
        <v>1</v>
      </c>
      <c r="K33" s="61">
        <v>221.42857142857142</v>
      </c>
      <c r="L33" s="61">
        <v>1328.5714285714284</v>
      </c>
      <c r="AA33">
        <v>31</v>
      </c>
      <c r="AB33">
        <v>2</v>
      </c>
      <c r="AC33" t="str">
        <v>10RN527</v>
      </c>
      <c r="AD33">
        <v>18</v>
      </c>
      <c r="AE33" t="str">
        <v>single</v>
      </c>
    </row>
    <row r="34" spans="1:31" hidden="1" x14ac:dyDescent="0.25">
      <c r="A34">
        <v>33</v>
      </c>
      <c r="B34">
        <v>2025</v>
      </c>
      <c r="C34">
        <v>10</v>
      </c>
      <c r="D34">
        <v>121</v>
      </c>
      <c r="E34">
        <v>1</v>
      </c>
      <c r="F34" t="str">
        <v>11BC843</v>
      </c>
      <c r="G34" s="103">
        <v>28</v>
      </c>
      <c r="H34" t="str">
        <v>single</v>
      </c>
      <c r="I34">
        <v>0</v>
      </c>
      <c r="J34">
        <v>1</v>
      </c>
      <c r="K34" s="61">
        <v>128.57</v>
      </c>
      <c r="L34" s="61">
        <v>3599.96</v>
      </c>
      <c r="AA34">
        <v>31</v>
      </c>
      <c r="AB34">
        <v>2</v>
      </c>
      <c r="AC34" t="str">
        <v>77RN868</v>
      </c>
      <c r="AD34">
        <v>10</v>
      </c>
      <c r="AE34" t="str">
        <v>single</v>
      </c>
    </row>
    <row r="35" spans="1:31" hidden="1" x14ac:dyDescent="0.25">
      <c r="A35">
        <v>34</v>
      </c>
      <c r="B35">
        <v>2025</v>
      </c>
      <c r="C35">
        <v>10</v>
      </c>
      <c r="D35">
        <v>121</v>
      </c>
      <c r="E35">
        <v>1</v>
      </c>
      <c r="F35" t="str">
        <v>11BC843</v>
      </c>
      <c r="G35" s="103">
        <v>8</v>
      </c>
      <c r="H35" t="str">
        <v>hour</v>
      </c>
      <c r="I35">
        <v>0</v>
      </c>
      <c r="J35">
        <v>2</v>
      </c>
      <c r="K35" s="61">
        <v>12.856999999999999</v>
      </c>
      <c r="L35" s="61">
        <v>102.85599999999999</v>
      </c>
      <c r="AA35">
        <v>31</v>
      </c>
      <c r="AB35">
        <v>2</v>
      </c>
      <c r="AC35" t="str">
        <v>99LM412</v>
      </c>
      <c r="AD35">
        <v>4</v>
      </c>
      <c r="AE35" t="str">
        <v>single</v>
      </c>
    </row>
    <row r="36" spans="1:31" hidden="1" x14ac:dyDescent="0.25">
      <c r="A36">
        <v>35</v>
      </c>
      <c r="B36">
        <v>2025</v>
      </c>
      <c r="C36">
        <v>11</v>
      </c>
      <c r="D36">
        <v>141</v>
      </c>
      <c r="E36">
        <v>1</v>
      </c>
      <c r="F36" t="str">
        <v>10V288</v>
      </c>
      <c r="G36" s="103">
        <v>24</v>
      </c>
      <c r="H36" t="str">
        <v>single</v>
      </c>
      <c r="I36">
        <v>0</v>
      </c>
      <c r="J36">
        <v>1</v>
      </c>
      <c r="K36" s="61">
        <v>214.28571428571428</v>
      </c>
      <c r="L36" s="61">
        <v>5142.8571428571431</v>
      </c>
      <c r="AA36">
        <v>31</v>
      </c>
      <c r="AB36">
        <v>2</v>
      </c>
      <c r="AC36" t="str">
        <v>99TV366</v>
      </c>
      <c r="AD36">
        <v>14</v>
      </c>
      <c r="AE36" t="str">
        <v>single</v>
      </c>
    </row>
    <row r="37" spans="1:31" hidden="1" x14ac:dyDescent="0.25">
      <c r="A37">
        <v>36</v>
      </c>
      <c r="B37">
        <v>2025</v>
      </c>
      <c r="C37">
        <v>11</v>
      </c>
      <c r="D37">
        <v>141</v>
      </c>
      <c r="E37">
        <v>1</v>
      </c>
      <c r="F37" t="str">
        <v>10V288</v>
      </c>
      <c r="G37" s="103">
        <v>24</v>
      </c>
      <c r="H37" t="str">
        <v>hour</v>
      </c>
      <c r="I37">
        <v>0</v>
      </c>
      <c r="J37">
        <v>2</v>
      </c>
      <c r="K37" s="61">
        <v>21.428571428571427</v>
      </c>
      <c r="L37" s="61">
        <v>514.28571428571422</v>
      </c>
      <c r="AA37">
        <v>31</v>
      </c>
      <c r="AB37">
        <v>3</v>
      </c>
      <c r="AC37" t="str">
        <v>99HZ395</v>
      </c>
      <c r="AD37">
        <v>33</v>
      </c>
      <c r="AE37" t="str">
        <v>single</v>
      </c>
    </row>
    <row r="38" spans="1:31" hidden="1" x14ac:dyDescent="0.25">
      <c r="A38">
        <v>37</v>
      </c>
      <c r="B38">
        <v>2026</v>
      </c>
      <c r="C38">
        <v>1</v>
      </c>
      <c r="D38">
        <v>163</v>
      </c>
      <c r="E38">
        <v>1</v>
      </c>
      <c r="F38" t="str">
        <v>110FA930</v>
      </c>
      <c r="G38" s="103">
        <v>14</v>
      </c>
      <c r="H38" t="str">
        <v>single</v>
      </c>
      <c r="I38">
        <v>0</v>
      </c>
      <c r="J38">
        <v>1</v>
      </c>
      <c r="K38" s="61">
        <v>169.64285714285714</v>
      </c>
      <c r="L38" s="61">
        <v>2375</v>
      </c>
      <c r="AA38">
        <v>31</v>
      </c>
      <c r="AB38">
        <v>3</v>
      </c>
      <c r="AC38" t="str">
        <v>90ZP408</v>
      </c>
      <c r="AD38">
        <v>30</v>
      </c>
      <c r="AE38" t="str">
        <v>single</v>
      </c>
    </row>
    <row r="39" spans="1:31" hidden="1" x14ac:dyDescent="0.25">
      <c r="A39">
        <v>38</v>
      </c>
      <c r="B39">
        <v>2026</v>
      </c>
      <c r="C39">
        <v>1</v>
      </c>
      <c r="D39">
        <v>164</v>
      </c>
      <c r="E39">
        <v>1</v>
      </c>
      <c r="F39" t="str">
        <v>77DN323</v>
      </c>
      <c r="G39" s="103">
        <v>14</v>
      </c>
      <c r="H39" t="str">
        <v>single</v>
      </c>
      <c r="I39">
        <v>0</v>
      </c>
      <c r="J39">
        <v>1</v>
      </c>
      <c r="K39" s="61">
        <v>392.85714285714283</v>
      </c>
      <c r="L39" s="61">
        <v>5500</v>
      </c>
      <c r="AA39">
        <v>31</v>
      </c>
      <c r="AB39">
        <v>3</v>
      </c>
      <c r="AC39" t="str">
        <v>66CC029</v>
      </c>
      <c r="AD39">
        <v>30</v>
      </c>
      <c r="AE39" t="str">
        <v>single</v>
      </c>
    </row>
    <row r="40" spans="1:31" hidden="1" x14ac:dyDescent="0.25">
      <c r="A40">
        <v>39</v>
      </c>
      <c r="B40">
        <v>2026</v>
      </c>
      <c r="C40">
        <v>1</v>
      </c>
      <c r="D40">
        <v>164</v>
      </c>
      <c r="E40">
        <v>1</v>
      </c>
      <c r="F40" t="str">
        <v>77DN323</v>
      </c>
      <c r="G40" s="103">
        <v>35.000000000000007</v>
      </c>
      <c r="H40" t="str">
        <v>hour</v>
      </c>
      <c r="I40">
        <v>0</v>
      </c>
      <c r="J40">
        <v>2</v>
      </c>
      <c r="K40" s="61">
        <v>39.285714285714285</v>
      </c>
      <c r="L40" s="61">
        <v>1375.0000000000002</v>
      </c>
      <c r="AA40">
        <v>31</v>
      </c>
      <c r="AB40">
        <v>3</v>
      </c>
      <c r="AC40" t="str">
        <v>77QK725</v>
      </c>
      <c r="AD40">
        <v>20</v>
      </c>
      <c r="AE40" t="str">
        <v>single</v>
      </c>
    </row>
    <row r="41" spans="1:31" hidden="1" x14ac:dyDescent="0.25">
      <c r="A41">
        <v>40</v>
      </c>
      <c r="B41">
        <v>2026</v>
      </c>
      <c r="C41">
        <v>1</v>
      </c>
      <c r="D41">
        <v>172</v>
      </c>
      <c r="E41">
        <v>1</v>
      </c>
      <c r="F41" t="str">
        <v>22T727</v>
      </c>
      <c r="G41" s="103">
        <v>19</v>
      </c>
      <c r="H41" t="str">
        <v>single</v>
      </c>
      <c r="I41">
        <v>0</v>
      </c>
      <c r="J41">
        <v>1</v>
      </c>
      <c r="K41" s="61">
        <v>196.42857142857142</v>
      </c>
      <c r="L41" s="61">
        <v>3732.1428571428569</v>
      </c>
      <c r="AA41">
        <v>31</v>
      </c>
      <c r="AB41">
        <v>3</v>
      </c>
      <c r="AC41" t="str">
        <v>77QK725</v>
      </c>
      <c r="AD41" t="str">
        <v/>
      </c>
      <c r="AE41" t="str">
        <v>single</v>
      </c>
    </row>
    <row r="42" spans="1:31" hidden="1" x14ac:dyDescent="0.25">
      <c r="A42">
        <v>41</v>
      </c>
      <c r="B42">
        <v>2026</v>
      </c>
      <c r="C42">
        <v>2</v>
      </c>
      <c r="D42">
        <v>173</v>
      </c>
      <c r="E42">
        <v>1</v>
      </c>
      <c r="F42" t="str">
        <v>99BQ963</v>
      </c>
      <c r="G42" s="103">
        <v>29</v>
      </c>
      <c r="H42" t="str">
        <v>single</v>
      </c>
      <c r="I42">
        <v>0</v>
      </c>
      <c r="J42">
        <v>1</v>
      </c>
      <c r="K42" s="61">
        <v>357.14285714285717</v>
      </c>
      <c r="L42" s="61">
        <v>10357.142857142859</v>
      </c>
      <c r="AA42">
        <v>31</v>
      </c>
      <c r="AB42">
        <v>3</v>
      </c>
      <c r="AC42" t="str">
        <v>77AT386</v>
      </c>
      <c r="AD42">
        <v>30</v>
      </c>
      <c r="AE42" t="str">
        <v>single</v>
      </c>
    </row>
    <row r="43" spans="1:31" hidden="1" x14ac:dyDescent="0.25">
      <c r="A43">
        <v>42</v>
      </c>
      <c r="B43">
        <v>2026</v>
      </c>
      <c r="C43">
        <v>2</v>
      </c>
      <c r="D43">
        <v>179</v>
      </c>
      <c r="E43">
        <v>1</v>
      </c>
      <c r="F43" t="str">
        <v>10O046</v>
      </c>
      <c r="G43" s="103">
        <v>4</v>
      </c>
      <c r="H43" t="str">
        <v>single</v>
      </c>
      <c r="I43">
        <v>0</v>
      </c>
      <c r="J43">
        <v>1</v>
      </c>
      <c r="K43" s="61">
        <v>178.57142857142858</v>
      </c>
      <c r="L43" s="61">
        <v>714.28571428571433</v>
      </c>
      <c r="AA43">
        <v>31</v>
      </c>
      <c r="AB43">
        <v>3</v>
      </c>
      <c r="AC43" t="str">
        <v>90SL686</v>
      </c>
      <c r="AD43">
        <v>31</v>
      </c>
      <c r="AE43" t="str">
        <v>single</v>
      </c>
    </row>
    <row r="44" spans="1:31" hidden="1" x14ac:dyDescent="0.25">
      <c r="A44">
        <v>43</v>
      </c>
      <c r="B44">
        <v>2026</v>
      </c>
      <c r="C44">
        <v>3</v>
      </c>
      <c r="D44">
        <v>179</v>
      </c>
      <c r="E44">
        <v>1</v>
      </c>
      <c r="F44" t="str">
        <v>10O046</v>
      </c>
      <c r="G44" s="103">
        <v>19</v>
      </c>
      <c r="H44" t="str">
        <v>single</v>
      </c>
      <c r="I44">
        <v>0</v>
      </c>
      <c r="J44">
        <v>1</v>
      </c>
      <c r="K44" s="61">
        <v>178.57142857142858</v>
      </c>
      <c r="L44" s="61">
        <v>3392.8571428571431</v>
      </c>
      <c r="AA44">
        <v>31</v>
      </c>
      <c r="AB44">
        <v>3</v>
      </c>
      <c r="AC44" t="str">
        <v>55CB633</v>
      </c>
      <c r="AD44">
        <v>30</v>
      </c>
      <c r="AE44" t="str">
        <v>single</v>
      </c>
    </row>
    <row r="45" spans="1:31" hidden="1" x14ac:dyDescent="0.25">
      <c r="A45">
        <v>44</v>
      </c>
      <c r="B45">
        <v>2026</v>
      </c>
      <c r="C45">
        <v>2</v>
      </c>
      <c r="D45">
        <v>182</v>
      </c>
      <c r="E45">
        <v>1</v>
      </c>
      <c r="F45" t="str">
        <v>99MD834</v>
      </c>
      <c r="G45" s="103">
        <v>7</v>
      </c>
      <c r="H45" t="str">
        <v>single</v>
      </c>
      <c r="I45">
        <v>0</v>
      </c>
      <c r="J45">
        <v>1</v>
      </c>
      <c r="K45" s="61">
        <v>214.28571428571428</v>
      </c>
      <c r="L45" s="61">
        <v>1500</v>
      </c>
      <c r="AA45">
        <v>31</v>
      </c>
      <c r="AB45">
        <v>3</v>
      </c>
      <c r="AC45" t="str">
        <v>99BT339</v>
      </c>
      <c r="AD45">
        <v>30</v>
      </c>
      <c r="AE45" t="str">
        <v>single</v>
      </c>
    </row>
    <row r="46" spans="1:31" hidden="1" x14ac:dyDescent="0.25">
      <c r="A46">
        <v>45</v>
      </c>
      <c r="B46">
        <v>2026</v>
      </c>
      <c r="C46">
        <v>2</v>
      </c>
      <c r="D46">
        <v>182</v>
      </c>
      <c r="E46">
        <v>1</v>
      </c>
      <c r="F46" t="str">
        <v>77VS178</v>
      </c>
      <c r="G46" s="103">
        <v>4</v>
      </c>
      <c r="H46" t="str">
        <v>single</v>
      </c>
      <c r="I46">
        <v>0</v>
      </c>
      <c r="J46">
        <v>2</v>
      </c>
      <c r="K46" s="61">
        <v>196.42857142857142</v>
      </c>
      <c r="L46" s="61">
        <v>785.71428571428567</v>
      </c>
      <c r="AA46">
        <v>31</v>
      </c>
      <c r="AB46">
        <v>3</v>
      </c>
      <c r="AC46" t="str">
        <v>77ET143</v>
      </c>
      <c r="AD46">
        <v>30</v>
      </c>
      <c r="AE46" t="str">
        <v>single</v>
      </c>
    </row>
    <row r="47" spans="1:31" hidden="1" x14ac:dyDescent="0.25">
      <c r="A47">
        <v>46</v>
      </c>
      <c r="B47">
        <v>2025</v>
      </c>
      <c r="C47">
        <v>2</v>
      </c>
      <c r="D47">
        <v>30</v>
      </c>
      <c r="E47">
        <v>2</v>
      </c>
      <c r="F47" t="str">
        <v>99AS882</v>
      </c>
      <c r="G47" s="103">
        <v>30</v>
      </c>
      <c r="H47" t="str">
        <v>single</v>
      </c>
      <c r="I47">
        <v>0</v>
      </c>
      <c r="J47">
        <v>1</v>
      </c>
      <c r="K47" s="61">
        <v>183.33333333333334</v>
      </c>
      <c r="L47" s="61">
        <v>5500</v>
      </c>
      <c r="AA47">
        <v>31</v>
      </c>
      <c r="AB47">
        <v>3</v>
      </c>
      <c r="AC47" t="str">
        <v>50DK730</v>
      </c>
      <c r="AD47">
        <v>30</v>
      </c>
      <c r="AE47" t="str">
        <v>single</v>
      </c>
    </row>
    <row r="48" spans="1:31" hidden="1" x14ac:dyDescent="0.25">
      <c r="A48">
        <v>47</v>
      </c>
      <c r="B48">
        <v>2025</v>
      </c>
      <c r="C48">
        <v>2</v>
      </c>
      <c r="D48">
        <v>30</v>
      </c>
      <c r="E48">
        <v>2</v>
      </c>
      <c r="F48" t="str">
        <v>99JE233</v>
      </c>
      <c r="G48" s="103">
        <v>30</v>
      </c>
      <c r="H48" t="str">
        <v>single</v>
      </c>
      <c r="I48">
        <v>0</v>
      </c>
      <c r="J48">
        <v>2</v>
      </c>
      <c r="K48" s="61">
        <v>183.33333333333334</v>
      </c>
      <c r="L48" s="61">
        <v>5500</v>
      </c>
      <c r="AA48">
        <v>31</v>
      </c>
      <c r="AB48">
        <v>3</v>
      </c>
      <c r="AC48" t="str">
        <v>99MN472</v>
      </c>
      <c r="AD48">
        <v>30</v>
      </c>
      <c r="AE48" t="str">
        <v>single</v>
      </c>
    </row>
    <row r="49" spans="1:31" hidden="1" x14ac:dyDescent="0.25">
      <c r="A49">
        <v>48</v>
      </c>
      <c r="B49">
        <v>2025</v>
      </c>
      <c r="C49">
        <v>3</v>
      </c>
      <c r="D49">
        <v>31</v>
      </c>
      <c r="E49">
        <v>2</v>
      </c>
      <c r="F49" t="str">
        <v>99LT168</v>
      </c>
      <c r="G49" s="103">
        <v>21</v>
      </c>
      <c r="H49" t="str">
        <v>single</v>
      </c>
      <c r="I49">
        <v>0</v>
      </c>
      <c r="J49">
        <v>1</v>
      </c>
      <c r="K49" s="61">
        <v>73.33</v>
      </c>
      <c r="L49" s="61">
        <v>1539.93</v>
      </c>
      <c r="AA49">
        <v>31</v>
      </c>
      <c r="AB49">
        <v>3</v>
      </c>
      <c r="AC49" t="str">
        <v>52BK688</v>
      </c>
      <c r="AD49">
        <v>5</v>
      </c>
      <c r="AE49" t="str">
        <v>single</v>
      </c>
    </row>
    <row r="50" spans="1:31" hidden="1" x14ac:dyDescent="0.25">
      <c r="A50">
        <v>49</v>
      </c>
      <c r="B50">
        <v>2025</v>
      </c>
      <c r="C50">
        <v>3</v>
      </c>
      <c r="D50">
        <v>31</v>
      </c>
      <c r="E50">
        <v>2</v>
      </c>
      <c r="F50" t="str">
        <v>90OV187</v>
      </c>
      <c r="G50" s="103">
        <v>30</v>
      </c>
      <c r="H50" t="str">
        <v>single</v>
      </c>
      <c r="I50">
        <v>0</v>
      </c>
      <c r="J50">
        <v>5</v>
      </c>
      <c r="K50" s="61">
        <v>73.33</v>
      </c>
      <c r="L50" s="61">
        <v>2199.9</v>
      </c>
      <c r="AA50">
        <v>31</v>
      </c>
      <c r="AB50">
        <v>3</v>
      </c>
      <c r="AC50" t="str">
        <v>77RN868</v>
      </c>
      <c r="AD50">
        <v>31</v>
      </c>
      <c r="AE50" t="str">
        <v>single</v>
      </c>
    </row>
    <row r="51" spans="1:31" hidden="1" x14ac:dyDescent="0.25">
      <c r="A51">
        <v>50</v>
      </c>
      <c r="B51">
        <v>2025</v>
      </c>
      <c r="C51">
        <v>3</v>
      </c>
      <c r="D51">
        <v>31</v>
      </c>
      <c r="E51">
        <v>2</v>
      </c>
      <c r="F51" t="str">
        <v>99HZ395</v>
      </c>
      <c r="G51" s="103">
        <v>25</v>
      </c>
      <c r="H51" t="str">
        <v>single</v>
      </c>
      <c r="I51">
        <v>0</v>
      </c>
      <c r="J51">
        <v>3</v>
      </c>
      <c r="K51" s="61">
        <v>65</v>
      </c>
      <c r="L51" s="61">
        <v>1625</v>
      </c>
      <c r="AA51">
        <v>31</v>
      </c>
      <c r="AB51">
        <v>3</v>
      </c>
      <c r="AC51" t="str">
        <v>99LM412</v>
      </c>
      <c r="AD51">
        <v>30</v>
      </c>
      <c r="AE51" t="str">
        <v>single</v>
      </c>
    </row>
    <row r="52" spans="1:31" hidden="1" x14ac:dyDescent="0.25">
      <c r="A52">
        <v>51</v>
      </c>
      <c r="B52">
        <v>2025</v>
      </c>
      <c r="C52">
        <v>3</v>
      </c>
      <c r="D52">
        <v>31</v>
      </c>
      <c r="E52">
        <v>2</v>
      </c>
      <c r="F52" t="str">
        <v>90ZP408</v>
      </c>
      <c r="G52" s="103">
        <v>24</v>
      </c>
      <c r="H52" t="str">
        <v>single</v>
      </c>
      <c r="I52">
        <v>0</v>
      </c>
      <c r="J52">
        <v>11</v>
      </c>
      <c r="K52" s="61">
        <v>55.36</v>
      </c>
      <c r="L52" s="61">
        <v>1328.6399999999999</v>
      </c>
      <c r="AA52">
        <v>31</v>
      </c>
      <c r="AB52">
        <v>3</v>
      </c>
      <c r="AC52" t="str">
        <v>50BD165</v>
      </c>
      <c r="AD52">
        <v>25</v>
      </c>
      <c r="AE52" t="str">
        <v>single</v>
      </c>
    </row>
    <row r="53" spans="1:31" hidden="1" x14ac:dyDescent="0.25">
      <c r="A53">
        <v>52</v>
      </c>
      <c r="B53">
        <v>2025</v>
      </c>
      <c r="C53">
        <v>3</v>
      </c>
      <c r="D53">
        <v>31</v>
      </c>
      <c r="E53">
        <v>2</v>
      </c>
      <c r="F53" t="str">
        <v>66CC029</v>
      </c>
      <c r="G53" s="103">
        <v>25</v>
      </c>
      <c r="H53" t="str">
        <v>single</v>
      </c>
      <c r="I53">
        <v>0</v>
      </c>
      <c r="J53">
        <v>15</v>
      </c>
      <c r="K53" s="61">
        <v>55.36</v>
      </c>
      <c r="L53" s="61">
        <v>1384</v>
      </c>
      <c r="AA53">
        <v>31</v>
      </c>
      <c r="AB53">
        <v>3</v>
      </c>
      <c r="AC53" t="str">
        <v>77QE133</v>
      </c>
      <c r="AD53">
        <v>7</v>
      </c>
      <c r="AE53" t="str">
        <v>single</v>
      </c>
    </row>
    <row r="54" spans="1:31" hidden="1" x14ac:dyDescent="0.25">
      <c r="A54">
        <v>53</v>
      </c>
      <c r="B54">
        <v>2025</v>
      </c>
      <c r="C54">
        <v>3</v>
      </c>
      <c r="D54">
        <v>31</v>
      </c>
      <c r="E54">
        <v>2</v>
      </c>
      <c r="F54" t="str">
        <v>77QK725</v>
      </c>
      <c r="G54" s="103">
        <v>24</v>
      </c>
      <c r="H54" t="str">
        <v>single</v>
      </c>
      <c r="I54">
        <v>0</v>
      </c>
      <c r="J54">
        <v>17</v>
      </c>
      <c r="K54" s="61">
        <v>275</v>
      </c>
      <c r="L54" s="61">
        <v>6600</v>
      </c>
      <c r="AA54">
        <v>31</v>
      </c>
      <c r="AB54">
        <v>4</v>
      </c>
      <c r="AC54" t="str">
        <v>99HZ395</v>
      </c>
      <c r="AD54">
        <v>30</v>
      </c>
      <c r="AE54" t="str">
        <v>single</v>
      </c>
    </row>
    <row r="55" spans="1:31" hidden="1" x14ac:dyDescent="0.25">
      <c r="A55">
        <v>54</v>
      </c>
      <c r="B55">
        <v>2025</v>
      </c>
      <c r="C55">
        <v>3</v>
      </c>
      <c r="D55">
        <v>31</v>
      </c>
      <c r="E55">
        <v>2</v>
      </c>
      <c r="F55" t="str">
        <v>77AT386</v>
      </c>
      <c r="G55" s="103">
        <v>31</v>
      </c>
      <c r="H55" t="str">
        <v>single</v>
      </c>
      <c r="I55">
        <v>0</v>
      </c>
      <c r="J55">
        <v>13</v>
      </c>
      <c r="K55" s="61">
        <v>46.67</v>
      </c>
      <c r="L55" s="61">
        <v>1446.77</v>
      </c>
      <c r="AA55">
        <v>31</v>
      </c>
      <c r="AB55">
        <v>4</v>
      </c>
      <c r="AC55" t="str">
        <v>90ZP408</v>
      </c>
      <c r="AD55">
        <v>26</v>
      </c>
      <c r="AE55" t="str">
        <v>single</v>
      </c>
    </row>
    <row r="56" spans="1:31" hidden="1" x14ac:dyDescent="0.25">
      <c r="A56">
        <v>55</v>
      </c>
      <c r="B56">
        <v>2025</v>
      </c>
      <c r="C56">
        <v>3</v>
      </c>
      <c r="D56">
        <v>31</v>
      </c>
      <c r="E56">
        <v>2</v>
      </c>
      <c r="F56" t="str">
        <v>90SL686</v>
      </c>
      <c r="G56" s="103">
        <v>30</v>
      </c>
      <c r="H56" t="str">
        <v>single</v>
      </c>
      <c r="I56">
        <v>0</v>
      </c>
      <c r="J56">
        <v>19</v>
      </c>
      <c r="K56" s="61">
        <v>58.93</v>
      </c>
      <c r="L56" s="61">
        <v>1767.9</v>
      </c>
      <c r="AA56">
        <v>31</v>
      </c>
      <c r="AB56">
        <v>4</v>
      </c>
      <c r="AC56" t="str">
        <v>66CC029</v>
      </c>
      <c r="AD56">
        <v>31</v>
      </c>
      <c r="AE56" t="str">
        <v>single</v>
      </c>
    </row>
    <row r="57" spans="1:31" hidden="1" x14ac:dyDescent="0.25">
      <c r="A57">
        <v>56</v>
      </c>
      <c r="B57">
        <v>2025</v>
      </c>
      <c r="C57">
        <v>3</v>
      </c>
      <c r="D57">
        <v>31</v>
      </c>
      <c r="E57">
        <v>2</v>
      </c>
      <c r="F57" t="str">
        <v>55CB633</v>
      </c>
      <c r="G57" s="103">
        <v>25</v>
      </c>
      <c r="H57" t="str">
        <v>single</v>
      </c>
      <c r="I57">
        <v>0</v>
      </c>
      <c r="J57">
        <v>57</v>
      </c>
      <c r="K57" s="61">
        <v>55.36</v>
      </c>
      <c r="L57" s="61">
        <v>1384</v>
      </c>
      <c r="AA57">
        <v>31</v>
      </c>
      <c r="AB57">
        <v>4</v>
      </c>
      <c r="AC57" t="str">
        <v>77QK725</v>
      </c>
      <c r="AD57">
        <v>15</v>
      </c>
      <c r="AE57" t="str">
        <v>single</v>
      </c>
    </row>
    <row r="58" spans="1:31" hidden="1" x14ac:dyDescent="0.25">
      <c r="A58">
        <v>57</v>
      </c>
      <c r="B58">
        <v>2025</v>
      </c>
      <c r="C58">
        <v>3</v>
      </c>
      <c r="D58">
        <v>31</v>
      </c>
      <c r="E58">
        <v>2</v>
      </c>
      <c r="F58" t="str">
        <v>77GM723</v>
      </c>
      <c r="G58" s="103">
        <v>28</v>
      </c>
      <c r="H58" t="str">
        <v>single</v>
      </c>
      <c r="I58">
        <v>0</v>
      </c>
      <c r="J58">
        <v>61</v>
      </c>
      <c r="K58" s="61">
        <v>55.36</v>
      </c>
      <c r="L58" s="61">
        <v>1550.08</v>
      </c>
      <c r="AA58">
        <v>31</v>
      </c>
      <c r="AB58">
        <v>4</v>
      </c>
      <c r="AC58" t="str">
        <v>77QK725</v>
      </c>
      <c r="AD58" t="str">
        <v/>
      </c>
      <c r="AE58" t="str">
        <v>single</v>
      </c>
    </row>
    <row r="59" spans="1:31" hidden="1" x14ac:dyDescent="0.25">
      <c r="A59">
        <v>58</v>
      </c>
      <c r="B59">
        <v>2025</v>
      </c>
      <c r="C59">
        <v>3</v>
      </c>
      <c r="D59">
        <v>31</v>
      </c>
      <c r="E59">
        <v>2</v>
      </c>
      <c r="F59" t="str">
        <v>99DX531</v>
      </c>
      <c r="G59" s="103">
        <v>27</v>
      </c>
      <c r="H59" t="str">
        <v>single</v>
      </c>
      <c r="I59">
        <v>0</v>
      </c>
      <c r="J59">
        <v>97</v>
      </c>
      <c r="K59" s="61">
        <v>55.36</v>
      </c>
      <c r="L59" s="61">
        <v>1494.72</v>
      </c>
      <c r="AA59">
        <v>31</v>
      </c>
      <c r="AB59">
        <v>4</v>
      </c>
      <c r="AC59" t="str">
        <v>77AT386</v>
      </c>
      <c r="AD59">
        <v>31</v>
      </c>
      <c r="AE59" t="str">
        <v>single</v>
      </c>
    </row>
    <row r="60" spans="1:31" hidden="1" x14ac:dyDescent="0.25">
      <c r="A60">
        <v>59</v>
      </c>
      <c r="B60">
        <v>2025</v>
      </c>
      <c r="C60">
        <v>3</v>
      </c>
      <c r="D60">
        <v>31</v>
      </c>
      <c r="E60">
        <v>2</v>
      </c>
      <c r="F60" t="str">
        <v>15BZ942</v>
      </c>
      <c r="G60" s="103">
        <v>29</v>
      </c>
      <c r="H60" t="str">
        <v>single</v>
      </c>
      <c r="I60">
        <v>0</v>
      </c>
      <c r="J60">
        <v>35</v>
      </c>
      <c r="K60" s="61">
        <v>55.36</v>
      </c>
      <c r="L60" s="61">
        <v>1605.44</v>
      </c>
      <c r="AA60">
        <v>31</v>
      </c>
      <c r="AB60">
        <v>4</v>
      </c>
      <c r="AC60" t="str">
        <v>90SL686</v>
      </c>
      <c r="AD60">
        <v>31</v>
      </c>
      <c r="AE60" t="str">
        <v>single</v>
      </c>
    </row>
    <row r="61" spans="1:31" hidden="1" x14ac:dyDescent="0.25">
      <c r="A61">
        <v>60</v>
      </c>
      <c r="B61">
        <v>2025</v>
      </c>
      <c r="C61">
        <v>3</v>
      </c>
      <c r="D61">
        <v>31</v>
      </c>
      <c r="E61">
        <v>2</v>
      </c>
      <c r="F61" t="str">
        <v>99BT339</v>
      </c>
      <c r="G61" s="103">
        <v>26</v>
      </c>
      <c r="H61" t="str">
        <v>single</v>
      </c>
      <c r="I61">
        <v>0</v>
      </c>
      <c r="J61">
        <v>93</v>
      </c>
      <c r="K61" s="61">
        <v>55.36</v>
      </c>
      <c r="L61" s="61">
        <v>1439.36</v>
      </c>
      <c r="AA61">
        <v>31</v>
      </c>
      <c r="AB61">
        <v>4</v>
      </c>
      <c r="AC61" t="str">
        <v>55CB633</v>
      </c>
      <c r="AD61">
        <v>29</v>
      </c>
      <c r="AE61" t="str">
        <v>single</v>
      </c>
    </row>
    <row r="62" spans="1:31" hidden="1" x14ac:dyDescent="0.25">
      <c r="A62">
        <v>61</v>
      </c>
      <c r="B62">
        <v>2025</v>
      </c>
      <c r="C62">
        <v>3</v>
      </c>
      <c r="D62">
        <v>31</v>
      </c>
      <c r="E62">
        <v>2</v>
      </c>
      <c r="F62" t="str">
        <v>77ET143</v>
      </c>
      <c r="G62" s="103">
        <v>25</v>
      </c>
      <c r="H62" t="str">
        <v>single</v>
      </c>
      <c r="I62">
        <v>0</v>
      </c>
      <c r="J62">
        <v>59</v>
      </c>
      <c r="K62" s="61">
        <v>55.36</v>
      </c>
      <c r="L62" s="61">
        <v>1384</v>
      </c>
      <c r="AA62">
        <v>31</v>
      </c>
      <c r="AB62">
        <v>4</v>
      </c>
      <c r="AC62" t="str">
        <v>99BT339</v>
      </c>
      <c r="AD62">
        <v>39</v>
      </c>
      <c r="AE62" t="str">
        <v>single</v>
      </c>
    </row>
    <row r="63" spans="1:31" hidden="1" x14ac:dyDescent="0.25">
      <c r="A63">
        <v>62</v>
      </c>
      <c r="B63">
        <v>2025</v>
      </c>
      <c r="C63">
        <v>3</v>
      </c>
      <c r="D63">
        <v>31</v>
      </c>
      <c r="E63">
        <v>2</v>
      </c>
      <c r="F63" t="str">
        <v>50DK730</v>
      </c>
      <c r="G63" s="103">
        <v>28</v>
      </c>
      <c r="H63" t="str">
        <v>single</v>
      </c>
      <c r="I63">
        <v>0</v>
      </c>
      <c r="J63">
        <v>47</v>
      </c>
      <c r="K63" s="61">
        <v>55.36</v>
      </c>
      <c r="L63" s="61">
        <v>1550.08</v>
      </c>
      <c r="AA63">
        <v>31</v>
      </c>
      <c r="AB63">
        <v>4</v>
      </c>
      <c r="AC63" t="str">
        <v>77ET143</v>
      </c>
      <c r="AD63">
        <v>30</v>
      </c>
      <c r="AE63" t="str">
        <v>single</v>
      </c>
    </row>
    <row r="64" spans="1:31" hidden="1" x14ac:dyDescent="0.25">
      <c r="A64">
        <v>63</v>
      </c>
      <c r="B64">
        <v>2025</v>
      </c>
      <c r="C64">
        <v>3</v>
      </c>
      <c r="D64">
        <v>31</v>
      </c>
      <c r="E64">
        <v>2</v>
      </c>
      <c r="F64" t="str">
        <v>99MN472</v>
      </c>
      <c r="G64" s="103">
        <v>29</v>
      </c>
      <c r="H64" t="str">
        <v>single</v>
      </c>
      <c r="I64">
        <v>0</v>
      </c>
      <c r="J64">
        <v>108</v>
      </c>
      <c r="K64" s="61">
        <v>55.36</v>
      </c>
      <c r="L64" s="61">
        <v>1605.44</v>
      </c>
      <c r="AA64">
        <v>31</v>
      </c>
      <c r="AB64">
        <v>4</v>
      </c>
      <c r="AC64" t="str">
        <v>50DK730</v>
      </c>
      <c r="AD64">
        <v>31</v>
      </c>
      <c r="AE64" t="str">
        <v>single</v>
      </c>
    </row>
    <row r="65" spans="1:31" hidden="1" x14ac:dyDescent="0.25">
      <c r="A65">
        <v>64</v>
      </c>
      <c r="B65">
        <v>2025</v>
      </c>
      <c r="C65">
        <v>3</v>
      </c>
      <c r="D65">
        <v>31</v>
      </c>
      <c r="E65">
        <v>2</v>
      </c>
      <c r="F65" t="str">
        <v>52BK688</v>
      </c>
      <c r="G65" s="103">
        <v>25</v>
      </c>
      <c r="H65" t="str">
        <v>single</v>
      </c>
      <c r="I65">
        <v>0</v>
      </c>
      <c r="J65">
        <v>51</v>
      </c>
      <c r="K65" s="61">
        <v>55.36</v>
      </c>
      <c r="L65" s="61">
        <v>1384</v>
      </c>
      <c r="AA65">
        <v>31</v>
      </c>
      <c r="AB65">
        <v>4</v>
      </c>
      <c r="AC65" t="str">
        <v>99MN472</v>
      </c>
      <c r="AD65">
        <v>31</v>
      </c>
      <c r="AE65" t="str">
        <v>single</v>
      </c>
    </row>
    <row r="66" spans="1:31" hidden="1" x14ac:dyDescent="0.25">
      <c r="A66">
        <v>65</v>
      </c>
      <c r="B66">
        <v>2025</v>
      </c>
      <c r="C66">
        <v>3</v>
      </c>
      <c r="D66">
        <v>31</v>
      </c>
      <c r="E66">
        <v>2</v>
      </c>
      <c r="F66" t="str">
        <v>10RN527</v>
      </c>
      <c r="G66" s="103">
        <v>18</v>
      </c>
      <c r="H66" t="str">
        <v>single</v>
      </c>
      <c r="I66">
        <v>0</v>
      </c>
      <c r="J66">
        <v>31</v>
      </c>
      <c r="K66" s="61">
        <v>55.36</v>
      </c>
      <c r="L66" s="61">
        <v>996.48</v>
      </c>
      <c r="AA66">
        <v>31</v>
      </c>
      <c r="AB66">
        <v>4</v>
      </c>
      <c r="AC66" t="str">
        <v>99LM412</v>
      </c>
      <c r="AD66">
        <v>31</v>
      </c>
      <c r="AE66" t="str">
        <v>single</v>
      </c>
    </row>
    <row r="67" spans="1:31" hidden="1" x14ac:dyDescent="0.25">
      <c r="A67">
        <v>66</v>
      </c>
      <c r="B67">
        <v>2025</v>
      </c>
      <c r="C67">
        <v>3</v>
      </c>
      <c r="D67">
        <v>31</v>
      </c>
      <c r="E67">
        <v>2</v>
      </c>
      <c r="F67" t="str">
        <v>77RN868</v>
      </c>
      <c r="G67" s="103">
        <v>10</v>
      </c>
      <c r="H67" t="str">
        <v>single</v>
      </c>
      <c r="I67">
        <v>0</v>
      </c>
      <c r="J67">
        <v>71</v>
      </c>
      <c r="K67" s="61">
        <v>73.33</v>
      </c>
      <c r="L67" s="61">
        <v>733.3</v>
      </c>
      <c r="AA67">
        <v>31</v>
      </c>
      <c r="AB67">
        <v>4</v>
      </c>
      <c r="AC67" t="str">
        <v>50BD165</v>
      </c>
      <c r="AD67">
        <v>31</v>
      </c>
      <c r="AE67" t="str">
        <v>single</v>
      </c>
    </row>
    <row r="68" spans="1:31" hidden="1" x14ac:dyDescent="0.25">
      <c r="A68">
        <v>67</v>
      </c>
      <c r="B68">
        <v>2025</v>
      </c>
      <c r="C68">
        <v>3</v>
      </c>
      <c r="D68">
        <v>31</v>
      </c>
      <c r="E68">
        <v>2</v>
      </c>
      <c r="F68" t="str">
        <v>99LM412</v>
      </c>
      <c r="G68" s="103">
        <v>4</v>
      </c>
      <c r="H68" t="str">
        <v>single</v>
      </c>
      <c r="I68">
        <v>0</v>
      </c>
      <c r="J68">
        <v>116</v>
      </c>
      <c r="K68" s="61">
        <v>55.357142857142854</v>
      </c>
      <c r="L68" s="61">
        <v>221.42857142857142</v>
      </c>
      <c r="AA68">
        <v>31</v>
      </c>
      <c r="AB68">
        <v>4</v>
      </c>
      <c r="AC68" t="str">
        <v>77QE133</v>
      </c>
      <c r="AD68">
        <v>28</v>
      </c>
      <c r="AE68" t="str">
        <v>single</v>
      </c>
    </row>
    <row r="69" spans="1:31" hidden="1" x14ac:dyDescent="0.25">
      <c r="A69">
        <v>68</v>
      </c>
      <c r="B69">
        <v>2025</v>
      </c>
      <c r="C69">
        <v>3</v>
      </c>
      <c r="D69">
        <v>31</v>
      </c>
      <c r="E69">
        <v>2</v>
      </c>
      <c r="F69" t="str">
        <v>99TV366</v>
      </c>
      <c r="G69" s="103">
        <v>14</v>
      </c>
      <c r="H69" t="str">
        <v>single</v>
      </c>
      <c r="I69">
        <v>0</v>
      </c>
      <c r="J69">
        <v>112</v>
      </c>
      <c r="K69" s="61">
        <v>55.36</v>
      </c>
      <c r="L69" s="61">
        <v>775.04</v>
      </c>
      <c r="AA69">
        <v>31</v>
      </c>
      <c r="AB69">
        <v>4</v>
      </c>
      <c r="AC69" t="str">
        <v>90VS316</v>
      </c>
      <c r="AD69">
        <v>30</v>
      </c>
      <c r="AE69" t="str">
        <v>single</v>
      </c>
    </row>
    <row r="70" spans="1:31" hidden="1" x14ac:dyDescent="0.25">
      <c r="A70">
        <v>69</v>
      </c>
      <c r="B70">
        <v>2025</v>
      </c>
      <c r="C70">
        <v>3</v>
      </c>
      <c r="D70">
        <v>31</v>
      </c>
      <c r="E70">
        <v>2</v>
      </c>
      <c r="F70" t="str">
        <v>90OV187</v>
      </c>
      <c r="G70" s="103">
        <v>48.999999999999986</v>
      </c>
      <c r="H70" t="str">
        <v>hour</v>
      </c>
      <c r="I70">
        <v>0</v>
      </c>
      <c r="J70">
        <v>6</v>
      </c>
      <c r="K70" s="61">
        <v>7.3330000000000002</v>
      </c>
      <c r="L70" s="61">
        <v>359.31699999999989</v>
      </c>
      <c r="AA70">
        <v>31</v>
      </c>
      <c r="AB70">
        <v>4</v>
      </c>
      <c r="AC70" t="str">
        <v>99EM163</v>
      </c>
      <c r="AD70">
        <v>4</v>
      </c>
      <c r="AE70" t="str">
        <v>single</v>
      </c>
    </row>
    <row r="71" spans="1:31" hidden="1" x14ac:dyDescent="0.25">
      <c r="A71">
        <v>70</v>
      </c>
      <c r="B71">
        <v>2025</v>
      </c>
      <c r="C71">
        <v>3</v>
      </c>
      <c r="D71">
        <v>31</v>
      </c>
      <c r="E71">
        <v>2</v>
      </c>
      <c r="F71" t="str">
        <v>90SL686</v>
      </c>
      <c r="G71" s="103">
        <v>104</v>
      </c>
      <c r="H71" t="str">
        <v>hour</v>
      </c>
      <c r="I71">
        <v>0</v>
      </c>
      <c r="J71">
        <v>20</v>
      </c>
      <c r="K71" s="61">
        <v>5.8929999999999998</v>
      </c>
      <c r="L71" s="61">
        <v>612.87199999999996</v>
      </c>
      <c r="AA71">
        <v>31</v>
      </c>
      <c r="AB71">
        <v>4</v>
      </c>
      <c r="AC71" t="str">
        <v>53BB774</v>
      </c>
      <c r="AD71">
        <v>4</v>
      </c>
      <c r="AE71" t="str">
        <v>single</v>
      </c>
    </row>
    <row r="72" spans="1:31" hidden="1" x14ac:dyDescent="0.25">
      <c r="A72">
        <v>71</v>
      </c>
      <c r="B72">
        <v>2025</v>
      </c>
      <c r="C72">
        <v>3</v>
      </c>
      <c r="D72">
        <v>31</v>
      </c>
      <c r="E72">
        <v>2</v>
      </c>
      <c r="F72" t="str">
        <v>55CB633</v>
      </c>
      <c r="G72" s="103">
        <v>35.999999999999964</v>
      </c>
      <c r="H72" t="str">
        <v>hour</v>
      </c>
      <c r="I72">
        <v>0</v>
      </c>
      <c r="J72">
        <v>56</v>
      </c>
      <c r="K72" s="61">
        <v>5.5359999999999996</v>
      </c>
      <c r="L72" s="61">
        <v>199.29599999999979</v>
      </c>
      <c r="AA72">
        <v>31</v>
      </c>
      <c r="AB72">
        <v>5</v>
      </c>
      <c r="AC72" t="str">
        <v>01CC689</v>
      </c>
      <c r="AD72">
        <v>29</v>
      </c>
      <c r="AE72" t="str">
        <v>single</v>
      </c>
    </row>
    <row r="73" spans="1:31" hidden="1" x14ac:dyDescent="0.25">
      <c r="A73">
        <v>72</v>
      </c>
      <c r="B73">
        <v>2025</v>
      </c>
      <c r="C73">
        <v>3</v>
      </c>
      <c r="D73">
        <v>31</v>
      </c>
      <c r="E73">
        <v>2</v>
      </c>
      <c r="F73" t="str">
        <v>77GM723</v>
      </c>
      <c r="G73" s="103">
        <v>80.999999999999986</v>
      </c>
      <c r="H73" t="str">
        <v>hour</v>
      </c>
      <c r="I73">
        <v>0</v>
      </c>
      <c r="J73">
        <v>60</v>
      </c>
      <c r="K73" s="61">
        <v>5.5359999999999996</v>
      </c>
      <c r="L73" s="61">
        <v>448.41599999999988</v>
      </c>
      <c r="AA73">
        <v>31</v>
      </c>
      <c r="AB73">
        <v>5</v>
      </c>
      <c r="AC73" t="str">
        <v>50BD165</v>
      </c>
      <c r="AD73">
        <v>28</v>
      </c>
      <c r="AE73" t="str">
        <v>single</v>
      </c>
    </row>
    <row r="74" spans="1:31" hidden="1" x14ac:dyDescent="0.25">
      <c r="A74">
        <v>73</v>
      </c>
      <c r="B74">
        <v>2025</v>
      </c>
      <c r="C74">
        <v>3</v>
      </c>
      <c r="D74">
        <v>31</v>
      </c>
      <c r="E74">
        <v>2</v>
      </c>
      <c r="F74" t="str">
        <v>99DX531</v>
      </c>
      <c r="G74" s="103">
        <v>34.999999999999986</v>
      </c>
      <c r="H74" t="str">
        <v>hour</v>
      </c>
      <c r="I74">
        <v>0</v>
      </c>
      <c r="J74">
        <v>96</v>
      </c>
      <c r="K74" s="61">
        <v>5.5359999999999996</v>
      </c>
      <c r="L74" s="61">
        <v>193.75999999999991</v>
      </c>
      <c r="AA74">
        <v>31</v>
      </c>
      <c r="AB74">
        <v>5</v>
      </c>
      <c r="AC74" t="str">
        <v>50DK730</v>
      </c>
      <c r="AD74">
        <v>29</v>
      </c>
      <c r="AE74" t="str">
        <v>single</v>
      </c>
    </row>
    <row r="75" spans="1:31" hidden="1" x14ac:dyDescent="0.25">
      <c r="A75">
        <v>74</v>
      </c>
      <c r="B75">
        <v>2025</v>
      </c>
      <c r="C75">
        <v>3</v>
      </c>
      <c r="D75">
        <v>31</v>
      </c>
      <c r="E75">
        <v>2</v>
      </c>
      <c r="F75" t="str">
        <v>15BZ942</v>
      </c>
      <c r="G75" s="103">
        <v>26.999999999999993</v>
      </c>
      <c r="H75" t="str">
        <v>hour</v>
      </c>
      <c r="I75">
        <v>0</v>
      </c>
      <c r="J75">
        <v>34</v>
      </c>
      <c r="K75" s="61">
        <v>5.5359999999999996</v>
      </c>
      <c r="L75" s="61">
        <v>149.47199999999995</v>
      </c>
      <c r="AA75">
        <v>31</v>
      </c>
      <c r="AB75">
        <v>5</v>
      </c>
      <c r="AC75" t="str">
        <v>53BB774</v>
      </c>
      <c r="AD75">
        <v>28</v>
      </c>
      <c r="AE75" t="str">
        <v>single</v>
      </c>
    </row>
    <row r="76" spans="1:31" hidden="1" x14ac:dyDescent="0.25">
      <c r="A76">
        <v>75</v>
      </c>
      <c r="B76">
        <v>2025</v>
      </c>
      <c r="C76">
        <v>3</v>
      </c>
      <c r="D76">
        <v>31</v>
      </c>
      <c r="E76">
        <v>2</v>
      </c>
      <c r="F76" t="str">
        <v>99BT339</v>
      </c>
      <c r="G76" s="103">
        <v>27.99999999999995</v>
      </c>
      <c r="H76" t="str">
        <v>hour</v>
      </c>
      <c r="I76">
        <v>0</v>
      </c>
      <c r="J76">
        <v>92</v>
      </c>
      <c r="K76" s="61">
        <v>5.5359999999999996</v>
      </c>
      <c r="L76" s="61">
        <v>155.00799999999973</v>
      </c>
      <c r="AA76">
        <v>31</v>
      </c>
      <c r="AB76">
        <v>5</v>
      </c>
      <c r="AC76" t="str">
        <v>55CB633</v>
      </c>
      <c r="AD76">
        <v>27</v>
      </c>
      <c r="AE76" t="str">
        <v>single</v>
      </c>
    </row>
    <row r="77" spans="1:31" hidden="1" x14ac:dyDescent="0.25">
      <c r="A77">
        <v>76</v>
      </c>
      <c r="B77">
        <v>2025</v>
      </c>
      <c r="C77">
        <v>3</v>
      </c>
      <c r="D77">
        <v>31</v>
      </c>
      <c r="E77">
        <v>2</v>
      </c>
      <c r="F77" t="str">
        <v>50DK730</v>
      </c>
      <c r="G77" s="103">
        <v>81.999999999999986</v>
      </c>
      <c r="H77" t="str">
        <v>hour</v>
      </c>
      <c r="I77">
        <v>0</v>
      </c>
      <c r="J77">
        <v>46</v>
      </c>
      <c r="K77" s="61">
        <v>5.5359999999999996</v>
      </c>
      <c r="L77" s="61">
        <v>453.95199999999988</v>
      </c>
      <c r="AA77">
        <v>31</v>
      </c>
      <c r="AB77">
        <v>5</v>
      </c>
      <c r="AC77" t="str">
        <v>77AT386</v>
      </c>
      <c r="AD77">
        <v>30</v>
      </c>
      <c r="AE77" t="str">
        <v>single</v>
      </c>
    </row>
    <row r="78" spans="1:31" hidden="1" x14ac:dyDescent="0.25">
      <c r="A78">
        <v>77</v>
      </c>
      <c r="B78">
        <v>2025</v>
      </c>
      <c r="C78">
        <v>3</v>
      </c>
      <c r="D78">
        <v>31</v>
      </c>
      <c r="E78">
        <v>2</v>
      </c>
      <c r="F78" t="str">
        <v>99MN472</v>
      </c>
      <c r="G78" s="103">
        <v>54.999999999999943</v>
      </c>
      <c r="H78" t="str">
        <v>hour</v>
      </c>
      <c r="I78">
        <v>0</v>
      </c>
      <c r="J78">
        <v>107</v>
      </c>
      <c r="K78" s="61">
        <v>5.5359999999999996</v>
      </c>
      <c r="L78" s="61">
        <v>304.47999999999968</v>
      </c>
      <c r="AA78">
        <v>31</v>
      </c>
      <c r="AB78">
        <v>5</v>
      </c>
      <c r="AC78" t="str">
        <v>77GR998</v>
      </c>
      <c r="AD78">
        <v>1</v>
      </c>
      <c r="AE78" t="str">
        <v>single</v>
      </c>
    </row>
    <row r="79" spans="1:31" hidden="1" x14ac:dyDescent="0.25">
      <c r="A79">
        <v>78</v>
      </c>
      <c r="B79">
        <v>2025</v>
      </c>
      <c r="C79">
        <v>3</v>
      </c>
      <c r="D79">
        <v>31</v>
      </c>
      <c r="E79">
        <v>2</v>
      </c>
      <c r="F79" t="str">
        <v>10RN527</v>
      </c>
      <c r="G79" s="103">
        <v>33.999999999999986</v>
      </c>
      <c r="H79" t="str">
        <v>hour</v>
      </c>
      <c r="I79">
        <v>0</v>
      </c>
      <c r="J79">
        <v>29</v>
      </c>
      <c r="K79" s="61">
        <v>5.5359999999999996</v>
      </c>
      <c r="L79" s="61">
        <v>188.2239999999999</v>
      </c>
      <c r="AA79">
        <v>31</v>
      </c>
      <c r="AB79">
        <v>5</v>
      </c>
      <c r="AC79" t="str">
        <v>77QE133</v>
      </c>
      <c r="AD79">
        <v>32</v>
      </c>
      <c r="AE79" t="str">
        <v>single</v>
      </c>
    </row>
    <row r="80" spans="1:31" hidden="1" x14ac:dyDescent="0.25">
      <c r="A80">
        <v>79</v>
      </c>
      <c r="B80">
        <v>2025</v>
      </c>
      <c r="C80">
        <v>3</v>
      </c>
      <c r="D80">
        <v>31</v>
      </c>
      <c r="E80">
        <v>2</v>
      </c>
      <c r="F80" t="str">
        <v>99LM412</v>
      </c>
      <c r="G80" s="103">
        <v>4.9999999999999964</v>
      </c>
      <c r="H80" t="str">
        <v>hour</v>
      </c>
      <c r="I80">
        <v>0</v>
      </c>
      <c r="J80">
        <v>115</v>
      </c>
      <c r="K80" s="61">
        <v>5.5357142857142856</v>
      </c>
      <c r="L80" s="61">
        <v>27.678571428571409</v>
      </c>
      <c r="AA80">
        <v>31</v>
      </c>
      <c r="AB80">
        <v>5</v>
      </c>
      <c r="AC80" t="str">
        <v>77QK725</v>
      </c>
      <c r="AD80">
        <v>15</v>
      </c>
      <c r="AE80" t="str">
        <v>single</v>
      </c>
    </row>
    <row r="81" spans="1:31" hidden="1" x14ac:dyDescent="0.25">
      <c r="A81">
        <v>80</v>
      </c>
      <c r="B81">
        <v>2025</v>
      </c>
      <c r="C81">
        <v>3</v>
      </c>
      <c r="D81">
        <v>31</v>
      </c>
      <c r="E81">
        <v>2</v>
      </c>
      <c r="F81" t="str">
        <v>99TV366</v>
      </c>
      <c r="G81" s="103">
        <v>20.999999999999986</v>
      </c>
      <c r="H81" t="str">
        <v>hour</v>
      </c>
      <c r="I81">
        <v>0</v>
      </c>
      <c r="J81">
        <v>111</v>
      </c>
      <c r="K81" s="61">
        <v>5.5359999999999996</v>
      </c>
      <c r="L81" s="61">
        <v>116.25599999999991</v>
      </c>
      <c r="AA81">
        <v>31</v>
      </c>
      <c r="AB81">
        <v>5</v>
      </c>
      <c r="AC81" t="str">
        <v>77QK725</v>
      </c>
      <c r="AD81" t="str">
        <v/>
      </c>
      <c r="AE81" t="str">
        <v>single</v>
      </c>
    </row>
    <row r="82" spans="1:31" hidden="1" x14ac:dyDescent="0.25">
      <c r="A82">
        <v>81</v>
      </c>
      <c r="B82">
        <v>2025</v>
      </c>
      <c r="C82">
        <v>6</v>
      </c>
      <c r="D82">
        <v>46</v>
      </c>
      <c r="E82">
        <v>2</v>
      </c>
      <c r="F82" t="str">
        <v>110FY523</v>
      </c>
      <c r="G82" s="103">
        <v>27</v>
      </c>
      <c r="H82" t="str">
        <v>single</v>
      </c>
      <c r="I82">
        <v>0</v>
      </c>
      <c r="J82">
        <v>1</v>
      </c>
      <c r="K82" s="61">
        <v>214.28571428571428</v>
      </c>
      <c r="L82" s="61">
        <v>5785.7142857142853</v>
      </c>
      <c r="AA82">
        <v>31</v>
      </c>
      <c r="AB82">
        <v>5</v>
      </c>
      <c r="AC82" t="str">
        <v>77UR032</v>
      </c>
      <c r="AD82">
        <v>27</v>
      </c>
      <c r="AE82" t="str">
        <v>single</v>
      </c>
    </row>
    <row r="83" spans="1:31" hidden="1" x14ac:dyDescent="0.25">
      <c r="A83">
        <v>82</v>
      </c>
      <c r="B83">
        <v>2025</v>
      </c>
      <c r="C83">
        <v>6</v>
      </c>
      <c r="D83">
        <v>46</v>
      </c>
      <c r="E83">
        <v>2</v>
      </c>
      <c r="F83" t="str">
        <v>10AD801</v>
      </c>
      <c r="G83" s="103">
        <v>27</v>
      </c>
      <c r="H83" t="str">
        <v>single</v>
      </c>
      <c r="I83">
        <v>0</v>
      </c>
      <c r="J83">
        <v>4</v>
      </c>
      <c r="K83" s="61">
        <v>446.42857142857144</v>
      </c>
      <c r="L83" s="61">
        <v>12053.571428571429</v>
      </c>
      <c r="AA83">
        <v>31</v>
      </c>
      <c r="AB83">
        <v>5</v>
      </c>
      <c r="AC83" t="str">
        <v>90PY548</v>
      </c>
      <c r="AD83">
        <v>27</v>
      </c>
      <c r="AE83" t="str">
        <v>single</v>
      </c>
    </row>
    <row r="84" spans="1:31" hidden="1" x14ac:dyDescent="0.25">
      <c r="A84">
        <v>83</v>
      </c>
      <c r="B84">
        <v>2025</v>
      </c>
      <c r="C84">
        <v>7</v>
      </c>
      <c r="D84">
        <v>50</v>
      </c>
      <c r="E84">
        <v>2</v>
      </c>
      <c r="F84" t="str">
        <v>61AB256</v>
      </c>
      <c r="G84" s="103">
        <v>29</v>
      </c>
      <c r="H84" t="str">
        <v>single</v>
      </c>
      <c r="I84">
        <v>0</v>
      </c>
      <c r="J84">
        <v>1</v>
      </c>
      <c r="K84" s="61">
        <v>357.14285714285717</v>
      </c>
      <c r="L84" s="61">
        <v>10357.142857142859</v>
      </c>
      <c r="AA84">
        <v>31</v>
      </c>
      <c r="AB84">
        <v>5</v>
      </c>
      <c r="AC84" t="str">
        <v>90SL686</v>
      </c>
      <c r="AD84">
        <v>29</v>
      </c>
      <c r="AE84" t="str">
        <v>single</v>
      </c>
    </row>
    <row r="85" spans="1:31" hidden="1" x14ac:dyDescent="0.25">
      <c r="A85">
        <v>84</v>
      </c>
      <c r="B85">
        <v>2025</v>
      </c>
      <c r="C85">
        <v>8</v>
      </c>
      <c r="D85">
        <v>51</v>
      </c>
      <c r="E85">
        <v>2</v>
      </c>
      <c r="F85" t="str">
        <v>10BA857</v>
      </c>
      <c r="G85" s="103">
        <v>13</v>
      </c>
      <c r="H85" t="str">
        <v>single</v>
      </c>
      <c r="I85">
        <v>0</v>
      </c>
      <c r="J85">
        <v>3</v>
      </c>
      <c r="K85" s="61">
        <v>235.71</v>
      </c>
      <c r="L85" s="61">
        <v>3064.23</v>
      </c>
      <c r="AA85">
        <v>31</v>
      </c>
      <c r="AB85">
        <v>5</v>
      </c>
      <c r="AC85" t="str">
        <v>90VS316</v>
      </c>
      <c r="AD85">
        <v>27</v>
      </c>
      <c r="AE85" t="str">
        <v>single</v>
      </c>
    </row>
    <row r="86" spans="1:31" hidden="1" x14ac:dyDescent="0.25">
      <c r="A86">
        <v>85</v>
      </c>
      <c r="B86">
        <v>2025</v>
      </c>
      <c r="C86">
        <v>8</v>
      </c>
      <c r="D86">
        <v>51</v>
      </c>
      <c r="E86">
        <v>2</v>
      </c>
      <c r="F86" t="str">
        <v>10BA857</v>
      </c>
      <c r="G86" s="103">
        <v>29.999999999999993</v>
      </c>
      <c r="H86" t="str">
        <v>hour</v>
      </c>
      <c r="I86">
        <v>0</v>
      </c>
      <c r="J86">
        <v>4</v>
      </c>
      <c r="K86" s="61">
        <v>26.071000000000002</v>
      </c>
      <c r="L86" s="61">
        <v>782.12999999999988</v>
      </c>
      <c r="AA86">
        <v>31</v>
      </c>
      <c r="AB86">
        <v>5</v>
      </c>
      <c r="AC86" t="str">
        <v>99EM163</v>
      </c>
      <c r="AD86">
        <v>27</v>
      </c>
      <c r="AE86" t="str">
        <v>single</v>
      </c>
    </row>
    <row r="87" spans="1:31" hidden="1" x14ac:dyDescent="0.25">
      <c r="A87">
        <v>86</v>
      </c>
      <c r="B87">
        <v>2025</v>
      </c>
      <c r="C87">
        <v>9</v>
      </c>
      <c r="D87">
        <v>51</v>
      </c>
      <c r="E87">
        <v>2</v>
      </c>
      <c r="F87" t="str">
        <v>10BA857</v>
      </c>
      <c r="G87" s="103">
        <v>25</v>
      </c>
      <c r="H87" t="str">
        <v>single</v>
      </c>
      <c r="I87">
        <v>0</v>
      </c>
      <c r="J87">
        <v>3</v>
      </c>
      <c r="K87" s="61">
        <v>235.71</v>
      </c>
      <c r="L87" s="61">
        <v>5892.75</v>
      </c>
      <c r="AA87">
        <v>31</v>
      </c>
      <c r="AB87">
        <v>5</v>
      </c>
      <c r="AC87" t="str">
        <v>99HZ395</v>
      </c>
      <c r="AD87">
        <v>30</v>
      </c>
      <c r="AE87" t="str">
        <v>single</v>
      </c>
    </row>
    <row r="88" spans="1:31" hidden="1" x14ac:dyDescent="0.25">
      <c r="A88">
        <v>87</v>
      </c>
      <c r="B88">
        <v>2025</v>
      </c>
      <c r="C88">
        <v>9</v>
      </c>
      <c r="D88">
        <v>51</v>
      </c>
      <c r="E88">
        <v>2</v>
      </c>
      <c r="F88" t="str">
        <v>10BA857</v>
      </c>
      <c r="G88" s="103">
        <v>10</v>
      </c>
      <c r="H88" t="str">
        <v>hour</v>
      </c>
      <c r="I88">
        <v>0</v>
      </c>
      <c r="J88">
        <v>4</v>
      </c>
      <c r="K88" s="61">
        <v>26.071000000000002</v>
      </c>
      <c r="L88" s="61">
        <v>260.71000000000004</v>
      </c>
      <c r="AA88">
        <v>31</v>
      </c>
      <c r="AB88">
        <v>5</v>
      </c>
      <c r="AC88" t="str">
        <v>99LM412</v>
      </c>
      <c r="AD88">
        <v>29</v>
      </c>
      <c r="AE88" t="str">
        <v>single</v>
      </c>
    </row>
    <row r="89" spans="1:31" hidden="1" x14ac:dyDescent="0.25">
      <c r="A89">
        <v>88</v>
      </c>
      <c r="B89">
        <v>2025</v>
      </c>
      <c r="C89">
        <v>5</v>
      </c>
      <c r="D89">
        <v>52</v>
      </c>
      <c r="E89">
        <v>2</v>
      </c>
      <c r="F89" t="str">
        <v>10AC750</v>
      </c>
      <c r="G89" s="103">
        <v>30</v>
      </c>
      <c r="H89" t="str">
        <v>single</v>
      </c>
      <c r="I89">
        <v>0</v>
      </c>
      <c r="J89">
        <v>1</v>
      </c>
      <c r="K89" s="61">
        <v>375</v>
      </c>
      <c r="L89" s="61">
        <v>11250</v>
      </c>
      <c r="AA89">
        <v>31</v>
      </c>
      <c r="AB89">
        <v>5</v>
      </c>
      <c r="AC89" t="str">
        <v>99MN472</v>
      </c>
      <c r="AD89">
        <v>29</v>
      </c>
      <c r="AE89" t="str">
        <v>single</v>
      </c>
    </row>
    <row r="90" spans="1:31" hidden="1" x14ac:dyDescent="0.25">
      <c r="A90">
        <v>89</v>
      </c>
      <c r="B90">
        <v>2025</v>
      </c>
      <c r="C90">
        <v>5</v>
      </c>
      <c r="D90">
        <v>52</v>
      </c>
      <c r="E90">
        <v>2</v>
      </c>
      <c r="F90" t="str">
        <v>10BC326</v>
      </c>
      <c r="G90" s="103">
        <v>11</v>
      </c>
      <c r="H90" t="str">
        <v>single</v>
      </c>
      <c r="I90">
        <v>0</v>
      </c>
      <c r="J90">
        <v>3</v>
      </c>
      <c r="K90" s="61">
        <v>357.14</v>
      </c>
      <c r="L90" s="61">
        <v>3928.54</v>
      </c>
      <c r="AA90">
        <v>31</v>
      </c>
      <c r="AB90">
        <v>6</v>
      </c>
      <c r="AC90" t="str">
        <v>01CC689</v>
      </c>
      <c r="AD90">
        <v>31</v>
      </c>
      <c r="AE90" t="str">
        <v>single</v>
      </c>
    </row>
    <row r="91" spans="1:31" hidden="1" x14ac:dyDescent="0.25">
      <c r="A91">
        <v>90</v>
      </c>
      <c r="B91">
        <v>2025</v>
      </c>
      <c r="C91">
        <v>6</v>
      </c>
      <c r="D91">
        <v>65</v>
      </c>
      <c r="E91">
        <v>2</v>
      </c>
      <c r="F91" t="str">
        <v>01BA176</v>
      </c>
      <c r="G91" s="103">
        <v>23.5</v>
      </c>
      <c r="H91" t="str">
        <v>single</v>
      </c>
      <c r="I91">
        <v>0</v>
      </c>
      <c r="J91">
        <v>1</v>
      </c>
      <c r="K91" s="61">
        <v>196.42857142857142</v>
      </c>
      <c r="L91" s="61">
        <v>4616.0714285714284</v>
      </c>
      <c r="AA91">
        <v>31</v>
      </c>
      <c r="AB91">
        <v>6</v>
      </c>
      <c r="AC91" t="str">
        <v>50BD165</v>
      </c>
      <c r="AD91">
        <v>30</v>
      </c>
      <c r="AE91" t="str">
        <v>single</v>
      </c>
    </row>
    <row r="92" spans="1:31" hidden="1" x14ac:dyDescent="0.25">
      <c r="A92">
        <v>91</v>
      </c>
      <c r="B92">
        <v>2025</v>
      </c>
      <c r="C92">
        <v>6</v>
      </c>
      <c r="D92">
        <v>65</v>
      </c>
      <c r="E92">
        <v>2</v>
      </c>
      <c r="F92" t="str">
        <v>10BD252</v>
      </c>
      <c r="G92" s="103">
        <v>27</v>
      </c>
      <c r="H92" t="str">
        <v>single</v>
      </c>
      <c r="I92">
        <v>0</v>
      </c>
      <c r="J92">
        <v>2</v>
      </c>
      <c r="K92" s="61">
        <v>160.71</v>
      </c>
      <c r="L92" s="61">
        <v>4339.17</v>
      </c>
      <c r="AA92">
        <v>31</v>
      </c>
      <c r="AB92">
        <v>6</v>
      </c>
      <c r="AC92" t="str">
        <v>50BN724</v>
      </c>
      <c r="AD92">
        <v>16</v>
      </c>
      <c r="AE92" t="str">
        <v>single</v>
      </c>
    </row>
    <row r="93" spans="1:31" hidden="1" x14ac:dyDescent="0.25">
      <c r="A93">
        <v>92</v>
      </c>
      <c r="B93">
        <v>2025</v>
      </c>
      <c r="C93">
        <v>7</v>
      </c>
      <c r="D93">
        <v>85</v>
      </c>
      <c r="E93">
        <v>2</v>
      </c>
      <c r="F93" t="str">
        <v>77SN951</v>
      </c>
      <c r="G93" s="103">
        <v>29</v>
      </c>
      <c r="H93" t="str">
        <v>single</v>
      </c>
      <c r="I93">
        <v>0</v>
      </c>
      <c r="J93">
        <v>1</v>
      </c>
      <c r="K93" s="61">
        <v>446.43</v>
      </c>
      <c r="L93" s="61">
        <v>12946.47</v>
      </c>
      <c r="AA93">
        <v>31</v>
      </c>
      <c r="AB93">
        <v>6</v>
      </c>
      <c r="AC93" t="str">
        <v>50DK730</v>
      </c>
      <c r="AD93">
        <v>31</v>
      </c>
      <c r="AE93" t="str">
        <v>single</v>
      </c>
    </row>
    <row r="94" spans="1:31" hidden="1" x14ac:dyDescent="0.25">
      <c r="A94">
        <v>93</v>
      </c>
      <c r="B94">
        <v>2025</v>
      </c>
      <c r="C94">
        <v>7</v>
      </c>
      <c r="D94">
        <v>85</v>
      </c>
      <c r="E94">
        <v>2</v>
      </c>
      <c r="F94" t="str">
        <v>77SN951</v>
      </c>
      <c r="G94" s="103">
        <v>39.999999999999972</v>
      </c>
      <c r="H94" t="str">
        <v>hour</v>
      </c>
      <c r="I94">
        <v>0</v>
      </c>
      <c r="J94">
        <v>2</v>
      </c>
      <c r="K94" s="61">
        <v>44.643000000000001</v>
      </c>
      <c r="L94" s="61">
        <v>1785.7199999999987</v>
      </c>
      <c r="AA94">
        <v>31</v>
      </c>
      <c r="AB94">
        <v>6</v>
      </c>
      <c r="AC94" t="str">
        <v>53BB774</v>
      </c>
      <c r="AD94">
        <v>30</v>
      </c>
      <c r="AE94" t="str">
        <v>single</v>
      </c>
    </row>
    <row r="95" spans="1:31" hidden="1" x14ac:dyDescent="0.25">
      <c r="A95">
        <v>94</v>
      </c>
      <c r="B95">
        <v>2025</v>
      </c>
      <c r="C95">
        <v>7</v>
      </c>
      <c r="D95">
        <v>94</v>
      </c>
      <c r="E95">
        <v>2</v>
      </c>
      <c r="F95" t="str">
        <v>54BM823</v>
      </c>
      <c r="G95" s="103">
        <v>31</v>
      </c>
      <c r="H95" t="str">
        <v>single</v>
      </c>
      <c r="I95">
        <v>0</v>
      </c>
      <c r="J95">
        <v>1</v>
      </c>
      <c r="K95" s="61">
        <v>125</v>
      </c>
      <c r="L95" s="61">
        <v>3875</v>
      </c>
      <c r="AA95">
        <v>31</v>
      </c>
      <c r="AB95">
        <v>6</v>
      </c>
      <c r="AC95" t="str">
        <v>55CB633</v>
      </c>
      <c r="AD95">
        <v>30</v>
      </c>
      <c r="AE95" t="str">
        <v>single</v>
      </c>
    </row>
    <row r="96" spans="1:31" hidden="1" x14ac:dyDescent="0.25">
      <c r="A96">
        <v>95</v>
      </c>
      <c r="B96">
        <v>2025</v>
      </c>
      <c r="C96">
        <v>7</v>
      </c>
      <c r="D96">
        <v>94</v>
      </c>
      <c r="E96">
        <v>2</v>
      </c>
      <c r="F96" t="str">
        <v>54BM823</v>
      </c>
      <c r="G96" s="103">
        <v>14</v>
      </c>
      <c r="H96" t="str">
        <v>single</v>
      </c>
      <c r="I96">
        <v>0</v>
      </c>
      <c r="J96">
        <v>1</v>
      </c>
      <c r="K96" s="61">
        <v>125</v>
      </c>
      <c r="L96" s="61">
        <v>1750</v>
      </c>
      <c r="AA96">
        <v>31</v>
      </c>
      <c r="AB96">
        <v>6</v>
      </c>
      <c r="AC96" t="str">
        <v>77AT386</v>
      </c>
      <c r="AD96">
        <v>30</v>
      </c>
      <c r="AE96" t="str">
        <v>single</v>
      </c>
    </row>
    <row r="97" spans="1:31" hidden="1" x14ac:dyDescent="0.25">
      <c r="A97">
        <v>96</v>
      </c>
      <c r="B97">
        <v>2025</v>
      </c>
      <c r="C97">
        <v>7</v>
      </c>
      <c r="D97">
        <v>94</v>
      </c>
      <c r="E97">
        <v>2</v>
      </c>
      <c r="F97" t="str">
        <v>54BM823</v>
      </c>
      <c r="G97" s="103">
        <v>5</v>
      </c>
      <c r="H97" t="str">
        <v>hour</v>
      </c>
      <c r="I97">
        <v>0</v>
      </c>
      <c r="J97">
        <v>2</v>
      </c>
      <c r="K97" s="61">
        <v>12.5</v>
      </c>
      <c r="L97" s="61">
        <v>62.5</v>
      </c>
      <c r="AA97">
        <v>31</v>
      </c>
      <c r="AB97">
        <v>6</v>
      </c>
      <c r="AC97" t="str">
        <v>77QE133</v>
      </c>
      <c r="AD97">
        <v>30</v>
      </c>
      <c r="AE97" t="str">
        <v>single</v>
      </c>
    </row>
    <row r="98" spans="1:31" hidden="1" x14ac:dyDescent="0.25">
      <c r="A98">
        <v>97</v>
      </c>
      <c r="B98">
        <v>2025</v>
      </c>
      <c r="C98">
        <v>8</v>
      </c>
      <c r="D98">
        <v>95</v>
      </c>
      <c r="E98">
        <v>2</v>
      </c>
      <c r="F98" t="str">
        <v>54BA209</v>
      </c>
      <c r="G98" s="103">
        <v>27</v>
      </c>
      <c r="H98" t="str">
        <v>single</v>
      </c>
      <c r="I98">
        <v>0</v>
      </c>
      <c r="J98">
        <v>1</v>
      </c>
      <c r="K98" s="61">
        <v>285.70999999999998</v>
      </c>
      <c r="L98" s="61">
        <v>7714.1699999999992</v>
      </c>
      <c r="AA98">
        <v>31</v>
      </c>
      <c r="AB98">
        <v>6</v>
      </c>
      <c r="AC98" t="str">
        <v>77QK725</v>
      </c>
      <c r="AD98">
        <v>15</v>
      </c>
      <c r="AE98" t="str">
        <v>single</v>
      </c>
    </row>
    <row r="99" spans="1:31" hidden="1" x14ac:dyDescent="0.25">
      <c r="A99">
        <v>98</v>
      </c>
      <c r="B99">
        <v>2025</v>
      </c>
      <c r="C99">
        <v>8</v>
      </c>
      <c r="D99">
        <v>98</v>
      </c>
      <c r="E99">
        <v>2</v>
      </c>
      <c r="F99" t="str">
        <v>50BD416</v>
      </c>
      <c r="G99" s="103">
        <v>29</v>
      </c>
      <c r="H99" t="str">
        <v>single</v>
      </c>
      <c r="I99">
        <v>0</v>
      </c>
      <c r="J99">
        <v>1</v>
      </c>
      <c r="K99" s="61">
        <v>107.14</v>
      </c>
      <c r="L99" s="61">
        <v>3107.06</v>
      </c>
      <c r="AA99">
        <v>31</v>
      </c>
      <c r="AB99">
        <v>6</v>
      </c>
      <c r="AC99" t="str">
        <v>77UR032</v>
      </c>
      <c r="AD99">
        <v>29</v>
      </c>
      <c r="AE99" t="str">
        <v>single</v>
      </c>
    </row>
    <row r="100" spans="1:31" hidden="1" x14ac:dyDescent="0.25">
      <c r="A100">
        <v>99</v>
      </c>
      <c r="B100">
        <v>2025</v>
      </c>
      <c r="C100">
        <v>8</v>
      </c>
      <c r="D100">
        <v>99</v>
      </c>
      <c r="E100">
        <v>2</v>
      </c>
      <c r="F100" t="str">
        <v>50BX301</v>
      </c>
      <c r="G100" s="103">
        <v>31</v>
      </c>
      <c r="H100" t="str">
        <v>single</v>
      </c>
      <c r="I100">
        <v>0</v>
      </c>
      <c r="J100">
        <v>1</v>
      </c>
      <c r="K100" s="61">
        <v>125</v>
      </c>
      <c r="L100" s="61">
        <v>3875</v>
      </c>
      <c r="AA100">
        <v>31</v>
      </c>
      <c r="AB100">
        <v>6</v>
      </c>
      <c r="AC100" t="str">
        <v>90LS143</v>
      </c>
      <c r="AD100">
        <v>20</v>
      </c>
      <c r="AE100" t="str">
        <v>single</v>
      </c>
    </row>
    <row r="101" spans="1:31" hidden="1" x14ac:dyDescent="0.25">
      <c r="A101">
        <v>100</v>
      </c>
      <c r="B101">
        <v>2025</v>
      </c>
      <c r="C101">
        <v>8</v>
      </c>
      <c r="D101">
        <v>99</v>
      </c>
      <c r="E101">
        <v>2</v>
      </c>
      <c r="F101" t="str">
        <v>50BX301</v>
      </c>
      <c r="G101" s="103">
        <v>31</v>
      </c>
      <c r="H101" t="str">
        <v>hour</v>
      </c>
      <c r="I101">
        <v>0</v>
      </c>
      <c r="J101">
        <v>2</v>
      </c>
      <c r="K101" s="61">
        <v>12.5</v>
      </c>
      <c r="L101" s="61">
        <v>387.5</v>
      </c>
      <c r="AA101">
        <v>31</v>
      </c>
      <c r="AB101">
        <v>6</v>
      </c>
      <c r="AC101" t="str">
        <v>90PY548</v>
      </c>
      <c r="AD101">
        <v>30</v>
      </c>
      <c r="AE101" t="str">
        <v>single</v>
      </c>
    </row>
    <row r="102" spans="1:31" hidden="1" x14ac:dyDescent="0.25">
      <c r="A102">
        <v>101</v>
      </c>
      <c r="B102">
        <v>2025</v>
      </c>
      <c r="C102">
        <v>8</v>
      </c>
      <c r="D102">
        <v>100</v>
      </c>
      <c r="E102">
        <v>2</v>
      </c>
      <c r="F102" t="str">
        <v>22AB273</v>
      </c>
      <c r="G102" s="103">
        <v>27</v>
      </c>
      <c r="H102" t="str">
        <v>single</v>
      </c>
      <c r="I102">
        <v>0</v>
      </c>
      <c r="J102">
        <v>1</v>
      </c>
      <c r="K102" s="61">
        <v>196.42857142857142</v>
      </c>
      <c r="L102" s="61">
        <v>5303.5714285714284</v>
      </c>
      <c r="AA102">
        <v>31</v>
      </c>
      <c r="AB102">
        <v>6</v>
      </c>
      <c r="AC102" t="str">
        <v>90SL686</v>
      </c>
      <c r="AD102">
        <v>31</v>
      </c>
      <c r="AE102" t="str">
        <v>single</v>
      </c>
    </row>
    <row r="103" spans="1:31" hidden="1" x14ac:dyDescent="0.25">
      <c r="A103">
        <v>102</v>
      </c>
      <c r="B103">
        <v>2025</v>
      </c>
      <c r="C103">
        <v>9</v>
      </c>
      <c r="D103">
        <v>102</v>
      </c>
      <c r="E103">
        <v>2</v>
      </c>
      <c r="F103" t="str">
        <v>99HQ687</v>
      </c>
      <c r="G103" s="103">
        <v>29</v>
      </c>
      <c r="H103" t="str">
        <v>single</v>
      </c>
      <c r="I103">
        <v>0</v>
      </c>
      <c r="J103">
        <v>1</v>
      </c>
      <c r="K103" s="61">
        <v>125</v>
      </c>
      <c r="L103" s="61">
        <v>3625</v>
      </c>
      <c r="AA103">
        <v>31</v>
      </c>
      <c r="AB103">
        <v>6</v>
      </c>
      <c r="AC103" t="str">
        <v>90VS316</v>
      </c>
      <c r="AD103">
        <v>30</v>
      </c>
      <c r="AE103" t="str">
        <v>single</v>
      </c>
    </row>
    <row r="104" spans="1:31" hidden="1" x14ac:dyDescent="0.25">
      <c r="A104">
        <v>103</v>
      </c>
      <c r="B104">
        <v>2025</v>
      </c>
      <c r="C104">
        <v>9</v>
      </c>
      <c r="D104">
        <v>102</v>
      </c>
      <c r="E104">
        <v>2</v>
      </c>
      <c r="F104" t="str">
        <v>10MF640</v>
      </c>
      <c r="G104" s="61">
        <v>29</v>
      </c>
      <c r="H104" t="str">
        <v>single</v>
      </c>
      <c r="I104">
        <v>0</v>
      </c>
      <c r="J104">
        <v>3</v>
      </c>
      <c r="K104" s="61">
        <v>125</v>
      </c>
      <c r="L104" s="61">
        <v>3625</v>
      </c>
      <c r="AA104">
        <v>31</v>
      </c>
      <c r="AB104">
        <v>6</v>
      </c>
      <c r="AC104" t="str">
        <v>99BT339</v>
      </c>
      <c r="AD104">
        <v>1</v>
      </c>
      <c r="AE104" t="str">
        <v>single</v>
      </c>
    </row>
    <row r="105" spans="1:31" hidden="1" x14ac:dyDescent="0.25">
      <c r="A105">
        <v>104</v>
      </c>
      <c r="B105">
        <v>2025</v>
      </c>
      <c r="C105">
        <v>9</v>
      </c>
      <c r="D105">
        <v>102</v>
      </c>
      <c r="E105">
        <v>2</v>
      </c>
      <c r="F105" t="str">
        <v>99HQ687</v>
      </c>
      <c r="G105" s="61">
        <v>43</v>
      </c>
      <c r="H105" t="str">
        <v>hour</v>
      </c>
      <c r="I105">
        <v>0</v>
      </c>
      <c r="J105">
        <v>2</v>
      </c>
      <c r="K105" s="61">
        <v>12.5</v>
      </c>
      <c r="L105" s="61">
        <v>537.5</v>
      </c>
      <c r="AA105">
        <v>31</v>
      </c>
      <c r="AB105">
        <v>6</v>
      </c>
      <c r="AC105" t="str">
        <v>99EM163</v>
      </c>
      <c r="AD105">
        <v>30</v>
      </c>
      <c r="AE105" t="str">
        <v>single</v>
      </c>
    </row>
    <row r="106" spans="1:31" hidden="1" x14ac:dyDescent="0.25">
      <c r="A106">
        <v>105</v>
      </c>
      <c r="B106">
        <v>2025</v>
      </c>
      <c r="C106">
        <v>9</v>
      </c>
      <c r="D106">
        <v>102</v>
      </c>
      <c r="E106">
        <v>2</v>
      </c>
      <c r="F106" t="str">
        <v>10MF640</v>
      </c>
      <c r="G106" s="61">
        <v>65</v>
      </c>
      <c r="H106" t="str">
        <v>hour</v>
      </c>
      <c r="I106">
        <v>0</v>
      </c>
      <c r="J106">
        <v>4</v>
      </c>
      <c r="K106" s="61">
        <v>12.5</v>
      </c>
      <c r="L106" s="61">
        <v>812.5</v>
      </c>
      <c r="AA106">
        <v>31</v>
      </c>
      <c r="AB106">
        <v>6</v>
      </c>
      <c r="AC106" t="str">
        <v>99HZ395</v>
      </c>
      <c r="AD106">
        <v>30</v>
      </c>
      <c r="AE106" t="str">
        <v>single</v>
      </c>
    </row>
    <row r="107" spans="1:31" hidden="1" x14ac:dyDescent="0.25">
      <c r="A107">
        <v>106</v>
      </c>
      <c r="B107">
        <v>2025</v>
      </c>
      <c r="C107">
        <v>9</v>
      </c>
      <c r="D107">
        <v>110</v>
      </c>
      <c r="E107">
        <v>2</v>
      </c>
      <c r="F107" t="str">
        <v>99XC106</v>
      </c>
      <c r="G107" s="61">
        <v>26</v>
      </c>
      <c r="H107" t="str">
        <v>single</v>
      </c>
      <c r="I107">
        <v>0</v>
      </c>
      <c r="J107">
        <v>1</v>
      </c>
      <c r="K107" s="61">
        <v>221.42857142857142</v>
      </c>
      <c r="L107" s="61">
        <v>5757.1428571428569</v>
      </c>
      <c r="AA107">
        <v>31</v>
      </c>
      <c r="AB107">
        <v>6</v>
      </c>
      <c r="AC107" t="str">
        <v>99KL663</v>
      </c>
      <c r="AD107">
        <v>30</v>
      </c>
      <c r="AE107" t="str">
        <v>single</v>
      </c>
    </row>
    <row r="108" spans="1:31" hidden="1" x14ac:dyDescent="0.25">
      <c r="A108">
        <v>107</v>
      </c>
      <c r="B108">
        <v>2025</v>
      </c>
      <c r="C108">
        <v>11</v>
      </c>
      <c r="D108">
        <v>121</v>
      </c>
      <c r="E108">
        <v>2</v>
      </c>
      <c r="F108" t="str">
        <v>11BC843</v>
      </c>
      <c r="G108" s="61">
        <v>29</v>
      </c>
      <c r="H108" t="str">
        <v>single</v>
      </c>
      <c r="I108">
        <v>0</v>
      </c>
      <c r="J108">
        <v>1</v>
      </c>
      <c r="K108" s="61">
        <v>128.57</v>
      </c>
      <c r="L108" s="61">
        <v>3728.5299999999997</v>
      </c>
      <c r="AA108">
        <v>31</v>
      </c>
      <c r="AB108">
        <v>6</v>
      </c>
      <c r="AC108" t="str">
        <v>99LM412</v>
      </c>
      <c r="AD108">
        <v>31</v>
      </c>
      <c r="AE108" t="str">
        <v>single</v>
      </c>
    </row>
    <row r="109" spans="1:31" hidden="1" x14ac:dyDescent="0.25">
      <c r="A109">
        <v>108</v>
      </c>
      <c r="B109">
        <v>2025</v>
      </c>
      <c r="C109">
        <v>11</v>
      </c>
      <c r="D109">
        <v>121</v>
      </c>
      <c r="E109">
        <v>2</v>
      </c>
      <c r="F109" t="str">
        <v>11BC843</v>
      </c>
      <c r="G109" s="61">
        <v>8</v>
      </c>
      <c r="H109" t="str">
        <v>hour</v>
      </c>
      <c r="I109">
        <v>0</v>
      </c>
      <c r="J109">
        <v>2</v>
      </c>
      <c r="K109" s="61">
        <v>12.856999999999999</v>
      </c>
      <c r="L109" s="61">
        <v>102.85599999999999</v>
      </c>
      <c r="AA109">
        <v>31</v>
      </c>
      <c r="AB109">
        <v>6</v>
      </c>
      <c r="AC109" t="str">
        <v>99MN472</v>
      </c>
      <c r="AD109">
        <v>31</v>
      </c>
      <c r="AE109" t="str">
        <v>single</v>
      </c>
    </row>
    <row r="110" spans="1:31" hidden="1" x14ac:dyDescent="0.25">
      <c r="A110">
        <v>109</v>
      </c>
      <c r="B110">
        <v>2025</v>
      </c>
      <c r="C110">
        <v>12</v>
      </c>
      <c r="D110">
        <v>141</v>
      </c>
      <c r="E110">
        <v>2</v>
      </c>
      <c r="F110" t="str">
        <v>10V288</v>
      </c>
      <c r="G110" s="61">
        <v>28</v>
      </c>
      <c r="H110" t="str">
        <v>single</v>
      </c>
      <c r="I110">
        <v>0</v>
      </c>
      <c r="J110">
        <v>1</v>
      </c>
      <c r="K110" s="61">
        <v>214.28571428571428</v>
      </c>
      <c r="L110" s="61">
        <v>6000</v>
      </c>
      <c r="AA110">
        <v>31</v>
      </c>
      <c r="AB110">
        <v>7</v>
      </c>
      <c r="AC110" t="str">
        <v>01CC689</v>
      </c>
      <c r="AD110">
        <v>8</v>
      </c>
      <c r="AE110" t="str">
        <v>single</v>
      </c>
    </row>
    <row r="111" spans="1:31" hidden="1" x14ac:dyDescent="0.25">
      <c r="A111">
        <v>110</v>
      </c>
      <c r="B111">
        <v>2025</v>
      </c>
      <c r="C111">
        <v>12</v>
      </c>
      <c r="D111">
        <v>141</v>
      </c>
      <c r="E111">
        <v>2</v>
      </c>
      <c r="F111" t="str">
        <v>10V288</v>
      </c>
      <c r="G111" s="61">
        <v>10</v>
      </c>
      <c r="H111" t="str">
        <v>hour</v>
      </c>
      <c r="I111">
        <v>0</v>
      </c>
      <c r="J111">
        <v>2</v>
      </c>
      <c r="K111" s="61">
        <v>21.428571428571427</v>
      </c>
      <c r="L111" s="61">
        <v>214.28571428571428</v>
      </c>
      <c r="AA111">
        <v>31</v>
      </c>
      <c r="AB111">
        <v>7</v>
      </c>
      <c r="AC111" t="str">
        <v>10RN527</v>
      </c>
      <c r="AD111">
        <v>27</v>
      </c>
      <c r="AE111" t="str">
        <v>single</v>
      </c>
    </row>
    <row r="112" spans="1:31" hidden="1" x14ac:dyDescent="0.25">
      <c r="A112">
        <v>111</v>
      </c>
      <c r="B112">
        <v>2026</v>
      </c>
      <c r="C112">
        <v>2</v>
      </c>
      <c r="D112">
        <v>163</v>
      </c>
      <c r="E112">
        <v>2</v>
      </c>
      <c r="F112" t="str">
        <v>110FA930</v>
      </c>
      <c r="G112" s="61">
        <v>28</v>
      </c>
      <c r="H112" t="str">
        <v>single</v>
      </c>
      <c r="I112">
        <v>0</v>
      </c>
      <c r="J112">
        <v>1</v>
      </c>
      <c r="K112" s="61">
        <v>169.64285714285714</v>
      </c>
      <c r="L112" s="61">
        <v>4750</v>
      </c>
      <c r="AA112">
        <v>31</v>
      </c>
      <c r="AB112">
        <v>7</v>
      </c>
      <c r="AC112" t="str">
        <v>50BD165</v>
      </c>
      <c r="AD112">
        <v>30</v>
      </c>
      <c r="AE112" t="str">
        <v>single</v>
      </c>
    </row>
    <row r="113" spans="1:31" hidden="1" x14ac:dyDescent="0.25">
      <c r="A113">
        <v>112</v>
      </c>
      <c r="B113">
        <v>2026</v>
      </c>
      <c r="C113">
        <v>2</v>
      </c>
      <c r="D113">
        <v>172</v>
      </c>
      <c r="E113">
        <v>2</v>
      </c>
      <c r="F113" t="str">
        <v>22T727</v>
      </c>
      <c r="G113" s="61">
        <v>10</v>
      </c>
      <c r="H113" t="str">
        <v>single</v>
      </c>
      <c r="I113">
        <v>0</v>
      </c>
      <c r="J113">
        <v>1</v>
      </c>
      <c r="K113" s="61">
        <v>196.42857142857142</v>
      </c>
      <c r="L113" s="61">
        <v>1964.2857142857142</v>
      </c>
      <c r="AA113">
        <v>31</v>
      </c>
      <c r="AB113">
        <v>7</v>
      </c>
      <c r="AC113" t="str">
        <v>50BN724</v>
      </c>
      <c r="AD113">
        <v>30</v>
      </c>
      <c r="AE113" t="str">
        <v>single</v>
      </c>
    </row>
    <row r="114" spans="1:31" hidden="1" x14ac:dyDescent="0.25">
      <c r="A114">
        <v>113</v>
      </c>
      <c r="B114">
        <v>2026</v>
      </c>
      <c r="C114">
        <v>3</v>
      </c>
      <c r="D114">
        <v>173</v>
      </c>
      <c r="E114">
        <v>2</v>
      </c>
      <c r="F114" t="str">
        <v>99BQ963</v>
      </c>
      <c r="G114" s="61">
        <v>28</v>
      </c>
      <c r="H114" t="str">
        <v>single</v>
      </c>
      <c r="I114">
        <v>0</v>
      </c>
      <c r="J114">
        <v>1</v>
      </c>
      <c r="K114" s="61">
        <v>357.14285714285717</v>
      </c>
      <c r="L114" s="61">
        <v>10000</v>
      </c>
      <c r="AA114">
        <v>31</v>
      </c>
      <c r="AB114">
        <v>7</v>
      </c>
      <c r="AC114" t="str">
        <v>50CN929</v>
      </c>
      <c r="AD114">
        <v>26</v>
      </c>
      <c r="AE114" t="str">
        <v>single</v>
      </c>
    </row>
    <row r="115" spans="1:31" hidden="1" x14ac:dyDescent="0.25">
      <c r="A115">
        <v>114</v>
      </c>
      <c r="B115">
        <v>2026</v>
      </c>
      <c r="C115">
        <v>4</v>
      </c>
      <c r="D115">
        <v>173</v>
      </c>
      <c r="E115">
        <v>2</v>
      </c>
      <c r="F115" t="str">
        <v>99BQ963</v>
      </c>
      <c r="G115" s="61">
        <v>6</v>
      </c>
      <c r="H115" t="str">
        <v>single</v>
      </c>
      <c r="I115">
        <v>0</v>
      </c>
      <c r="J115">
        <v>1</v>
      </c>
      <c r="K115" s="61">
        <v>357.14285714285717</v>
      </c>
      <c r="L115" s="61">
        <v>2142.8571428571431</v>
      </c>
      <c r="AA115">
        <v>31</v>
      </c>
      <c r="AB115">
        <v>7</v>
      </c>
      <c r="AC115" t="str">
        <v>50DK730</v>
      </c>
      <c r="AD115">
        <v>31</v>
      </c>
      <c r="AE115" t="str">
        <v>single</v>
      </c>
    </row>
    <row r="116" spans="1:31" hidden="1" x14ac:dyDescent="0.25">
      <c r="A116">
        <v>115</v>
      </c>
      <c r="B116">
        <v>2026</v>
      </c>
      <c r="C116">
        <v>3</v>
      </c>
      <c r="D116">
        <v>182</v>
      </c>
      <c r="E116">
        <v>2</v>
      </c>
      <c r="F116" t="str">
        <v>99MD834</v>
      </c>
      <c r="G116" s="61">
        <v>31</v>
      </c>
      <c r="H116" t="str">
        <v>single</v>
      </c>
      <c r="I116">
        <v>0</v>
      </c>
      <c r="J116">
        <v>3</v>
      </c>
      <c r="K116" s="61">
        <v>196.42857142857142</v>
      </c>
      <c r="L116" s="61">
        <v>6089.2857142857138</v>
      </c>
      <c r="AA116">
        <v>31</v>
      </c>
      <c r="AB116">
        <v>7</v>
      </c>
      <c r="AC116" t="str">
        <v>50EF902</v>
      </c>
      <c r="AD116">
        <v>22</v>
      </c>
      <c r="AE116" t="str">
        <v>single</v>
      </c>
    </row>
    <row r="117" spans="1:31" hidden="1" x14ac:dyDescent="0.25">
      <c r="A117">
        <v>116</v>
      </c>
      <c r="B117">
        <v>2026</v>
      </c>
      <c r="C117">
        <v>3</v>
      </c>
      <c r="D117">
        <v>182</v>
      </c>
      <c r="E117">
        <v>2</v>
      </c>
      <c r="F117" t="str">
        <v>77VS178</v>
      </c>
      <c r="G117" s="61">
        <v>27</v>
      </c>
      <c r="H117" t="str">
        <v>single</v>
      </c>
      <c r="I117">
        <v>0</v>
      </c>
      <c r="J117">
        <v>4</v>
      </c>
      <c r="K117" s="61">
        <v>214.28571428571428</v>
      </c>
      <c r="L117" s="61">
        <v>5785.7142857142853</v>
      </c>
      <c r="AA117">
        <v>31</v>
      </c>
      <c r="AB117">
        <v>7</v>
      </c>
      <c r="AC117" t="str">
        <v>53BB774</v>
      </c>
      <c r="AD117">
        <v>10</v>
      </c>
      <c r="AE117" t="str">
        <v>single</v>
      </c>
    </row>
    <row r="118" spans="1:31" hidden="1" x14ac:dyDescent="0.25">
      <c r="A118">
        <v>117</v>
      </c>
      <c r="B118">
        <v>2026</v>
      </c>
      <c r="C118">
        <v>3</v>
      </c>
      <c r="D118">
        <v>182</v>
      </c>
      <c r="E118">
        <v>2</v>
      </c>
      <c r="F118" t="str">
        <v>77VS178</v>
      </c>
      <c r="G118" s="61">
        <v>3</v>
      </c>
      <c r="H118" t="str">
        <v>hour</v>
      </c>
      <c r="I118">
        <v>0</v>
      </c>
      <c r="J118">
        <v>5</v>
      </c>
      <c r="K118" s="61">
        <v>21.428571428571427</v>
      </c>
      <c r="L118" s="61">
        <v>64.285714285714278</v>
      </c>
      <c r="AA118">
        <v>31</v>
      </c>
      <c r="AB118">
        <v>7</v>
      </c>
      <c r="AC118" t="str">
        <v>55CB633</v>
      </c>
      <c r="AD118">
        <v>30</v>
      </c>
      <c r="AE118" t="str">
        <v>single</v>
      </c>
    </row>
    <row r="119" spans="1:31" hidden="1" x14ac:dyDescent="0.25">
      <c r="A119">
        <v>118</v>
      </c>
      <c r="B119">
        <v>2025</v>
      </c>
      <c r="C119">
        <v>4</v>
      </c>
      <c r="D119">
        <v>31</v>
      </c>
      <c r="E119">
        <v>3</v>
      </c>
      <c r="F119" t="str">
        <v>99HZ395</v>
      </c>
      <c r="G119" s="61">
        <v>33</v>
      </c>
      <c r="H119" t="str">
        <v>single</v>
      </c>
      <c r="I119">
        <v>0</v>
      </c>
      <c r="J119">
        <v>3</v>
      </c>
      <c r="K119" s="61">
        <v>65</v>
      </c>
      <c r="L119" s="61">
        <v>2145</v>
      </c>
      <c r="AA119">
        <v>31</v>
      </c>
      <c r="AB119">
        <v>7</v>
      </c>
      <c r="AC119" t="str">
        <v>77AT386</v>
      </c>
      <c r="AD119">
        <v>30</v>
      </c>
      <c r="AE119" t="str">
        <v>single</v>
      </c>
    </row>
    <row r="120" spans="1:31" hidden="1" x14ac:dyDescent="0.25">
      <c r="A120">
        <v>119</v>
      </c>
      <c r="B120">
        <v>2025</v>
      </c>
      <c r="C120">
        <v>4</v>
      </c>
      <c r="D120">
        <v>31</v>
      </c>
      <c r="E120">
        <v>3</v>
      </c>
      <c r="F120" t="str">
        <v>90ZP408</v>
      </c>
      <c r="G120" s="61">
        <v>30</v>
      </c>
      <c r="H120" t="str">
        <v>single</v>
      </c>
      <c r="I120">
        <v>0</v>
      </c>
      <c r="J120">
        <v>11</v>
      </c>
      <c r="K120" s="61">
        <v>55.36</v>
      </c>
      <c r="L120" s="61">
        <v>1660.8</v>
      </c>
      <c r="AA120">
        <v>31</v>
      </c>
      <c r="AB120">
        <v>7</v>
      </c>
      <c r="AC120" t="str">
        <v>77QE133</v>
      </c>
      <c r="AD120">
        <v>30</v>
      </c>
      <c r="AE120" t="str">
        <v>single</v>
      </c>
    </row>
    <row r="121" spans="1:31" hidden="1" x14ac:dyDescent="0.25">
      <c r="A121">
        <v>120</v>
      </c>
      <c r="B121">
        <v>2025</v>
      </c>
      <c r="C121">
        <v>4</v>
      </c>
      <c r="D121">
        <v>31</v>
      </c>
      <c r="E121">
        <v>3</v>
      </c>
      <c r="F121" t="str">
        <v>66CC029</v>
      </c>
      <c r="G121" s="61">
        <v>30</v>
      </c>
      <c r="H121" t="str">
        <v>single</v>
      </c>
      <c r="I121">
        <v>0</v>
      </c>
      <c r="J121">
        <v>15</v>
      </c>
      <c r="K121" s="61">
        <v>55.36</v>
      </c>
      <c r="L121" s="61">
        <v>1660.8</v>
      </c>
      <c r="AA121">
        <v>31</v>
      </c>
      <c r="AB121">
        <v>7</v>
      </c>
      <c r="AC121" t="str">
        <v>77TG971</v>
      </c>
      <c r="AD121">
        <v>25</v>
      </c>
      <c r="AE121" t="str">
        <v>single</v>
      </c>
    </row>
    <row r="122" spans="1:31" hidden="1" x14ac:dyDescent="0.25">
      <c r="A122">
        <v>121</v>
      </c>
      <c r="B122">
        <v>2025</v>
      </c>
      <c r="C122">
        <v>4</v>
      </c>
      <c r="D122">
        <v>31</v>
      </c>
      <c r="E122">
        <v>3</v>
      </c>
      <c r="F122" t="str">
        <v>77QK725</v>
      </c>
      <c r="G122" s="61">
        <v>20</v>
      </c>
      <c r="H122" t="str">
        <v>single</v>
      </c>
      <c r="I122">
        <v>0</v>
      </c>
      <c r="J122">
        <v>17</v>
      </c>
      <c r="K122" s="61">
        <v>275</v>
      </c>
      <c r="L122" s="61">
        <v>5500</v>
      </c>
      <c r="AA122">
        <v>31</v>
      </c>
      <c r="AB122">
        <v>7</v>
      </c>
      <c r="AC122" t="str">
        <v>77UR032</v>
      </c>
      <c r="AD122">
        <v>29</v>
      </c>
      <c r="AE122" t="str">
        <v>single</v>
      </c>
    </row>
    <row r="123" spans="1:31" hidden="1" x14ac:dyDescent="0.25">
      <c r="A123">
        <v>122</v>
      </c>
      <c r="B123">
        <v>2025</v>
      </c>
      <c r="C123">
        <v>4</v>
      </c>
      <c r="D123">
        <v>31</v>
      </c>
      <c r="E123">
        <v>3</v>
      </c>
      <c r="F123" t="str">
        <v>77AT386</v>
      </c>
      <c r="G123" s="61">
        <v>30</v>
      </c>
      <c r="H123" t="str">
        <v>single</v>
      </c>
      <c r="I123">
        <v>0</v>
      </c>
      <c r="J123">
        <v>13</v>
      </c>
      <c r="K123" s="61">
        <v>46.67</v>
      </c>
      <c r="L123" s="61">
        <v>1400.1000000000001</v>
      </c>
      <c r="AA123">
        <v>31</v>
      </c>
      <c r="AB123">
        <v>7</v>
      </c>
      <c r="AC123" t="str">
        <v>77VL420</v>
      </c>
      <c r="AD123">
        <v>15</v>
      </c>
      <c r="AE123" t="str">
        <v>single</v>
      </c>
    </row>
    <row r="124" spans="1:31" hidden="1" x14ac:dyDescent="0.25">
      <c r="A124">
        <v>123</v>
      </c>
      <c r="B124">
        <v>2025</v>
      </c>
      <c r="C124">
        <v>4</v>
      </c>
      <c r="D124">
        <v>31</v>
      </c>
      <c r="E124">
        <v>3</v>
      </c>
      <c r="F124" t="str">
        <v>90SL686</v>
      </c>
      <c r="G124" s="61">
        <v>31</v>
      </c>
      <c r="H124" t="str">
        <v>single</v>
      </c>
      <c r="I124">
        <v>0</v>
      </c>
      <c r="J124">
        <v>19</v>
      </c>
      <c r="K124" s="61">
        <v>58.93</v>
      </c>
      <c r="L124" s="61">
        <v>1826.83</v>
      </c>
      <c r="AA124">
        <v>31</v>
      </c>
      <c r="AB124">
        <v>7</v>
      </c>
      <c r="AC124" t="str">
        <v>90LS143</v>
      </c>
      <c r="AD124">
        <v>29</v>
      </c>
      <c r="AE124" t="str">
        <v>single</v>
      </c>
    </row>
    <row r="125" spans="1:31" hidden="1" x14ac:dyDescent="0.25">
      <c r="A125">
        <v>124</v>
      </c>
      <c r="B125">
        <v>2025</v>
      </c>
      <c r="C125">
        <v>4</v>
      </c>
      <c r="D125">
        <v>31</v>
      </c>
      <c r="E125">
        <v>3</v>
      </c>
      <c r="F125" t="str">
        <v>55CB633</v>
      </c>
      <c r="G125" s="61">
        <v>30</v>
      </c>
      <c r="H125" t="str">
        <v>single</v>
      </c>
      <c r="I125">
        <v>0</v>
      </c>
      <c r="J125">
        <v>57</v>
      </c>
      <c r="K125" s="61">
        <v>55.36</v>
      </c>
      <c r="L125" s="61">
        <v>1660.8</v>
      </c>
      <c r="AA125">
        <v>31</v>
      </c>
      <c r="AB125">
        <v>7</v>
      </c>
      <c r="AC125" t="str">
        <v>90OE402</v>
      </c>
      <c r="AD125">
        <v>14</v>
      </c>
      <c r="AE125" t="str">
        <v>single</v>
      </c>
    </row>
    <row r="126" spans="1:31" hidden="1" x14ac:dyDescent="0.25">
      <c r="A126">
        <v>125</v>
      </c>
      <c r="B126">
        <v>2025</v>
      </c>
      <c r="C126">
        <v>4</v>
      </c>
      <c r="D126">
        <v>31</v>
      </c>
      <c r="E126">
        <v>3</v>
      </c>
      <c r="F126" t="str">
        <v>99BT339</v>
      </c>
      <c r="G126" s="61">
        <v>30</v>
      </c>
      <c r="H126" t="str">
        <v>single</v>
      </c>
      <c r="I126">
        <v>0</v>
      </c>
      <c r="J126">
        <v>93</v>
      </c>
      <c r="K126" s="61">
        <v>55.36</v>
      </c>
      <c r="L126" s="61">
        <v>1660.8</v>
      </c>
      <c r="AA126">
        <v>31</v>
      </c>
      <c r="AB126">
        <v>7</v>
      </c>
      <c r="AC126" t="str">
        <v>90PY548</v>
      </c>
      <c r="AD126">
        <v>30</v>
      </c>
      <c r="AE126" t="str">
        <v>single</v>
      </c>
    </row>
    <row r="127" spans="1:31" hidden="1" x14ac:dyDescent="0.25">
      <c r="A127">
        <v>126</v>
      </c>
      <c r="B127">
        <v>2025</v>
      </c>
      <c r="C127">
        <v>4</v>
      </c>
      <c r="D127">
        <v>31</v>
      </c>
      <c r="E127">
        <v>3</v>
      </c>
      <c r="F127" t="str">
        <v>77ET143</v>
      </c>
      <c r="G127" s="103">
        <v>30</v>
      </c>
      <c r="H127" t="str">
        <v>single</v>
      </c>
      <c r="I127">
        <v>0</v>
      </c>
      <c r="J127">
        <v>59</v>
      </c>
      <c r="K127" s="61">
        <v>55.36</v>
      </c>
      <c r="L127" s="61">
        <v>1660.8</v>
      </c>
      <c r="AA127">
        <v>31</v>
      </c>
      <c r="AB127">
        <v>7</v>
      </c>
      <c r="AC127" t="str">
        <v>90SL686</v>
      </c>
      <c r="AD127">
        <v>30</v>
      </c>
      <c r="AE127" t="str">
        <v>single</v>
      </c>
    </row>
    <row r="128" spans="1:31" hidden="1" x14ac:dyDescent="0.25">
      <c r="A128">
        <v>127</v>
      </c>
      <c r="B128">
        <v>2025</v>
      </c>
      <c r="C128">
        <v>4</v>
      </c>
      <c r="D128">
        <v>31</v>
      </c>
      <c r="E128">
        <v>3</v>
      </c>
      <c r="F128" t="str">
        <v>50DK730</v>
      </c>
      <c r="G128" s="61">
        <v>30</v>
      </c>
      <c r="H128" t="str">
        <v>single</v>
      </c>
      <c r="I128">
        <v>0</v>
      </c>
      <c r="J128">
        <v>47</v>
      </c>
      <c r="K128" s="61">
        <v>55.36</v>
      </c>
      <c r="L128" s="61">
        <v>1660.8</v>
      </c>
      <c r="AA128">
        <v>31</v>
      </c>
      <c r="AB128">
        <v>7</v>
      </c>
      <c r="AC128" t="str">
        <v>90VS316</v>
      </c>
      <c r="AD128">
        <v>30</v>
      </c>
      <c r="AE128" t="str">
        <v>single</v>
      </c>
    </row>
    <row r="129" spans="1:31" hidden="1" x14ac:dyDescent="0.25">
      <c r="A129">
        <v>128</v>
      </c>
      <c r="B129">
        <v>2025</v>
      </c>
      <c r="C129">
        <v>4</v>
      </c>
      <c r="D129">
        <v>31</v>
      </c>
      <c r="E129">
        <v>3</v>
      </c>
      <c r="F129" t="str">
        <v>99MN472</v>
      </c>
      <c r="G129" s="61">
        <v>30</v>
      </c>
      <c r="H129" t="str">
        <v>single</v>
      </c>
      <c r="I129">
        <v>0</v>
      </c>
      <c r="J129">
        <v>108</v>
      </c>
      <c r="K129" s="61">
        <v>55.36</v>
      </c>
      <c r="L129" s="61">
        <v>1660.8</v>
      </c>
      <c r="AA129">
        <v>31</v>
      </c>
      <c r="AB129">
        <v>7</v>
      </c>
      <c r="AC129" t="str">
        <v>99BT339</v>
      </c>
      <c r="AD129">
        <v>30</v>
      </c>
      <c r="AE129" t="str">
        <v>single</v>
      </c>
    </row>
    <row r="130" spans="1:31" hidden="1" x14ac:dyDescent="0.25">
      <c r="A130">
        <v>129</v>
      </c>
      <c r="B130">
        <v>2025</v>
      </c>
      <c r="C130">
        <v>4</v>
      </c>
      <c r="D130">
        <v>31</v>
      </c>
      <c r="E130">
        <v>3</v>
      </c>
      <c r="F130" t="str">
        <v>52BK688</v>
      </c>
      <c r="G130" s="61">
        <v>5</v>
      </c>
      <c r="H130" t="str">
        <v>single</v>
      </c>
      <c r="I130">
        <v>0</v>
      </c>
      <c r="J130">
        <v>51</v>
      </c>
      <c r="K130" s="61">
        <v>55.36</v>
      </c>
      <c r="L130" s="61">
        <v>276.8</v>
      </c>
      <c r="AA130">
        <v>31</v>
      </c>
      <c r="AB130">
        <v>7</v>
      </c>
      <c r="AC130" t="str">
        <v>99EM163</v>
      </c>
      <c r="AD130">
        <v>29</v>
      </c>
      <c r="AE130" t="str">
        <v>single</v>
      </c>
    </row>
    <row r="131" spans="1:31" hidden="1" x14ac:dyDescent="0.25">
      <c r="A131">
        <v>130</v>
      </c>
      <c r="B131">
        <v>2025</v>
      </c>
      <c r="C131">
        <v>4</v>
      </c>
      <c r="D131">
        <v>31</v>
      </c>
      <c r="E131">
        <v>3</v>
      </c>
      <c r="F131" t="str">
        <v>77RN868</v>
      </c>
      <c r="G131" s="61">
        <v>31</v>
      </c>
      <c r="H131" t="str">
        <v>single</v>
      </c>
      <c r="I131">
        <v>0</v>
      </c>
      <c r="J131">
        <v>71</v>
      </c>
      <c r="K131" s="61">
        <v>73.33</v>
      </c>
      <c r="L131" s="61">
        <v>2273.23</v>
      </c>
      <c r="AA131">
        <v>31</v>
      </c>
      <c r="AB131">
        <v>7</v>
      </c>
      <c r="AC131" t="str">
        <v>99HZ395</v>
      </c>
      <c r="AD131">
        <v>29</v>
      </c>
      <c r="AE131" t="str">
        <v>single</v>
      </c>
    </row>
    <row r="132" spans="1:31" hidden="1" x14ac:dyDescent="0.25">
      <c r="A132">
        <v>131</v>
      </c>
      <c r="B132">
        <v>2025</v>
      </c>
      <c r="C132">
        <v>4</v>
      </c>
      <c r="D132">
        <v>31</v>
      </c>
      <c r="E132">
        <v>3</v>
      </c>
      <c r="F132" t="str">
        <v>99LM412</v>
      </c>
      <c r="G132" s="61">
        <v>30</v>
      </c>
      <c r="H132" t="str">
        <v>single</v>
      </c>
      <c r="I132">
        <v>0</v>
      </c>
      <c r="J132">
        <v>116</v>
      </c>
      <c r="K132" s="61">
        <v>55.357142857142854</v>
      </c>
      <c r="L132" s="61">
        <v>1660.7142857142856</v>
      </c>
      <c r="AA132">
        <v>31</v>
      </c>
      <c r="AB132">
        <v>7</v>
      </c>
      <c r="AC132" t="str">
        <v>99KL663</v>
      </c>
      <c r="AD132">
        <v>29</v>
      </c>
      <c r="AE132" t="str">
        <v>single</v>
      </c>
    </row>
    <row r="133" spans="1:31" hidden="1" x14ac:dyDescent="0.25">
      <c r="A133">
        <v>132</v>
      </c>
      <c r="B133">
        <v>2025</v>
      </c>
      <c r="C133">
        <v>4</v>
      </c>
      <c r="D133">
        <v>31</v>
      </c>
      <c r="E133">
        <v>3</v>
      </c>
      <c r="F133" t="str">
        <v>50BD165</v>
      </c>
      <c r="G133" s="103">
        <v>25</v>
      </c>
      <c r="H133" t="str">
        <v>single</v>
      </c>
      <c r="I133">
        <v>0</v>
      </c>
      <c r="J133">
        <v>41</v>
      </c>
      <c r="K133" s="61">
        <v>55.36</v>
      </c>
      <c r="L133" s="61">
        <v>1384</v>
      </c>
      <c r="AA133">
        <v>31</v>
      </c>
      <c r="AB133">
        <v>7</v>
      </c>
      <c r="AC133" t="str">
        <v>99LM412</v>
      </c>
      <c r="AD133">
        <v>31</v>
      </c>
      <c r="AE133" t="str">
        <v>single</v>
      </c>
    </row>
    <row r="134" spans="1:31" hidden="1" x14ac:dyDescent="0.25">
      <c r="A134">
        <v>133</v>
      </c>
      <c r="B134">
        <v>2025</v>
      </c>
      <c r="C134">
        <v>4</v>
      </c>
      <c r="D134">
        <v>31</v>
      </c>
      <c r="E134">
        <v>3</v>
      </c>
      <c r="F134" t="str">
        <v>77QE133</v>
      </c>
      <c r="G134" s="61">
        <v>7</v>
      </c>
      <c r="H134" t="str">
        <v>single</v>
      </c>
      <c r="I134">
        <v>0</v>
      </c>
      <c r="J134">
        <v>69</v>
      </c>
      <c r="K134" s="61">
        <v>73.33</v>
      </c>
      <c r="L134" s="61">
        <v>513.30999999999995</v>
      </c>
      <c r="AA134">
        <v>31</v>
      </c>
      <c r="AB134">
        <v>7</v>
      </c>
      <c r="AC134" t="str">
        <v>99MN472</v>
      </c>
      <c r="AD134">
        <v>30</v>
      </c>
      <c r="AE134" t="str">
        <v>single</v>
      </c>
    </row>
    <row r="135" spans="1:31" hidden="1" x14ac:dyDescent="0.25">
      <c r="A135">
        <v>134</v>
      </c>
      <c r="B135">
        <v>2025</v>
      </c>
      <c r="C135">
        <v>4</v>
      </c>
      <c r="D135">
        <v>31</v>
      </c>
      <c r="E135">
        <v>3</v>
      </c>
      <c r="F135" t="str">
        <v>90ZP408</v>
      </c>
      <c r="G135" s="61">
        <v>15.299999999999976</v>
      </c>
      <c r="H135" t="str">
        <v>hour</v>
      </c>
      <c r="I135">
        <v>0</v>
      </c>
      <c r="J135">
        <v>12</v>
      </c>
      <c r="K135" s="61">
        <v>5.5359999999999996</v>
      </c>
      <c r="L135" s="61">
        <v>84.700799999999859</v>
      </c>
      <c r="AA135">
        <v>31</v>
      </c>
      <c r="AB135">
        <v>8</v>
      </c>
      <c r="AC135" t="str">
        <v>10RN527</v>
      </c>
      <c r="AD135">
        <v>30</v>
      </c>
      <c r="AE135" t="str">
        <v>single</v>
      </c>
    </row>
    <row r="136" spans="1:31" hidden="1" x14ac:dyDescent="0.25">
      <c r="A136">
        <v>135</v>
      </c>
      <c r="B136">
        <v>2025</v>
      </c>
      <c r="C136">
        <v>4</v>
      </c>
      <c r="D136">
        <v>31</v>
      </c>
      <c r="E136">
        <v>3</v>
      </c>
      <c r="F136" t="str">
        <v>66CC029</v>
      </c>
      <c r="G136" s="61">
        <v>99.999999999999986</v>
      </c>
      <c r="H136" t="str">
        <v>hour</v>
      </c>
      <c r="I136">
        <v>0</v>
      </c>
      <c r="J136">
        <v>16</v>
      </c>
      <c r="K136" s="61">
        <v>5.5359999999999996</v>
      </c>
      <c r="L136" s="61">
        <v>553.59999999999991</v>
      </c>
      <c r="AA136">
        <v>31</v>
      </c>
      <c r="AB136">
        <v>8</v>
      </c>
      <c r="AC136" t="str">
        <v>50BD165</v>
      </c>
      <c r="AD136">
        <v>29</v>
      </c>
      <c r="AE136" t="str">
        <v>single</v>
      </c>
    </row>
    <row r="137" spans="1:31" hidden="1" x14ac:dyDescent="0.25">
      <c r="A137">
        <v>136</v>
      </c>
      <c r="B137">
        <v>2025</v>
      </c>
      <c r="C137">
        <v>4</v>
      </c>
      <c r="D137">
        <v>31</v>
      </c>
      <c r="E137">
        <v>3</v>
      </c>
      <c r="F137" t="str">
        <v>90SL686</v>
      </c>
      <c r="G137" s="61">
        <v>67.84999999999998</v>
      </c>
      <c r="H137" t="str">
        <v>hour</v>
      </c>
      <c r="I137">
        <v>0</v>
      </c>
      <c r="J137">
        <v>20</v>
      </c>
      <c r="K137" s="61">
        <v>5.8929999999999998</v>
      </c>
      <c r="L137" s="61">
        <v>399.84004999999985</v>
      </c>
      <c r="AA137">
        <v>31</v>
      </c>
      <c r="AB137">
        <v>8</v>
      </c>
      <c r="AC137" t="str">
        <v>50BN724</v>
      </c>
      <c r="AD137">
        <v>30</v>
      </c>
      <c r="AE137" t="str">
        <v>single</v>
      </c>
    </row>
    <row r="138" spans="1:31" hidden="1" x14ac:dyDescent="0.25">
      <c r="A138">
        <v>137</v>
      </c>
      <c r="B138">
        <v>2025</v>
      </c>
      <c r="C138">
        <v>4</v>
      </c>
      <c r="D138">
        <v>31</v>
      </c>
      <c r="E138">
        <v>3</v>
      </c>
      <c r="F138" t="str">
        <v>55CB633</v>
      </c>
      <c r="G138" s="61">
        <v>69.999999999999986</v>
      </c>
      <c r="H138" t="str">
        <v>hour</v>
      </c>
      <c r="I138">
        <v>0</v>
      </c>
      <c r="J138">
        <v>56</v>
      </c>
      <c r="K138" s="61">
        <v>5.5359999999999996</v>
      </c>
      <c r="L138" s="61">
        <v>387.51999999999987</v>
      </c>
      <c r="AA138">
        <v>31</v>
      </c>
      <c r="AB138">
        <v>8</v>
      </c>
      <c r="AC138" t="str">
        <v>50CN929</v>
      </c>
      <c r="AD138">
        <v>29</v>
      </c>
      <c r="AE138" t="str">
        <v>single</v>
      </c>
    </row>
    <row r="139" spans="1:31" hidden="1" x14ac:dyDescent="0.25">
      <c r="A139">
        <v>138</v>
      </c>
      <c r="B139">
        <v>2025</v>
      </c>
      <c r="C139">
        <v>4</v>
      </c>
      <c r="D139">
        <v>31</v>
      </c>
      <c r="E139">
        <v>3</v>
      </c>
      <c r="F139" t="str">
        <v>99BT339</v>
      </c>
      <c r="G139" s="61">
        <v>36.999999999999957</v>
      </c>
      <c r="H139" t="str">
        <v>hour</v>
      </c>
      <c r="I139">
        <v>0</v>
      </c>
      <c r="J139">
        <v>92</v>
      </c>
      <c r="K139" s="61">
        <v>5.5359999999999996</v>
      </c>
      <c r="L139" s="61">
        <v>204.83199999999974</v>
      </c>
      <c r="AA139">
        <v>31</v>
      </c>
      <c r="AB139">
        <v>8</v>
      </c>
      <c r="AC139" t="str">
        <v>50DK730</v>
      </c>
      <c r="AD139">
        <v>29</v>
      </c>
      <c r="AE139" t="str">
        <v>single</v>
      </c>
    </row>
    <row r="140" spans="1:31" hidden="1" x14ac:dyDescent="0.25">
      <c r="A140">
        <v>139</v>
      </c>
      <c r="B140">
        <v>2025</v>
      </c>
      <c r="C140">
        <v>4</v>
      </c>
      <c r="D140">
        <v>31</v>
      </c>
      <c r="E140">
        <v>3</v>
      </c>
      <c r="F140" t="str">
        <v>50DK730</v>
      </c>
      <c r="G140" s="61">
        <v>94.999999999999986</v>
      </c>
      <c r="H140" t="str">
        <v>hour</v>
      </c>
      <c r="I140">
        <v>0</v>
      </c>
      <c r="J140">
        <v>46</v>
      </c>
      <c r="K140" s="61">
        <v>5.5359999999999996</v>
      </c>
      <c r="L140" s="61">
        <v>525.91999999999985</v>
      </c>
      <c r="AA140">
        <v>31</v>
      </c>
      <c r="AB140">
        <v>8</v>
      </c>
      <c r="AC140" t="str">
        <v>50EF902</v>
      </c>
      <c r="AD140">
        <v>30</v>
      </c>
      <c r="AE140" t="str">
        <v>single</v>
      </c>
    </row>
    <row r="141" spans="1:31" hidden="1" x14ac:dyDescent="0.25">
      <c r="A141">
        <v>140</v>
      </c>
      <c r="B141">
        <v>2025</v>
      </c>
      <c r="C141">
        <v>4</v>
      </c>
      <c r="D141">
        <v>31</v>
      </c>
      <c r="E141">
        <v>3</v>
      </c>
      <c r="F141" t="str">
        <v>99MN472</v>
      </c>
      <c r="G141" s="61">
        <v>61.999999999999943</v>
      </c>
      <c r="H141" t="str">
        <v>hour</v>
      </c>
      <c r="I141">
        <v>0</v>
      </c>
      <c r="J141">
        <v>107</v>
      </c>
      <c r="K141" s="61">
        <v>5.5359999999999996</v>
      </c>
      <c r="L141" s="61">
        <v>343.23199999999969</v>
      </c>
      <c r="AA141">
        <v>31</v>
      </c>
      <c r="AB141">
        <v>8</v>
      </c>
      <c r="AC141" t="str">
        <v>55CB633</v>
      </c>
      <c r="AD141">
        <v>27</v>
      </c>
      <c r="AE141" t="str">
        <v>single</v>
      </c>
    </row>
    <row r="142" spans="1:31" hidden="1" x14ac:dyDescent="0.25">
      <c r="A142">
        <v>141</v>
      </c>
      <c r="B142">
        <v>2025</v>
      </c>
      <c r="C142">
        <v>4</v>
      </c>
      <c r="D142">
        <v>31</v>
      </c>
      <c r="E142">
        <v>3</v>
      </c>
      <c r="F142" t="str">
        <v>52BK688</v>
      </c>
      <c r="G142" s="61">
        <v>64.5</v>
      </c>
      <c r="H142" t="str">
        <v>hour</v>
      </c>
      <c r="I142">
        <v>0</v>
      </c>
      <c r="J142">
        <v>50</v>
      </c>
      <c r="K142" s="61">
        <v>5.5359999999999996</v>
      </c>
      <c r="L142" s="61">
        <v>357.07199999999995</v>
      </c>
      <c r="AA142">
        <v>31</v>
      </c>
      <c r="AB142">
        <v>8</v>
      </c>
      <c r="AC142" t="str">
        <v>77AT386</v>
      </c>
      <c r="AD142">
        <v>30</v>
      </c>
      <c r="AE142" t="str">
        <v>single</v>
      </c>
    </row>
    <row r="143" spans="1:31" hidden="1" x14ac:dyDescent="0.25">
      <c r="A143">
        <v>142</v>
      </c>
      <c r="B143">
        <v>2025</v>
      </c>
      <c r="C143">
        <v>4</v>
      </c>
      <c r="D143">
        <v>31</v>
      </c>
      <c r="E143">
        <v>3</v>
      </c>
      <c r="F143" t="str">
        <v>99LM412</v>
      </c>
      <c r="G143" s="61">
        <v>49.799999999999969</v>
      </c>
      <c r="H143" t="str">
        <v>hour</v>
      </c>
      <c r="I143">
        <v>0</v>
      </c>
      <c r="J143">
        <v>115</v>
      </c>
      <c r="K143" s="61">
        <v>5.5357142857142856</v>
      </c>
      <c r="L143" s="61">
        <v>275.67857142857127</v>
      </c>
      <c r="AA143">
        <v>31</v>
      </c>
      <c r="AB143">
        <v>8</v>
      </c>
      <c r="AC143" t="str">
        <v>77QE133</v>
      </c>
      <c r="AD143">
        <v>8</v>
      </c>
      <c r="AE143" t="str">
        <v>single</v>
      </c>
    </row>
    <row r="144" spans="1:31" hidden="1" x14ac:dyDescent="0.25">
      <c r="A144">
        <v>143</v>
      </c>
      <c r="B144">
        <v>2025</v>
      </c>
      <c r="C144">
        <v>4</v>
      </c>
      <c r="D144">
        <v>31</v>
      </c>
      <c r="E144">
        <v>3</v>
      </c>
      <c r="F144" t="str">
        <v>50BD165</v>
      </c>
      <c r="G144" s="61">
        <v>20.999999999999972</v>
      </c>
      <c r="H144" t="str">
        <v>hour</v>
      </c>
      <c r="I144">
        <v>0</v>
      </c>
      <c r="J144">
        <v>40</v>
      </c>
      <c r="K144" s="61">
        <v>5.5359999999999996</v>
      </c>
      <c r="L144" s="61">
        <v>116.25599999999983</v>
      </c>
      <c r="AA144">
        <v>31</v>
      </c>
      <c r="AB144">
        <v>8</v>
      </c>
      <c r="AC144" t="str">
        <v>77SR538</v>
      </c>
      <c r="AD144">
        <v>30</v>
      </c>
      <c r="AE144" t="str">
        <v>single</v>
      </c>
    </row>
    <row r="145" spans="1:31" hidden="1" x14ac:dyDescent="0.25">
      <c r="A145">
        <v>144</v>
      </c>
      <c r="B145">
        <v>2025</v>
      </c>
      <c r="C145">
        <v>7</v>
      </c>
      <c r="D145">
        <v>46</v>
      </c>
      <c r="E145">
        <v>3</v>
      </c>
      <c r="F145" t="str">
        <v>110FY523</v>
      </c>
      <c r="G145" s="61">
        <v>27.34</v>
      </c>
      <c r="H145" t="str">
        <v>single</v>
      </c>
      <c r="I145">
        <v>0</v>
      </c>
      <c r="J145">
        <v>1</v>
      </c>
      <c r="K145" s="61">
        <v>214.28571428571428</v>
      </c>
      <c r="L145" s="61">
        <v>5858.5714285714284</v>
      </c>
      <c r="AA145">
        <v>31</v>
      </c>
      <c r="AB145">
        <v>8</v>
      </c>
      <c r="AC145" t="str">
        <v>77TG971</v>
      </c>
      <c r="AD145">
        <v>29</v>
      </c>
      <c r="AE145" t="str">
        <v>single</v>
      </c>
    </row>
    <row r="146" spans="1:31" hidden="1" x14ac:dyDescent="0.25">
      <c r="A146">
        <v>145</v>
      </c>
      <c r="B146">
        <v>2025</v>
      </c>
      <c r="C146">
        <v>7</v>
      </c>
      <c r="D146">
        <v>46</v>
      </c>
      <c r="E146">
        <v>3</v>
      </c>
      <c r="F146" t="str">
        <v>110FY524</v>
      </c>
      <c r="G146" s="61">
        <v>29</v>
      </c>
      <c r="H146" t="str">
        <v>single</v>
      </c>
      <c r="I146">
        <v>0</v>
      </c>
      <c r="J146">
        <v>7</v>
      </c>
      <c r="K146" s="61">
        <v>214.28571428571428</v>
      </c>
      <c r="L146" s="61">
        <v>6214.2857142857138</v>
      </c>
      <c r="AA146">
        <v>31</v>
      </c>
      <c r="AB146">
        <v>8</v>
      </c>
      <c r="AC146" t="str">
        <v>77UR032</v>
      </c>
      <c r="AD146">
        <v>27</v>
      </c>
      <c r="AE146" t="str">
        <v>single</v>
      </c>
    </row>
    <row r="147" spans="1:31" hidden="1" x14ac:dyDescent="0.25">
      <c r="A147">
        <v>146</v>
      </c>
      <c r="B147">
        <v>2025</v>
      </c>
      <c r="C147">
        <v>7</v>
      </c>
      <c r="D147">
        <v>46</v>
      </c>
      <c r="E147">
        <v>3</v>
      </c>
      <c r="F147" t="str">
        <v>10AD801</v>
      </c>
      <c r="G147" s="61">
        <v>16</v>
      </c>
      <c r="H147" t="str">
        <v>single</v>
      </c>
      <c r="I147">
        <v>0</v>
      </c>
      <c r="J147">
        <v>4</v>
      </c>
      <c r="K147" s="61">
        <v>446.42857142857144</v>
      </c>
      <c r="L147" s="61">
        <v>7142.8571428571431</v>
      </c>
      <c r="AA147">
        <v>31</v>
      </c>
      <c r="AB147">
        <v>8</v>
      </c>
      <c r="AC147" t="str">
        <v>77VL420</v>
      </c>
      <c r="AD147">
        <v>15</v>
      </c>
      <c r="AE147" t="str">
        <v>single</v>
      </c>
    </row>
    <row r="148" spans="1:31" hidden="1" x14ac:dyDescent="0.25">
      <c r="A148">
        <v>147</v>
      </c>
      <c r="B148">
        <v>2025</v>
      </c>
      <c r="C148">
        <v>7</v>
      </c>
      <c r="D148">
        <v>46</v>
      </c>
      <c r="E148">
        <v>3</v>
      </c>
      <c r="F148" t="str">
        <v>10AD801</v>
      </c>
      <c r="G148" s="61">
        <v>13</v>
      </c>
      <c r="H148" t="str">
        <v>double</v>
      </c>
      <c r="I148">
        <v>0</v>
      </c>
      <c r="J148">
        <v>5</v>
      </c>
      <c r="K148" s="61">
        <v>803.57147999999995</v>
      </c>
      <c r="L148" s="61">
        <v>10446.429239999999</v>
      </c>
      <c r="AA148">
        <v>31</v>
      </c>
      <c r="AB148">
        <v>8</v>
      </c>
      <c r="AC148" t="str">
        <v>90LS143</v>
      </c>
      <c r="AD148">
        <v>27</v>
      </c>
      <c r="AE148" t="str">
        <v>single</v>
      </c>
    </row>
    <row r="149" spans="1:31" hidden="1" x14ac:dyDescent="0.25">
      <c r="A149">
        <v>148</v>
      </c>
      <c r="B149">
        <v>2025</v>
      </c>
      <c r="C149">
        <v>8</v>
      </c>
      <c r="D149">
        <v>50</v>
      </c>
      <c r="E149">
        <v>3</v>
      </c>
      <c r="F149" t="str">
        <v>61AB256</v>
      </c>
      <c r="G149" s="61">
        <v>29</v>
      </c>
      <c r="H149" t="str">
        <v>single</v>
      </c>
      <c r="I149">
        <v>0</v>
      </c>
      <c r="J149">
        <v>1</v>
      </c>
      <c r="K149" s="61">
        <v>357.14285714285717</v>
      </c>
      <c r="L149" s="61">
        <v>10357.142857142859</v>
      </c>
      <c r="AA149">
        <v>31</v>
      </c>
      <c r="AB149">
        <v>8</v>
      </c>
      <c r="AC149" t="str">
        <v>90OE402</v>
      </c>
      <c r="AD149">
        <v>30</v>
      </c>
      <c r="AE149" t="str">
        <v>single</v>
      </c>
    </row>
    <row r="150" spans="1:31" hidden="1" x14ac:dyDescent="0.25">
      <c r="A150">
        <v>149</v>
      </c>
      <c r="B150">
        <v>2025</v>
      </c>
      <c r="C150">
        <v>10</v>
      </c>
      <c r="D150">
        <v>51</v>
      </c>
      <c r="E150">
        <v>3</v>
      </c>
      <c r="F150" t="str">
        <v>10BA857</v>
      </c>
      <c r="G150" s="61">
        <v>31</v>
      </c>
      <c r="H150" t="str">
        <v>single</v>
      </c>
      <c r="I150">
        <v>0</v>
      </c>
      <c r="J150">
        <v>3</v>
      </c>
      <c r="K150" s="61">
        <v>235.71</v>
      </c>
      <c r="L150" s="61">
        <v>7307.01</v>
      </c>
      <c r="AA150">
        <v>31</v>
      </c>
      <c r="AB150">
        <v>8</v>
      </c>
      <c r="AC150" t="str">
        <v>90PY548</v>
      </c>
      <c r="AD150">
        <v>30</v>
      </c>
      <c r="AE150" t="str">
        <v>single</v>
      </c>
    </row>
    <row r="151" spans="1:31" hidden="1" x14ac:dyDescent="0.25">
      <c r="A151">
        <v>150</v>
      </c>
      <c r="B151">
        <v>2025</v>
      </c>
      <c r="C151">
        <v>10</v>
      </c>
      <c r="D151">
        <v>51</v>
      </c>
      <c r="E151">
        <v>3</v>
      </c>
      <c r="F151" t="str">
        <v>10BA857</v>
      </c>
      <c r="G151" s="61">
        <v>45.999999999999972</v>
      </c>
      <c r="H151" t="str">
        <v>hour</v>
      </c>
      <c r="I151">
        <v>0</v>
      </c>
      <c r="J151">
        <v>4</v>
      </c>
      <c r="K151" s="61">
        <v>26.071000000000002</v>
      </c>
      <c r="L151" s="61">
        <v>1199.2659999999994</v>
      </c>
      <c r="AA151">
        <v>31</v>
      </c>
      <c r="AB151">
        <v>8</v>
      </c>
      <c r="AC151" t="str">
        <v>90SL686</v>
      </c>
      <c r="AD151">
        <v>11</v>
      </c>
      <c r="AE151" t="str">
        <v>single</v>
      </c>
    </row>
    <row r="152" spans="1:31" hidden="1" x14ac:dyDescent="0.25">
      <c r="A152">
        <v>151</v>
      </c>
      <c r="B152">
        <v>2025</v>
      </c>
      <c r="C152">
        <v>5</v>
      </c>
      <c r="D152">
        <v>52</v>
      </c>
      <c r="E152">
        <v>3</v>
      </c>
      <c r="F152" t="str">
        <v>10BC326</v>
      </c>
      <c r="G152" s="61">
        <v>27</v>
      </c>
      <c r="H152" t="str">
        <v>single</v>
      </c>
      <c r="I152">
        <v>0</v>
      </c>
      <c r="J152">
        <v>3</v>
      </c>
      <c r="K152" s="61">
        <v>357.14</v>
      </c>
      <c r="L152" s="61">
        <v>9642.7799999999988</v>
      </c>
      <c r="AA152">
        <v>31</v>
      </c>
      <c r="AB152">
        <v>8</v>
      </c>
      <c r="AC152" t="str">
        <v>90VS316</v>
      </c>
      <c r="AD152">
        <v>29</v>
      </c>
      <c r="AE152" t="str">
        <v>single</v>
      </c>
    </row>
    <row r="153" spans="1:31" hidden="1" x14ac:dyDescent="0.25">
      <c r="A153">
        <v>152</v>
      </c>
      <c r="B153">
        <v>2025</v>
      </c>
      <c r="C153">
        <v>6</v>
      </c>
      <c r="D153">
        <v>52</v>
      </c>
      <c r="E153">
        <v>3</v>
      </c>
      <c r="F153" t="str">
        <v>10AC750</v>
      </c>
      <c r="G153" s="61">
        <v>18.5</v>
      </c>
      <c r="H153" t="str">
        <v>single</v>
      </c>
      <c r="I153">
        <v>0</v>
      </c>
      <c r="J153">
        <v>1</v>
      </c>
      <c r="K153" s="61">
        <v>375</v>
      </c>
      <c r="L153" s="61">
        <v>6937.5</v>
      </c>
      <c r="AA153">
        <v>31</v>
      </c>
      <c r="AB153">
        <v>8</v>
      </c>
      <c r="AC153" t="str">
        <v>99BT339</v>
      </c>
      <c r="AD153">
        <v>29</v>
      </c>
      <c r="AE153" t="str">
        <v>single</v>
      </c>
    </row>
    <row r="154" spans="1:31" hidden="1" x14ac:dyDescent="0.25">
      <c r="A154">
        <v>153</v>
      </c>
      <c r="B154">
        <v>2025</v>
      </c>
      <c r="C154">
        <v>7</v>
      </c>
      <c r="D154">
        <v>65</v>
      </c>
      <c r="E154">
        <v>3</v>
      </c>
      <c r="F154" t="str">
        <v>01BA176</v>
      </c>
      <c r="G154" s="61">
        <v>29</v>
      </c>
      <c r="H154" t="str">
        <v>single</v>
      </c>
      <c r="I154">
        <v>0</v>
      </c>
      <c r="J154">
        <v>1</v>
      </c>
      <c r="K154" s="61">
        <v>196.42857142857142</v>
      </c>
      <c r="L154" s="61">
        <v>5696.4285714285706</v>
      </c>
      <c r="AA154">
        <v>31</v>
      </c>
      <c r="AB154">
        <v>8</v>
      </c>
      <c r="AC154" t="str">
        <v>99CN447</v>
      </c>
      <c r="AD154">
        <v>24</v>
      </c>
      <c r="AE154" t="str">
        <v>single</v>
      </c>
    </row>
    <row r="155" spans="1:31" hidden="1" x14ac:dyDescent="0.25">
      <c r="A155">
        <v>154</v>
      </c>
      <c r="B155">
        <v>2025</v>
      </c>
      <c r="C155">
        <v>7</v>
      </c>
      <c r="D155">
        <v>65</v>
      </c>
      <c r="E155">
        <v>3</v>
      </c>
      <c r="F155" t="str">
        <v>10BD252</v>
      </c>
      <c r="G155" s="61">
        <v>18</v>
      </c>
      <c r="H155" t="str">
        <v>single</v>
      </c>
      <c r="I155">
        <v>0</v>
      </c>
      <c r="J155">
        <v>2</v>
      </c>
      <c r="K155" s="61">
        <v>160.71</v>
      </c>
      <c r="L155" s="61">
        <v>2892.78</v>
      </c>
      <c r="AA155">
        <v>31</v>
      </c>
      <c r="AB155">
        <v>8</v>
      </c>
      <c r="AC155" t="str">
        <v>99FO779</v>
      </c>
      <c r="AD155">
        <v>22</v>
      </c>
      <c r="AE155" t="str">
        <v>single</v>
      </c>
    </row>
    <row r="156" spans="1:31" hidden="1" x14ac:dyDescent="0.25">
      <c r="A156">
        <v>155</v>
      </c>
      <c r="B156">
        <v>2025</v>
      </c>
      <c r="C156">
        <v>8</v>
      </c>
      <c r="D156">
        <v>85</v>
      </c>
      <c r="E156">
        <v>3</v>
      </c>
      <c r="F156" t="str">
        <v>77SN951</v>
      </c>
      <c r="G156" s="61">
        <v>29</v>
      </c>
      <c r="H156" t="str">
        <v>single</v>
      </c>
      <c r="I156">
        <v>0</v>
      </c>
      <c r="J156">
        <v>1</v>
      </c>
      <c r="K156" s="61">
        <v>446.43</v>
      </c>
      <c r="L156" s="61">
        <v>12946.47</v>
      </c>
      <c r="AA156">
        <v>31</v>
      </c>
      <c r="AB156">
        <v>8</v>
      </c>
      <c r="AC156" t="str">
        <v>99HZ395</v>
      </c>
      <c r="AD156">
        <v>30</v>
      </c>
      <c r="AE156" t="str">
        <v>single</v>
      </c>
    </row>
    <row r="157" spans="1:31" hidden="1" x14ac:dyDescent="0.25">
      <c r="A157">
        <v>156</v>
      </c>
      <c r="B157">
        <v>2025</v>
      </c>
      <c r="C157">
        <v>8</v>
      </c>
      <c r="D157">
        <v>85</v>
      </c>
      <c r="E157">
        <v>3</v>
      </c>
      <c r="F157" t="str">
        <v>77SN951</v>
      </c>
      <c r="G157" s="61">
        <v>36.999999999999979</v>
      </c>
      <c r="H157" t="str">
        <v>hour</v>
      </c>
      <c r="I157">
        <v>0</v>
      </c>
      <c r="J157">
        <v>2</v>
      </c>
      <c r="K157" s="61">
        <v>44.643000000000001</v>
      </c>
      <c r="L157" s="61">
        <v>1651.790999999999</v>
      </c>
      <c r="AA157">
        <v>31</v>
      </c>
      <c r="AB157">
        <v>8</v>
      </c>
      <c r="AC157" t="str">
        <v>99KL663</v>
      </c>
      <c r="AD157">
        <v>29</v>
      </c>
      <c r="AE157" t="str">
        <v>single</v>
      </c>
    </row>
    <row r="158" spans="1:31" hidden="1" x14ac:dyDescent="0.25">
      <c r="A158">
        <v>157</v>
      </c>
      <c r="B158">
        <v>2025</v>
      </c>
      <c r="C158">
        <v>8</v>
      </c>
      <c r="D158">
        <v>94</v>
      </c>
      <c r="E158">
        <v>3</v>
      </c>
      <c r="F158" t="str">
        <v>54BM823</v>
      </c>
      <c r="G158" s="61">
        <v>31</v>
      </c>
      <c r="H158" t="str">
        <v>single</v>
      </c>
      <c r="I158">
        <v>0</v>
      </c>
      <c r="J158">
        <v>1</v>
      </c>
      <c r="K158" s="61">
        <v>125</v>
      </c>
      <c r="L158" s="61">
        <v>3875</v>
      </c>
      <c r="AA158">
        <v>31</v>
      </c>
      <c r="AB158">
        <v>8</v>
      </c>
      <c r="AC158" t="str">
        <v>99LM412</v>
      </c>
      <c r="AD158">
        <v>30</v>
      </c>
      <c r="AE158" t="str">
        <v>single</v>
      </c>
    </row>
    <row r="159" spans="1:31" hidden="1" x14ac:dyDescent="0.25">
      <c r="A159">
        <v>158</v>
      </c>
      <c r="B159">
        <v>2025</v>
      </c>
      <c r="C159">
        <v>8</v>
      </c>
      <c r="D159">
        <v>94</v>
      </c>
      <c r="E159">
        <v>3</v>
      </c>
      <c r="F159" t="str">
        <v>01BT754</v>
      </c>
      <c r="G159" s="61">
        <v>31</v>
      </c>
      <c r="H159" t="str">
        <v>single</v>
      </c>
      <c r="I159">
        <v>0</v>
      </c>
      <c r="J159">
        <v>3</v>
      </c>
      <c r="K159" s="61">
        <v>125</v>
      </c>
      <c r="L159" s="61">
        <v>3875</v>
      </c>
      <c r="AA159">
        <v>31</v>
      </c>
      <c r="AB159">
        <v>8</v>
      </c>
      <c r="AC159" t="str">
        <v>99MN472</v>
      </c>
      <c r="AD159">
        <v>30</v>
      </c>
      <c r="AE159" t="str">
        <v>single</v>
      </c>
    </row>
    <row r="160" spans="1:31" hidden="1" x14ac:dyDescent="0.25">
      <c r="A160">
        <v>159</v>
      </c>
      <c r="B160">
        <v>2025</v>
      </c>
      <c r="C160">
        <v>8</v>
      </c>
      <c r="D160">
        <v>94</v>
      </c>
      <c r="E160">
        <v>3</v>
      </c>
      <c r="F160" t="str">
        <v>10MF640</v>
      </c>
      <c r="G160" s="61">
        <v>22</v>
      </c>
      <c r="H160" t="str">
        <v>single</v>
      </c>
      <c r="I160">
        <v>0</v>
      </c>
      <c r="J160">
        <v>4</v>
      </c>
      <c r="K160" s="61">
        <v>125</v>
      </c>
      <c r="L160" s="61">
        <v>2750</v>
      </c>
      <c r="AA160">
        <v>31</v>
      </c>
      <c r="AB160">
        <v>8</v>
      </c>
      <c r="AC160" t="str">
        <v>99OR961</v>
      </c>
      <c r="AD160">
        <v>25</v>
      </c>
      <c r="AE160" t="str">
        <v>single</v>
      </c>
    </row>
    <row r="161" spans="1:31" hidden="1" x14ac:dyDescent="0.25">
      <c r="A161">
        <v>160</v>
      </c>
      <c r="B161">
        <v>2025</v>
      </c>
      <c r="C161">
        <v>8</v>
      </c>
      <c r="D161">
        <v>94</v>
      </c>
      <c r="E161">
        <v>3</v>
      </c>
      <c r="F161" t="str">
        <v>10MF640</v>
      </c>
      <c r="G161" s="61">
        <v>39.000000000000014</v>
      </c>
      <c r="H161" t="str">
        <v>hour</v>
      </c>
      <c r="I161">
        <v>0</v>
      </c>
      <c r="J161">
        <v>5</v>
      </c>
      <c r="K161" s="61">
        <v>12.5</v>
      </c>
      <c r="L161" s="61">
        <v>487.50000000000017</v>
      </c>
      <c r="AA161">
        <v>31</v>
      </c>
      <c r="AB161">
        <v>8</v>
      </c>
      <c r="AC161" t="str">
        <v>99UK314</v>
      </c>
      <c r="AD161">
        <v>25</v>
      </c>
      <c r="AE161" t="str">
        <v>single</v>
      </c>
    </row>
    <row r="162" spans="1:31" hidden="1" x14ac:dyDescent="0.25">
      <c r="A162">
        <v>161</v>
      </c>
      <c r="B162">
        <v>2025</v>
      </c>
      <c r="C162">
        <v>9</v>
      </c>
      <c r="D162">
        <v>95</v>
      </c>
      <c r="E162">
        <v>3</v>
      </c>
      <c r="F162" t="str">
        <v>54BA209</v>
      </c>
      <c r="G162" s="61">
        <v>24</v>
      </c>
      <c r="H162" t="str">
        <v>single</v>
      </c>
      <c r="I162">
        <v>0</v>
      </c>
      <c r="J162">
        <v>1</v>
      </c>
      <c r="K162" s="61">
        <v>285.70999999999998</v>
      </c>
      <c r="L162" s="61">
        <v>6857.0399999999991</v>
      </c>
      <c r="AA162">
        <v>31</v>
      </c>
      <c r="AB162">
        <v>8</v>
      </c>
      <c r="AC162" t="str">
        <v>90YN163</v>
      </c>
      <c r="AD162">
        <v>2</v>
      </c>
      <c r="AE162" t="str">
        <v>single</v>
      </c>
    </row>
    <row r="163" spans="1:31" hidden="1" x14ac:dyDescent="0.25">
      <c r="A163">
        <v>162</v>
      </c>
      <c r="B163">
        <v>2025</v>
      </c>
      <c r="C163">
        <v>9</v>
      </c>
      <c r="D163">
        <v>98</v>
      </c>
      <c r="E163">
        <v>3</v>
      </c>
      <c r="F163" t="str">
        <v>50BD416</v>
      </c>
      <c r="G163" s="61">
        <v>27</v>
      </c>
      <c r="H163" t="str">
        <v>single</v>
      </c>
      <c r="I163">
        <v>0</v>
      </c>
      <c r="J163">
        <v>1</v>
      </c>
      <c r="K163" s="61">
        <v>107.14</v>
      </c>
      <c r="L163" s="61">
        <v>2892.78</v>
      </c>
      <c r="AA163">
        <v>31</v>
      </c>
      <c r="AB163">
        <v>9</v>
      </c>
      <c r="AC163" t="str">
        <v>10RN527</v>
      </c>
      <c r="AD163">
        <v>31</v>
      </c>
      <c r="AE163" t="str">
        <v>single</v>
      </c>
    </row>
    <row r="164" spans="1:31" hidden="1" x14ac:dyDescent="0.25">
      <c r="A164">
        <v>163</v>
      </c>
      <c r="B164">
        <v>2025</v>
      </c>
      <c r="C164">
        <v>9</v>
      </c>
      <c r="D164">
        <v>98</v>
      </c>
      <c r="E164">
        <v>3</v>
      </c>
      <c r="F164" t="str">
        <v>50BD416</v>
      </c>
      <c r="G164" s="61">
        <v>6.9999999999999947</v>
      </c>
      <c r="H164" t="str">
        <v>hour</v>
      </c>
      <c r="I164">
        <v>0</v>
      </c>
      <c r="J164">
        <v>2</v>
      </c>
      <c r="K164" s="61">
        <v>10.714</v>
      </c>
      <c r="L164" s="61">
        <v>74.997999999999948</v>
      </c>
      <c r="AA164">
        <v>31</v>
      </c>
      <c r="AB164">
        <v>9</v>
      </c>
      <c r="AC164" t="str">
        <v>17BE358</v>
      </c>
      <c r="AD164">
        <v>1</v>
      </c>
      <c r="AE164" t="str">
        <v>single</v>
      </c>
    </row>
    <row r="165" spans="1:31" hidden="1" x14ac:dyDescent="0.25">
      <c r="A165">
        <v>164</v>
      </c>
      <c r="B165">
        <v>2025</v>
      </c>
      <c r="C165">
        <v>9</v>
      </c>
      <c r="D165">
        <v>99</v>
      </c>
      <c r="E165">
        <v>3</v>
      </c>
      <c r="F165" t="str">
        <v>50BX301</v>
      </c>
      <c r="G165" s="61">
        <v>29</v>
      </c>
      <c r="H165" t="str">
        <v>single</v>
      </c>
      <c r="I165">
        <v>0</v>
      </c>
      <c r="J165">
        <v>1</v>
      </c>
      <c r="K165" s="61">
        <v>125</v>
      </c>
      <c r="L165" s="61">
        <v>3625</v>
      </c>
      <c r="AA165">
        <v>31</v>
      </c>
      <c r="AB165">
        <v>9</v>
      </c>
      <c r="AC165" t="str">
        <v>21BF442</v>
      </c>
      <c r="AD165">
        <v>29</v>
      </c>
      <c r="AE165" t="str">
        <v>single</v>
      </c>
    </row>
    <row r="166" spans="1:31" hidden="1" x14ac:dyDescent="0.25">
      <c r="A166">
        <v>165</v>
      </c>
      <c r="B166">
        <v>2025</v>
      </c>
      <c r="C166">
        <v>9</v>
      </c>
      <c r="D166">
        <v>99</v>
      </c>
      <c r="E166">
        <v>3</v>
      </c>
      <c r="F166" t="str">
        <v>50BX301</v>
      </c>
      <c r="G166" s="61">
        <v>43</v>
      </c>
      <c r="H166" t="str">
        <v>hour</v>
      </c>
      <c r="I166">
        <v>0</v>
      </c>
      <c r="J166">
        <v>2</v>
      </c>
      <c r="K166" s="61">
        <v>12.5</v>
      </c>
      <c r="L166" s="61">
        <v>537.5</v>
      </c>
      <c r="AA166">
        <v>31</v>
      </c>
      <c r="AB166">
        <v>9</v>
      </c>
      <c r="AC166" t="str">
        <v>50BD165</v>
      </c>
      <c r="AD166">
        <v>31</v>
      </c>
      <c r="AE166" t="str">
        <v>single</v>
      </c>
    </row>
    <row r="167" spans="1:31" hidden="1" x14ac:dyDescent="0.25">
      <c r="A167">
        <v>166</v>
      </c>
      <c r="B167">
        <v>2025</v>
      </c>
      <c r="C167">
        <v>9</v>
      </c>
      <c r="D167">
        <v>100</v>
      </c>
      <c r="E167">
        <v>3</v>
      </c>
      <c r="F167" t="str">
        <v>22AB273</v>
      </c>
      <c r="G167" s="61">
        <v>26</v>
      </c>
      <c r="H167" t="str">
        <v>single</v>
      </c>
      <c r="I167">
        <v>0</v>
      </c>
      <c r="J167">
        <v>1</v>
      </c>
      <c r="K167" s="61">
        <v>196.42857142857142</v>
      </c>
      <c r="L167" s="61">
        <v>5107.1428571428569</v>
      </c>
      <c r="AA167">
        <v>31</v>
      </c>
      <c r="AB167">
        <v>9</v>
      </c>
      <c r="AC167" t="str">
        <v>50BN724</v>
      </c>
      <c r="AD167">
        <v>17</v>
      </c>
      <c r="AE167" t="str">
        <v>single</v>
      </c>
    </row>
    <row r="168" spans="1:31" hidden="1" x14ac:dyDescent="0.25">
      <c r="A168">
        <v>167</v>
      </c>
      <c r="B168">
        <v>2025</v>
      </c>
      <c r="C168">
        <v>10</v>
      </c>
      <c r="D168">
        <v>102</v>
      </c>
      <c r="E168">
        <v>3</v>
      </c>
      <c r="F168" t="str">
        <v>99HQ687</v>
      </c>
      <c r="G168" s="61">
        <v>31</v>
      </c>
      <c r="H168" t="str">
        <v>single</v>
      </c>
      <c r="I168">
        <v>0</v>
      </c>
      <c r="J168">
        <v>1</v>
      </c>
      <c r="K168" s="61">
        <v>125</v>
      </c>
      <c r="L168" s="61">
        <v>3875</v>
      </c>
      <c r="AA168">
        <v>31</v>
      </c>
      <c r="AB168">
        <v>9</v>
      </c>
      <c r="AC168" t="str">
        <v>50CN929</v>
      </c>
      <c r="AD168">
        <v>24</v>
      </c>
      <c r="AE168" t="str">
        <v>single</v>
      </c>
    </row>
    <row r="169" spans="1:31" hidden="1" x14ac:dyDescent="0.25">
      <c r="A169">
        <v>168</v>
      </c>
      <c r="B169">
        <v>2025</v>
      </c>
      <c r="C169">
        <v>10</v>
      </c>
      <c r="D169">
        <v>102</v>
      </c>
      <c r="E169">
        <v>3</v>
      </c>
      <c r="F169" t="str">
        <v>10MF640</v>
      </c>
      <c r="G169" s="61">
        <v>31</v>
      </c>
      <c r="H169" t="str">
        <v>single</v>
      </c>
      <c r="I169">
        <v>0</v>
      </c>
      <c r="J169">
        <v>3</v>
      </c>
      <c r="K169" s="61">
        <v>125</v>
      </c>
      <c r="L169" s="61">
        <v>3875</v>
      </c>
      <c r="AA169">
        <v>31</v>
      </c>
      <c r="AB169">
        <v>9</v>
      </c>
      <c r="AC169" t="str">
        <v>50DK730</v>
      </c>
      <c r="AD169">
        <v>30</v>
      </c>
      <c r="AE169" t="str">
        <v>single</v>
      </c>
    </row>
    <row r="170" spans="1:31" hidden="1" x14ac:dyDescent="0.25">
      <c r="A170">
        <v>169</v>
      </c>
      <c r="B170">
        <v>2025</v>
      </c>
      <c r="C170">
        <v>10</v>
      </c>
      <c r="D170">
        <v>102</v>
      </c>
      <c r="E170">
        <v>3</v>
      </c>
      <c r="F170" t="str">
        <v>54BM823</v>
      </c>
      <c r="G170" s="61">
        <v>31</v>
      </c>
      <c r="H170" t="str">
        <v>single</v>
      </c>
      <c r="I170">
        <v>0</v>
      </c>
      <c r="J170">
        <v>5</v>
      </c>
      <c r="K170" s="61">
        <v>125</v>
      </c>
      <c r="L170" s="61">
        <v>3875</v>
      </c>
      <c r="AA170">
        <v>31</v>
      </c>
      <c r="AB170">
        <v>9</v>
      </c>
      <c r="AC170" t="str">
        <v>50EF902</v>
      </c>
      <c r="AD170">
        <v>31</v>
      </c>
      <c r="AE170" t="str">
        <v>single</v>
      </c>
    </row>
    <row r="171" spans="1:31" hidden="1" x14ac:dyDescent="0.25">
      <c r="A171">
        <v>170</v>
      </c>
      <c r="B171">
        <v>2025</v>
      </c>
      <c r="C171">
        <v>10</v>
      </c>
      <c r="D171">
        <v>102</v>
      </c>
      <c r="E171">
        <v>3</v>
      </c>
      <c r="F171" t="str">
        <v>10MF640</v>
      </c>
      <c r="G171" s="61">
        <v>55</v>
      </c>
      <c r="H171" t="str">
        <v>hour</v>
      </c>
      <c r="I171">
        <v>0</v>
      </c>
      <c r="J171">
        <v>4</v>
      </c>
      <c r="K171" s="61">
        <v>12.5</v>
      </c>
      <c r="L171" s="61">
        <v>687.5</v>
      </c>
      <c r="AA171">
        <v>31</v>
      </c>
      <c r="AB171">
        <v>9</v>
      </c>
      <c r="AC171" t="str">
        <v>50FB264</v>
      </c>
      <c r="AD171">
        <v>19</v>
      </c>
      <c r="AE171" t="str">
        <v>single</v>
      </c>
    </row>
    <row r="172" spans="1:31" hidden="1" x14ac:dyDescent="0.25">
      <c r="A172">
        <v>171</v>
      </c>
      <c r="B172">
        <v>2025</v>
      </c>
      <c r="C172">
        <v>10</v>
      </c>
      <c r="D172">
        <v>110</v>
      </c>
      <c r="E172">
        <v>3</v>
      </c>
      <c r="F172" t="str">
        <v>99XC106</v>
      </c>
      <c r="G172" s="61">
        <v>30</v>
      </c>
      <c r="H172" t="str">
        <v>single</v>
      </c>
      <c r="I172">
        <v>0</v>
      </c>
      <c r="J172">
        <v>1</v>
      </c>
      <c r="K172" s="61">
        <v>221.42857142857142</v>
      </c>
      <c r="L172" s="61">
        <v>6642.8571428571422</v>
      </c>
      <c r="AA172">
        <v>31</v>
      </c>
      <c r="AB172">
        <v>9</v>
      </c>
      <c r="AC172" t="str">
        <v>53BD338</v>
      </c>
      <c r="AD172">
        <v>2</v>
      </c>
      <c r="AE172" t="str">
        <v>single</v>
      </c>
    </row>
    <row r="173" spans="1:31" hidden="1" x14ac:dyDescent="0.25">
      <c r="A173">
        <v>172</v>
      </c>
      <c r="B173">
        <v>2025</v>
      </c>
      <c r="C173">
        <v>12</v>
      </c>
      <c r="D173">
        <v>121</v>
      </c>
      <c r="E173">
        <v>3</v>
      </c>
      <c r="F173" t="str">
        <v>11BC843</v>
      </c>
      <c r="G173" s="61">
        <v>28</v>
      </c>
      <c r="H173" t="str">
        <v>single</v>
      </c>
      <c r="I173">
        <v>0</v>
      </c>
      <c r="J173">
        <v>1</v>
      </c>
      <c r="K173" s="61">
        <v>128.57</v>
      </c>
      <c r="L173" s="61">
        <v>3599.96</v>
      </c>
      <c r="AA173">
        <v>31</v>
      </c>
      <c r="AB173">
        <v>9</v>
      </c>
      <c r="AC173" t="str">
        <v>55CB633</v>
      </c>
      <c r="AD173">
        <v>30</v>
      </c>
      <c r="AE173" t="str">
        <v>single</v>
      </c>
    </row>
    <row r="174" spans="1:31" hidden="1" x14ac:dyDescent="0.25">
      <c r="A174">
        <v>173</v>
      </c>
      <c r="B174">
        <v>2026</v>
      </c>
      <c r="C174">
        <v>1</v>
      </c>
      <c r="D174">
        <v>141</v>
      </c>
      <c r="E174">
        <v>3</v>
      </c>
      <c r="F174" t="str">
        <v>10V288</v>
      </c>
      <c r="G174" s="61">
        <v>19</v>
      </c>
      <c r="H174" t="str">
        <v>single</v>
      </c>
      <c r="I174">
        <v>0</v>
      </c>
      <c r="J174">
        <v>1</v>
      </c>
      <c r="K174" s="61">
        <v>214.28571428571428</v>
      </c>
      <c r="L174" s="61">
        <v>4071.4285714285711</v>
      </c>
      <c r="AA174">
        <v>31</v>
      </c>
      <c r="AB174">
        <v>9</v>
      </c>
      <c r="AC174" t="str">
        <v>77AT386</v>
      </c>
      <c r="AD174">
        <v>30</v>
      </c>
      <c r="AE174" t="str">
        <v>single</v>
      </c>
    </row>
    <row r="175" spans="1:31" hidden="1" x14ac:dyDescent="0.25">
      <c r="A175">
        <v>174</v>
      </c>
      <c r="B175">
        <v>2026</v>
      </c>
      <c r="C175">
        <v>1</v>
      </c>
      <c r="D175">
        <v>141</v>
      </c>
      <c r="E175">
        <v>3</v>
      </c>
      <c r="F175" t="str">
        <v>10V288</v>
      </c>
      <c r="G175" s="61">
        <v>36</v>
      </c>
      <c r="H175" t="str">
        <v>hour</v>
      </c>
      <c r="I175">
        <v>0</v>
      </c>
      <c r="J175">
        <v>2</v>
      </c>
      <c r="K175" s="61">
        <v>21.428571428571427</v>
      </c>
      <c r="L175" s="61">
        <v>771.42857142857133</v>
      </c>
      <c r="AA175">
        <v>31</v>
      </c>
      <c r="AB175">
        <v>9</v>
      </c>
      <c r="AC175" t="str">
        <v>77DK884</v>
      </c>
      <c r="AD175">
        <v>7</v>
      </c>
      <c r="AE175" t="str">
        <v>single</v>
      </c>
    </row>
    <row r="176" spans="1:31" hidden="1" x14ac:dyDescent="0.25">
      <c r="A176">
        <v>175</v>
      </c>
      <c r="B176">
        <v>2026</v>
      </c>
      <c r="C176">
        <v>3</v>
      </c>
      <c r="D176">
        <v>163</v>
      </c>
      <c r="E176">
        <v>3</v>
      </c>
      <c r="F176" t="str">
        <v>110FA930</v>
      </c>
      <c r="G176" s="61">
        <v>27</v>
      </c>
      <c r="H176" t="str">
        <v>single</v>
      </c>
      <c r="I176">
        <v>0</v>
      </c>
      <c r="J176">
        <v>1</v>
      </c>
      <c r="K176" s="61">
        <v>169.64285714285714</v>
      </c>
      <c r="L176" s="61">
        <v>4580.3571428571431</v>
      </c>
      <c r="AA176">
        <v>31</v>
      </c>
      <c r="AB176">
        <v>9</v>
      </c>
      <c r="AC176" t="str">
        <v>77SR538</v>
      </c>
      <c r="AD176">
        <v>30</v>
      </c>
      <c r="AE176" t="str">
        <v>single</v>
      </c>
    </row>
    <row r="177" spans="1:31" hidden="1" x14ac:dyDescent="0.25">
      <c r="A177">
        <v>176</v>
      </c>
      <c r="B177">
        <v>2025</v>
      </c>
      <c r="C177">
        <v>5</v>
      </c>
      <c r="D177">
        <v>31</v>
      </c>
      <c r="E177">
        <v>4</v>
      </c>
      <c r="F177" t="str">
        <v>99HZ395</v>
      </c>
      <c r="G177" s="61">
        <v>30</v>
      </c>
      <c r="H177" t="str">
        <v>single</v>
      </c>
      <c r="I177">
        <v>0</v>
      </c>
      <c r="J177">
        <v>3</v>
      </c>
      <c r="K177" s="61">
        <v>65</v>
      </c>
      <c r="L177" s="61">
        <v>1950</v>
      </c>
      <c r="AA177">
        <v>31</v>
      </c>
      <c r="AB177">
        <v>9</v>
      </c>
      <c r="AC177" t="str">
        <v>77TG971</v>
      </c>
      <c r="AD177">
        <v>28</v>
      </c>
      <c r="AE177" t="str">
        <v>single</v>
      </c>
    </row>
    <row r="178" spans="1:31" hidden="1" x14ac:dyDescent="0.25">
      <c r="A178">
        <v>177</v>
      </c>
      <c r="B178">
        <v>2025</v>
      </c>
      <c r="C178">
        <v>5</v>
      </c>
      <c r="D178">
        <v>31</v>
      </c>
      <c r="E178">
        <v>4</v>
      </c>
      <c r="F178" t="str">
        <v>90ZP408</v>
      </c>
      <c r="G178" s="61">
        <v>26</v>
      </c>
      <c r="H178" t="str">
        <v>single</v>
      </c>
      <c r="I178">
        <v>0</v>
      </c>
      <c r="J178">
        <v>11</v>
      </c>
      <c r="K178" s="61">
        <v>55.36</v>
      </c>
      <c r="L178" s="61">
        <v>1439.36</v>
      </c>
      <c r="AA178">
        <v>31</v>
      </c>
      <c r="AB178">
        <v>9</v>
      </c>
      <c r="AC178" t="str">
        <v>77UR032</v>
      </c>
      <c r="AD178">
        <v>29</v>
      </c>
      <c r="AE178" t="str">
        <v>single</v>
      </c>
    </row>
    <row r="179" spans="1:31" hidden="1" x14ac:dyDescent="0.25">
      <c r="A179">
        <v>178</v>
      </c>
      <c r="B179">
        <v>2025</v>
      </c>
      <c r="C179">
        <v>5</v>
      </c>
      <c r="D179">
        <v>31</v>
      </c>
      <c r="E179">
        <v>4</v>
      </c>
      <c r="F179" t="str">
        <v>66CC029</v>
      </c>
      <c r="G179" s="61">
        <v>31</v>
      </c>
      <c r="H179" t="str">
        <v>single</v>
      </c>
      <c r="I179">
        <v>0</v>
      </c>
      <c r="J179">
        <v>15</v>
      </c>
      <c r="K179" s="61">
        <v>55.36</v>
      </c>
      <c r="L179" s="61">
        <v>1716.16</v>
      </c>
      <c r="AA179">
        <v>31</v>
      </c>
      <c r="AB179">
        <v>9</v>
      </c>
      <c r="AC179" t="str">
        <v>77VL420</v>
      </c>
      <c r="AD179">
        <v>31</v>
      </c>
      <c r="AE179" t="str">
        <v>single</v>
      </c>
    </row>
    <row r="180" spans="1:31" hidden="1" x14ac:dyDescent="0.25">
      <c r="A180">
        <v>179</v>
      </c>
      <c r="B180">
        <v>2025</v>
      </c>
      <c r="C180">
        <v>5</v>
      </c>
      <c r="D180">
        <v>31</v>
      </c>
      <c r="E180">
        <v>4</v>
      </c>
      <c r="F180" t="str">
        <v>77QK725</v>
      </c>
      <c r="G180" s="61">
        <v>15</v>
      </c>
      <c r="H180" t="str">
        <v>single</v>
      </c>
      <c r="I180">
        <v>0</v>
      </c>
      <c r="J180">
        <v>17</v>
      </c>
      <c r="K180" s="61">
        <v>275</v>
      </c>
      <c r="L180" s="61">
        <v>4125</v>
      </c>
      <c r="AA180">
        <v>31</v>
      </c>
      <c r="AB180">
        <v>9</v>
      </c>
      <c r="AC180" t="str">
        <v>90EC344</v>
      </c>
      <c r="AD180">
        <v>30</v>
      </c>
      <c r="AE180" t="str">
        <v>single</v>
      </c>
    </row>
    <row r="181" spans="1:31" hidden="1" x14ac:dyDescent="0.25">
      <c r="A181">
        <v>180</v>
      </c>
      <c r="B181">
        <v>2025</v>
      </c>
      <c r="C181">
        <v>5</v>
      </c>
      <c r="D181">
        <v>31</v>
      </c>
      <c r="E181">
        <v>4</v>
      </c>
      <c r="F181" t="str">
        <v>77AT386</v>
      </c>
      <c r="G181" s="61">
        <v>31</v>
      </c>
      <c r="H181" t="str">
        <v>single</v>
      </c>
      <c r="I181">
        <v>0</v>
      </c>
      <c r="J181">
        <v>13</v>
      </c>
      <c r="K181" s="61">
        <v>46.67</v>
      </c>
      <c r="L181" s="61">
        <v>1446.77</v>
      </c>
      <c r="AA181">
        <v>31</v>
      </c>
      <c r="AB181">
        <v>9</v>
      </c>
      <c r="AC181" t="str">
        <v>90LS143</v>
      </c>
      <c r="AD181">
        <v>31</v>
      </c>
      <c r="AE181" t="str">
        <v>single</v>
      </c>
    </row>
    <row r="182" spans="1:31" hidden="1" x14ac:dyDescent="0.25">
      <c r="A182">
        <v>181</v>
      </c>
      <c r="B182">
        <v>2025</v>
      </c>
      <c r="C182">
        <v>5</v>
      </c>
      <c r="D182">
        <v>31</v>
      </c>
      <c r="E182">
        <v>4</v>
      </c>
      <c r="F182" t="str">
        <v>90SL686</v>
      </c>
      <c r="G182" s="61">
        <v>31</v>
      </c>
      <c r="H182" t="str">
        <v>single</v>
      </c>
      <c r="I182">
        <v>0</v>
      </c>
      <c r="J182">
        <v>19</v>
      </c>
      <c r="K182" s="61">
        <v>58.93</v>
      </c>
      <c r="L182" s="61">
        <v>1826.83</v>
      </c>
      <c r="AA182">
        <v>31</v>
      </c>
      <c r="AB182">
        <v>9</v>
      </c>
      <c r="AC182" t="str">
        <v>90OE402</v>
      </c>
      <c r="AD182">
        <v>30</v>
      </c>
      <c r="AE182" t="str">
        <v>single</v>
      </c>
    </row>
    <row r="183" spans="1:31" hidden="1" x14ac:dyDescent="0.25">
      <c r="A183">
        <v>182</v>
      </c>
      <c r="B183">
        <v>2025</v>
      </c>
      <c r="C183">
        <v>5</v>
      </c>
      <c r="D183">
        <v>31</v>
      </c>
      <c r="E183">
        <v>4</v>
      </c>
      <c r="F183" t="str">
        <v>55CB633</v>
      </c>
      <c r="G183" s="61">
        <v>29</v>
      </c>
      <c r="H183" t="str">
        <v>single</v>
      </c>
      <c r="I183">
        <v>0</v>
      </c>
      <c r="J183">
        <v>57</v>
      </c>
      <c r="K183" s="61">
        <v>55.36</v>
      </c>
      <c r="L183" s="61">
        <v>1605.44</v>
      </c>
      <c r="AA183">
        <v>31</v>
      </c>
      <c r="AB183">
        <v>9</v>
      </c>
      <c r="AC183" t="str">
        <v>90PY548</v>
      </c>
      <c r="AD183">
        <v>30</v>
      </c>
      <c r="AE183" t="str">
        <v>single</v>
      </c>
    </row>
    <row r="184" spans="1:31" hidden="1" x14ac:dyDescent="0.25">
      <c r="A184">
        <v>183</v>
      </c>
      <c r="B184">
        <v>2025</v>
      </c>
      <c r="C184">
        <v>5</v>
      </c>
      <c r="D184">
        <v>31</v>
      </c>
      <c r="E184">
        <v>4</v>
      </c>
      <c r="F184" t="str">
        <v>99BT339</v>
      </c>
      <c r="G184" s="61">
        <v>39</v>
      </c>
      <c r="H184" t="str">
        <v>single</v>
      </c>
      <c r="I184">
        <v>0</v>
      </c>
      <c r="J184">
        <v>93</v>
      </c>
      <c r="K184" s="61">
        <v>55.36</v>
      </c>
      <c r="L184" s="61">
        <v>2159.04</v>
      </c>
      <c r="AA184">
        <v>31</v>
      </c>
      <c r="AB184">
        <v>9</v>
      </c>
      <c r="AC184" t="str">
        <v>90VS316</v>
      </c>
      <c r="AD184">
        <v>31</v>
      </c>
      <c r="AE184" t="str">
        <v>single</v>
      </c>
    </row>
    <row r="185" spans="1:31" hidden="1" x14ac:dyDescent="0.25">
      <c r="A185">
        <v>184</v>
      </c>
      <c r="B185">
        <v>2025</v>
      </c>
      <c r="C185">
        <v>5</v>
      </c>
      <c r="D185">
        <v>31</v>
      </c>
      <c r="E185">
        <v>4</v>
      </c>
      <c r="F185" t="str">
        <v>77ET143</v>
      </c>
      <c r="G185" s="61">
        <v>30</v>
      </c>
      <c r="H185" t="str">
        <v>single</v>
      </c>
      <c r="I185">
        <v>0</v>
      </c>
      <c r="J185">
        <v>59</v>
      </c>
      <c r="K185" s="61">
        <v>55.36</v>
      </c>
      <c r="L185" s="61">
        <v>1660.8</v>
      </c>
      <c r="AA185">
        <v>31</v>
      </c>
      <c r="AB185">
        <v>9</v>
      </c>
      <c r="AC185" t="str">
        <v>90YN163</v>
      </c>
      <c r="AD185">
        <v>30</v>
      </c>
      <c r="AE185" t="str">
        <v>single</v>
      </c>
    </row>
    <row r="186" spans="1:31" hidden="1" x14ac:dyDescent="0.25">
      <c r="A186">
        <v>185</v>
      </c>
      <c r="B186">
        <v>2025</v>
      </c>
      <c r="C186">
        <v>5</v>
      </c>
      <c r="D186">
        <v>31</v>
      </c>
      <c r="E186">
        <v>4</v>
      </c>
      <c r="F186" t="str">
        <v>50DK730</v>
      </c>
      <c r="G186" s="61">
        <v>31</v>
      </c>
      <c r="H186" t="str">
        <v>single</v>
      </c>
      <c r="I186">
        <v>0</v>
      </c>
      <c r="J186">
        <v>47</v>
      </c>
      <c r="K186" s="61">
        <v>55.36</v>
      </c>
      <c r="L186" s="61">
        <v>1716.16</v>
      </c>
      <c r="AA186">
        <v>31</v>
      </c>
      <c r="AB186">
        <v>9</v>
      </c>
      <c r="AC186" t="str">
        <v>99BT339</v>
      </c>
      <c r="AD186">
        <v>31</v>
      </c>
      <c r="AE186" t="str">
        <v>single</v>
      </c>
    </row>
    <row r="187" spans="1:31" hidden="1" x14ac:dyDescent="0.25">
      <c r="A187">
        <v>186</v>
      </c>
      <c r="B187">
        <v>2025</v>
      </c>
      <c r="C187">
        <v>5</v>
      </c>
      <c r="D187">
        <v>31</v>
      </c>
      <c r="E187">
        <v>4</v>
      </c>
      <c r="F187" t="str">
        <v>99MN472</v>
      </c>
      <c r="G187" s="61">
        <v>31</v>
      </c>
      <c r="H187" t="str">
        <v>single</v>
      </c>
      <c r="I187">
        <v>0</v>
      </c>
      <c r="J187">
        <v>108</v>
      </c>
      <c r="K187" s="61">
        <v>55.36</v>
      </c>
      <c r="L187" s="61">
        <v>1716.16</v>
      </c>
      <c r="AA187">
        <v>31</v>
      </c>
      <c r="AB187">
        <v>9</v>
      </c>
      <c r="AC187" t="str">
        <v>99CN447</v>
      </c>
      <c r="AD187">
        <v>30</v>
      </c>
      <c r="AE187" t="str">
        <v>single</v>
      </c>
    </row>
    <row r="188" spans="1:31" hidden="1" x14ac:dyDescent="0.25">
      <c r="A188">
        <v>187</v>
      </c>
      <c r="B188">
        <v>2025</v>
      </c>
      <c r="C188">
        <v>5</v>
      </c>
      <c r="D188">
        <v>31</v>
      </c>
      <c r="E188">
        <v>4</v>
      </c>
      <c r="F188" t="str">
        <v>99LM412</v>
      </c>
      <c r="G188" s="61">
        <v>31</v>
      </c>
      <c r="H188" t="str">
        <v>single</v>
      </c>
      <c r="I188">
        <v>0</v>
      </c>
      <c r="J188">
        <v>116</v>
      </c>
      <c r="K188" s="61">
        <v>55.357142857142854</v>
      </c>
      <c r="L188" s="61">
        <v>1716.0714285714284</v>
      </c>
      <c r="AA188">
        <v>31</v>
      </c>
      <c r="AB188">
        <v>9</v>
      </c>
      <c r="AC188" t="str">
        <v>99FO779</v>
      </c>
      <c r="AD188">
        <v>30</v>
      </c>
      <c r="AE188" t="str">
        <v>single</v>
      </c>
    </row>
    <row r="189" spans="1:31" hidden="1" x14ac:dyDescent="0.25">
      <c r="A189">
        <v>188</v>
      </c>
      <c r="B189">
        <v>2025</v>
      </c>
      <c r="C189">
        <v>5</v>
      </c>
      <c r="D189">
        <v>31</v>
      </c>
      <c r="E189">
        <v>4</v>
      </c>
      <c r="F189" t="str">
        <v>50BD165</v>
      </c>
      <c r="G189" s="61">
        <v>31</v>
      </c>
      <c r="H189" t="str">
        <v>single</v>
      </c>
      <c r="I189">
        <v>0</v>
      </c>
      <c r="J189">
        <v>41</v>
      </c>
      <c r="K189" s="61">
        <v>55.36</v>
      </c>
      <c r="L189" s="61">
        <v>1716.16</v>
      </c>
      <c r="AA189">
        <v>31</v>
      </c>
      <c r="AB189">
        <v>9</v>
      </c>
      <c r="AC189" t="str">
        <v>99GZ612</v>
      </c>
      <c r="AD189">
        <v>12</v>
      </c>
      <c r="AE189" t="str">
        <v>single</v>
      </c>
    </row>
    <row r="190" spans="1:31" hidden="1" x14ac:dyDescent="0.25">
      <c r="A190">
        <v>189</v>
      </c>
      <c r="B190">
        <v>2025</v>
      </c>
      <c r="C190">
        <v>5</v>
      </c>
      <c r="D190">
        <v>31</v>
      </c>
      <c r="E190">
        <v>4</v>
      </c>
      <c r="F190" t="str">
        <v>77QE133</v>
      </c>
      <c r="G190" s="61">
        <v>28</v>
      </c>
      <c r="H190" t="str">
        <v>single</v>
      </c>
      <c r="I190">
        <v>0</v>
      </c>
      <c r="J190">
        <v>69</v>
      </c>
      <c r="K190" s="61">
        <v>73.33</v>
      </c>
      <c r="L190" s="61">
        <v>2053.2399999999998</v>
      </c>
      <c r="AA190">
        <v>31</v>
      </c>
      <c r="AB190">
        <v>9</v>
      </c>
      <c r="AC190" t="str">
        <v>99HZ395</v>
      </c>
      <c r="AD190">
        <v>29</v>
      </c>
      <c r="AE190" t="str">
        <v>single</v>
      </c>
    </row>
    <row r="191" spans="1:31" hidden="1" x14ac:dyDescent="0.25">
      <c r="A191">
        <v>190</v>
      </c>
      <c r="B191">
        <v>2025</v>
      </c>
      <c r="C191">
        <v>5</v>
      </c>
      <c r="D191">
        <v>31</v>
      </c>
      <c r="E191">
        <v>4</v>
      </c>
      <c r="F191" t="str">
        <v>90VS316</v>
      </c>
      <c r="G191" s="61">
        <v>30</v>
      </c>
      <c r="H191" t="str">
        <v>single</v>
      </c>
      <c r="I191">
        <v>0</v>
      </c>
      <c r="J191">
        <v>87</v>
      </c>
      <c r="K191" s="61">
        <v>55.36</v>
      </c>
      <c r="L191" s="61">
        <v>1660.8</v>
      </c>
      <c r="AA191">
        <v>31</v>
      </c>
      <c r="AB191">
        <v>9</v>
      </c>
      <c r="AC191" t="str">
        <v>99KL663</v>
      </c>
      <c r="AD191">
        <v>31</v>
      </c>
      <c r="AE191" t="str">
        <v>single</v>
      </c>
    </row>
    <row r="192" spans="1:31" x14ac:dyDescent="0.25">
      <c r="A192">
        <v>191</v>
      </c>
      <c r="B192">
        <v>2025</v>
      </c>
      <c r="C192">
        <v>5</v>
      </c>
      <c r="D192">
        <v>31</v>
      </c>
      <c r="E192">
        <v>4</v>
      </c>
      <c r="F192" t="str">
        <v>99EM163</v>
      </c>
      <c r="G192" s="61">
        <v>4</v>
      </c>
      <c r="H192" t="str">
        <v>single</v>
      </c>
      <c r="I192">
        <v>0</v>
      </c>
      <c r="J192">
        <v>100</v>
      </c>
      <c r="K192" s="61">
        <v>55.36</v>
      </c>
      <c r="L192" s="61">
        <v>221.44</v>
      </c>
      <c r="AA192">
        <v>31</v>
      </c>
      <c r="AB192">
        <v>9</v>
      </c>
      <c r="AC192" t="str">
        <v>99LM412</v>
      </c>
      <c r="AD192">
        <v>31</v>
      </c>
      <c r="AE192" t="str">
        <v>single</v>
      </c>
    </row>
    <row r="193" spans="1:31" hidden="1" x14ac:dyDescent="0.25">
      <c r="A193">
        <v>192</v>
      </c>
      <c r="B193">
        <v>2025</v>
      </c>
      <c r="C193">
        <v>5</v>
      </c>
      <c r="D193">
        <v>31</v>
      </c>
      <c r="E193">
        <v>4</v>
      </c>
      <c r="F193" t="str">
        <v>53BB774</v>
      </c>
      <c r="G193" s="61">
        <v>4</v>
      </c>
      <c r="H193" t="str">
        <v>single</v>
      </c>
      <c r="I193">
        <v>0</v>
      </c>
      <c r="J193">
        <v>53</v>
      </c>
      <c r="K193" s="61">
        <v>55.36</v>
      </c>
      <c r="L193" s="61">
        <v>221.44</v>
      </c>
      <c r="AA193">
        <v>31</v>
      </c>
      <c r="AB193">
        <v>9</v>
      </c>
      <c r="AC193" t="str">
        <v>99MN472</v>
      </c>
      <c r="AD193">
        <v>28</v>
      </c>
      <c r="AE193" t="str">
        <v>single</v>
      </c>
    </row>
    <row r="194" spans="1:31" hidden="1" x14ac:dyDescent="0.25">
      <c r="A194">
        <v>193</v>
      </c>
      <c r="B194">
        <v>2025</v>
      </c>
      <c r="C194">
        <v>5</v>
      </c>
      <c r="D194">
        <v>31</v>
      </c>
      <c r="E194">
        <v>4</v>
      </c>
      <c r="F194" t="str">
        <v>66CC029</v>
      </c>
      <c r="G194" s="61">
        <v>93</v>
      </c>
      <c r="H194" t="str">
        <v>hour</v>
      </c>
      <c r="I194">
        <v>0</v>
      </c>
      <c r="J194">
        <v>16</v>
      </c>
      <c r="K194" s="61">
        <v>5.5359999999999996</v>
      </c>
      <c r="L194" s="61">
        <v>514.84799999999996</v>
      </c>
      <c r="AA194">
        <v>31</v>
      </c>
      <c r="AB194">
        <v>9</v>
      </c>
      <c r="AC194" t="str">
        <v>99OR961</v>
      </c>
      <c r="AD194">
        <v>30</v>
      </c>
      <c r="AE194" t="str">
        <v>single</v>
      </c>
    </row>
    <row r="195" spans="1:31" hidden="1" x14ac:dyDescent="0.25">
      <c r="A195">
        <v>194</v>
      </c>
      <c r="B195">
        <v>2025</v>
      </c>
      <c r="C195">
        <v>5</v>
      </c>
      <c r="D195">
        <v>31</v>
      </c>
      <c r="E195">
        <v>4</v>
      </c>
      <c r="F195" t="str">
        <v>90SL686</v>
      </c>
      <c r="G195" s="61">
        <v>82.499999999999986</v>
      </c>
      <c r="H195" t="str">
        <v>hour</v>
      </c>
      <c r="I195">
        <v>0</v>
      </c>
      <c r="J195">
        <v>20</v>
      </c>
      <c r="K195" s="61">
        <v>5.8929999999999998</v>
      </c>
      <c r="L195" s="61">
        <v>486.1724999999999</v>
      </c>
      <c r="AA195">
        <v>31</v>
      </c>
      <c r="AB195">
        <v>9</v>
      </c>
      <c r="AC195" t="str">
        <v>99UK314</v>
      </c>
      <c r="AD195">
        <v>31</v>
      </c>
      <c r="AE195" t="str">
        <v>single</v>
      </c>
    </row>
    <row r="196" spans="1:31" hidden="1" x14ac:dyDescent="0.25">
      <c r="A196">
        <v>195</v>
      </c>
      <c r="B196">
        <v>2025</v>
      </c>
      <c r="C196">
        <v>5</v>
      </c>
      <c r="D196">
        <v>31</v>
      </c>
      <c r="E196">
        <v>4</v>
      </c>
      <c r="F196" t="str">
        <v>55CB633</v>
      </c>
      <c r="G196" s="61">
        <v>68.999999999999972</v>
      </c>
      <c r="H196" t="str">
        <v>hour</v>
      </c>
      <c r="I196">
        <v>0</v>
      </c>
      <c r="J196">
        <v>56</v>
      </c>
      <c r="K196" s="61">
        <v>5.5359999999999996</v>
      </c>
      <c r="L196" s="61">
        <v>381.98399999999981</v>
      </c>
      <c r="AA196">
        <v>31</v>
      </c>
      <c r="AB196">
        <v>10</v>
      </c>
      <c r="AC196" t="str">
        <v>10RN527</v>
      </c>
      <c r="AD196">
        <v>29</v>
      </c>
      <c r="AE196" t="str">
        <v>single</v>
      </c>
    </row>
    <row r="197" spans="1:31" hidden="1" x14ac:dyDescent="0.25">
      <c r="A197">
        <v>196</v>
      </c>
      <c r="B197">
        <v>2025</v>
      </c>
      <c r="C197">
        <v>5</v>
      </c>
      <c r="D197">
        <v>31</v>
      </c>
      <c r="E197">
        <v>4</v>
      </c>
      <c r="F197" t="str">
        <v>99BT339</v>
      </c>
      <c r="G197" s="61">
        <v>39.999999999999957</v>
      </c>
      <c r="H197" t="str">
        <v>hour</v>
      </c>
      <c r="I197">
        <v>0</v>
      </c>
      <c r="J197">
        <v>92</v>
      </c>
      <c r="K197" s="61">
        <v>5.5359999999999996</v>
      </c>
      <c r="L197" s="61">
        <v>221.43999999999974</v>
      </c>
      <c r="AA197">
        <v>31</v>
      </c>
      <c r="AB197">
        <v>10</v>
      </c>
      <c r="AC197" t="str">
        <v>21BF442</v>
      </c>
      <c r="AD197">
        <v>28</v>
      </c>
      <c r="AE197" t="str">
        <v>single</v>
      </c>
    </row>
    <row r="198" spans="1:31" hidden="1" x14ac:dyDescent="0.25">
      <c r="A198">
        <v>197</v>
      </c>
      <c r="B198">
        <v>2025</v>
      </c>
      <c r="C198">
        <v>5</v>
      </c>
      <c r="D198">
        <v>31</v>
      </c>
      <c r="E198">
        <v>4</v>
      </c>
      <c r="F198" t="str">
        <v>50DK730</v>
      </c>
      <c r="G198" s="61">
        <v>99.999999999999986</v>
      </c>
      <c r="H198" t="str">
        <v>hour</v>
      </c>
      <c r="I198">
        <v>0</v>
      </c>
      <c r="J198">
        <v>46</v>
      </c>
      <c r="K198" s="61">
        <v>5.5359999999999996</v>
      </c>
      <c r="L198" s="61">
        <v>553.59999999999991</v>
      </c>
      <c r="AA198">
        <v>31</v>
      </c>
      <c r="AB198">
        <v>10</v>
      </c>
      <c r="AC198" t="str">
        <v>50BD165</v>
      </c>
      <c r="AD198">
        <v>12</v>
      </c>
      <c r="AE198" t="str">
        <v>single</v>
      </c>
    </row>
    <row r="199" spans="1:31" hidden="1" x14ac:dyDescent="0.25">
      <c r="A199">
        <v>198</v>
      </c>
      <c r="B199">
        <v>2025</v>
      </c>
      <c r="C199">
        <v>5</v>
      </c>
      <c r="D199">
        <v>31</v>
      </c>
      <c r="E199">
        <v>4</v>
      </c>
      <c r="F199" t="str">
        <v>99MN472</v>
      </c>
      <c r="G199" s="61">
        <v>61.999999999999943</v>
      </c>
      <c r="H199" s="62" t="str">
        <v>hour</v>
      </c>
      <c r="I199">
        <v>0</v>
      </c>
      <c r="J199">
        <v>107</v>
      </c>
      <c r="K199" s="61">
        <v>5.5359999999999996</v>
      </c>
      <c r="L199" s="61">
        <v>343.23199999999969</v>
      </c>
      <c r="AA199">
        <v>31</v>
      </c>
      <c r="AB199">
        <v>10</v>
      </c>
      <c r="AC199" t="str">
        <v>50DK730</v>
      </c>
      <c r="AD199">
        <v>29</v>
      </c>
      <c r="AE199" t="str">
        <v>single</v>
      </c>
    </row>
    <row r="200" spans="1:31" hidden="1" x14ac:dyDescent="0.25">
      <c r="A200">
        <v>199</v>
      </c>
      <c r="B200">
        <v>2025</v>
      </c>
      <c r="C200">
        <v>5</v>
      </c>
      <c r="D200">
        <v>31</v>
      </c>
      <c r="E200">
        <v>4</v>
      </c>
      <c r="F200" t="str">
        <v>99LM412</v>
      </c>
      <c r="G200" s="61">
        <v>37.999999999999972</v>
      </c>
      <c r="H200" s="62" t="str">
        <v>hour</v>
      </c>
      <c r="I200">
        <v>0</v>
      </c>
      <c r="J200">
        <v>115</v>
      </c>
      <c r="K200" s="61">
        <v>5.5357142857142856</v>
      </c>
      <c r="L200" s="61">
        <v>210.35714285714269</v>
      </c>
      <c r="AA200">
        <v>31</v>
      </c>
      <c r="AB200">
        <v>10</v>
      </c>
      <c r="AC200" t="str">
        <v>50EF902</v>
      </c>
      <c r="AD200">
        <v>28</v>
      </c>
      <c r="AE200" t="str">
        <v>single</v>
      </c>
    </row>
    <row r="201" spans="1:31" hidden="1" x14ac:dyDescent="0.25">
      <c r="A201">
        <v>200</v>
      </c>
      <c r="B201">
        <v>2025</v>
      </c>
      <c r="C201">
        <v>5</v>
      </c>
      <c r="D201">
        <v>31</v>
      </c>
      <c r="E201">
        <v>4</v>
      </c>
      <c r="F201" t="str">
        <v>50BD165</v>
      </c>
      <c r="G201" s="61">
        <v>51.999999999999957</v>
      </c>
      <c r="H201" s="62" t="str">
        <v>hour</v>
      </c>
      <c r="I201">
        <v>0</v>
      </c>
      <c r="J201">
        <v>40</v>
      </c>
      <c r="K201" s="61">
        <v>5.5359999999999996</v>
      </c>
      <c r="L201" s="61">
        <v>287.87199999999973</v>
      </c>
      <c r="AA201">
        <v>31</v>
      </c>
      <c r="AB201">
        <v>10</v>
      </c>
      <c r="AC201" t="str">
        <v>55CB633</v>
      </c>
      <c r="AD201">
        <v>29</v>
      </c>
      <c r="AE201" t="str">
        <v>single</v>
      </c>
    </row>
    <row r="202" spans="1:31" hidden="1" x14ac:dyDescent="0.25">
      <c r="A202">
        <v>201</v>
      </c>
      <c r="B202">
        <v>2025</v>
      </c>
      <c r="C202">
        <v>5</v>
      </c>
      <c r="D202">
        <v>31</v>
      </c>
      <c r="E202">
        <v>4</v>
      </c>
      <c r="F202" t="str">
        <v>90VS316</v>
      </c>
      <c r="G202" s="61">
        <v>48.999999999999972</v>
      </c>
      <c r="H202" s="62" t="str">
        <v>hour</v>
      </c>
      <c r="I202">
        <v>0</v>
      </c>
      <c r="J202">
        <v>86</v>
      </c>
      <c r="K202" s="61">
        <v>5.5359999999999996</v>
      </c>
      <c r="L202" s="61">
        <v>271.26399999999984</v>
      </c>
      <c r="AA202">
        <v>31</v>
      </c>
      <c r="AB202">
        <v>10</v>
      </c>
      <c r="AC202" t="str">
        <v>77SR538</v>
      </c>
      <c r="AD202">
        <v>30</v>
      </c>
      <c r="AE202" t="str">
        <v>single</v>
      </c>
    </row>
    <row r="203" spans="1:31" hidden="1" x14ac:dyDescent="0.25">
      <c r="A203">
        <v>202</v>
      </c>
      <c r="B203">
        <v>2025</v>
      </c>
      <c r="C203">
        <v>8</v>
      </c>
      <c r="D203">
        <v>46</v>
      </c>
      <c r="E203">
        <v>4</v>
      </c>
      <c r="F203" t="str">
        <v>110FY523</v>
      </c>
      <c r="G203" s="61">
        <v>29</v>
      </c>
      <c r="H203" s="62" t="str">
        <v>single</v>
      </c>
      <c r="I203">
        <v>0</v>
      </c>
      <c r="J203">
        <v>1</v>
      </c>
      <c r="K203" s="61">
        <v>214.28571428571428</v>
      </c>
      <c r="L203" s="61">
        <v>6214.2857142857138</v>
      </c>
      <c r="AA203">
        <v>31</v>
      </c>
      <c r="AB203">
        <v>10</v>
      </c>
      <c r="AC203" t="str">
        <v>77TG971</v>
      </c>
      <c r="AD203">
        <v>29</v>
      </c>
      <c r="AE203" t="str">
        <v>single</v>
      </c>
    </row>
    <row r="204" spans="1:31" hidden="1" x14ac:dyDescent="0.25">
      <c r="A204">
        <v>203</v>
      </c>
      <c r="B204">
        <v>2025</v>
      </c>
      <c r="C204">
        <v>8</v>
      </c>
      <c r="D204">
        <v>46</v>
      </c>
      <c r="E204">
        <v>4</v>
      </c>
      <c r="F204" t="str">
        <v>110FY524</v>
      </c>
      <c r="G204" s="61">
        <v>6</v>
      </c>
      <c r="H204" t="str">
        <v>single</v>
      </c>
      <c r="I204">
        <v>0</v>
      </c>
      <c r="J204">
        <v>7</v>
      </c>
      <c r="K204" s="61">
        <v>214.28571428571428</v>
      </c>
      <c r="L204" s="61">
        <v>1285.7142857142858</v>
      </c>
      <c r="AA204">
        <v>31</v>
      </c>
      <c r="AB204">
        <v>10</v>
      </c>
      <c r="AC204" t="str">
        <v>77UR032</v>
      </c>
      <c r="AD204">
        <v>28</v>
      </c>
      <c r="AE204" t="str">
        <v>single</v>
      </c>
    </row>
    <row r="205" spans="1:31" hidden="1" x14ac:dyDescent="0.25">
      <c r="A205">
        <v>204</v>
      </c>
      <c r="B205">
        <v>2025</v>
      </c>
      <c r="C205">
        <v>8</v>
      </c>
      <c r="D205">
        <v>46</v>
      </c>
      <c r="E205">
        <v>4</v>
      </c>
      <c r="F205" t="str">
        <v>10AD801</v>
      </c>
      <c r="G205" s="61">
        <v>19</v>
      </c>
      <c r="H205" t="str">
        <v>single</v>
      </c>
      <c r="I205">
        <v>0</v>
      </c>
      <c r="J205">
        <v>4</v>
      </c>
      <c r="K205" s="61">
        <v>446.42857142857144</v>
      </c>
      <c r="L205" s="61">
        <v>8482.1428571428569</v>
      </c>
      <c r="AA205">
        <v>31</v>
      </c>
      <c r="AB205">
        <v>10</v>
      </c>
      <c r="AC205" t="str">
        <v>77VL420</v>
      </c>
      <c r="AD205">
        <v>29</v>
      </c>
      <c r="AE205" t="str">
        <v>single</v>
      </c>
    </row>
    <row r="206" spans="1:31" hidden="1" x14ac:dyDescent="0.25">
      <c r="A206">
        <v>205</v>
      </c>
      <c r="B206">
        <v>2025</v>
      </c>
      <c r="C206">
        <v>8</v>
      </c>
      <c r="D206">
        <v>46</v>
      </c>
      <c r="E206">
        <v>4</v>
      </c>
      <c r="F206" t="str">
        <v>10AB468</v>
      </c>
      <c r="G206" s="61">
        <v>23.5</v>
      </c>
      <c r="H206" t="str">
        <v>single</v>
      </c>
      <c r="I206">
        <v>0</v>
      </c>
      <c r="J206">
        <v>10</v>
      </c>
      <c r="K206" s="61">
        <v>185.71430000000001</v>
      </c>
      <c r="L206" s="61">
        <v>4364.2860500000006</v>
      </c>
      <c r="AA206">
        <v>31</v>
      </c>
      <c r="AB206">
        <v>10</v>
      </c>
      <c r="AC206" t="str">
        <v>90EC344</v>
      </c>
      <c r="AD206">
        <v>29</v>
      </c>
      <c r="AE206" t="str">
        <v>single</v>
      </c>
    </row>
    <row r="207" spans="1:31" hidden="1" x14ac:dyDescent="0.25">
      <c r="A207">
        <v>206</v>
      </c>
      <c r="B207">
        <v>2025</v>
      </c>
      <c r="C207">
        <v>8</v>
      </c>
      <c r="D207">
        <v>46</v>
      </c>
      <c r="E207">
        <v>4</v>
      </c>
      <c r="F207" t="str">
        <v>110FY524</v>
      </c>
      <c r="G207" s="61">
        <v>23</v>
      </c>
      <c r="H207" t="str">
        <v>double</v>
      </c>
      <c r="I207">
        <v>0</v>
      </c>
      <c r="J207">
        <v>8</v>
      </c>
      <c r="K207" s="61">
        <v>385.71444000000002</v>
      </c>
      <c r="L207" s="61">
        <v>8871.4321200000013</v>
      </c>
      <c r="AA207">
        <v>31</v>
      </c>
      <c r="AB207">
        <v>10</v>
      </c>
      <c r="AC207" t="str">
        <v>90LS143</v>
      </c>
      <c r="AD207">
        <v>29</v>
      </c>
      <c r="AE207" t="str">
        <v>single</v>
      </c>
    </row>
    <row r="208" spans="1:31" hidden="1" x14ac:dyDescent="0.25">
      <c r="A208">
        <v>207</v>
      </c>
      <c r="B208">
        <v>2025</v>
      </c>
      <c r="C208">
        <v>8</v>
      </c>
      <c r="D208">
        <v>46</v>
      </c>
      <c r="E208">
        <v>4</v>
      </c>
      <c r="F208" t="str">
        <v>10AD801</v>
      </c>
      <c r="G208" s="61">
        <v>10</v>
      </c>
      <c r="H208" t="str">
        <v>double</v>
      </c>
      <c r="I208">
        <v>0</v>
      </c>
      <c r="J208">
        <v>5</v>
      </c>
      <c r="K208" s="61">
        <v>803.57147999999995</v>
      </c>
      <c r="L208" s="61">
        <v>8035.7147999999997</v>
      </c>
      <c r="AA208">
        <v>31</v>
      </c>
      <c r="AB208">
        <v>10</v>
      </c>
      <c r="AC208" t="str">
        <v>90OE402</v>
      </c>
      <c r="AD208">
        <v>30</v>
      </c>
      <c r="AE208" t="str">
        <v>single</v>
      </c>
    </row>
    <row r="209" spans="1:31" hidden="1" x14ac:dyDescent="0.25">
      <c r="A209">
        <v>208</v>
      </c>
      <c r="B209">
        <v>2025</v>
      </c>
      <c r="C209">
        <v>9</v>
      </c>
      <c r="D209">
        <v>50</v>
      </c>
      <c r="E209">
        <v>4</v>
      </c>
      <c r="F209" t="str">
        <v>61AB256</v>
      </c>
      <c r="G209" s="61">
        <v>27</v>
      </c>
      <c r="H209" t="str">
        <v>single</v>
      </c>
      <c r="I209">
        <v>0</v>
      </c>
      <c r="J209">
        <v>1</v>
      </c>
      <c r="K209" s="61">
        <v>357.14285714285717</v>
      </c>
      <c r="L209" s="61">
        <v>9642.8571428571431</v>
      </c>
      <c r="AA209">
        <v>31</v>
      </c>
      <c r="AB209">
        <v>10</v>
      </c>
      <c r="AC209" t="str">
        <v>90VS316</v>
      </c>
      <c r="AD209">
        <v>13</v>
      </c>
      <c r="AE209" t="str">
        <v>single</v>
      </c>
    </row>
    <row r="210" spans="1:31" hidden="1" x14ac:dyDescent="0.25">
      <c r="A210">
        <v>209</v>
      </c>
      <c r="B210">
        <v>2025</v>
      </c>
      <c r="C210">
        <v>11</v>
      </c>
      <c r="D210">
        <v>51</v>
      </c>
      <c r="E210">
        <v>4</v>
      </c>
      <c r="F210" t="str">
        <v>10BA857</v>
      </c>
      <c r="G210" s="61">
        <v>29</v>
      </c>
      <c r="H210" t="str">
        <v>single</v>
      </c>
      <c r="I210">
        <v>0</v>
      </c>
      <c r="J210">
        <v>3</v>
      </c>
      <c r="K210" s="61">
        <v>235.71</v>
      </c>
      <c r="L210" s="61">
        <v>6835.59</v>
      </c>
      <c r="AA210">
        <v>31</v>
      </c>
      <c r="AB210">
        <v>10</v>
      </c>
      <c r="AC210" t="str">
        <v>99BT339</v>
      </c>
      <c r="AD210">
        <v>29</v>
      </c>
      <c r="AE210" t="str">
        <v>single</v>
      </c>
    </row>
    <row r="211" spans="1:31" hidden="1" x14ac:dyDescent="0.25">
      <c r="A211">
        <v>210</v>
      </c>
      <c r="B211">
        <v>2025</v>
      </c>
      <c r="C211">
        <v>11</v>
      </c>
      <c r="D211">
        <v>51</v>
      </c>
      <c r="E211">
        <v>4</v>
      </c>
      <c r="F211" t="str">
        <v>10BA857</v>
      </c>
      <c r="G211" s="61">
        <v>46.999999999999972</v>
      </c>
      <c r="H211" t="str">
        <v>hour</v>
      </c>
      <c r="I211">
        <v>0</v>
      </c>
      <c r="J211">
        <v>4</v>
      </c>
      <c r="K211" s="61">
        <v>26.071000000000002</v>
      </c>
      <c r="L211" s="61">
        <v>1225.3369999999993</v>
      </c>
      <c r="AA211">
        <v>31</v>
      </c>
      <c r="AB211">
        <v>10</v>
      </c>
      <c r="AC211" t="str">
        <v>99CN447</v>
      </c>
      <c r="AD211">
        <v>29</v>
      </c>
      <c r="AE211" t="str">
        <v>single</v>
      </c>
    </row>
    <row r="212" spans="1:31" hidden="1" x14ac:dyDescent="0.25">
      <c r="A212">
        <v>211</v>
      </c>
      <c r="B212">
        <v>2025</v>
      </c>
      <c r="C212">
        <v>7</v>
      </c>
      <c r="D212">
        <v>52</v>
      </c>
      <c r="E212">
        <v>4</v>
      </c>
      <c r="F212" t="str">
        <v>10AC750</v>
      </c>
      <c r="G212" s="61">
        <v>29</v>
      </c>
      <c r="H212" t="str">
        <v>single</v>
      </c>
      <c r="I212">
        <v>0</v>
      </c>
      <c r="J212">
        <v>1</v>
      </c>
      <c r="K212" s="61">
        <v>375</v>
      </c>
      <c r="L212" s="61">
        <v>10875</v>
      </c>
      <c r="AA212">
        <v>31</v>
      </c>
      <c r="AB212">
        <v>10</v>
      </c>
      <c r="AC212" t="str">
        <v>99EM163</v>
      </c>
      <c r="AD212">
        <v>1</v>
      </c>
      <c r="AE212" t="str">
        <v>single</v>
      </c>
    </row>
    <row r="213" spans="1:31" hidden="1" x14ac:dyDescent="0.25">
      <c r="A213">
        <v>212</v>
      </c>
      <c r="B213">
        <v>2025</v>
      </c>
      <c r="C213">
        <v>8</v>
      </c>
      <c r="D213">
        <v>65</v>
      </c>
      <c r="E213">
        <v>4</v>
      </c>
      <c r="F213" t="str">
        <v>01BA176</v>
      </c>
      <c r="G213" s="61">
        <v>27</v>
      </c>
      <c r="H213" t="str">
        <v>single</v>
      </c>
      <c r="I213">
        <v>0</v>
      </c>
      <c r="J213">
        <v>1</v>
      </c>
      <c r="K213" s="61">
        <v>196.42857142857142</v>
      </c>
      <c r="L213" s="61">
        <v>5303.5714285714284</v>
      </c>
      <c r="AA213">
        <v>31</v>
      </c>
      <c r="AB213">
        <v>10</v>
      </c>
      <c r="AC213" t="str">
        <v>99FO779</v>
      </c>
      <c r="AD213">
        <v>28</v>
      </c>
      <c r="AE213" t="str">
        <v>single</v>
      </c>
    </row>
    <row r="214" spans="1:31" hidden="1" x14ac:dyDescent="0.25">
      <c r="A214">
        <v>213</v>
      </c>
      <c r="B214">
        <v>2025</v>
      </c>
      <c r="C214">
        <v>8</v>
      </c>
      <c r="D214">
        <v>65</v>
      </c>
      <c r="E214">
        <v>4</v>
      </c>
      <c r="F214" t="str">
        <v>10BD252</v>
      </c>
      <c r="G214" s="61">
        <v>24.5</v>
      </c>
      <c r="H214" t="str">
        <v>single</v>
      </c>
      <c r="I214">
        <v>0</v>
      </c>
      <c r="J214">
        <v>2</v>
      </c>
      <c r="K214" s="61">
        <v>160.71</v>
      </c>
      <c r="L214" s="61">
        <v>3937.395</v>
      </c>
      <c r="AA214">
        <v>31</v>
      </c>
      <c r="AB214">
        <v>10</v>
      </c>
      <c r="AC214" t="str">
        <v>99KL663</v>
      </c>
      <c r="AD214">
        <v>29</v>
      </c>
      <c r="AE214" t="str">
        <v>single</v>
      </c>
    </row>
    <row r="215" spans="1:31" hidden="1" x14ac:dyDescent="0.25">
      <c r="A215">
        <v>214</v>
      </c>
      <c r="B215">
        <v>2025</v>
      </c>
      <c r="C215">
        <v>9</v>
      </c>
      <c r="D215">
        <v>85</v>
      </c>
      <c r="E215">
        <v>4</v>
      </c>
      <c r="F215" t="str">
        <v>77SN951</v>
      </c>
      <c r="G215" s="61">
        <v>28</v>
      </c>
      <c r="H215" t="str">
        <v>single</v>
      </c>
      <c r="I215">
        <v>0</v>
      </c>
      <c r="J215">
        <v>1</v>
      </c>
      <c r="K215" s="61">
        <v>446.43</v>
      </c>
      <c r="L215" s="61">
        <v>12500.04</v>
      </c>
      <c r="AA215">
        <v>31</v>
      </c>
      <c r="AB215">
        <v>10</v>
      </c>
      <c r="AC215" t="str">
        <v>99LM412</v>
      </c>
      <c r="AD215">
        <v>29</v>
      </c>
      <c r="AE215" t="str">
        <v>single</v>
      </c>
    </row>
    <row r="216" spans="1:31" hidden="1" x14ac:dyDescent="0.25">
      <c r="A216">
        <v>215</v>
      </c>
      <c r="B216">
        <v>2025</v>
      </c>
      <c r="C216">
        <v>9</v>
      </c>
      <c r="D216">
        <v>85</v>
      </c>
      <c r="E216">
        <v>4</v>
      </c>
      <c r="F216" t="str">
        <v>77SN951</v>
      </c>
      <c r="G216" s="61">
        <v>30.999999999999979</v>
      </c>
      <c r="H216" t="str">
        <v>hour</v>
      </c>
      <c r="I216">
        <v>0</v>
      </c>
      <c r="J216">
        <v>2</v>
      </c>
      <c r="K216" s="61">
        <v>44.643000000000001</v>
      </c>
      <c r="L216" s="61">
        <v>1383.9329999999991</v>
      </c>
      <c r="AA216">
        <v>31</v>
      </c>
      <c r="AB216">
        <v>10</v>
      </c>
      <c r="AC216" t="str">
        <v>99MN472</v>
      </c>
      <c r="AD216">
        <v>29</v>
      </c>
      <c r="AE216" t="str">
        <v>single</v>
      </c>
    </row>
    <row r="217" spans="1:31" hidden="1" x14ac:dyDescent="0.25">
      <c r="A217">
        <v>216</v>
      </c>
      <c r="B217">
        <v>2025</v>
      </c>
      <c r="C217">
        <v>9</v>
      </c>
      <c r="D217">
        <v>94</v>
      </c>
      <c r="E217">
        <v>4</v>
      </c>
      <c r="F217" t="str">
        <v>54BM823</v>
      </c>
      <c r="G217" s="103">
        <v>30</v>
      </c>
      <c r="H217" t="str">
        <v>single</v>
      </c>
      <c r="I217">
        <v>0</v>
      </c>
      <c r="J217">
        <v>1</v>
      </c>
      <c r="K217" s="61">
        <v>125</v>
      </c>
      <c r="L217" s="61">
        <v>3750</v>
      </c>
      <c r="AA217">
        <v>31</v>
      </c>
      <c r="AB217">
        <v>10</v>
      </c>
      <c r="AC217" t="str">
        <v>99OR961</v>
      </c>
      <c r="AD217">
        <v>29</v>
      </c>
      <c r="AE217" t="str">
        <v>single</v>
      </c>
    </row>
    <row r="218" spans="1:31" hidden="1" x14ac:dyDescent="0.25">
      <c r="A218">
        <v>217</v>
      </c>
      <c r="B218">
        <v>2025</v>
      </c>
      <c r="C218">
        <v>9</v>
      </c>
      <c r="D218">
        <v>94</v>
      </c>
      <c r="E218">
        <v>4</v>
      </c>
      <c r="F218" t="str">
        <v>01BT754</v>
      </c>
      <c r="G218" s="103">
        <v>30</v>
      </c>
      <c r="H218" t="str">
        <v>single</v>
      </c>
      <c r="I218">
        <v>0</v>
      </c>
      <c r="J218">
        <v>3</v>
      </c>
      <c r="K218" s="61">
        <v>125</v>
      </c>
      <c r="L218" s="61">
        <v>3750</v>
      </c>
      <c r="AA218">
        <v>31</v>
      </c>
      <c r="AB218">
        <v>10</v>
      </c>
      <c r="AC218" t="str">
        <v>99UK314</v>
      </c>
      <c r="AD218">
        <v>30</v>
      </c>
      <c r="AE218" t="str">
        <v>single</v>
      </c>
    </row>
    <row r="219" spans="1:31" hidden="1" x14ac:dyDescent="0.25">
      <c r="A219">
        <v>218</v>
      </c>
      <c r="B219">
        <v>2025</v>
      </c>
      <c r="C219">
        <v>10</v>
      </c>
      <c r="D219">
        <v>95</v>
      </c>
      <c r="E219">
        <v>4</v>
      </c>
      <c r="F219" t="str">
        <v>54BA209</v>
      </c>
      <c r="G219" s="103">
        <v>28.5</v>
      </c>
      <c r="H219" t="str">
        <v>single</v>
      </c>
      <c r="I219">
        <v>0</v>
      </c>
      <c r="J219">
        <v>1</v>
      </c>
      <c r="K219" s="61">
        <v>285.70999999999998</v>
      </c>
      <c r="L219" s="61">
        <v>8142.7349999999997</v>
      </c>
      <c r="AA219">
        <v>31</v>
      </c>
      <c r="AB219">
        <v>10</v>
      </c>
      <c r="AC219" t="str">
        <v>10NS184</v>
      </c>
      <c r="AD219">
        <v>16</v>
      </c>
      <c r="AE219" t="str">
        <v>single</v>
      </c>
    </row>
    <row r="220" spans="1:31" hidden="1" x14ac:dyDescent="0.25">
      <c r="A220">
        <v>219</v>
      </c>
      <c r="B220">
        <v>2025</v>
      </c>
      <c r="C220">
        <v>10</v>
      </c>
      <c r="D220">
        <v>98</v>
      </c>
      <c r="E220">
        <v>4</v>
      </c>
      <c r="F220" t="str">
        <v>50BD416</v>
      </c>
      <c r="G220" s="103">
        <v>28</v>
      </c>
      <c r="H220" t="str">
        <v>single</v>
      </c>
      <c r="I220">
        <v>0</v>
      </c>
      <c r="J220">
        <v>1</v>
      </c>
      <c r="K220" s="61">
        <v>107.14</v>
      </c>
      <c r="L220" s="61">
        <v>2999.92</v>
      </c>
      <c r="AA220">
        <v>31</v>
      </c>
      <c r="AB220">
        <v>10</v>
      </c>
      <c r="AC220" t="str">
        <v>10ZS260</v>
      </c>
      <c r="AD220">
        <v>1</v>
      </c>
      <c r="AE220" t="str">
        <v>single</v>
      </c>
    </row>
    <row r="221" spans="1:31" hidden="1" x14ac:dyDescent="0.25">
      <c r="A221">
        <v>220</v>
      </c>
      <c r="B221">
        <v>2025</v>
      </c>
      <c r="C221">
        <v>10</v>
      </c>
      <c r="D221">
        <v>98</v>
      </c>
      <c r="E221">
        <v>4</v>
      </c>
      <c r="F221" t="str">
        <v>50BD416</v>
      </c>
      <c r="G221" s="103">
        <v>9.9999999999999893</v>
      </c>
      <c r="H221" t="str">
        <v>hour</v>
      </c>
      <c r="I221">
        <v>0</v>
      </c>
      <c r="J221">
        <v>2</v>
      </c>
      <c r="K221" s="61">
        <v>10.714</v>
      </c>
      <c r="L221" s="61">
        <v>107.13999999999989</v>
      </c>
      <c r="AA221">
        <v>31</v>
      </c>
      <c r="AB221">
        <v>10</v>
      </c>
      <c r="AC221" t="str">
        <v>50FB264</v>
      </c>
      <c r="AD221">
        <v>28</v>
      </c>
      <c r="AE221" t="str">
        <v>single</v>
      </c>
    </row>
    <row r="222" spans="1:31" hidden="1" x14ac:dyDescent="0.25">
      <c r="A222">
        <v>221</v>
      </c>
      <c r="B222">
        <v>2025</v>
      </c>
      <c r="C222">
        <v>10</v>
      </c>
      <c r="D222">
        <v>99</v>
      </c>
      <c r="E222">
        <v>4</v>
      </c>
      <c r="F222" t="str">
        <v>50BX301</v>
      </c>
      <c r="G222" s="103">
        <v>31</v>
      </c>
      <c r="H222" t="str">
        <v>single</v>
      </c>
      <c r="I222">
        <v>0</v>
      </c>
      <c r="J222">
        <v>1</v>
      </c>
      <c r="K222" s="61">
        <v>125</v>
      </c>
      <c r="L222" s="61">
        <v>3875</v>
      </c>
      <c r="AA222">
        <v>31</v>
      </c>
      <c r="AB222">
        <v>10</v>
      </c>
      <c r="AC222" t="str">
        <v>57BV285</v>
      </c>
      <c r="AD222">
        <v>13</v>
      </c>
      <c r="AE222" t="str">
        <v>single</v>
      </c>
    </row>
    <row r="223" spans="1:31" hidden="1" x14ac:dyDescent="0.25">
      <c r="A223">
        <v>222</v>
      </c>
      <c r="B223">
        <v>2025</v>
      </c>
      <c r="C223">
        <v>10</v>
      </c>
      <c r="D223">
        <v>100</v>
      </c>
      <c r="E223">
        <v>4</v>
      </c>
      <c r="F223" t="str">
        <v>22AB273</v>
      </c>
      <c r="G223" s="61">
        <v>29</v>
      </c>
      <c r="H223" t="str">
        <v>single</v>
      </c>
      <c r="I223">
        <v>0</v>
      </c>
      <c r="J223">
        <v>1</v>
      </c>
      <c r="K223" s="61">
        <v>196.42857142857142</v>
      </c>
      <c r="L223" s="61">
        <v>5696.4285714285706</v>
      </c>
      <c r="AA223">
        <v>31</v>
      </c>
      <c r="AB223">
        <v>10</v>
      </c>
      <c r="AC223" t="str">
        <v>77DK884</v>
      </c>
      <c r="AD223">
        <v>29</v>
      </c>
      <c r="AE223" t="str">
        <v>single</v>
      </c>
    </row>
    <row r="224" spans="1:31" hidden="1" x14ac:dyDescent="0.25">
      <c r="A224">
        <v>223</v>
      </c>
      <c r="B224">
        <v>2025</v>
      </c>
      <c r="C224">
        <v>11</v>
      </c>
      <c r="D224">
        <v>102</v>
      </c>
      <c r="E224">
        <v>4</v>
      </c>
      <c r="F224" t="str">
        <v>99HQ687</v>
      </c>
      <c r="G224" s="61">
        <v>19</v>
      </c>
      <c r="H224" t="str">
        <v>single</v>
      </c>
      <c r="I224">
        <v>0</v>
      </c>
      <c r="J224">
        <v>1</v>
      </c>
      <c r="K224" s="61">
        <v>125</v>
      </c>
      <c r="L224" s="61">
        <v>2375</v>
      </c>
      <c r="AA224">
        <v>31</v>
      </c>
      <c r="AB224">
        <v>10</v>
      </c>
      <c r="AC224" t="str">
        <v>90RC631</v>
      </c>
      <c r="AD224">
        <v>4</v>
      </c>
      <c r="AE224" t="str">
        <v>single</v>
      </c>
    </row>
    <row r="225" spans="1:31" hidden="1" x14ac:dyDescent="0.25">
      <c r="A225">
        <v>224</v>
      </c>
      <c r="B225">
        <v>2025</v>
      </c>
      <c r="C225">
        <v>11</v>
      </c>
      <c r="D225">
        <v>102</v>
      </c>
      <c r="E225">
        <v>4</v>
      </c>
      <c r="F225" t="str">
        <v>10MF640</v>
      </c>
      <c r="G225" s="61">
        <v>29</v>
      </c>
      <c r="H225" t="str">
        <v>single</v>
      </c>
      <c r="I225">
        <v>0</v>
      </c>
      <c r="J225">
        <v>3</v>
      </c>
      <c r="K225" s="61">
        <v>125</v>
      </c>
      <c r="L225" s="61">
        <v>3625</v>
      </c>
      <c r="AA225">
        <v>31</v>
      </c>
      <c r="AB225">
        <v>10</v>
      </c>
      <c r="AC225" t="str">
        <v>90UX686</v>
      </c>
      <c r="AD225">
        <v>16</v>
      </c>
      <c r="AE225" t="str">
        <v>single</v>
      </c>
    </row>
    <row r="226" spans="1:31" hidden="1" x14ac:dyDescent="0.25">
      <c r="A226">
        <v>225</v>
      </c>
      <c r="B226">
        <v>2025</v>
      </c>
      <c r="C226">
        <v>11</v>
      </c>
      <c r="D226">
        <v>102</v>
      </c>
      <c r="E226">
        <v>4</v>
      </c>
      <c r="F226" t="str">
        <v>54BM823</v>
      </c>
      <c r="G226" s="61">
        <v>28</v>
      </c>
      <c r="H226" t="str">
        <v>single</v>
      </c>
      <c r="I226">
        <v>0</v>
      </c>
      <c r="J226">
        <v>5</v>
      </c>
      <c r="K226" s="61">
        <v>125</v>
      </c>
      <c r="L226" s="61">
        <v>3500</v>
      </c>
      <c r="AA226">
        <v>31</v>
      </c>
      <c r="AB226">
        <v>10</v>
      </c>
      <c r="AC226" t="str">
        <v>99DT131</v>
      </c>
      <c r="AD226">
        <v>21</v>
      </c>
      <c r="AE226" t="str">
        <v>single</v>
      </c>
    </row>
    <row r="227" spans="1:31" hidden="1" x14ac:dyDescent="0.25">
      <c r="A227">
        <v>226</v>
      </c>
      <c r="B227">
        <v>2025</v>
      </c>
      <c r="C227">
        <v>11</v>
      </c>
      <c r="D227">
        <v>102</v>
      </c>
      <c r="E227">
        <v>4</v>
      </c>
      <c r="F227" t="str">
        <v>01BT754</v>
      </c>
      <c r="G227" s="61">
        <v>26</v>
      </c>
      <c r="H227" t="str">
        <v>single</v>
      </c>
      <c r="I227">
        <v>0</v>
      </c>
      <c r="J227">
        <v>6</v>
      </c>
      <c r="K227" s="61">
        <v>125</v>
      </c>
      <c r="L227" s="61">
        <v>3250</v>
      </c>
      <c r="AA227">
        <v>31</v>
      </c>
      <c r="AB227">
        <v>10</v>
      </c>
      <c r="AC227" t="str">
        <v>77AT386</v>
      </c>
      <c r="AD227">
        <v>30</v>
      </c>
      <c r="AE227" t="str">
        <v>single</v>
      </c>
    </row>
    <row r="228" spans="1:31" hidden="1" x14ac:dyDescent="0.25">
      <c r="A228">
        <v>227</v>
      </c>
      <c r="B228">
        <v>2025</v>
      </c>
      <c r="C228">
        <v>11</v>
      </c>
      <c r="D228">
        <v>102</v>
      </c>
      <c r="E228">
        <v>4</v>
      </c>
      <c r="F228" t="str">
        <v>10MF640</v>
      </c>
      <c r="G228" s="61">
        <v>28</v>
      </c>
      <c r="H228" t="str">
        <v>hour</v>
      </c>
      <c r="I228">
        <v>0</v>
      </c>
      <c r="J228">
        <v>4</v>
      </c>
      <c r="K228" s="61">
        <v>12.5</v>
      </c>
      <c r="L228" s="61">
        <v>350</v>
      </c>
      <c r="AA228">
        <v>31</v>
      </c>
      <c r="AB228">
        <v>10</v>
      </c>
      <c r="AC228" t="str">
        <v>90PY548</v>
      </c>
      <c r="AD228">
        <v>30</v>
      </c>
      <c r="AE228" t="str">
        <v>single</v>
      </c>
    </row>
    <row r="229" spans="1:31" hidden="1" x14ac:dyDescent="0.25">
      <c r="A229">
        <v>228</v>
      </c>
      <c r="B229">
        <v>2025</v>
      </c>
      <c r="C229">
        <v>11</v>
      </c>
      <c r="D229">
        <v>110</v>
      </c>
      <c r="E229">
        <v>4</v>
      </c>
      <c r="F229" t="str">
        <v>99XC106</v>
      </c>
      <c r="G229" s="61">
        <v>29</v>
      </c>
      <c r="H229" t="str">
        <v>single</v>
      </c>
      <c r="I229">
        <v>0</v>
      </c>
      <c r="J229">
        <v>1</v>
      </c>
      <c r="K229" s="61">
        <v>221.42857142857142</v>
      </c>
      <c r="L229" s="61">
        <v>6421.4285714285706</v>
      </c>
      <c r="AA229">
        <v>31</v>
      </c>
      <c r="AB229">
        <v>10</v>
      </c>
      <c r="AC229" t="str">
        <v>99HZ395</v>
      </c>
      <c r="AD229">
        <v>30</v>
      </c>
      <c r="AE229" t="str">
        <v>single</v>
      </c>
    </row>
    <row r="230" spans="1:31" hidden="1" x14ac:dyDescent="0.25">
      <c r="A230">
        <v>229</v>
      </c>
      <c r="B230">
        <v>2026</v>
      </c>
      <c r="C230">
        <v>1</v>
      </c>
      <c r="D230">
        <v>121</v>
      </c>
      <c r="E230">
        <v>4</v>
      </c>
      <c r="F230" t="str">
        <v>11BC843</v>
      </c>
      <c r="G230" s="61">
        <v>27</v>
      </c>
      <c r="H230" t="str">
        <v>single</v>
      </c>
      <c r="I230">
        <v>0</v>
      </c>
      <c r="J230">
        <v>1</v>
      </c>
      <c r="K230" s="61">
        <v>128.57</v>
      </c>
      <c r="L230" s="61">
        <v>3471.39</v>
      </c>
      <c r="AA230">
        <v>31</v>
      </c>
      <c r="AB230">
        <v>10</v>
      </c>
      <c r="AC230" t="str">
        <v>53BD338</v>
      </c>
      <c r="AD230">
        <v>29</v>
      </c>
      <c r="AE230" t="str">
        <v>single</v>
      </c>
    </row>
    <row r="231" spans="1:31" hidden="1" x14ac:dyDescent="0.25">
      <c r="A231">
        <v>230</v>
      </c>
      <c r="B231">
        <v>2026</v>
      </c>
      <c r="C231">
        <v>2</v>
      </c>
      <c r="D231">
        <v>141</v>
      </c>
      <c r="E231">
        <v>4</v>
      </c>
      <c r="F231" t="str">
        <v>10V288</v>
      </c>
      <c r="G231" s="61">
        <v>17</v>
      </c>
      <c r="H231" t="str">
        <v>single</v>
      </c>
      <c r="I231">
        <v>0</v>
      </c>
      <c r="J231">
        <v>1</v>
      </c>
      <c r="K231" s="61">
        <v>214.28571428571428</v>
      </c>
      <c r="L231" s="61">
        <v>3642.8571428571427</v>
      </c>
      <c r="AA231">
        <v>31</v>
      </c>
      <c r="AB231">
        <v>10</v>
      </c>
      <c r="AC231" t="str">
        <v>17BE358</v>
      </c>
      <c r="AD231">
        <v>18</v>
      </c>
      <c r="AE231" t="str">
        <v>single</v>
      </c>
    </row>
    <row r="232" spans="1:31" hidden="1" x14ac:dyDescent="0.25">
      <c r="A232">
        <v>231</v>
      </c>
      <c r="B232">
        <v>2026</v>
      </c>
      <c r="C232">
        <v>2</v>
      </c>
      <c r="D232">
        <v>141</v>
      </c>
      <c r="E232">
        <v>4</v>
      </c>
      <c r="F232" t="str">
        <v>10V288</v>
      </c>
      <c r="G232" s="61">
        <v>31</v>
      </c>
      <c r="H232" t="str">
        <v>hour</v>
      </c>
      <c r="I232">
        <v>0</v>
      </c>
      <c r="J232">
        <v>2</v>
      </c>
      <c r="K232" s="61">
        <v>21.428571428571427</v>
      </c>
      <c r="L232" s="61">
        <v>664.28571428571422</v>
      </c>
      <c r="AA232">
        <v>31</v>
      </c>
      <c r="AB232">
        <v>10</v>
      </c>
      <c r="AC232" t="str">
        <v>99GZ612</v>
      </c>
      <c r="AD232">
        <v>29</v>
      </c>
      <c r="AE232" t="str">
        <v>single</v>
      </c>
    </row>
    <row r="233" spans="1:31" hidden="1" x14ac:dyDescent="0.25">
      <c r="A233">
        <v>232</v>
      </c>
      <c r="B233">
        <v>2025</v>
      </c>
      <c r="C233">
        <v>6</v>
      </c>
      <c r="D233">
        <v>31</v>
      </c>
      <c r="E233">
        <v>5</v>
      </c>
      <c r="F233" t="str">
        <v>01CC689</v>
      </c>
      <c r="G233" s="61">
        <v>29</v>
      </c>
      <c r="H233" t="str">
        <v>single</v>
      </c>
      <c r="I233">
        <v>0</v>
      </c>
      <c r="J233">
        <v>26</v>
      </c>
      <c r="K233" s="61">
        <v>55.36</v>
      </c>
      <c r="L233" s="61">
        <v>1605.44</v>
      </c>
      <c r="AA233">
        <v>31</v>
      </c>
      <c r="AB233">
        <v>10</v>
      </c>
      <c r="AC233" t="str">
        <v>77PV619</v>
      </c>
      <c r="AD233">
        <v>30</v>
      </c>
      <c r="AE233" t="str">
        <v>single</v>
      </c>
    </row>
    <row r="234" spans="1:31" hidden="1" x14ac:dyDescent="0.25">
      <c r="A234">
        <v>233</v>
      </c>
      <c r="B234">
        <v>2025</v>
      </c>
      <c r="C234">
        <v>6</v>
      </c>
      <c r="D234">
        <v>31</v>
      </c>
      <c r="E234">
        <v>5</v>
      </c>
      <c r="F234" t="str">
        <v>50BD165</v>
      </c>
      <c r="G234" s="61">
        <v>28</v>
      </c>
      <c r="H234" t="str">
        <v>single</v>
      </c>
      <c r="I234">
        <v>0</v>
      </c>
      <c r="J234">
        <v>41</v>
      </c>
      <c r="K234" s="61">
        <v>55.36</v>
      </c>
      <c r="L234" s="61">
        <v>1550.08</v>
      </c>
      <c r="AA234">
        <v>46</v>
      </c>
      <c r="AB234">
        <v>1</v>
      </c>
      <c r="AC234" t="str">
        <v>110FY523</v>
      </c>
      <c r="AD234">
        <v>8</v>
      </c>
      <c r="AE234" t="str">
        <v>single</v>
      </c>
    </row>
    <row r="235" spans="1:31" hidden="1" x14ac:dyDescent="0.25">
      <c r="A235">
        <v>234</v>
      </c>
      <c r="B235">
        <v>2025</v>
      </c>
      <c r="C235">
        <v>6</v>
      </c>
      <c r="D235">
        <v>31</v>
      </c>
      <c r="E235">
        <v>5</v>
      </c>
      <c r="F235" t="str">
        <v>50DK730</v>
      </c>
      <c r="G235" s="61">
        <v>29</v>
      </c>
      <c r="H235" t="str">
        <v>single</v>
      </c>
      <c r="I235">
        <v>0</v>
      </c>
      <c r="J235">
        <v>47</v>
      </c>
      <c r="K235" s="61">
        <v>55.36</v>
      </c>
      <c r="L235" s="61">
        <v>1605.44</v>
      </c>
      <c r="AA235">
        <v>46</v>
      </c>
      <c r="AB235">
        <v>2</v>
      </c>
      <c r="AC235" t="str">
        <v>110FY523</v>
      </c>
      <c r="AD235">
        <v>27</v>
      </c>
      <c r="AE235" t="str">
        <v>single</v>
      </c>
    </row>
    <row r="236" spans="1:31" hidden="1" x14ac:dyDescent="0.25">
      <c r="A236">
        <v>235</v>
      </c>
      <c r="B236">
        <v>2025</v>
      </c>
      <c r="C236">
        <v>6</v>
      </c>
      <c r="D236">
        <v>31</v>
      </c>
      <c r="E236">
        <v>5</v>
      </c>
      <c r="F236" t="str">
        <v>53BB774</v>
      </c>
      <c r="G236" s="61">
        <v>28</v>
      </c>
      <c r="H236" t="str">
        <v>single</v>
      </c>
      <c r="I236">
        <v>0</v>
      </c>
      <c r="J236">
        <v>53</v>
      </c>
      <c r="K236" s="61">
        <v>55.36</v>
      </c>
      <c r="L236" s="61">
        <v>1550.08</v>
      </c>
      <c r="AA236">
        <v>46</v>
      </c>
      <c r="AB236">
        <v>2</v>
      </c>
      <c r="AC236" t="str">
        <v>10AD801</v>
      </c>
      <c r="AD236">
        <v>27</v>
      </c>
      <c r="AE236" t="str">
        <v>single</v>
      </c>
    </row>
    <row r="237" spans="1:31" hidden="1" x14ac:dyDescent="0.25">
      <c r="A237">
        <v>236</v>
      </c>
      <c r="B237">
        <v>2025</v>
      </c>
      <c r="C237">
        <v>6</v>
      </c>
      <c r="D237">
        <v>31</v>
      </c>
      <c r="E237">
        <v>5</v>
      </c>
      <c r="F237" t="str">
        <v>55CB633</v>
      </c>
      <c r="G237" s="61">
        <v>27</v>
      </c>
      <c r="H237" t="str">
        <v>single</v>
      </c>
      <c r="I237">
        <v>0</v>
      </c>
      <c r="J237">
        <v>57</v>
      </c>
      <c r="K237" s="61">
        <v>55.36</v>
      </c>
      <c r="L237" s="61">
        <v>1494.72</v>
      </c>
      <c r="AA237">
        <v>46</v>
      </c>
      <c r="AB237">
        <v>3</v>
      </c>
      <c r="AC237" t="str">
        <v>110FY523</v>
      </c>
      <c r="AD237">
        <v>27.34</v>
      </c>
      <c r="AE237" t="str">
        <v>single</v>
      </c>
    </row>
    <row r="238" spans="1:31" hidden="1" x14ac:dyDescent="0.25">
      <c r="A238">
        <v>237</v>
      </c>
      <c r="B238">
        <v>2025</v>
      </c>
      <c r="C238">
        <v>6</v>
      </c>
      <c r="D238">
        <v>31</v>
      </c>
      <c r="E238">
        <v>5</v>
      </c>
      <c r="F238" t="str">
        <v>77AT386</v>
      </c>
      <c r="G238" s="61">
        <v>30</v>
      </c>
      <c r="H238" t="str">
        <v>single</v>
      </c>
      <c r="I238">
        <v>0</v>
      </c>
      <c r="J238">
        <v>13</v>
      </c>
      <c r="K238" s="61">
        <v>46.67</v>
      </c>
      <c r="L238" s="61">
        <v>1400.1000000000001</v>
      </c>
      <c r="AA238">
        <v>46</v>
      </c>
      <c r="AB238">
        <v>3</v>
      </c>
      <c r="AC238" t="str">
        <v>110FY524</v>
      </c>
      <c r="AD238">
        <v>29</v>
      </c>
      <c r="AE238" t="str">
        <v>single</v>
      </c>
    </row>
    <row r="239" spans="1:31" hidden="1" x14ac:dyDescent="0.25">
      <c r="A239">
        <v>238</v>
      </c>
      <c r="B239">
        <v>2025</v>
      </c>
      <c r="C239">
        <v>6</v>
      </c>
      <c r="D239">
        <v>31</v>
      </c>
      <c r="E239">
        <v>5</v>
      </c>
      <c r="F239" t="str">
        <v>77GR998</v>
      </c>
      <c r="G239" s="61">
        <v>1</v>
      </c>
      <c r="H239" t="str">
        <v>single</v>
      </c>
      <c r="I239">
        <v>0</v>
      </c>
      <c r="J239">
        <v>65</v>
      </c>
      <c r="K239" s="61">
        <v>55.357142857142854</v>
      </c>
      <c r="L239" s="61">
        <v>55.357142857142854</v>
      </c>
      <c r="AA239">
        <v>46</v>
      </c>
      <c r="AB239">
        <v>3</v>
      </c>
      <c r="AC239" t="str">
        <v>10AD801</v>
      </c>
      <c r="AD239">
        <v>16</v>
      </c>
      <c r="AE239" t="str">
        <v>single</v>
      </c>
    </row>
    <row r="240" spans="1:31" hidden="1" x14ac:dyDescent="0.25">
      <c r="A240">
        <v>239</v>
      </c>
      <c r="B240">
        <v>2025</v>
      </c>
      <c r="C240">
        <v>6</v>
      </c>
      <c r="D240">
        <v>31</v>
      </c>
      <c r="E240">
        <v>5</v>
      </c>
      <c r="F240" t="str">
        <v>77QE133</v>
      </c>
      <c r="G240" s="61">
        <v>32</v>
      </c>
      <c r="H240" t="str">
        <v>single</v>
      </c>
      <c r="I240">
        <v>0</v>
      </c>
      <c r="J240">
        <v>69</v>
      </c>
      <c r="K240" s="61">
        <v>73.33</v>
      </c>
      <c r="L240" s="61">
        <v>2346.56</v>
      </c>
      <c r="AA240">
        <v>46</v>
      </c>
      <c r="AB240">
        <v>4</v>
      </c>
      <c r="AC240" t="str">
        <v>110FY523</v>
      </c>
      <c r="AD240">
        <v>29</v>
      </c>
      <c r="AE240" t="str">
        <v>single</v>
      </c>
    </row>
    <row r="241" spans="1:31" hidden="1" x14ac:dyDescent="0.25">
      <c r="A241">
        <v>240</v>
      </c>
      <c r="B241">
        <v>2025</v>
      </c>
      <c r="C241">
        <v>6</v>
      </c>
      <c r="D241">
        <v>31</v>
      </c>
      <c r="E241">
        <v>5</v>
      </c>
      <c r="F241" t="str">
        <v>77QK725</v>
      </c>
      <c r="G241" s="61">
        <v>15</v>
      </c>
      <c r="H241" t="str">
        <v>single</v>
      </c>
      <c r="I241">
        <v>0</v>
      </c>
      <c r="J241">
        <v>17</v>
      </c>
      <c r="K241" s="61">
        <v>275</v>
      </c>
      <c r="L241" s="61">
        <v>4125</v>
      </c>
      <c r="AA241">
        <v>46</v>
      </c>
      <c r="AB241">
        <v>4</v>
      </c>
      <c r="AC241" t="str">
        <v>110FY524</v>
      </c>
      <c r="AD241">
        <v>6</v>
      </c>
      <c r="AE241" t="str">
        <v>single</v>
      </c>
    </row>
    <row r="242" spans="1:31" hidden="1" x14ac:dyDescent="0.25">
      <c r="A242">
        <v>241</v>
      </c>
      <c r="B242">
        <v>2025</v>
      </c>
      <c r="C242">
        <v>6</v>
      </c>
      <c r="D242">
        <v>31</v>
      </c>
      <c r="E242">
        <v>5</v>
      </c>
      <c r="F242" t="str">
        <v>77UR032</v>
      </c>
      <c r="G242" s="61">
        <v>27</v>
      </c>
      <c r="H242" t="str">
        <v>single</v>
      </c>
      <c r="I242">
        <v>0</v>
      </c>
      <c r="J242">
        <v>77</v>
      </c>
      <c r="K242" s="61">
        <v>55.36</v>
      </c>
      <c r="L242" s="61">
        <v>1494.72</v>
      </c>
      <c r="AA242">
        <v>46</v>
      </c>
      <c r="AB242">
        <v>4</v>
      </c>
      <c r="AC242" t="str">
        <v>10AD801</v>
      </c>
      <c r="AD242">
        <v>19</v>
      </c>
      <c r="AE242" t="str">
        <v>single</v>
      </c>
    </row>
    <row r="243" spans="1:31" hidden="1" x14ac:dyDescent="0.25">
      <c r="A243">
        <v>242</v>
      </c>
      <c r="B243">
        <v>2025</v>
      </c>
      <c r="C243">
        <v>6</v>
      </c>
      <c r="D243">
        <v>31</v>
      </c>
      <c r="E243">
        <v>5</v>
      </c>
      <c r="F243" t="str">
        <v>90PY548</v>
      </c>
      <c r="G243" s="61">
        <v>27</v>
      </c>
      <c r="H243" t="str">
        <v>single</v>
      </c>
      <c r="I243">
        <v>0</v>
      </c>
      <c r="J243">
        <v>85</v>
      </c>
      <c r="K243" s="61">
        <v>40</v>
      </c>
      <c r="L243" s="61">
        <v>1080</v>
      </c>
      <c r="AA243">
        <v>46</v>
      </c>
      <c r="AB243">
        <v>4</v>
      </c>
      <c r="AC243" t="str">
        <v>10AB468</v>
      </c>
      <c r="AD243">
        <v>23.5</v>
      </c>
      <c r="AE243" t="str">
        <v>single</v>
      </c>
    </row>
    <row r="244" spans="1:31" hidden="1" x14ac:dyDescent="0.25">
      <c r="A244">
        <v>243</v>
      </c>
      <c r="B244">
        <v>2025</v>
      </c>
      <c r="C244">
        <v>6</v>
      </c>
      <c r="D244">
        <v>31</v>
      </c>
      <c r="E244">
        <v>5</v>
      </c>
      <c r="F244" t="str">
        <v>90SL686</v>
      </c>
      <c r="G244" s="61">
        <v>29</v>
      </c>
      <c r="H244" t="str">
        <v>single</v>
      </c>
      <c r="I244">
        <v>0</v>
      </c>
      <c r="J244">
        <v>19</v>
      </c>
      <c r="K244" s="61">
        <v>58.93</v>
      </c>
      <c r="L244" s="61">
        <v>1708.97</v>
      </c>
      <c r="AA244">
        <v>46</v>
      </c>
      <c r="AB244">
        <v>5</v>
      </c>
      <c r="AC244" t="str">
        <v>110FY523</v>
      </c>
      <c r="AD244">
        <v>27</v>
      </c>
      <c r="AE244" t="str">
        <v>single</v>
      </c>
    </row>
    <row r="245" spans="1:31" hidden="1" x14ac:dyDescent="0.25">
      <c r="A245">
        <v>244</v>
      </c>
      <c r="B245">
        <v>2025</v>
      </c>
      <c r="C245">
        <v>6</v>
      </c>
      <c r="D245">
        <v>31</v>
      </c>
      <c r="E245">
        <v>5</v>
      </c>
      <c r="F245" t="str">
        <v>90VS316</v>
      </c>
      <c r="G245" s="61">
        <v>27</v>
      </c>
      <c r="H245" t="str">
        <v>single</v>
      </c>
      <c r="I245">
        <v>0</v>
      </c>
      <c r="J245">
        <v>87</v>
      </c>
      <c r="K245" s="61">
        <v>55.36</v>
      </c>
      <c r="L245" s="61">
        <v>1494.72</v>
      </c>
      <c r="AA245">
        <v>46</v>
      </c>
      <c r="AB245">
        <v>5</v>
      </c>
      <c r="AC245" t="str">
        <v>110FY524</v>
      </c>
      <c r="AD245">
        <v>20</v>
      </c>
      <c r="AE245" t="str">
        <v>single</v>
      </c>
    </row>
    <row r="246" spans="1:31" hidden="1" x14ac:dyDescent="0.25">
      <c r="A246">
        <v>245</v>
      </c>
      <c r="B246">
        <v>2025</v>
      </c>
      <c r="C246">
        <v>6</v>
      </c>
      <c r="D246">
        <v>31</v>
      </c>
      <c r="E246">
        <v>5</v>
      </c>
      <c r="F246" t="str">
        <v>99BT339</v>
      </c>
      <c r="G246" s="61">
        <v>-15</v>
      </c>
      <c r="H246" t="str">
        <v>single</v>
      </c>
      <c r="I246">
        <v>0</v>
      </c>
      <c r="J246">
        <v>93</v>
      </c>
      <c r="K246" s="61">
        <v>55.36</v>
      </c>
      <c r="L246" s="61">
        <v>-830.4</v>
      </c>
      <c r="AA246">
        <v>46</v>
      </c>
      <c r="AB246">
        <v>5</v>
      </c>
      <c r="AC246" t="str">
        <v>10AD801</v>
      </c>
      <c r="AD246">
        <v>8</v>
      </c>
      <c r="AE246" t="str">
        <v>single</v>
      </c>
    </row>
    <row r="247" spans="1:31" x14ac:dyDescent="0.25">
      <c r="A247">
        <v>246</v>
      </c>
      <c r="B247">
        <v>2025</v>
      </c>
      <c r="C247">
        <v>6</v>
      </c>
      <c r="D247">
        <v>31</v>
      </c>
      <c r="E247">
        <v>5</v>
      </c>
      <c r="F247" t="str">
        <v>99EM163</v>
      </c>
      <c r="G247" s="61">
        <v>27</v>
      </c>
      <c r="H247" t="str">
        <v>single</v>
      </c>
      <c r="I247">
        <v>0</v>
      </c>
      <c r="J247">
        <v>100</v>
      </c>
      <c r="K247" s="61">
        <v>55.36</v>
      </c>
      <c r="L247" s="61">
        <v>1494.72</v>
      </c>
      <c r="AA247">
        <v>46</v>
      </c>
      <c r="AB247">
        <v>5</v>
      </c>
      <c r="AC247" t="str">
        <v>10AB468</v>
      </c>
      <c r="AD247">
        <v>6</v>
      </c>
      <c r="AE247" t="str">
        <v>single</v>
      </c>
    </row>
    <row r="248" spans="1:31" hidden="1" x14ac:dyDescent="0.25">
      <c r="A248">
        <v>247</v>
      </c>
      <c r="B248">
        <v>2025</v>
      </c>
      <c r="C248">
        <v>6</v>
      </c>
      <c r="D248">
        <v>31</v>
      </c>
      <c r="E248">
        <v>5</v>
      </c>
      <c r="F248" t="str">
        <v>99HZ395</v>
      </c>
      <c r="G248" s="61">
        <v>30</v>
      </c>
      <c r="H248" t="str">
        <v>single</v>
      </c>
      <c r="I248">
        <v>0</v>
      </c>
      <c r="J248">
        <v>3</v>
      </c>
      <c r="K248" s="61">
        <v>65</v>
      </c>
      <c r="L248" s="61">
        <v>1950</v>
      </c>
      <c r="AA248">
        <v>46</v>
      </c>
      <c r="AB248">
        <v>6</v>
      </c>
      <c r="AC248" t="str">
        <v>110FY524</v>
      </c>
      <c r="AD248">
        <v>19</v>
      </c>
      <c r="AE248" t="str">
        <v>single</v>
      </c>
    </row>
    <row r="249" spans="1:31" hidden="1" x14ac:dyDescent="0.25">
      <c r="A249">
        <v>248</v>
      </c>
      <c r="B249">
        <v>2025</v>
      </c>
      <c r="C249">
        <v>6</v>
      </c>
      <c r="D249">
        <v>31</v>
      </c>
      <c r="E249">
        <v>5</v>
      </c>
      <c r="F249" t="str">
        <v>99LM412</v>
      </c>
      <c r="G249" s="61">
        <v>29</v>
      </c>
      <c r="H249" t="str">
        <v>single</v>
      </c>
      <c r="I249">
        <v>0</v>
      </c>
      <c r="J249">
        <v>116</v>
      </c>
      <c r="K249" s="61">
        <v>55.357142857142854</v>
      </c>
      <c r="L249" s="61">
        <v>1605.3571428571427</v>
      </c>
      <c r="AA249">
        <v>46</v>
      </c>
      <c r="AB249">
        <v>6</v>
      </c>
      <c r="AC249" t="str">
        <v>10AD801</v>
      </c>
      <c r="AD249">
        <v>1</v>
      </c>
      <c r="AE249" t="str">
        <v>single</v>
      </c>
    </row>
    <row r="250" spans="1:31" hidden="1" x14ac:dyDescent="0.25">
      <c r="A250">
        <v>249</v>
      </c>
      <c r="B250">
        <v>2025</v>
      </c>
      <c r="C250">
        <v>6</v>
      </c>
      <c r="D250">
        <v>31</v>
      </c>
      <c r="E250">
        <v>5</v>
      </c>
      <c r="F250" t="str">
        <v>99MN472</v>
      </c>
      <c r="G250" s="61">
        <v>29</v>
      </c>
      <c r="H250" t="str">
        <v>single</v>
      </c>
      <c r="I250">
        <v>0</v>
      </c>
      <c r="J250">
        <v>108</v>
      </c>
      <c r="K250" s="61">
        <v>55.36</v>
      </c>
      <c r="L250" s="61">
        <v>1605.44</v>
      </c>
      <c r="AA250">
        <v>46</v>
      </c>
      <c r="AB250">
        <v>7</v>
      </c>
      <c r="AC250" t="str">
        <v>110FY523</v>
      </c>
      <c r="AD250">
        <v>28</v>
      </c>
      <c r="AE250" t="str">
        <v>single</v>
      </c>
    </row>
    <row r="251" spans="1:31" hidden="1" x14ac:dyDescent="0.25">
      <c r="A251">
        <v>250</v>
      </c>
      <c r="B251">
        <v>2025</v>
      </c>
      <c r="C251">
        <v>6</v>
      </c>
      <c r="D251">
        <v>31</v>
      </c>
      <c r="E251">
        <v>5</v>
      </c>
      <c r="F251" t="str">
        <v>77GR998</v>
      </c>
      <c r="G251" s="61">
        <v>17</v>
      </c>
      <c r="H251" t="str">
        <v>double</v>
      </c>
      <c r="I251">
        <v>0</v>
      </c>
      <c r="J251">
        <v>62</v>
      </c>
      <c r="K251" s="61">
        <v>91.339285714285708</v>
      </c>
      <c r="L251" s="61">
        <v>1552.7678571428571</v>
      </c>
      <c r="AA251">
        <v>46</v>
      </c>
      <c r="AB251">
        <v>7</v>
      </c>
      <c r="AC251" t="str">
        <v>10AD801</v>
      </c>
      <c r="AD251">
        <v>19</v>
      </c>
      <c r="AE251" t="str">
        <v>single</v>
      </c>
    </row>
    <row r="252" spans="1:31" hidden="1" x14ac:dyDescent="0.25">
      <c r="A252">
        <v>251</v>
      </c>
      <c r="B252">
        <v>2025</v>
      </c>
      <c r="C252">
        <v>6</v>
      </c>
      <c r="D252">
        <v>31</v>
      </c>
      <c r="E252">
        <v>5</v>
      </c>
      <c r="F252" t="str">
        <v>99BT339</v>
      </c>
      <c r="G252" s="61">
        <v>35</v>
      </c>
      <c r="H252" t="str">
        <v>double</v>
      </c>
      <c r="I252">
        <v>0</v>
      </c>
      <c r="J252">
        <v>90</v>
      </c>
      <c r="K252" s="61">
        <v>91.34</v>
      </c>
      <c r="L252" s="61">
        <v>3196.9</v>
      </c>
      <c r="AA252">
        <v>50</v>
      </c>
      <c r="AB252">
        <v>1</v>
      </c>
      <c r="AC252" t="str">
        <v>61AB256</v>
      </c>
      <c r="AD252">
        <v>24.5</v>
      </c>
      <c r="AE252" t="str">
        <v>single</v>
      </c>
    </row>
    <row r="253" spans="1:31" hidden="1" x14ac:dyDescent="0.25">
      <c r="A253">
        <v>252</v>
      </c>
      <c r="B253">
        <v>2025</v>
      </c>
      <c r="C253">
        <v>6</v>
      </c>
      <c r="D253">
        <v>31</v>
      </c>
      <c r="E253">
        <v>5</v>
      </c>
      <c r="F253" t="str">
        <v>01CC689</v>
      </c>
      <c r="G253" s="61">
        <v>63</v>
      </c>
      <c r="H253" t="str">
        <v>hour</v>
      </c>
      <c r="I253">
        <v>0</v>
      </c>
      <c r="J253">
        <v>25</v>
      </c>
      <c r="K253" s="61">
        <v>5.5359999999999996</v>
      </c>
      <c r="L253" s="61">
        <v>348.76799999999997</v>
      </c>
      <c r="AA253">
        <v>50</v>
      </c>
      <c r="AB253">
        <v>2</v>
      </c>
      <c r="AC253" t="str">
        <v>61AB256</v>
      </c>
      <c r="AD253">
        <v>29</v>
      </c>
      <c r="AE253" t="str">
        <v>single</v>
      </c>
    </row>
    <row r="254" spans="1:31" hidden="1" x14ac:dyDescent="0.25">
      <c r="A254">
        <v>253</v>
      </c>
      <c r="B254">
        <v>2025</v>
      </c>
      <c r="C254">
        <v>6</v>
      </c>
      <c r="D254">
        <v>31</v>
      </c>
      <c r="E254">
        <v>5</v>
      </c>
      <c r="F254" t="str">
        <v>50BD165</v>
      </c>
      <c r="G254" s="61">
        <v>75.999999999999986</v>
      </c>
      <c r="H254" t="str">
        <v>hour</v>
      </c>
      <c r="I254">
        <v>0</v>
      </c>
      <c r="J254">
        <v>40</v>
      </c>
      <c r="K254" s="61">
        <v>5.5359999999999996</v>
      </c>
      <c r="L254" s="61">
        <v>420.73599999999988</v>
      </c>
      <c r="AA254">
        <v>50</v>
      </c>
      <c r="AB254">
        <v>3</v>
      </c>
      <c r="AC254" t="str">
        <v>61AB256</v>
      </c>
      <c r="AD254">
        <v>29</v>
      </c>
      <c r="AE254" t="str">
        <v>single</v>
      </c>
    </row>
    <row r="255" spans="1:31" hidden="1" x14ac:dyDescent="0.25">
      <c r="A255">
        <v>254</v>
      </c>
      <c r="B255">
        <v>2025</v>
      </c>
      <c r="C255">
        <v>6</v>
      </c>
      <c r="D255">
        <v>31</v>
      </c>
      <c r="E255">
        <v>5</v>
      </c>
      <c r="F255" t="str">
        <v>50DK730</v>
      </c>
      <c r="G255" s="61">
        <v>104.99999999999999</v>
      </c>
      <c r="H255" t="str">
        <v>hour</v>
      </c>
      <c r="I255">
        <v>0</v>
      </c>
      <c r="J255">
        <v>46</v>
      </c>
      <c r="K255" s="61">
        <v>5.5359999999999996</v>
      </c>
      <c r="L255" s="61">
        <v>581.27999999999986</v>
      </c>
      <c r="AA255">
        <v>50</v>
      </c>
      <c r="AB255">
        <v>4</v>
      </c>
      <c r="AC255" t="str">
        <v>61AB256</v>
      </c>
      <c r="AD255">
        <v>27</v>
      </c>
      <c r="AE255" t="str">
        <v>single</v>
      </c>
    </row>
    <row r="256" spans="1:31" hidden="1" x14ac:dyDescent="0.25">
      <c r="A256">
        <v>255</v>
      </c>
      <c r="B256">
        <v>2025</v>
      </c>
      <c r="C256">
        <v>6</v>
      </c>
      <c r="D256">
        <v>31</v>
      </c>
      <c r="E256">
        <v>5</v>
      </c>
      <c r="F256" t="str">
        <v>53BB774</v>
      </c>
      <c r="G256" s="61">
        <v>44.999999999999993</v>
      </c>
      <c r="H256" t="str">
        <v>hour</v>
      </c>
      <c r="I256">
        <v>0</v>
      </c>
      <c r="J256">
        <v>52</v>
      </c>
      <c r="K256" s="61">
        <v>0</v>
      </c>
      <c r="L256" s="61">
        <v>0</v>
      </c>
      <c r="AA256">
        <v>50</v>
      </c>
      <c r="AB256">
        <v>5</v>
      </c>
      <c r="AC256" t="str">
        <v>61AB256</v>
      </c>
      <c r="AD256">
        <v>28</v>
      </c>
      <c r="AE256" t="str">
        <v>single</v>
      </c>
    </row>
    <row r="257" spans="1:31" hidden="1" x14ac:dyDescent="0.25">
      <c r="A257">
        <v>256</v>
      </c>
      <c r="B257">
        <v>2025</v>
      </c>
      <c r="C257">
        <v>6</v>
      </c>
      <c r="D257">
        <v>31</v>
      </c>
      <c r="E257">
        <v>5</v>
      </c>
      <c r="F257" t="str">
        <v>55CB633</v>
      </c>
      <c r="G257" s="61">
        <v>35.999999999999986</v>
      </c>
      <c r="H257" t="str">
        <v>hour</v>
      </c>
      <c r="I257">
        <v>0</v>
      </c>
      <c r="J257">
        <v>56</v>
      </c>
      <c r="K257" s="61">
        <v>5.5359999999999996</v>
      </c>
      <c r="L257" s="61">
        <v>199.29599999999991</v>
      </c>
      <c r="AA257">
        <v>50</v>
      </c>
      <c r="AB257">
        <v>6</v>
      </c>
      <c r="AC257" t="str">
        <v>61AB256</v>
      </c>
      <c r="AD257">
        <v>28</v>
      </c>
      <c r="AE257" t="str">
        <v>single</v>
      </c>
    </row>
    <row r="258" spans="1:31" hidden="1" x14ac:dyDescent="0.25">
      <c r="A258">
        <v>257</v>
      </c>
      <c r="B258">
        <v>2025</v>
      </c>
      <c r="C258">
        <v>6</v>
      </c>
      <c r="D258">
        <v>31</v>
      </c>
      <c r="E258">
        <v>5</v>
      </c>
      <c r="F258" t="str">
        <v>90SL686</v>
      </c>
      <c r="G258" s="61">
        <v>89.499999999999986</v>
      </c>
      <c r="H258" t="str">
        <v>hour</v>
      </c>
      <c r="I258">
        <v>0</v>
      </c>
      <c r="J258">
        <v>20</v>
      </c>
      <c r="K258" s="61">
        <v>5.8929999999999998</v>
      </c>
      <c r="L258" s="61">
        <v>527.42349999999988</v>
      </c>
      <c r="AA258">
        <v>51</v>
      </c>
      <c r="AB258">
        <v>1</v>
      </c>
      <c r="AC258" t="str">
        <v>10BA194</v>
      </c>
      <c r="AD258">
        <v>16</v>
      </c>
      <c r="AE258" t="str">
        <v>single</v>
      </c>
    </row>
    <row r="259" spans="1:31" hidden="1" x14ac:dyDescent="0.25">
      <c r="A259">
        <v>258</v>
      </c>
      <c r="B259">
        <v>2025</v>
      </c>
      <c r="C259">
        <v>6</v>
      </c>
      <c r="D259">
        <v>31</v>
      </c>
      <c r="E259">
        <v>5</v>
      </c>
      <c r="F259" t="str">
        <v>90VS316</v>
      </c>
      <c r="G259" s="61">
        <v>48.999999999999957</v>
      </c>
      <c r="H259" t="str">
        <v>hour</v>
      </c>
      <c r="I259">
        <v>0</v>
      </c>
      <c r="J259">
        <v>86</v>
      </c>
      <c r="K259" s="61">
        <v>5.5359999999999996</v>
      </c>
      <c r="L259" s="61">
        <v>271.26399999999973</v>
      </c>
      <c r="AA259">
        <v>51</v>
      </c>
      <c r="AB259">
        <v>2</v>
      </c>
      <c r="AC259" t="str">
        <v>10BA857</v>
      </c>
      <c r="AD259">
        <v>13</v>
      </c>
      <c r="AE259" t="str">
        <v>single</v>
      </c>
    </row>
    <row r="260" spans="1:31" hidden="1" x14ac:dyDescent="0.25">
      <c r="A260">
        <v>259</v>
      </c>
      <c r="B260">
        <v>2025</v>
      </c>
      <c r="C260">
        <v>6</v>
      </c>
      <c r="D260">
        <v>31</v>
      </c>
      <c r="E260">
        <v>5</v>
      </c>
      <c r="F260" t="str">
        <v>99LM412</v>
      </c>
      <c r="G260" s="61">
        <v>39.999999999999943</v>
      </c>
      <c r="H260" t="str">
        <v>hour</v>
      </c>
      <c r="I260">
        <v>0</v>
      </c>
      <c r="J260">
        <v>115</v>
      </c>
      <c r="K260" s="61">
        <v>5.5357142857142856</v>
      </c>
      <c r="L260" s="61">
        <v>221.4285714285711</v>
      </c>
      <c r="AA260">
        <v>51</v>
      </c>
      <c r="AB260">
        <v>2</v>
      </c>
      <c r="AC260" t="str">
        <v>10BA857</v>
      </c>
      <c r="AD260">
        <v>25</v>
      </c>
      <c r="AE260" t="str">
        <v>single</v>
      </c>
    </row>
    <row r="261" spans="1:31" hidden="1" x14ac:dyDescent="0.25">
      <c r="A261">
        <v>260</v>
      </c>
      <c r="B261">
        <v>2025</v>
      </c>
      <c r="C261">
        <v>6</v>
      </c>
      <c r="D261">
        <v>31</v>
      </c>
      <c r="E261">
        <v>5</v>
      </c>
      <c r="F261" t="str">
        <v>99MN472</v>
      </c>
      <c r="G261" s="61">
        <v>67.999999999999957</v>
      </c>
      <c r="H261" t="str">
        <v>hour</v>
      </c>
      <c r="I261">
        <v>0</v>
      </c>
      <c r="J261">
        <v>107</v>
      </c>
      <c r="K261" s="61">
        <v>5.5359999999999996</v>
      </c>
      <c r="L261" s="61">
        <v>376.44799999999975</v>
      </c>
      <c r="AA261">
        <v>51</v>
      </c>
      <c r="AB261">
        <v>3</v>
      </c>
      <c r="AC261" t="str">
        <v>10BA857</v>
      </c>
      <c r="AD261">
        <v>31</v>
      </c>
      <c r="AE261" t="str">
        <v>single</v>
      </c>
    </row>
    <row r="262" spans="1:31" hidden="1" x14ac:dyDescent="0.25">
      <c r="A262">
        <v>261</v>
      </c>
      <c r="B262">
        <v>2025</v>
      </c>
      <c r="C262">
        <v>9</v>
      </c>
      <c r="D262">
        <v>46</v>
      </c>
      <c r="E262">
        <v>5</v>
      </c>
      <c r="F262" t="str">
        <v>110FY523</v>
      </c>
      <c r="G262" s="61">
        <v>27</v>
      </c>
      <c r="H262" t="str">
        <v>single</v>
      </c>
      <c r="I262">
        <v>0</v>
      </c>
      <c r="J262">
        <v>1</v>
      </c>
      <c r="K262" s="61">
        <v>214.28571428571428</v>
      </c>
      <c r="L262" s="61">
        <v>5785.7142857142853</v>
      </c>
      <c r="AA262">
        <v>51</v>
      </c>
      <c r="AB262">
        <v>4</v>
      </c>
      <c r="AC262" t="str">
        <v>10BA857</v>
      </c>
      <c r="AD262">
        <v>29</v>
      </c>
      <c r="AE262" t="str">
        <v>single</v>
      </c>
    </row>
    <row r="263" spans="1:31" hidden="1" x14ac:dyDescent="0.25">
      <c r="A263">
        <v>262</v>
      </c>
      <c r="B263">
        <v>2025</v>
      </c>
      <c r="C263">
        <v>9</v>
      </c>
      <c r="D263">
        <v>46</v>
      </c>
      <c r="E263">
        <v>5</v>
      </c>
      <c r="F263" t="str">
        <v>110FY524</v>
      </c>
      <c r="G263" s="61">
        <v>20</v>
      </c>
      <c r="H263" t="str">
        <v>single</v>
      </c>
      <c r="I263">
        <v>0</v>
      </c>
      <c r="J263">
        <v>7</v>
      </c>
      <c r="K263" s="61">
        <v>214.28571428571428</v>
      </c>
      <c r="L263" s="61">
        <v>4285.7142857142853</v>
      </c>
      <c r="AA263">
        <v>52</v>
      </c>
      <c r="AB263">
        <v>1</v>
      </c>
      <c r="AC263" t="str">
        <v>10AC750</v>
      </c>
      <c r="AD263">
        <v>16</v>
      </c>
      <c r="AE263" t="str">
        <v>single</v>
      </c>
    </row>
    <row r="264" spans="1:31" hidden="1" x14ac:dyDescent="0.25">
      <c r="A264">
        <v>263</v>
      </c>
      <c r="B264">
        <v>2025</v>
      </c>
      <c r="C264">
        <v>9</v>
      </c>
      <c r="D264">
        <v>46</v>
      </c>
      <c r="E264">
        <v>5</v>
      </c>
      <c r="F264" t="str">
        <v>10AD801</v>
      </c>
      <c r="G264" s="61">
        <v>8</v>
      </c>
      <c r="H264" t="str">
        <v>single</v>
      </c>
      <c r="I264">
        <v>0</v>
      </c>
      <c r="J264">
        <v>4</v>
      </c>
      <c r="K264" s="61">
        <v>446.42857142857144</v>
      </c>
      <c r="L264" s="61">
        <v>3571.4285714285716</v>
      </c>
      <c r="AA264">
        <v>52</v>
      </c>
      <c r="AB264">
        <v>2</v>
      </c>
      <c r="AC264" t="str">
        <v>10AC750</v>
      </c>
      <c r="AD264">
        <v>30</v>
      </c>
      <c r="AE264" t="str">
        <v>single</v>
      </c>
    </row>
    <row r="265" spans="1:31" hidden="1" x14ac:dyDescent="0.25">
      <c r="A265">
        <v>264</v>
      </c>
      <c r="B265">
        <v>2025</v>
      </c>
      <c r="C265">
        <v>9</v>
      </c>
      <c r="D265">
        <v>46</v>
      </c>
      <c r="E265">
        <v>5</v>
      </c>
      <c r="F265" t="str">
        <v>10AB468</v>
      </c>
      <c r="G265" s="61">
        <v>6</v>
      </c>
      <c r="H265" t="str">
        <v>single</v>
      </c>
      <c r="I265">
        <v>0</v>
      </c>
      <c r="J265">
        <v>10</v>
      </c>
      <c r="K265" s="61">
        <v>185.71430000000001</v>
      </c>
      <c r="L265" s="61">
        <v>1114.2858000000001</v>
      </c>
      <c r="AA265">
        <v>52</v>
      </c>
      <c r="AB265">
        <v>2</v>
      </c>
      <c r="AC265" t="str">
        <v>10BC326</v>
      </c>
      <c r="AD265">
        <v>11</v>
      </c>
      <c r="AE265" t="str">
        <v>single</v>
      </c>
    </row>
    <row r="266" spans="1:31" hidden="1" x14ac:dyDescent="0.25">
      <c r="A266">
        <v>265</v>
      </c>
      <c r="B266">
        <v>2025</v>
      </c>
      <c r="C266">
        <v>9</v>
      </c>
      <c r="D266">
        <v>46</v>
      </c>
      <c r="E266">
        <v>5</v>
      </c>
      <c r="F266" t="str">
        <v>110FY524</v>
      </c>
      <c r="G266" s="61">
        <v>7</v>
      </c>
      <c r="H266" t="str">
        <v>double</v>
      </c>
      <c r="I266">
        <v>0</v>
      </c>
      <c r="J266">
        <v>8</v>
      </c>
      <c r="K266" s="61">
        <v>385.71444000000002</v>
      </c>
      <c r="L266" s="61">
        <v>2700.00108</v>
      </c>
      <c r="AA266">
        <v>52</v>
      </c>
      <c r="AB266">
        <v>3</v>
      </c>
      <c r="AC266" t="str">
        <v>10AC750</v>
      </c>
      <c r="AD266">
        <v>18.5</v>
      </c>
      <c r="AE266" t="str">
        <v>single</v>
      </c>
    </row>
    <row r="267" spans="1:31" hidden="1" x14ac:dyDescent="0.25">
      <c r="A267">
        <v>266</v>
      </c>
      <c r="B267">
        <v>2025</v>
      </c>
      <c r="C267">
        <v>10</v>
      </c>
      <c r="D267">
        <v>50</v>
      </c>
      <c r="E267">
        <v>5</v>
      </c>
      <c r="F267" t="str">
        <v>61AB256</v>
      </c>
      <c r="G267" s="61">
        <v>28</v>
      </c>
      <c r="H267" t="str">
        <v>single</v>
      </c>
      <c r="I267">
        <v>0</v>
      </c>
      <c r="J267">
        <v>1</v>
      </c>
      <c r="K267" s="61">
        <v>357.14285714285717</v>
      </c>
      <c r="L267" s="61">
        <v>10000</v>
      </c>
      <c r="AA267">
        <v>52</v>
      </c>
      <c r="AB267">
        <v>3</v>
      </c>
      <c r="AC267" t="str">
        <v>10BC326</v>
      </c>
      <c r="AD267">
        <v>27</v>
      </c>
      <c r="AE267" t="str">
        <v>single</v>
      </c>
    </row>
    <row r="268" spans="1:31" hidden="1" x14ac:dyDescent="0.25">
      <c r="A268">
        <v>267</v>
      </c>
      <c r="B268">
        <v>2025</v>
      </c>
      <c r="C268">
        <v>12</v>
      </c>
      <c r="D268">
        <v>51</v>
      </c>
      <c r="E268">
        <v>5</v>
      </c>
      <c r="F268" t="str">
        <v>10AD015</v>
      </c>
      <c r="G268" s="61">
        <v>18</v>
      </c>
      <c r="H268" t="str">
        <v>single</v>
      </c>
      <c r="I268">
        <v>0</v>
      </c>
      <c r="J268">
        <v>7</v>
      </c>
      <c r="K268" s="61">
        <v>171.42857142857142</v>
      </c>
      <c r="L268" s="61">
        <v>3085.7142857142853</v>
      </c>
      <c r="AA268">
        <v>52</v>
      </c>
      <c r="AB268">
        <v>4</v>
      </c>
      <c r="AC268" t="str">
        <v>10AC750</v>
      </c>
      <c r="AD268">
        <v>29</v>
      </c>
      <c r="AE268" t="str">
        <v>single</v>
      </c>
    </row>
    <row r="269" spans="1:31" hidden="1" x14ac:dyDescent="0.25">
      <c r="A269">
        <v>268</v>
      </c>
      <c r="B269">
        <v>2025</v>
      </c>
      <c r="C269">
        <v>12</v>
      </c>
      <c r="D269">
        <v>51</v>
      </c>
      <c r="E269">
        <v>5</v>
      </c>
      <c r="F269" t="str">
        <v>10AD071</v>
      </c>
      <c r="G269" s="61">
        <v>30</v>
      </c>
      <c r="H269" t="str">
        <v>single</v>
      </c>
      <c r="I269">
        <v>0</v>
      </c>
      <c r="J269">
        <v>5</v>
      </c>
      <c r="K269" s="61">
        <v>235.71</v>
      </c>
      <c r="L269" s="61">
        <v>7071.3</v>
      </c>
      <c r="AA269">
        <v>65</v>
      </c>
      <c r="AB269">
        <v>1</v>
      </c>
      <c r="AC269" t="str">
        <v>01BA176</v>
      </c>
      <c r="AD269">
        <v>25</v>
      </c>
      <c r="AE269" t="str">
        <v>single</v>
      </c>
    </row>
    <row r="270" spans="1:31" hidden="1" x14ac:dyDescent="0.25">
      <c r="A270">
        <v>269</v>
      </c>
      <c r="B270">
        <v>2025</v>
      </c>
      <c r="C270">
        <v>12</v>
      </c>
      <c r="D270">
        <v>51</v>
      </c>
      <c r="E270">
        <v>5</v>
      </c>
      <c r="F270" t="str">
        <v>10AD071</v>
      </c>
      <c r="G270" s="61">
        <v>62.999999999999972</v>
      </c>
      <c r="H270" t="str">
        <v>hour</v>
      </c>
      <c r="I270">
        <v>0</v>
      </c>
      <c r="J270">
        <v>6</v>
      </c>
      <c r="K270" s="61">
        <v>26.071000000000002</v>
      </c>
      <c r="L270" s="61">
        <v>1642.4729999999993</v>
      </c>
      <c r="AA270">
        <v>65</v>
      </c>
      <c r="AB270">
        <v>1</v>
      </c>
      <c r="AC270" t="str">
        <v>10BD252</v>
      </c>
      <c r="AD270">
        <v>22</v>
      </c>
      <c r="AE270" t="str">
        <v>single</v>
      </c>
    </row>
    <row r="271" spans="1:31" hidden="1" x14ac:dyDescent="0.25">
      <c r="A271">
        <v>270</v>
      </c>
      <c r="B271">
        <v>2025</v>
      </c>
      <c r="C271">
        <v>9</v>
      </c>
      <c r="D271">
        <v>65</v>
      </c>
      <c r="E271">
        <v>5</v>
      </c>
      <c r="F271" t="str">
        <v>01BA176</v>
      </c>
      <c r="G271" s="61">
        <v>27</v>
      </c>
      <c r="H271" t="str">
        <v>single</v>
      </c>
      <c r="I271">
        <v>0</v>
      </c>
      <c r="J271">
        <v>1</v>
      </c>
      <c r="K271" s="61">
        <v>196.42857142857142</v>
      </c>
      <c r="L271" s="61">
        <v>5303.5714285714284</v>
      </c>
      <c r="AA271">
        <v>65</v>
      </c>
      <c r="AB271">
        <v>2</v>
      </c>
      <c r="AC271" t="str">
        <v>01BA176</v>
      </c>
      <c r="AD271">
        <v>23.5</v>
      </c>
      <c r="AE271" t="str">
        <v>single</v>
      </c>
    </row>
    <row r="272" spans="1:31" hidden="1" x14ac:dyDescent="0.25">
      <c r="A272">
        <v>271</v>
      </c>
      <c r="B272">
        <v>2025</v>
      </c>
      <c r="C272">
        <v>9</v>
      </c>
      <c r="D272">
        <v>65</v>
      </c>
      <c r="E272">
        <v>5</v>
      </c>
      <c r="F272" t="str">
        <v>10BD252</v>
      </c>
      <c r="G272" s="61">
        <v>28</v>
      </c>
      <c r="H272" t="str">
        <v>single</v>
      </c>
      <c r="I272">
        <v>0</v>
      </c>
      <c r="J272">
        <v>2</v>
      </c>
      <c r="K272" s="61">
        <v>160.71</v>
      </c>
      <c r="L272" s="61">
        <v>4499.88</v>
      </c>
      <c r="AA272">
        <v>65</v>
      </c>
      <c r="AB272">
        <v>2</v>
      </c>
      <c r="AC272" t="str">
        <v>10BD252</v>
      </c>
      <c r="AD272">
        <v>27</v>
      </c>
      <c r="AE272" t="str">
        <v>single</v>
      </c>
    </row>
    <row r="273" spans="1:31" hidden="1" x14ac:dyDescent="0.25">
      <c r="A273">
        <v>272</v>
      </c>
      <c r="B273">
        <v>2025</v>
      </c>
      <c r="C273">
        <v>10</v>
      </c>
      <c r="D273">
        <v>85</v>
      </c>
      <c r="E273">
        <v>5</v>
      </c>
      <c r="F273" t="str">
        <v>77SN951</v>
      </c>
      <c r="G273" s="61">
        <v>29</v>
      </c>
      <c r="H273" t="str">
        <v>single</v>
      </c>
      <c r="I273">
        <v>0</v>
      </c>
      <c r="J273">
        <v>1</v>
      </c>
      <c r="K273" s="61">
        <v>446.43</v>
      </c>
      <c r="L273" s="61">
        <v>12946.47</v>
      </c>
      <c r="AA273">
        <v>65</v>
      </c>
      <c r="AB273">
        <v>3</v>
      </c>
      <c r="AC273" t="str">
        <v>01BA176</v>
      </c>
      <c r="AD273">
        <v>29</v>
      </c>
      <c r="AE273" t="str">
        <v>single</v>
      </c>
    </row>
    <row r="274" spans="1:31" hidden="1" x14ac:dyDescent="0.25">
      <c r="A274">
        <v>273</v>
      </c>
      <c r="B274">
        <v>2025</v>
      </c>
      <c r="C274">
        <v>10</v>
      </c>
      <c r="D274">
        <v>85</v>
      </c>
      <c r="E274">
        <v>5</v>
      </c>
      <c r="F274" t="str">
        <v>77SN951</v>
      </c>
      <c r="G274" s="61">
        <v>6</v>
      </c>
      <c r="H274" t="str">
        <v>hour</v>
      </c>
      <c r="I274">
        <v>0</v>
      </c>
      <c r="J274">
        <v>2</v>
      </c>
      <c r="K274" s="61">
        <v>44.643000000000001</v>
      </c>
      <c r="L274" s="61">
        <v>267.858</v>
      </c>
      <c r="AA274">
        <v>65</v>
      </c>
      <c r="AB274">
        <v>3</v>
      </c>
      <c r="AC274" t="str">
        <v>10BD252</v>
      </c>
      <c r="AD274">
        <v>18</v>
      </c>
      <c r="AE274" t="str">
        <v>single</v>
      </c>
    </row>
    <row r="275" spans="1:31" hidden="1" x14ac:dyDescent="0.25">
      <c r="A275">
        <v>274</v>
      </c>
      <c r="B275">
        <v>2025</v>
      </c>
      <c r="C275">
        <v>9</v>
      </c>
      <c r="D275">
        <v>94</v>
      </c>
      <c r="E275">
        <v>5</v>
      </c>
      <c r="F275" t="str">
        <v>01BT754</v>
      </c>
      <c r="G275" s="61">
        <v>31</v>
      </c>
      <c r="H275" t="str">
        <v>single</v>
      </c>
      <c r="I275">
        <v>0</v>
      </c>
      <c r="J275">
        <v>3</v>
      </c>
      <c r="K275" s="61">
        <v>125</v>
      </c>
      <c r="L275" s="61">
        <v>3875</v>
      </c>
      <c r="AA275">
        <v>65</v>
      </c>
      <c r="AB275">
        <v>4</v>
      </c>
      <c r="AC275" t="str">
        <v>01BA176</v>
      </c>
      <c r="AD275">
        <v>27</v>
      </c>
      <c r="AE275" t="str">
        <v>single</v>
      </c>
    </row>
    <row r="276" spans="1:31" hidden="1" x14ac:dyDescent="0.25">
      <c r="A276">
        <v>275</v>
      </c>
      <c r="B276">
        <v>2025</v>
      </c>
      <c r="C276">
        <v>11</v>
      </c>
      <c r="D276">
        <v>95</v>
      </c>
      <c r="E276">
        <v>5</v>
      </c>
      <c r="F276" t="str">
        <v>54BA209</v>
      </c>
      <c r="G276" s="61">
        <v>22</v>
      </c>
      <c r="H276" t="str">
        <v>single</v>
      </c>
      <c r="I276">
        <v>0</v>
      </c>
      <c r="J276">
        <v>1</v>
      </c>
      <c r="K276" s="61">
        <v>285.70999999999998</v>
      </c>
      <c r="L276" s="61">
        <v>6285.62</v>
      </c>
      <c r="AA276">
        <v>65</v>
      </c>
      <c r="AB276">
        <v>4</v>
      </c>
      <c r="AC276" t="str">
        <v>10BD252</v>
      </c>
      <c r="AD276">
        <v>24.5</v>
      </c>
      <c r="AE276" t="str">
        <v>single</v>
      </c>
    </row>
    <row r="277" spans="1:31" hidden="1" x14ac:dyDescent="0.25">
      <c r="A277">
        <v>276</v>
      </c>
      <c r="B277">
        <v>2025</v>
      </c>
      <c r="C277">
        <v>11</v>
      </c>
      <c r="D277">
        <v>98</v>
      </c>
      <c r="E277">
        <v>5</v>
      </c>
      <c r="F277" t="str">
        <v>50BD416</v>
      </c>
      <c r="G277" s="61">
        <v>27</v>
      </c>
      <c r="H277" t="str">
        <v>single</v>
      </c>
      <c r="I277">
        <v>0</v>
      </c>
      <c r="J277">
        <v>1</v>
      </c>
      <c r="K277" s="61">
        <v>107.14</v>
      </c>
      <c r="L277" s="61">
        <v>2892.78</v>
      </c>
      <c r="AA277">
        <v>65</v>
      </c>
      <c r="AB277">
        <v>5</v>
      </c>
      <c r="AC277" t="str">
        <v>01BA176</v>
      </c>
      <c r="AD277">
        <v>27</v>
      </c>
      <c r="AE277" t="str">
        <v>single</v>
      </c>
    </row>
    <row r="278" spans="1:31" hidden="1" x14ac:dyDescent="0.25">
      <c r="A278">
        <v>277</v>
      </c>
      <c r="B278">
        <v>2025</v>
      </c>
      <c r="C278">
        <v>11</v>
      </c>
      <c r="D278">
        <v>98</v>
      </c>
      <c r="E278">
        <v>5</v>
      </c>
      <c r="F278" t="str">
        <v>50BD416</v>
      </c>
      <c r="G278" s="61">
        <v>7.9999999999999911</v>
      </c>
      <c r="H278" t="str">
        <v>hour</v>
      </c>
      <c r="I278">
        <v>0</v>
      </c>
      <c r="J278">
        <v>2</v>
      </c>
      <c r="K278" s="61">
        <v>10.714</v>
      </c>
      <c r="L278" s="61">
        <v>85.711999999999904</v>
      </c>
      <c r="AA278">
        <v>65</v>
      </c>
      <c r="AB278">
        <v>5</v>
      </c>
      <c r="AC278" t="str">
        <v>10BD252</v>
      </c>
      <c r="AD278">
        <v>28</v>
      </c>
      <c r="AE278" t="str">
        <v>single</v>
      </c>
    </row>
    <row r="279" spans="1:31" hidden="1" x14ac:dyDescent="0.25">
      <c r="A279">
        <v>278</v>
      </c>
      <c r="B279">
        <v>2025</v>
      </c>
      <c r="C279">
        <v>11</v>
      </c>
      <c r="D279">
        <v>100</v>
      </c>
      <c r="E279">
        <v>5</v>
      </c>
      <c r="F279" t="str">
        <v>22AB273</v>
      </c>
      <c r="G279" s="61">
        <v>28</v>
      </c>
      <c r="H279" t="str">
        <v>single</v>
      </c>
      <c r="I279">
        <v>0</v>
      </c>
      <c r="J279">
        <v>1</v>
      </c>
      <c r="K279" s="61">
        <v>196.42857142857142</v>
      </c>
      <c r="L279" s="61">
        <v>5500</v>
      </c>
      <c r="AA279">
        <v>65</v>
      </c>
      <c r="AB279">
        <v>6</v>
      </c>
      <c r="AC279" t="str">
        <v>01BA176</v>
      </c>
      <c r="AD279">
        <v>14</v>
      </c>
      <c r="AE279" t="str">
        <v>single</v>
      </c>
    </row>
    <row r="280" spans="1:31" hidden="1" x14ac:dyDescent="0.25">
      <c r="A280">
        <v>279</v>
      </c>
      <c r="B280">
        <v>2025</v>
      </c>
      <c r="C280">
        <v>12</v>
      </c>
      <c r="D280">
        <v>102</v>
      </c>
      <c r="E280">
        <v>5</v>
      </c>
      <c r="F280" t="str">
        <v>54BM823</v>
      </c>
      <c r="G280" s="61">
        <v>26</v>
      </c>
      <c r="H280" t="str">
        <v>single</v>
      </c>
      <c r="I280">
        <v>0</v>
      </c>
      <c r="J280">
        <v>5</v>
      </c>
      <c r="K280" s="61">
        <v>125</v>
      </c>
      <c r="L280" s="61">
        <v>3250</v>
      </c>
      <c r="AA280">
        <v>65</v>
      </c>
      <c r="AB280">
        <v>6</v>
      </c>
      <c r="AC280" t="str">
        <v>10BD252</v>
      </c>
      <c r="AD280">
        <v>29</v>
      </c>
      <c r="AE280" t="str">
        <v>single</v>
      </c>
    </row>
    <row r="281" spans="1:31" hidden="1" x14ac:dyDescent="0.25">
      <c r="A281">
        <v>280</v>
      </c>
      <c r="B281">
        <v>2025</v>
      </c>
      <c r="C281">
        <v>12</v>
      </c>
      <c r="D281">
        <v>102</v>
      </c>
      <c r="E281">
        <v>5</v>
      </c>
      <c r="F281" t="str">
        <v>01BT754</v>
      </c>
      <c r="G281" s="61">
        <v>30</v>
      </c>
      <c r="H281" t="str">
        <v>single</v>
      </c>
      <c r="I281">
        <v>0</v>
      </c>
      <c r="J281">
        <v>6</v>
      </c>
      <c r="K281" s="61">
        <v>125</v>
      </c>
      <c r="L281" s="61">
        <v>3750</v>
      </c>
      <c r="AA281">
        <v>65</v>
      </c>
      <c r="AB281">
        <v>7</v>
      </c>
      <c r="AC281" t="str">
        <v>01BA176</v>
      </c>
      <c r="AD281">
        <v>27</v>
      </c>
      <c r="AE281" t="str">
        <v>single</v>
      </c>
    </row>
    <row r="282" spans="1:31" hidden="1" x14ac:dyDescent="0.25">
      <c r="A282">
        <v>281</v>
      </c>
      <c r="B282">
        <v>2025</v>
      </c>
      <c r="C282">
        <v>12</v>
      </c>
      <c r="D282">
        <v>102</v>
      </c>
      <c r="E282">
        <v>5</v>
      </c>
      <c r="F282" t="str">
        <v>10MF640</v>
      </c>
      <c r="G282" s="61">
        <v>30</v>
      </c>
      <c r="H282" t="str">
        <v>single</v>
      </c>
      <c r="I282">
        <v>0</v>
      </c>
      <c r="J282">
        <v>3</v>
      </c>
      <c r="K282" s="61">
        <v>125</v>
      </c>
      <c r="L282" s="61">
        <v>3750</v>
      </c>
      <c r="AA282">
        <v>65</v>
      </c>
      <c r="AB282">
        <v>7</v>
      </c>
      <c r="AC282" t="str">
        <v>10BD252</v>
      </c>
      <c r="AD282">
        <v>28</v>
      </c>
      <c r="AE282" t="str">
        <v>single</v>
      </c>
    </row>
    <row r="283" spans="1:31" hidden="1" x14ac:dyDescent="0.25">
      <c r="A283">
        <v>282</v>
      </c>
      <c r="B283">
        <v>2025</v>
      </c>
      <c r="C283">
        <v>12</v>
      </c>
      <c r="D283">
        <v>102</v>
      </c>
      <c r="E283">
        <v>5</v>
      </c>
      <c r="F283" t="str">
        <v>10MF640</v>
      </c>
      <c r="G283" s="61">
        <v>35</v>
      </c>
      <c r="H283" t="str">
        <v>hour</v>
      </c>
      <c r="I283">
        <v>0</v>
      </c>
      <c r="J283">
        <v>4</v>
      </c>
      <c r="K283" s="61">
        <v>12.5</v>
      </c>
      <c r="L283" s="61">
        <v>437.5</v>
      </c>
      <c r="AA283">
        <v>85</v>
      </c>
      <c r="AB283">
        <v>1</v>
      </c>
      <c r="AC283" t="str">
        <v>77SN951</v>
      </c>
      <c r="AD283">
        <v>15</v>
      </c>
      <c r="AE283" t="str">
        <v>single</v>
      </c>
    </row>
    <row r="284" spans="1:31" hidden="1" x14ac:dyDescent="0.25">
      <c r="A284">
        <v>283</v>
      </c>
      <c r="B284">
        <v>2025</v>
      </c>
      <c r="C284">
        <v>12</v>
      </c>
      <c r="D284">
        <v>110</v>
      </c>
      <c r="E284">
        <v>5</v>
      </c>
      <c r="F284" t="str">
        <v>99XC106</v>
      </c>
      <c r="G284" s="61">
        <v>25</v>
      </c>
      <c r="H284" t="str">
        <v>single</v>
      </c>
      <c r="I284">
        <v>0</v>
      </c>
      <c r="J284">
        <v>1</v>
      </c>
      <c r="K284" s="61">
        <v>221.42857142857142</v>
      </c>
      <c r="L284" s="61">
        <v>5535.7142857142853</v>
      </c>
      <c r="AA284">
        <v>85</v>
      </c>
      <c r="AB284">
        <v>2</v>
      </c>
      <c r="AC284" t="str">
        <v>77SN951</v>
      </c>
      <c r="AD284">
        <v>29</v>
      </c>
      <c r="AE284" t="str">
        <v>single</v>
      </c>
    </row>
    <row r="285" spans="1:31" hidden="1" x14ac:dyDescent="0.25">
      <c r="A285">
        <v>284</v>
      </c>
      <c r="B285">
        <v>2026</v>
      </c>
      <c r="C285">
        <v>2</v>
      </c>
      <c r="D285">
        <v>121</v>
      </c>
      <c r="E285">
        <v>5</v>
      </c>
      <c r="F285" t="str">
        <v>11BC843</v>
      </c>
      <c r="G285" s="61">
        <v>30</v>
      </c>
      <c r="H285" t="str">
        <v>single</v>
      </c>
      <c r="I285">
        <v>0</v>
      </c>
      <c r="J285">
        <v>1</v>
      </c>
      <c r="K285" s="61">
        <v>128.57</v>
      </c>
      <c r="L285" s="61">
        <v>3857.1</v>
      </c>
      <c r="AA285">
        <v>85</v>
      </c>
      <c r="AB285">
        <v>3</v>
      </c>
      <c r="AC285" t="str">
        <v>77SN951</v>
      </c>
      <c r="AD285">
        <v>29</v>
      </c>
      <c r="AE285" t="str">
        <v>single</v>
      </c>
    </row>
    <row r="286" spans="1:31" hidden="1" x14ac:dyDescent="0.25">
      <c r="A286">
        <v>285</v>
      </c>
      <c r="B286">
        <v>2026</v>
      </c>
      <c r="C286">
        <v>3</v>
      </c>
      <c r="D286">
        <v>141</v>
      </c>
      <c r="E286">
        <v>5</v>
      </c>
      <c r="F286" t="str">
        <v>10V288</v>
      </c>
      <c r="G286" s="61">
        <v>27</v>
      </c>
      <c r="H286" t="str">
        <v>single</v>
      </c>
      <c r="I286">
        <v>0</v>
      </c>
      <c r="J286">
        <v>1</v>
      </c>
      <c r="K286" s="61">
        <v>214.28571428571428</v>
      </c>
      <c r="L286" s="61">
        <v>5785.7142857142853</v>
      </c>
      <c r="AA286">
        <v>85</v>
      </c>
      <c r="AB286">
        <v>4</v>
      </c>
      <c r="AC286" t="str">
        <v>77SN951</v>
      </c>
      <c r="AD286">
        <v>28</v>
      </c>
      <c r="AE286" t="str">
        <v>single</v>
      </c>
    </row>
    <row r="287" spans="1:31" hidden="1" x14ac:dyDescent="0.25">
      <c r="A287">
        <v>286</v>
      </c>
      <c r="B287">
        <v>2026</v>
      </c>
      <c r="C287">
        <v>3</v>
      </c>
      <c r="D287">
        <v>141</v>
      </c>
      <c r="E287">
        <v>5</v>
      </c>
      <c r="F287" t="str">
        <v>10V288</v>
      </c>
      <c r="G287" s="61">
        <v>29</v>
      </c>
      <c r="H287" t="str">
        <v>hour</v>
      </c>
      <c r="I287">
        <v>0</v>
      </c>
      <c r="J287">
        <v>2</v>
      </c>
      <c r="K287" s="61">
        <v>21.428571428571427</v>
      </c>
      <c r="L287" s="61">
        <v>621.42857142857133</v>
      </c>
      <c r="AA287">
        <v>85</v>
      </c>
      <c r="AB287">
        <v>5</v>
      </c>
      <c r="AC287" t="str">
        <v>77SN951</v>
      </c>
      <c r="AD287">
        <v>29</v>
      </c>
      <c r="AE287" t="str">
        <v>single</v>
      </c>
    </row>
    <row r="288" spans="1:31" hidden="1" x14ac:dyDescent="0.25">
      <c r="A288">
        <v>287</v>
      </c>
      <c r="B288">
        <v>2025</v>
      </c>
      <c r="C288">
        <v>7</v>
      </c>
      <c r="D288">
        <v>31</v>
      </c>
      <c r="E288">
        <v>6</v>
      </c>
      <c r="F288" t="str">
        <v>01CC689</v>
      </c>
      <c r="G288" s="61">
        <v>31</v>
      </c>
      <c r="H288" t="str">
        <v>single</v>
      </c>
      <c r="I288">
        <v>0</v>
      </c>
      <c r="J288">
        <v>26</v>
      </c>
      <c r="K288" s="61">
        <v>55.36</v>
      </c>
      <c r="L288" s="61">
        <v>1716.16</v>
      </c>
      <c r="AA288">
        <v>85</v>
      </c>
      <c r="AB288">
        <v>6</v>
      </c>
      <c r="AC288" t="str">
        <v>77SN951</v>
      </c>
      <c r="AD288">
        <v>29</v>
      </c>
      <c r="AE288" t="str">
        <v>single</v>
      </c>
    </row>
    <row r="289" spans="1:31" hidden="1" x14ac:dyDescent="0.25">
      <c r="A289">
        <v>288</v>
      </c>
      <c r="B289">
        <v>2025</v>
      </c>
      <c r="C289">
        <v>7</v>
      </c>
      <c r="D289">
        <v>31</v>
      </c>
      <c r="E289">
        <v>6</v>
      </c>
      <c r="F289" t="str">
        <v>50BD165</v>
      </c>
      <c r="G289" s="61">
        <v>30</v>
      </c>
      <c r="H289" t="str">
        <v>single</v>
      </c>
      <c r="I289">
        <v>0</v>
      </c>
      <c r="J289">
        <v>41</v>
      </c>
      <c r="K289" s="61">
        <v>55.36</v>
      </c>
      <c r="L289" s="61">
        <v>1660.8</v>
      </c>
      <c r="AA289">
        <v>94</v>
      </c>
      <c r="AB289">
        <v>1</v>
      </c>
      <c r="AC289" t="str">
        <v>54BM823</v>
      </c>
      <c r="AD289">
        <v>28</v>
      </c>
      <c r="AE289" t="str">
        <v>single</v>
      </c>
    </row>
    <row r="290" spans="1:31" hidden="1" x14ac:dyDescent="0.25">
      <c r="A290">
        <v>289</v>
      </c>
      <c r="B290">
        <v>2025</v>
      </c>
      <c r="C290">
        <v>7</v>
      </c>
      <c r="D290">
        <v>31</v>
      </c>
      <c r="E290">
        <v>6</v>
      </c>
      <c r="F290" t="str">
        <v>50BN724</v>
      </c>
      <c r="G290" s="61">
        <v>16</v>
      </c>
      <c r="H290" t="str">
        <v>single</v>
      </c>
      <c r="I290">
        <v>0</v>
      </c>
      <c r="J290">
        <v>43</v>
      </c>
      <c r="K290" s="61">
        <v>66.069999999999993</v>
      </c>
      <c r="L290" s="61">
        <v>1057.1199999999999</v>
      </c>
      <c r="AA290">
        <v>94</v>
      </c>
      <c r="AB290">
        <v>2</v>
      </c>
      <c r="AC290" t="str">
        <v>54BM823</v>
      </c>
      <c r="AD290">
        <v>31</v>
      </c>
      <c r="AE290" t="str">
        <v>single</v>
      </c>
    </row>
    <row r="291" spans="1:31" hidden="1" x14ac:dyDescent="0.25">
      <c r="A291">
        <v>290</v>
      </c>
      <c r="B291">
        <v>2025</v>
      </c>
      <c r="C291">
        <v>7</v>
      </c>
      <c r="D291">
        <v>31</v>
      </c>
      <c r="E291">
        <v>6</v>
      </c>
      <c r="F291" t="str">
        <v>50DK730</v>
      </c>
      <c r="G291" s="61">
        <v>31</v>
      </c>
      <c r="H291" t="str">
        <v>single</v>
      </c>
      <c r="I291">
        <v>0</v>
      </c>
      <c r="J291">
        <v>47</v>
      </c>
      <c r="K291" s="61">
        <v>55.36</v>
      </c>
      <c r="L291" s="61">
        <v>1716.16</v>
      </c>
      <c r="AA291">
        <v>94</v>
      </c>
      <c r="AB291">
        <v>2</v>
      </c>
      <c r="AC291" t="str">
        <v>54BM823</v>
      </c>
      <c r="AD291">
        <v>14</v>
      </c>
      <c r="AE291" t="str">
        <v>single</v>
      </c>
    </row>
    <row r="292" spans="1:31" hidden="1" x14ac:dyDescent="0.25">
      <c r="A292">
        <v>291</v>
      </c>
      <c r="B292">
        <v>2025</v>
      </c>
      <c r="C292">
        <v>7</v>
      </c>
      <c r="D292">
        <v>31</v>
      </c>
      <c r="E292">
        <v>6</v>
      </c>
      <c r="F292" t="str">
        <v>53BB774</v>
      </c>
      <c r="G292" s="61">
        <v>30</v>
      </c>
      <c r="H292" t="str">
        <v>single</v>
      </c>
      <c r="I292">
        <v>0</v>
      </c>
      <c r="J292">
        <v>53</v>
      </c>
      <c r="K292" s="61">
        <v>55.36</v>
      </c>
      <c r="L292" s="61">
        <v>1660.8</v>
      </c>
      <c r="AA292">
        <v>94</v>
      </c>
      <c r="AB292">
        <v>3</v>
      </c>
      <c r="AC292" t="str">
        <v>54BM823</v>
      </c>
      <c r="AD292">
        <v>31</v>
      </c>
      <c r="AE292" t="str">
        <v>single</v>
      </c>
    </row>
    <row r="293" spans="1:31" hidden="1" x14ac:dyDescent="0.25">
      <c r="A293">
        <v>292</v>
      </c>
      <c r="B293">
        <v>2025</v>
      </c>
      <c r="C293">
        <v>7</v>
      </c>
      <c r="D293">
        <v>31</v>
      </c>
      <c r="E293">
        <v>6</v>
      </c>
      <c r="F293" t="str">
        <v>55CB633</v>
      </c>
      <c r="G293" s="61">
        <v>30</v>
      </c>
      <c r="H293" t="str">
        <v>single</v>
      </c>
      <c r="I293">
        <v>0</v>
      </c>
      <c r="J293">
        <v>57</v>
      </c>
      <c r="K293" s="61">
        <v>55.36</v>
      </c>
      <c r="L293" s="61">
        <v>1660.8</v>
      </c>
      <c r="AA293">
        <v>94</v>
      </c>
      <c r="AB293">
        <v>3</v>
      </c>
      <c r="AC293" t="str">
        <v>01BT754</v>
      </c>
      <c r="AD293">
        <v>31</v>
      </c>
      <c r="AE293" t="str">
        <v>single</v>
      </c>
    </row>
    <row r="294" spans="1:31" hidden="1" x14ac:dyDescent="0.25">
      <c r="A294">
        <v>293</v>
      </c>
      <c r="B294">
        <v>2025</v>
      </c>
      <c r="C294">
        <v>7</v>
      </c>
      <c r="D294">
        <v>31</v>
      </c>
      <c r="E294">
        <v>6</v>
      </c>
      <c r="F294" t="str">
        <v>77AT386</v>
      </c>
      <c r="G294" s="61">
        <v>30</v>
      </c>
      <c r="H294" t="str">
        <v>single</v>
      </c>
      <c r="I294">
        <v>0</v>
      </c>
      <c r="J294">
        <v>13</v>
      </c>
      <c r="K294" s="61">
        <v>46.67</v>
      </c>
      <c r="L294" s="61">
        <v>1400.1000000000001</v>
      </c>
      <c r="AA294">
        <v>94</v>
      </c>
      <c r="AB294">
        <v>3</v>
      </c>
      <c r="AC294" t="str">
        <v>10MF640</v>
      </c>
      <c r="AD294">
        <v>22</v>
      </c>
      <c r="AE294" t="str">
        <v>single</v>
      </c>
    </row>
    <row r="295" spans="1:31" hidden="1" x14ac:dyDescent="0.25">
      <c r="A295">
        <v>294</v>
      </c>
      <c r="B295">
        <v>2025</v>
      </c>
      <c r="C295">
        <v>7</v>
      </c>
      <c r="D295">
        <v>31</v>
      </c>
      <c r="E295">
        <v>6</v>
      </c>
      <c r="F295" t="str">
        <v>77QE133</v>
      </c>
      <c r="G295" s="61">
        <v>30</v>
      </c>
      <c r="H295" t="str">
        <v>single</v>
      </c>
      <c r="I295">
        <v>0</v>
      </c>
      <c r="J295">
        <v>69</v>
      </c>
      <c r="K295" s="61">
        <v>73.33</v>
      </c>
      <c r="L295" s="61">
        <v>2199.9</v>
      </c>
      <c r="AA295">
        <v>94</v>
      </c>
      <c r="AB295">
        <v>4</v>
      </c>
      <c r="AC295" t="str">
        <v>54BM823</v>
      </c>
      <c r="AD295">
        <v>30</v>
      </c>
      <c r="AE295" t="str">
        <v>single</v>
      </c>
    </row>
    <row r="296" spans="1:31" hidden="1" x14ac:dyDescent="0.25">
      <c r="A296">
        <v>295</v>
      </c>
      <c r="B296">
        <v>2025</v>
      </c>
      <c r="C296">
        <v>7</v>
      </c>
      <c r="D296">
        <v>31</v>
      </c>
      <c r="E296">
        <v>6</v>
      </c>
      <c r="F296" t="str">
        <v>77QK725</v>
      </c>
      <c r="G296" s="61">
        <v>15</v>
      </c>
      <c r="H296" t="str">
        <v>single</v>
      </c>
      <c r="I296">
        <v>0</v>
      </c>
      <c r="J296">
        <v>17</v>
      </c>
      <c r="K296" s="61">
        <v>275</v>
      </c>
      <c r="L296" s="61">
        <v>4125</v>
      </c>
      <c r="AA296">
        <v>94</v>
      </c>
      <c r="AB296">
        <v>4</v>
      </c>
      <c r="AC296" t="str">
        <v>01BT754</v>
      </c>
      <c r="AD296">
        <v>30</v>
      </c>
      <c r="AE296" t="str">
        <v>single</v>
      </c>
    </row>
    <row r="297" spans="1:31" hidden="1" x14ac:dyDescent="0.25">
      <c r="A297">
        <v>296</v>
      </c>
      <c r="B297">
        <v>2025</v>
      </c>
      <c r="C297">
        <v>7</v>
      </c>
      <c r="D297">
        <v>31</v>
      </c>
      <c r="E297">
        <v>6</v>
      </c>
      <c r="F297" t="str">
        <v>77UR032</v>
      </c>
      <c r="G297" s="61">
        <v>29</v>
      </c>
      <c r="H297" t="str">
        <v>single</v>
      </c>
      <c r="I297">
        <v>0</v>
      </c>
      <c r="J297">
        <v>77</v>
      </c>
      <c r="K297" s="61">
        <v>55.36</v>
      </c>
      <c r="L297" s="61">
        <v>1605.44</v>
      </c>
      <c r="AA297">
        <v>94</v>
      </c>
      <c r="AB297">
        <v>5</v>
      </c>
      <c r="AC297" t="str">
        <v>01BT754</v>
      </c>
      <c r="AD297">
        <v>31</v>
      </c>
      <c r="AE297" t="str">
        <v>single</v>
      </c>
    </row>
    <row r="298" spans="1:31" hidden="1" x14ac:dyDescent="0.25">
      <c r="A298">
        <v>297</v>
      </c>
      <c r="B298">
        <v>2025</v>
      </c>
      <c r="C298">
        <v>7</v>
      </c>
      <c r="D298">
        <v>31</v>
      </c>
      <c r="E298">
        <v>6</v>
      </c>
      <c r="F298" t="str">
        <v>90LS143</v>
      </c>
      <c r="G298" s="61">
        <v>20</v>
      </c>
      <c r="H298" t="str">
        <v>single</v>
      </c>
      <c r="I298">
        <v>0</v>
      </c>
      <c r="J298">
        <v>81</v>
      </c>
      <c r="K298" s="61">
        <v>55.36</v>
      </c>
      <c r="L298" s="61">
        <v>1107.2</v>
      </c>
      <c r="AA298">
        <v>95</v>
      </c>
      <c r="AB298">
        <v>1</v>
      </c>
      <c r="AC298" t="str">
        <v>54BA209</v>
      </c>
      <c r="AD298">
        <v>16.5</v>
      </c>
      <c r="AE298" t="str">
        <v>single</v>
      </c>
    </row>
    <row r="299" spans="1:31" hidden="1" x14ac:dyDescent="0.25">
      <c r="A299">
        <v>298</v>
      </c>
      <c r="B299">
        <v>2025</v>
      </c>
      <c r="C299">
        <v>7</v>
      </c>
      <c r="D299">
        <v>31</v>
      </c>
      <c r="E299">
        <v>6</v>
      </c>
      <c r="F299" t="str">
        <v>90PY548</v>
      </c>
      <c r="G299" s="61">
        <v>30</v>
      </c>
      <c r="H299" t="str">
        <v>single</v>
      </c>
      <c r="I299">
        <v>0</v>
      </c>
      <c r="J299">
        <v>85</v>
      </c>
      <c r="K299" s="61">
        <v>40</v>
      </c>
      <c r="L299" s="61">
        <v>1200</v>
      </c>
      <c r="AA299">
        <v>95</v>
      </c>
      <c r="AB299">
        <v>2</v>
      </c>
      <c r="AC299" t="str">
        <v>54BA209</v>
      </c>
      <c r="AD299">
        <v>27</v>
      </c>
      <c r="AE299" t="str">
        <v>single</v>
      </c>
    </row>
    <row r="300" spans="1:31" hidden="1" x14ac:dyDescent="0.25">
      <c r="A300">
        <v>299</v>
      </c>
      <c r="B300">
        <v>2025</v>
      </c>
      <c r="C300">
        <v>7</v>
      </c>
      <c r="D300">
        <v>31</v>
      </c>
      <c r="E300">
        <v>6</v>
      </c>
      <c r="F300" t="str">
        <v>90SL686</v>
      </c>
      <c r="G300" s="61">
        <v>31</v>
      </c>
      <c r="H300" t="str">
        <v>single</v>
      </c>
      <c r="I300">
        <v>0</v>
      </c>
      <c r="J300">
        <v>19</v>
      </c>
      <c r="K300" s="61">
        <v>58.93</v>
      </c>
      <c r="L300" s="61">
        <v>1826.83</v>
      </c>
      <c r="AA300">
        <v>95</v>
      </c>
      <c r="AB300">
        <v>3</v>
      </c>
      <c r="AC300" t="str">
        <v>54BA209</v>
      </c>
      <c r="AD300">
        <v>24</v>
      </c>
      <c r="AE300" t="str">
        <v>single</v>
      </c>
    </row>
    <row r="301" spans="1:31" hidden="1" x14ac:dyDescent="0.25">
      <c r="A301">
        <v>300</v>
      </c>
      <c r="B301">
        <v>2025</v>
      </c>
      <c r="C301">
        <v>7</v>
      </c>
      <c r="D301">
        <v>31</v>
      </c>
      <c r="E301">
        <v>6</v>
      </c>
      <c r="F301" t="str">
        <v>90VS316</v>
      </c>
      <c r="G301" s="61">
        <v>30</v>
      </c>
      <c r="H301" t="str">
        <v>single</v>
      </c>
      <c r="I301">
        <v>0</v>
      </c>
      <c r="J301">
        <v>87</v>
      </c>
      <c r="K301" s="61">
        <v>55.36</v>
      </c>
      <c r="L301" s="61">
        <v>1660.8</v>
      </c>
      <c r="AA301">
        <v>95</v>
      </c>
      <c r="AB301">
        <v>4</v>
      </c>
      <c r="AC301" t="str">
        <v>54BA209</v>
      </c>
      <c r="AD301">
        <v>28.5</v>
      </c>
      <c r="AE301" t="str">
        <v>single</v>
      </c>
    </row>
    <row r="302" spans="1:31" hidden="1" x14ac:dyDescent="0.25">
      <c r="A302">
        <v>301</v>
      </c>
      <c r="B302">
        <v>2025</v>
      </c>
      <c r="C302">
        <v>7</v>
      </c>
      <c r="D302">
        <v>31</v>
      </c>
      <c r="E302">
        <v>6</v>
      </c>
      <c r="F302" t="str">
        <v>99BT339</v>
      </c>
      <c r="G302" s="61">
        <v>1</v>
      </c>
      <c r="H302" t="str">
        <v>single</v>
      </c>
      <c r="I302">
        <v>0</v>
      </c>
      <c r="J302">
        <v>93</v>
      </c>
      <c r="K302" s="61">
        <v>55.36</v>
      </c>
      <c r="L302" s="61">
        <v>55.36</v>
      </c>
      <c r="AA302">
        <v>95</v>
      </c>
      <c r="AB302">
        <v>5</v>
      </c>
      <c r="AC302" t="str">
        <v>54BA209</v>
      </c>
      <c r="AD302">
        <v>22</v>
      </c>
      <c r="AE302" t="str">
        <v>single</v>
      </c>
    </row>
    <row r="303" spans="1:31" x14ac:dyDescent="0.25">
      <c r="A303">
        <v>302</v>
      </c>
      <c r="B303">
        <v>2025</v>
      </c>
      <c r="C303">
        <v>7</v>
      </c>
      <c r="D303">
        <v>31</v>
      </c>
      <c r="E303">
        <v>6</v>
      </c>
      <c r="F303" t="str">
        <v>99EM163</v>
      </c>
      <c r="G303" s="61">
        <v>30</v>
      </c>
      <c r="H303" t="str">
        <v>single</v>
      </c>
      <c r="I303">
        <v>0</v>
      </c>
      <c r="J303">
        <v>100</v>
      </c>
      <c r="K303" s="61">
        <v>55.36</v>
      </c>
      <c r="L303" s="61">
        <v>1660.8</v>
      </c>
      <c r="AA303">
        <v>98</v>
      </c>
      <c r="AB303">
        <v>1</v>
      </c>
      <c r="AC303" t="str">
        <v>50BD416</v>
      </c>
      <c r="AD303">
        <v>12</v>
      </c>
      <c r="AE303" t="str">
        <v>single</v>
      </c>
    </row>
    <row r="304" spans="1:31" hidden="1" x14ac:dyDescent="0.25">
      <c r="A304">
        <v>303</v>
      </c>
      <c r="B304">
        <v>2025</v>
      </c>
      <c r="C304">
        <v>7</v>
      </c>
      <c r="D304">
        <v>31</v>
      </c>
      <c r="E304">
        <v>6</v>
      </c>
      <c r="F304" t="str">
        <v>99HZ395</v>
      </c>
      <c r="G304" s="61">
        <v>30</v>
      </c>
      <c r="H304" t="str">
        <v>single</v>
      </c>
      <c r="I304">
        <v>0</v>
      </c>
      <c r="J304">
        <v>3</v>
      </c>
      <c r="K304" s="61">
        <v>65</v>
      </c>
      <c r="L304" s="61">
        <v>1950</v>
      </c>
      <c r="AA304">
        <v>98</v>
      </c>
      <c r="AB304">
        <v>2</v>
      </c>
      <c r="AC304" t="str">
        <v>50BD416</v>
      </c>
      <c r="AD304">
        <v>29</v>
      </c>
      <c r="AE304" t="str">
        <v>single</v>
      </c>
    </row>
    <row r="305" spans="1:31" hidden="1" x14ac:dyDescent="0.25">
      <c r="A305">
        <v>304</v>
      </c>
      <c r="B305">
        <v>2025</v>
      </c>
      <c r="C305">
        <v>7</v>
      </c>
      <c r="D305">
        <v>31</v>
      </c>
      <c r="E305">
        <v>6</v>
      </c>
      <c r="F305" t="str">
        <v>99KL663</v>
      </c>
      <c r="G305" s="61">
        <v>30</v>
      </c>
      <c r="H305" t="str">
        <v>single</v>
      </c>
      <c r="I305">
        <v>0</v>
      </c>
      <c r="J305">
        <v>106</v>
      </c>
      <c r="K305" s="61">
        <v>55.36</v>
      </c>
      <c r="L305" s="61">
        <v>1660.8</v>
      </c>
      <c r="AA305">
        <v>98</v>
      </c>
      <c r="AB305">
        <v>3</v>
      </c>
      <c r="AC305" t="str">
        <v>50BD416</v>
      </c>
      <c r="AD305">
        <v>27</v>
      </c>
      <c r="AE305" t="str">
        <v>single</v>
      </c>
    </row>
    <row r="306" spans="1:31" hidden="1" x14ac:dyDescent="0.25">
      <c r="A306">
        <v>305</v>
      </c>
      <c r="B306">
        <v>2025</v>
      </c>
      <c r="C306">
        <v>7</v>
      </c>
      <c r="D306">
        <v>31</v>
      </c>
      <c r="E306">
        <v>6</v>
      </c>
      <c r="F306" t="str">
        <v>99LM412</v>
      </c>
      <c r="G306" s="61">
        <v>31</v>
      </c>
      <c r="H306" t="str">
        <v>single</v>
      </c>
      <c r="I306">
        <v>0</v>
      </c>
      <c r="J306">
        <v>116</v>
      </c>
      <c r="K306" s="61">
        <v>55.357142857142854</v>
      </c>
      <c r="L306" s="61">
        <v>1716.0714285714284</v>
      </c>
      <c r="AA306">
        <v>98</v>
      </c>
      <c r="AB306">
        <v>4</v>
      </c>
      <c r="AC306" t="str">
        <v>50BD416</v>
      </c>
      <c r="AD306">
        <v>28</v>
      </c>
      <c r="AE306" t="str">
        <v>single</v>
      </c>
    </row>
    <row r="307" spans="1:31" hidden="1" x14ac:dyDescent="0.25">
      <c r="A307">
        <v>306</v>
      </c>
      <c r="B307">
        <v>2025</v>
      </c>
      <c r="C307">
        <v>7</v>
      </c>
      <c r="D307">
        <v>31</v>
      </c>
      <c r="E307">
        <v>6</v>
      </c>
      <c r="F307" t="str">
        <v>99MN472</v>
      </c>
      <c r="G307" s="61">
        <v>31</v>
      </c>
      <c r="H307" t="str">
        <v>single</v>
      </c>
      <c r="I307">
        <v>0</v>
      </c>
      <c r="J307">
        <v>108</v>
      </c>
      <c r="K307" s="61">
        <v>55.36</v>
      </c>
      <c r="L307" s="61">
        <v>1716.16</v>
      </c>
      <c r="AA307">
        <v>98</v>
      </c>
      <c r="AB307">
        <v>5</v>
      </c>
      <c r="AC307" t="str">
        <v>50BD416</v>
      </c>
      <c r="AD307">
        <v>27</v>
      </c>
      <c r="AE307" t="str">
        <v>single</v>
      </c>
    </row>
    <row r="308" spans="1:31" hidden="1" x14ac:dyDescent="0.25">
      <c r="A308">
        <v>307</v>
      </c>
      <c r="B308">
        <v>2025</v>
      </c>
      <c r="C308">
        <v>7</v>
      </c>
      <c r="D308">
        <v>31</v>
      </c>
      <c r="E308">
        <v>6</v>
      </c>
      <c r="F308" t="str">
        <v>99BT339</v>
      </c>
      <c r="G308" s="61">
        <v>29</v>
      </c>
      <c r="H308" t="str">
        <v>double</v>
      </c>
      <c r="I308">
        <v>0</v>
      </c>
      <c r="J308">
        <v>91</v>
      </c>
      <c r="K308" s="61">
        <v>99.647999999999996</v>
      </c>
      <c r="L308" s="61">
        <v>2889.7919999999999</v>
      </c>
      <c r="AA308">
        <v>99</v>
      </c>
      <c r="AB308">
        <v>1</v>
      </c>
      <c r="AC308" t="str">
        <v>50BX301</v>
      </c>
      <c r="AD308">
        <v>10</v>
      </c>
      <c r="AE308" t="str">
        <v>single</v>
      </c>
    </row>
    <row r="309" spans="1:31" hidden="1" x14ac:dyDescent="0.25">
      <c r="A309">
        <v>308</v>
      </c>
      <c r="B309">
        <v>2025</v>
      </c>
      <c r="C309">
        <v>7</v>
      </c>
      <c r="D309">
        <v>31</v>
      </c>
      <c r="E309">
        <v>6</v>
      </c>
      <c r="F309" t="str">
        <v>77GR998</v>
      </c>
      <c r="G309" s="61">
        <v>31</v>
      </c>
      <c r="H309" t="str">
        <v>double</v>
      </c>
      <c r="I309">
        <v>0</v>
      </c>
      <c r="J309">
        <v>63</v>
      </c>
      <c r="K309" s="61">
        <v>99.642857142857139</v>
      </c>
      <c r="L309" s="61">
        <v>3088.9285714285711</v>
      </c>
      <c r="AA309">
        <v>99</v>
      </c>
      <c r="AB309">
        <v>2</v>
      </c>
      <c r="AC309" t="str">
        <v>50BX301</v>
      </c>
      <c r="AD309">
        <v>31</v>
      </c>
      <c r="AE309" t="str">
        <v>single</v>
      </c>
    </row>
    <row r="310" spans="1:31" hidden="1" x14ac:dyDescent="0.25">
      <c r="A310">
        <v>309</v>
      </c>
      <c r="B310">
        <v>2025</v>
      </c>
      <c r="C310">
        <v>7</v>
      </c>
      <c r="D310">
        <v>31</v>
      </c>
      <c r="E310">
        <v>6</v>
      </c>
      <c r="F310" t="str">
        <v>01CC689</v>
      </c>
      <c r="G310" s="61">
        <v>15.499999999999979</v>
      </c>
      <c r="H310" t="str">
        <v>hour</v>
      </c>
      <c r="I310">
        <v>0</v>
      </c>
      <c r="J310">
        <v>25</v>
      </c>
      <c r="K310" s="61">
        <v>5.5359999999999996</v>
      </c>
      <c r="L310" s="61">
        <v>85.807999999999879</v>
      </c>
      <c r="AA310">
        <v>99</v>
      </c>
      <c r="AB310">
        <v>3</v>
      </c>
      <c r="AC310" t="str">
        <v>50BX301</v>
      </c>
      <c r="AD310">
        <v>29</v>
      </c>
      <c r="AE310" t="str">
        <v>single</v>
      </c>
    </row>
    <row r="311" spans="1:31" hidden="1" x14ac:dyDescent="0.25">
      <c r="A311">
        <v>310</v>
      </c>
      <c r="B311">
        <v>2025</v>
      </c>
      <c r="C311">
        <v>7</v>
      </c>
      <c r="D311">
        <v>31</v>
      </c>
      <c r="E311">
        <v>6</v>
      </c>
      <c r="F311" t="str">
        <v>50BD165</v>
      </c>
      <c r="G311" s="61">
        <v>66.999999999999986</v>
      </c>
      <c r="H311" t="str">
        <v>hour</v>
      </c>
      <c r="I311">
        <v>0</v>
      </c>
      <c r="J311">
        <v>40</v>
      </c>
      <c r="K311" s="61">
        <v>5.5359999999999996</v>
      </c>
      <c r="L311" s="61">
        <v>370.91199999999992</v>
      </c>
      <c r="AA311">
        <v>99</v>
      </c>
      <c r="AB311">
        <v>4</v>
      </c>
      <c r="AC311" t="str">
        <v>50BX301</v>
      </c>
      <c r="AD311">
        <v>31</v>
      </c>
      <c r="AE311" t="str">
        <v>single</v>
      </c>
    </row>
    <row r="312" spans="1:31" hidden="1" x14ac:dyDescent="0.25">
      <c r="A312">
        <v>311</v>
      </c>
      <c r="B312">
        <v>2025</v>
      </c>
      <c r="C312">
        <v>7</v>
      </c>
      <c r="D312">
        <v>31</v>
      </c>
      <c r="E312">
        <v>6</v>
      </c>
      <c r="F312" t="str">
        <v>50BN724</v>
      </c>
      <c r="G312" s="61">
        <v>24.999999999999979</v>
      </c>
      <c r="H312" t="str">
        <v>hour</v>
      </c>
      <c r="I312">
        <v>0</v>
      </c>
      <c r="J312">
        <v>42</v>
      </c>
      <c r="K312" s="61">
        <v>6.6070000000000002</v>
      </c>
      <c r="L312" s="61">
        <v>165.17499999999987</v>
      </c>
      <c r="AA312">
        <v>100</v>
      </c>
      <c r="AB312">
        <v>1</v>
      </c>
      <c r="AC312" t="str">
        <v>22AB273</v>
      </c>
      <c r="AD312">
        <v>9</v>
      </c>
      <c r="AE312" t="str">
        <v>single</v>
      </c>
    </row>
    <row r="313" spans="1:31" hidden="1" x14ac:dyDescent="0.25">
      <c r="A313">
        <v>312</v>
      </c>
      <c r="B313">
        <v>2025</v>
      </c>
      <c r="C313">
        <v>7</v>
      </c>
      <c r="D313">
        <v>31</v>
      </c>
      <c r="E313">
        <v>6</v>
      </c>
      <c r="F313" t="str">
        <v>50DK730</v>
      </c>
      <c r="G313" s="61">
        <v>94</v>
      </c>
      <c r="H313" t="str">
        <v>hour</v>
      </c>
      <c r="I313">
        <v>0</v>
      </c>
      <c r="J313">
        <v>46</v>
      </c>
      <c r="K313" s="61">
        <v>5.5359999999999996</v>
      </c>
      <c r="L313" s="61">
        <v>520.38400000000001</v>
      </c>
      <c r="AA313">
        <v>100</v>
      </c>
      <c r="AB313">
        <v>2</v>
      </c>
      <c r="AC313" t="str">
        <v>22AB273</v>
      </c>
      <c r="AD313">
        <v>27</v>
      </c>
      <c r="AE313" t="str">
        <v>single</v>
      </c>
    </row>
    <row r="314" spans="1:31" hidden="1" x14ac:dyDescent="0.25">
      <c r="A314">
        <v>313</v>
      </c>
      <c r="B314">
        <v>2025</v>
      </c>
      <c r="C314">
        <v>7</v>
      </c>
      <c r="D314">
        <v>31</v>
      </c>
      <c r="E314">
        <v>6</v>
      </c>
      <c r="F314" t="str">
        <v>53BB774</v>
      </c>
      <c r="G314" s="61">
        <v>97.999999999999986</v>
      </c>
      <c r="H314" t="str">
        <v>hour</v>
      </c>
      <c r="I314">
        <v>0</v>
      </c>
      <c r="J314">
        <v>52</v>
      </c>
      <c r="K314" s="61">
        <v>0</v>
      </c>
      <c r="L314" s="61">
        <v>0</v>
      </c>
      <c r="AA314">
        <v>100</v>
      </c>
      <c r="AB314">
        <v>3</v>
      </c>
      <c r="AC314" t="str">
        <v>22AB273</v>
      </c>
      <c r="AD314">
        <v>26</v>
      </c>
      <c r="AE314" t="str">
        <v>single</v>
      </c>
    </row>
    <row r="315" spans="1:31" hidden="1" x14ac:dyDescent="0.25">
      <c r="A315">
        <v>314</v>
      </c>
      <c r="B315">
        <v>2025</v>
      </c>
      <c r="C315">
        <v>7</v>
      </c>
      <c r="D315">
        <v>31</v>
      </c>
      <c r="E315">
        <v>6</v>
      </c>
      <c r="F315" t="str">
        <v>55CB633</v>
      </c>
      <c r="G315" s="61">
        <v>107</v>
      </c>
      <c r="H315" t="str">
        <v>hour</v>
      </c>
      <c r="I315">
        <v>0</v>
      </c>
      <c r="J315">
        <v>56</v>
      </c>
      <c r="K315" s="61">
        <v>5.5359999999999996</v>
      </c>
      <c r="L315" s="61">
        <v>592.35199999999998</v>
      </c>
      <c r="AA315">
        <v>100</v>
      </c>
      <c r="AB315">
        <v>4</v>
      </c>
      <c r="AC315" t="str">
        <v>22AB273</v>
      </c>
      <c r="AD315">
        <v>29</v>
      </c>
      <c r="AE315" t="str">
        <v>single</v>
      </c>
    </row>
    <row r="316" spans="1:31" hidden="1" x14ac:dyDescent="0.25">
      <c r="A316">
        <v>315</v>
      </c>
      <c r="B316">
        <v>2025</v>
      </c>
      <c r="C316">
        <v>7</v>
      </c>
      <c r="D316">
        <v>31</v>
      </c>
      <c r="E316">
        <v>6</v>
      </c>
      <c r="F316" t="str">
        <v>77QE133</v>
      </c>
      <c r="G316" s="61">
        <v>40</v>
      </c>
      <c r="H316" t="str">
        <v>hour</v>
      </c>
      <c r="I316">
        <v>0</v>
      </c>
      <c r="J316">
        <v>68</v>
      </c>
      <c r="K316" s="61">
        <v>7.3330000000000002</v>
      </c>
      <c r="L316" s="61">
        <v>293.32</v>
      </c>
      <c r="AA316">
        <v>100</v>
      </c>
      <c r="AB316">
        <v>5</v>
      </c>
      <c r="AC316" t="str">
        <v>22AB273</v>
      </c>
      <c r="AD316">
        <v>28</v>
      </c>
      <c r="AE316" t="str">
        <v>single</v>
      </c>
    </row>
    <row r="317" spans="1:31" hidden="1" x14ac:dyDescent="0.25">
      <c r="A317">
        <v>316</v>
      </c>
      <c r="B317">
        <v>2025</v>
      </c>
      <c r="C317">
        <v>7</v>
      </c>
      <c r="D317">
        <v>31</v>
      </c>
      <c r="E317">
        <v>6</v>
      </c>
      <c r="F317" t="str">
        <v>77UR032</v>
      </c>
      <c r="G317" s="61">
        <v>9.9999999999999822</v>
      </c>
      <c r="H317" t="str">
        <v>hour</v>
      </c>
      <c r="I317">
        <v>0</v>
      </c>
      <c r="J317">
        <v>76</v>
      </c>
      <c r="K317" s="61">
        <v>5.5359999999999996</v>
      </c>
      <c r="L317" s="61">
        <v>55.3599999999999</v>
      </c>
      <c r="AA317">
        <v>102</v>
      </c>
      <c r="AB317">
        <v>1</v>
      </c>
      <c r="AC317" t="str">
        <v>99HQ687</v>
      </c>
      <c r="AD317">
        <v>5</v>
      </c>
      <c r="AE317" t="str">
        <v>single</v>
      </c>
    </row>
    <row r="318" spans="1:31" hidden="1" x14ac:dyDescent="0.25">
      <c r="A318">
        <v>317</v>
      </c>
      <c r="B318">
        <v>2025</v>
      </c>
      <c r="C318">
        <v>7</v>
      </c>
      <c r="D318">
        <v>31</v>
      </c>
      <c r="E318">
        <v>6</v>
      </c>
      <c r="F318" t="str">
        <v>90LS143</v>
      </c>
      <c r="G318" s="61">
        <v>5.9999999999999929</v>
      </c>
      <c r="H318" t="str">
        <v>hour</v>
      </c>
      <c r="I318">
        <v>0</v>
      </c>
      <c r="J318">
        <v>80</v>
      </c>
      <c r="K318" s="61">
        <v>5.5359999999999996</v>
      </c>
      <c r="L318" s="61">
        <v>33.215999999999958</v>
      </c>
      <c r="AA318">
        <v>102</v>
      </c>
      <c r="AB318">
        <v>2</v>
      </c>
      <c r="AC318" t="str">
        <v>99HQ687</v>
      </c>
      <c r="AD318">
        <v>29</v>
      </c>
      <c r="AE318" t="str">
        <v>single</v>
      </c>
    </row>
    <row r="319" spans="1:31" hidden="1" x14ac:dyDescent="0.25">
      <c r="A319">
        <v>318</v>
      </c>
      <c r="B319">
        <v>2025</v>
      </c>
      <c r="C319">
        <v>7</v>
      </c>
      <c r="D319">
        <v>31</v>
      </c>
      <c r="E319">
        <v>6</v>
      </c>
      <c r="F319" t="str">
        <v>90SL686</v>
      </c>
      <c r="G319" s="61">
        <v>108.99999999999999</v>
      </c>
      <c r="H319" t="str">
        <v>hour</v>
      </c>
      <c r="I319">
        <v>0</v>
      </c>
      <c r="J319">
        <v>20</v>
      </c>
      <c r="K319" s="61">
        <v>5.8929999999999998</v>
      </c>
      <c r="L319" s="61">
        <v>642.33699999999988</v>
      </c>
      <c r="AA319">
        <v>102</v>
      </c>
      <c r="AB319">
        <v>2</v>
      </c>
      <c r="AC319" t="str">
        <v>10MF640</v>
      </c>
      <c r="AD319">
        <v>29</v>
      </c>
      <c r="AE319" t="str">
        <v>single</v>
      </c>
    </row>
    <row r="320" spans="1:31" hidden="1" x14ac:dyDescent="0.25">
      <c r="A320">
        <v>319</v>
      </c>
      <c r="B320">
        <v>2025</v>
      </c>
      <c r="C320">
        <v>7</v>
      </c>
      <c r="D320">
        <v>31</v>
      </c>
      <c r="E320">
        <v>6</v>
      </c>
      <c r="F320" t="str">
        <v>90VS316</v>
      </c>
      <c r="G320" s="61">
        <v>89.999999999999972</v>
      </c>
      <c r="H320" t="str">
        <v>hour</v>
      </c>
      <c r="I320">
        <v>0</v>
      </c>
      <c r="J320">
        <v>86</v>
      </c>
      <c r="K320" s="61">
        <v>5.5359999999999996</v>
      </c>
      <c r="L320" s="61">
        <v>498.23999999999978</v>
      </c>
      <c r="AA320">
        <v>102</v>
      </c>
      <c r="AB320">
        <v>3</v>
      </c>
      <c r="AC320" t="str">
        <v>99HQ687</v>
      </c>
      <c r="AD320">
        <v>31</v>
      </c>
      <c r="AE320" t="str">
        <v>single</v>
      </c>
    </row>
    <row r="321" spans="1:31" hidden="1" x14ac:dyDescent="0.25">
      <c r="A321">
        <v>320</v>
      </c>
      <c r="B321">
        <v>2025</v>
      </c>
      <c r="C321">
        <v>7</v>
      </c>
      <c r="D321">
        <v>31</v>
      </c>
      <c r="E321">
        <v>6</v>
      </c>
      <c r="F321" t="str">
        <v>99KL663</v>
      </c>
      <c r="G321" s="61">
        <v>49.999999999999986</v>
      </c>
      <c r="H321" t="str">
        <v>hour</v>
      </c>
      <c r="I321">
        <v>0</v>
      </c>
      <c r="J321">
        <v>105</v>
      </c>
      <c r="K321" s="61">
        <v>5.5359999999999996</v>
      </c>
      <c r="L321" s="61">
        <v>276.7999999999999</v>
      </c>
      <c r="AA321">
        <v>102</v>
      </c>
      <c r="AB321">
        <v>3</v>
      </c>
      <c r="AC321" t="str">
        <v>10MF640</v>
      </c>
      <c r="AD321">
        <v>31</v>
      </c>
      <c r="AE321" t="str">
        <v>single</v>
      </c>
    </row>
    <row r="322" spans="1:31" hidden="1" x14ac:dyDescent="0.25">
      <c r="A322">
        <v>321</v>
      </c>
      <c r="B322">
        <v>2025</v>
      </c>
      <c r="C322">
        <v>7</v>
      </c>
      <c r="D322">
        <v>31</v>
      </c>
      <c r="E322">
        <v>6</v>
      </c>
      <c r="F322" t="str">
        <v>99LM412</v>
      </c>
      <c r="G322" s="61">
        <v>61.000000000000014</v>
      </c>
      <c r="H322" t="str">
        <v>hour</v>
      </c>
      <c r="I322">
        <v>0</v>
      </c>
      <c r="J322">
        <v>115</v>
      </c>
      <c r="K322" s="61">
        <v>5.5357142857142856</v>
      </c>
      <c r="L322" s="61">
        <v>337.6785714285715</v>
      </c>
      <c r="AA322">
        <v>102</v>
      </c>
      <c r="AB322">
        <v>3</v>
      </c>
      <c r="AC322" t="str">
        <v>54BM823</v>
      </c>
      <c r="AD322">
        <v>31</v>
      </c>
      <c r="AE322" t="str">
        <v>single</v>
      </c>
    </row>
    <row r="323" spans="1:31" hidden="1" x14ac:dyDescent="0.25">
      <c r="A323">
        <v>322</v>
      </c>
      <c r="B323">
        <v>2025</v>
      </c>
      <c r="C323">
        <v>7</v>
      </c>
      <c r="D323">
        <v>31</v>
      </c>
      <c r="E323">
        <v>6</v>
      </c>
      <c r="F323" t="str">
        <v>99MN472</v>
      </c>
      <c r="G323" s="61">
        <v>71.999999999999957</v>
      </c>
      <c r="H323" t="str">
        <v>hour</v>
      </c>
      <c r="I323">
        <v>0</v>
      </c>
      <c r="J323">
        <v>107</v>
      </c>
      <c r="K323" s="61">
        <v>5.5359999999999996</v>
      </c>
      <c r="L323" s="61">
        <v>398.59199999999976</v>
      </c>
      <c r="AA323">
        <v>102</v>
      </c>
      <c r="AB323">
        <v>4</v>
      </c>
      <c r="AC323" t="str">
        <v>99HQ687</v>
      </c>
      <c r="AD323">
        <v>19</v>
      </c>
      <c r="AE323" t="str">
        <v>single</v>
      </c>
    </row>
    <row r="324" spans="1:31" hidden="1" x14ac:dyDescent="0.25">
      <c r="A324">
        <v>323</v>
      </c>
      <c r="B324">
        <v>2025</v>
      </c>
      <c r="C324">
        <v>10</v>
      </c>
      <c r="D324">
        <v>46</v>
      </c>
      <c r="E324">
        <v>6</v>
      </c>
      <c r="F324" t="str">
        <v>110FY524</v>
      </c>
      <c r="G324" s="61">
        <v>19</v>
      </c>
      <c r="H324" t="str">
        <v>single</v>
      </c>
      <c r="I324">
        <v>0</v>
      </c>
      <c r="J324">
        <v>7</v>
      </c>
      <c r="K324" s="61">
        <v>214.28571428571428</v>
      </c>
      <c r="L324" s="61">
        <v>4071.4285714285711</v>
      </c>
      <c r="AA324">
        <v>102</v>
      </c>
      <c r="AB324">
        <v>4</v>
      </c>
      <c r="AC324" t="str">
        <v>10MF640</v>
      </c>
      <c r="AD324">
        <v>29</v>
      </c>
      <c r="AE324" t="str">
        <v>single</v>
      </c>
    </row>
    <row r="325" spans="1:31" hidden="1" x14ac:dyDescent="0.25">
      <c r="A325">
        <v>324</v>
      </c>
      <c r="B325">
        <v>2025</v>
      </c>
      <c r="C325">
        <v>10</v>
      </c>
      <c r="D325">
        <v>46</v>
      </c>
      <c r="E325">
        <v>6</v>
      </c>
      <c r="F325" t="str">
        <v>10AD801</v>
      </c>
      <c r="G325" s="61">
        <v>1</v>
      </c>
      <c r="H325" t="str">
        <v>single</v>
      </c>
      <c r="I325">
        <v>0</v>
      </c>
      <c r="J325">
        <v>4</v>
      </c>
      <c r="K325" s="61">
        <v>446.42857142857144</v>
      </c>
      <c r="L325" s="61">
        <v>446.42857142857144</v>
      </c>
      <c r="AA325">
        <v>102</v>
      </c>
      <c r="AB325">
        <v>4</v>
      </c>
      <c r="AC325" t="str">
        <v>54BM823</v>
      </c>
      <c r="AD325">
        <v>28</v>
      </c>
      <c r="AE325" t="str">
        <v>single</v>
      </c>
    </row>
    <row r="326" spans="1:31" hidden="1" x14ac:dyDescent="0.25">
      <c r="A326">
        <v>325</v>
      </c>
      <c r="B326">
        <v>2025</v>
      </c>
      <c r="C326">
        <v>10</v>
      </c>
      <c r="D326">
        <v>46</v>
      </c>
      <c r="E326">
        <v>6</v>
      </c>
      <c r="F326" t="str">
        <v>110FY523</v>
      </c>
      <c r="G326" s="61">
        <v>29</v>
      </c>
      <c r="H326" t="str">
        <v>double</v>
      </c>
      <c r="I326">
        <v>0</v>
      </c>
      <c r="J326">
        <v>2</v>
      </c>
      <c r="K326" s="61">
        <v>385.71444000000002</v>
      </c>
      <c r="L326" s="61">
        <v>11185.718760000002</v>
      </c>
      <c r="AA326">
        <v>102</v>
      </c>
      <c r="AB326">
        <v>4</v>
      </c>
      <c r="AC326" t="str">
        <v>01BT754</v>
      </c>
      <c r="AD326">
        <v>26</v>
      </c>
      <c r="AE326" t="str">
        <v>single</v>
      </c>
    </row>
    <row r="327" spans="1:31" hidden="1" x14ac:dyDescent="0.25">
      <c r="A327">
        <v>326</v>
      </c>
      <c r="B327">
        <v>2025</v>
      </c>
      <c r="C327">
        <v>10</v>
      </c>
      <c r="D327">
        <v>46</v>
      </c>
      <c r="E327">
        <v>6</v>
      </c>
      <c r="F327" t="str">
        <v>110FY524</v>
      </c>
      <c r="G327" s="61">
        <v>11</v>
      </c>
      <c r="H327" t="str">
        <v>double</v>
      </c>
      <c r="I327">
        <v>0</v>
      </c>
      <c r="J327">
        <v>8</v>
      </c>
      <c r="K327" s="61">
        <v>385.71444000000002</v>
      </c>
      <c r="L327" s="61">
        <v>4242.8588399999999</v>
      </c>
      <c r="AA327">
        <v>110</v>
      </c>
      <c r="AB327">
        <v>1</v>
      </c>
      <c r="AC327" t="str">
        <v>99XC106</v>
      </c>
      <c r="AD327">
        <v>6</v>
      </c>
      <c r="AE327" t="str">
        <v>single</v>
      </c>
    </row>
    <row r="328" spans="1:31" hidden="1" x14ac:dyDescent="0.25">
      <c r="A328">
        <v>327</v>
      </c>
      <c r="B328">
        <v>2025</v>
      </c>
      <c r="C328">
        <v>10</v>
      </c>
      <c r="D328">
        <v>46</v>
      </c>
      <c r="E328">
        <v>6</v>
      </c>
      <c r="F328" t="str">
        <v>10AD801</v>
      </c>
      <c r="G328" s="61">
        <v>28</v>
      </c>
      <c r="H328" t="str">
        <v>double</v>
      </c>
      <c r="I328">
        <v>0</v>
      </c>
      <c r="J328">
        <v>5</v>
      </c>
      <c r="K328" s="61">
        <v>803.57147999999995</v>
      </c>
      <c r="L328" s="61">
        <v>22500.00144</v>
      </c>
      <c r="AA328">
        <v>110</v>
      </c>
      <c r="AB328">
        <v>2</v>
      </c>
      <c r="AC328" t="str">
        <v>99XC106</v>
      </c>
      <c r="AD328">
        <v>26</v>
      </c>
      <c r="AE328" t="str">
        <v>single</v>
      </c>
    </row>
    <row r="329" spans="1:31" hidden="1" x14ac:dyDescent="0.25">
      <c r="A329">
        <v>328</v>
      </c>
      <c r="B329">
        <v>2025</v>
      </c>
      <c r="C329">
        <v>11</v>
      </c>
      <c r="D329">
        <v>50</v>
      </c>
      <c r="E329">
        <v>6</v>
      </c>
      <c r="F329" t="str">
        <v>61AB256</v>
      </c>
      <c r="G329" s="61">
        <v>28</v>
      </c>
      <c r="H329" t="str">
        <v>single</v>
      </c>
      <c r="I329">
        <v>0</v>
      </c>
      <c r="J329">
        <v>1</v>
      </c>
      <c r="K329" s="61">
        <v>357.14285714285717</v>
      </c>
      <c r="L329" s="61">
        <v>10000</v>
      </c>
      <c r="AA329">
        <v>110</v>
      </c>
      <c r="AB329">
        <v>3</v>
      </c>
      <c r="AC329" t="str">
        <v>99XC106</v>
      </c>
      <c r="AD329">
        <v>30</v>
      </c>
      <c r="AE329" t="str">
        <v>single</v>
      </c>
    </row>
    <row r="330" spans="1:31" hidden="1" x14ac:dyDescent="0.25">
      <c r="A330">
        <v>329</v>
      </c>
      <c r="B330">
        <v>2026</v>
      </c>
      <c r="C330">
        <v>1</v>
      </c>
      <c r="D330">
        <v>51</v>
      </c>
      <c r="E330">
        <v>6</v>
      </c>
      <c r="F330" t="str">
        <v>10AD015</v>
      </c>
      <c r="G330" s="61">
        <v>8</v>
      </c>
      <c r="H330" t="str">
        <v>single</v>
      </c>
      <c r="I330">
        <v>0</v>
      </c>
      <c r="J330">
        <v>7</v>
      </c>
      <c r="K330" s="61">
        <v>171.42857142857142</v>
      </c>
      <c r="L330" s="61">
        <v>1371.4285714285713</v>
      </c>
      <c r="AA330">
        <v>110</v>
      </c>
      <c r="AB330">
        <v>4</v>
      </c>
      <c r="AC330" t="str">
        <v>99XC106</v>
      </c>
      <c r="AD330">
        <v>29</v>
      </c>
      <c r="AE330" t="str">
        <v>single</v>
      </c>
    </row>
    <row r="331" spans="1:31" hidden="1" x14ac:dyDescent="0.25">
      <c r="A331">
        <v>330</v>
      </c>
      <c r="B331">
        <v>2026</v>
      </c>
      <c r="C331">
        <v>1</v>
      </c>
      <c r="D331">
        <v>51</v>
      </c>
      <c r="E331">
        <v>6</v>
      </c>
      <c r="F331" t="str">
        <v>10AD071</v>
      </c>
      <c r="G331" s="61">
        <v>27</v>
      </c>
      <c r="H331" t="str">
        <v>single</v>
      </c>
      <c r="I331">
        <v>0</v>
      </c>
      <c r="J331">
        <v>5</v>
      </c>
      <c r="K331" s="61">
        <v>235.71</v>
      </c>
      <c r="L331" s="61">
        <v>6364.17</v>
      </c>
      <c r="AA331">
        <v>121</v>
      </c>
      <c r="AB331">
        <v>1</v>
      </c>
      <c r="AC331" t="str">
        <v>11BC843</v>
      </c>
      <c r="AD331">
        <v>28</v>
      </c>
      <c r="AE331" t="str">
        <v>single</v>
      </c>
    </row>
    <row r="332" spans="1:31" hidden="1" x14ac:dyDescent="0.25">
      <c r="A332">
        <v>331</v>
      </c>
      <c r="B332">
        <v>2026</v>
      </c>
      <c r="C332">
        <v>1</v>
      </c>
      <c r="D332">
        <v>51</v>
      </c>
      <c r="E332">
        <v>6</v>
      </c>
      <c r="F332" t="str">
        <v>10AD071</v>
      </c>
      <c r="G332" s="61">
        <v>30.000000000000014</v>
      </c>
      <c r="H332" t="str">
        <v>hour</v>
      </c>
      <c r="I332">
        <v>0</v>
      </c>
      <c r="J332">
        <v>6</v>
      </c>
      <c r="K332" s="61">
        <v>26.071000000000002</v>
      </c>
      <c r="L332" s="61">
        <v>782.13000000000045</v>
      </c>
      <c r="AA332">
        <v>121</v>
      </c>
      <c r="AB332">
        <v>2</v>
      </c>
      <c r="AC332" t="str">
        <v>11BC843</v>
      </c>
      <c r="AD332">
        <v>29</v>
      </c>
      <c r="AE332" t="str">
        <v>single</v>
      </c>
    </row>
    <row r="333" spans="1:31" hidden="1" x14ac:dyDescent="0.25">
      <c r="A333">
        <v>332</v>
      </c>
      <c r="B333">
        <v>2025</v>
      </c>
      <c r="C333">
        <v>10</v>
      </c>
      <c r="D333">
        <v>65</v>
      </c>
      <c r="E333">
        <v>6</v>
      </c>
      <c r="F333" t="str">
        <v>01BA176</v>
      </c>
      <c r="G333" s="61">
        <v>14</v>
      </c>
      <c r="H333" t="str">
        <v>single</v>
      </c>
      <c r="I333">
        <v>0</v>
      </c>
      <c r="J333">
        <v>1</v>
      </c>
      <c r="K333" s="61">
        <v>196.42857142857142</v>
      </c>
      <c r="L333" s="61">
        <v>2750</v>
      </c>
      <c r="AA333">
        <v>141</v>
      </c>
      <c r="AB333">
        <v>1</v>
      </c>
      <c r="AC333" t="str">
        <v>10V288</v>
      </c>
      <c r="AD333">
        <v>24</v>
      </c>
      <c r="AE333" t="str">
        <v>single</v>
      </c>
    </row>
    <row r="334" spans="1:31" hidden="1" x14ac:dyDescent="0.25">
      <c r="A334">
        <v>333</v>
      </c>
      <c r="B334">
        <v>2025</v>
      </c>
      <c r="C334">
        <v>10</v>
      </c>
      <c r="D334">
        <v>65</v>
      </c>
      <c r="E334">
        <v>6</v>
      </c>
      <c r="F334" t="str">
        <v>10BD252</v>
      </c>
      <c r="G334" s="61">
        <v>29</v>
      </c>
      <c r="H334" t="str">
        <v>single</v>
      </c>
      <c r="I334">
        <v>0</v>
      </c>
      <c r="J334">
        <v>2</v>
      </c>
      <c r="K334" s="61">
        <v>160.71</v>
      </c>
      <c r="L334" s="61">
        <v>4660.59</v>
      </c>
      <c r="AA334">
        <v>98</v>
      </c>
      <c r="AB334">
        <v>6</v>
      </c>
      <c r="AC334" t="str">
        <v>50BD416</v>
      </c>
      <c r="AD334">
        <v>27</v>
      </c>
      <c r="AE334" t="str">
        <v>single</v>
      </c>
    </row>
    <row r="335" spans="1:31" hidden="1" x14ac:dyDescent="0.25">
      <c r="A335">
        <v>334</v>
      </c>
      <c r="B335">
        <v>2025</v>
      </c>
      <c r="C335">
        <v>11</v>
      </c>
      <c r="D335">
        <v>85</v>
      </c>
      <c r="E335">
        <v>6</v>
      </c>
      <c r="F335" t="str">
        <v>77SN951</v>
      </c>
      <c r="G335" s="61">
        <v>29</v>
      </c>
      <c r="H335" t="str">
        <v>single</v>
      </c>
      <c r="I335">
        <v>0</v>
      </c>
      <c r="J335">
        <v>1</v>
      </c>
      <c r="K335" s="61">
        <v>446.43</v>
      </c>
      <c r="L335" s="61">
        <v>12946.47</v>
      </c>
      <c r="AA335">
        <v>110</v>
      </c>
      <c r="AB335">
        <v>5</v>
      </c>
      <c r="AC335" t="str">
        <v>99XC106</v>
      </c>
      <c r="AD335">
        <v>25</v>
      </c>
      <c r="AE335" t="str">
        <v>single</v>
      </c>
    </row>
    <row r="336" spans="1:31" hidden="1" x14ac:dyDescent="0.25">
      <c r="A336">
        <v>335</v>
      </c>
      <c r="B336">
        <v>2025</v>
      </c>
      <c r="C336">
        <v>11</v>
      </c>
      <c r="D336">
        <v>85</v>
      </c>
      <c r="E336">
        <v>6</v>
      </c>
      <c r="F336" t="str">
        <v>77SN951</v>
      </c>
      <c r="G336" s="61">
        <v>51.999999999999972</v>
      </c>
      <c r="H336" t="str">
        <v>hour</v>
      </c>
      <c r="I336">
        <v>0</v>
      </c>
      <c r="J336">
        <v>2</v>
      </c>
      <c r="K336" s="61">
        <v>44.643000000000001</v>
      </c>
      <c r="L336" s="61">
        <v>2321.4359999999988</v>
      </c>
      <c r="AA336">
        <v>121</v>
      </c>
      <c r="AB336">
        <v>3</v>
      </c>
      <c r="AC336" t="str">
        <v>11BC843</v>
      </c>
      <c r="AD336">
        <v>28</v>
      </c>
      <c r="AE336" t="str">
        <v>single</v>
      </c>
    </row>
    <row r="337" spans="1:31" hidden="1" x14ac:dyDescent="0.25">
      <c r="A337">
        <v>336</v>
      </c>
      <c r="B337">
        <v>2025</v>
      </c>
      <c r="C337">
        <v>12</v>
      </c>
      <c r="D337">
        <v>95</v>
      </c>
      <c r="E337">
        <v>6</v>
      </c>
      <c r="F337" t="str">
        <v>54BA209</v>
      </c>
      <c r="G337" s="61">
        <v>23</v>
      </c>
      <c r="H337" t="str">
        <v>single</v>
      </c>
      <c r="I337">
        <v>0</v>
      </c>
      <c r="J337">
        <v>1</v>
      </c>
      <c r="K337" s="61">
        <v>285.70999999999998</v>
      </c>
      <c r="L337" s="61">
        <v>6571.33</v>
      </c>
      <c r="AA337">
        <v>141</v>
      </c>
      <c r="AB337">
        <v>2</v>
      </c>
      <c r="AC337" t="str">
        <v>10V288</v>
      </c>
      <c r="AD337">
        <v>28</v>
      </c>
      <c r="AE337" t="str">
        <v>single</v>
      </c>
    </row>
    <row r="338" spans="1:31" hidden="1" x14ac:dyDescent="0.25">
      <c r="A338">
        <v>337</v>
      </c>
      <c r="B338">
        <v>2025</v>
      </c>
      <c r="C338">
        <v>12</v>
      </c>
      <c r="D338">
        <v>98</v>
      </c>
      <c r="E338">
        <v>6</v>
      </c>
      <c r="F338" t="str">
        <v>50BD416</v>
      </c>
      <c r="G338" s="61">
        <v>27</v>
      </c>
      <c r="H338" t="str">
        <v>single</v>
      </c>
      <c r="I338">
        <v>0</v>
      </c>
      <c r="J338">
        <v>1</v>
      </c>
      <c r="K338" s="61">
        <v>107.14</v>
      </c>
      <c r="L338" s="61">
        <v>2892.78</v>
      </c>
      <c r="AA338">
        <v>46</v>
      </c>
      <c r="AB338">
        <v>8</v>
      </c>
      <c r="AC338" t="str">
        <v>110FY523</v>
      </c>
      <c r="AD338">
        <v>9</v>
      </c>
      <c r="AE338" t="str">
        <v>single</v>
      </c>
    </row>
    <row r="339" spans="1:31" hidden="1" x14ac:dyDescent="0.25">
      <c r="A339">
        <v>338</v>
      </c>
      <c r="B339">
        <v>2025</v>
      </c>
      <c r="C339">
        <v>12</v>
      </c>
      <c r="D339">
        <v>100</v>
      </c>
      <c r="E339">
        <v>6</v>
      </c>
      <c r="F339" t="str">
        <v>22AB273</v>
      </c>
      <c r="G339" s="61">
        <v>29</v>
      </c>
      <c r="H339" t="str">
        <v>single</v>
      </c>
      <c r="I339">
        <v>0</v>
      </c>
      <c r="J339">
        <v>1</v>
      </c>
      <c r="K339" s="61">
        <v>196.42857142857142</v>
      </c>
      <c r="L339" s="61">
        <v>5696.4285714285706</v>
      </c>
      <c r="AA339">
        <v>50</v>
      </c>
      <c r="AB339">
        <v>7</v>
      </c>
      <c r="AC339" t="str">
        <v>61AB256</v>
      </c>
      <c r="AD339">
        <v>28</v>
      </c>
      <c r="AE339" t="str">
        <v>single</v>
      </c>
    </row>
    <row r="340" spans="1:31" hidden="1" x14ac:dyDescent="0.25">
      <c r="A340">
        <v>339</v>
      </c>
      <c r="B340">
        <v>2026</v>
      </c>
      <c r="C340">
        <v>1</v>
      </c>
      <c r="D340">
        <v>102</v>
      </c>
      <c r="E340">
        <v>6</v>
      </c>
      <c r="F340" t="str">
        <v>54BM823</v>
      </c>
      <c r="G340" s="61">
        <v>25</v>
      </c>
      <c r="H340" t="str">
        <v>single</v>
      </c>
      <c r="I340">
        <v>0</v>
      </c>
      <c r="J340">
        <v>5</v>
      </c>
      <c r="K340" s="61">
        <v>125</v>
      </c>
      <c r="L340" s="61">
        <v>3125</v>
      </c>
      <c r="AA340">
        <v>51</v>
      </c>
      <c r="AB340">
        <v>5</v>
      </c>
      <c r="AC340" t="str">
        <v>10AD015</v>
      </c>
      <c r="AD340">
        <v>18</v>
      </c>
      <c r="AE340" t="str">
        <v>single</v>
      </c>
    </row>
    <row r="341" spans="1:31" hidden="1" x14ac:dyDescent="0.25">
      <c r="A341">
        <v>340</v>
      </c>
      <c r="B341">
        <v>2026</v>
      </c>
      <c r="C341">
        <v>1</v>
      </c>
      <c r="D341">
        <v>102</v>
      </c>
      <c r="E341">
        <v>6</v>
      </c>
      <c r="F341" t="str">
        <v>01BT754</v>
      </c>
      <c r="G341" s="61">
        <v>25</v>
      </c>
      <c r="H341" t="str">
        <v>single</v>
      </c>
      <c r="I341">
        <v>0</v>
      </c>
      <c r="J341">
        <v>6</v>
      </c>
      <c r="K341" s="61">
        <v>125</v>
      </c>
      <c r="L341" s="61">
        <v>3125</v>
      </c>
      <c r="AA341">
        <v>51</v>
      </c>
      <c r="AB341">
        <v>5</v>
      </c>
      <c r="AC341" t="str">
        <v>10AD071</v>
      </c>
      <c r="AD341">
        <v>30</v>
      </c>
      <c r="AE341" t="str">
        <v>single</v>
      </c>
    </row>
    <row r="342" spans="1:31" hidden="1" x14ac:dyDescent="0.25">
      <c r="A342">
        <v>341</v>
      </c>
      <c r="B342">
        <v>2026</v>
      </c>
      <c r="C342">
        <v>1</v>
      </c>
      <c r="D342">
        <v>102</v>
      </c>
      <c r="E342">
        <v>6</v>
      </c>
      <c r="F342" t="str">
        <v>10MF640</v>
      </c>
      <c r="G342" s="61">
        <v>30</v>
      </c>
      <c r="H342" t="str">
        <v>single</v>
      </c>
      <c r="I342">
        <v>0</v>
      </c>
      <c r="J342">
        <v>3</v>
      </c>
      <c r="K342" s="61">
        <v>125</v>
      </c>
      <c r="L342" s="61">
        <v>3750</v>
      </c>
      <c r="AA342">
        <v>65</v>
      </c>
      <c r="AB342">
        <v>8</v>
      </c>
      <c r="AC342" t="str">
        <v>01BA176</v>
      </c>
      <c r="AD342">
        <v>26</v>
      </c>
      <c r="AE342" t="str">
        <v>single</v>
      </c>
    </row>
    <row r="343" spans="1:31" hidden="1" x14ac:dyDescent="0.25">
      <c r="A343">
        <v>342</v>
      </c>
      <c r="B343">
        <v>2026</v>
      </c>
      <c r="C343">
        <v>1</v>
      </c>
      <c r="D343">
        <v>102</v>
      </c>
      <c r="E343">
        <v>6</v>
      </c>
      <c r="F343" t="str">
        <v>10MF640</v>
      </c>
      <c r="G343" s="61">
        <v>21.000000000000007</v>
      </c>
      <c r="H343" t="str">
        <v>hour</v>
      </c>
      <c r="I343">
        <v>0</v>
      </c>
      <c r="J343">
        <v>4</v>
      </c>
      <c r="K343" s="61">
        <v>12.5</v>
      </c>
      <c r="L343" s="61">
        <v>262.50000000000011</v>
      </c>
      <c r="AA343">
        <v>65</v>
      </c>
      <c r="AB343">
        <v>8</v>
      </c>
      <c r="AC343" t="str">
        <v>10BD252</v>
      </c>
      <c r="AD343">
        <v>28</v>
      </c>
      <c r="AE343" t="str">
        <v>single</v>
      </c>
    </row>
    <row r="344" spans="1:31" hidden="1" x14ac:dyDescent="0.25">
      <c r="A344">
        <v>343</v>
      </c>
      <c r="B344">
        <v>2026</v>
      </c>
      <c r="C344">
        <v>1</v>
      </c>
      <c r="D344">
        <v>110</v>
      </c>
      <c r="E344">
        <v>6</v>
      </c>
      <c r="F344" t="str">
        <v>99XC106</v>
      </c>
      <c r="G344" s="61">
        <v>28</v>
      </c>
      <c r="H344" t="str">
        <v>single</v>
      </c>
      <c r="I344">
        <v>0</v>
      </c>
      <c r="J344">
        <v>1</v>
      </c>
      <c r="K344" s="61">
        <v>221.42857142857142</v>
      </c>
      <c r="L344" s="61">
        <v>6200</v>
      </c>
      <c r="AA344">
        <v>85</v>
      </c>
      <c r="AB344">
        <v>7</v>
      </c>
      <c r="AC344" t="str">
        <v>77SN951</v>
      </c>
      <c r="AD344">
        <v>27</v>
      </c>
      <c r="AE344" t="str">
        <v>single</v>
      </c>
    </row>
    <row r="345" spans="1:31" hidden="1" x14ac:dyDescent="0.25">
      <c r="A345">
        <v>344</v>
      </c>
      <c r="B345">
        <v>2026</v>
      </c>
      <c r="C345">
        <v>3</v>
      </c>
      <c r="D345">
        <v>121</v>
      </c>
      <c r="E345">
        <v>6</v>
      </c>
      <c r="F345" t="str">
        <v>11BC843</v>
      </c>
      <c r="G345" s="61">
        <v>26</v>
      </c>
      <c r="H345" t="str">
        <v>single</v>
      </c>
      <c r="I345">
        <v>0</v>
      </c>
      <c r="J345">
        <v>1</v>
      </c>
      <c r="K345" s="61">
        <v>128.57</v>
      </c>
      <c r="L345" s="61">
        <v>3342.8199999999997</v>
      </c>
      <c r="AA345">
        <v>95</v>
      </c>
      <c r="AB345">
        <v>6</v>
      </c>
      <c r="AC345" t="str">
        <v>54BA209</v>
      </c>
      <c r="AD345">
        <v>23</v>
      </c>
      <c r="AE345" t="str">
        <v>single</v>
      </c>
    </row>
    <row r="346" spans="1:31" hidden="1" x14ac:dyDescent="0.25">
      <c r="A346">
        <v>345</v>
      </c>
      <c r="B346">
        <v>2025</v>
      </c>
      <c r="C346">
        <v>8</v>
      </c>
      <c r="D346">
        <v>31</v>
      </c>
      <c r="E346">
        <v>7</v>
      </c>
      <c r="F346" t="str">
        <v>01CC689</v>
      </c>
      <c r="G346" s="61">
        <v>8</v>
      </c>
      <c r="H346" t="str">
        <v>single</v>
      </c>
      <c r="I346">
        <v>0</v>
      </c>
      <c r="J346">
        <v>26</v>
      </c>
      <c r="K346" s="61">
        <v>55.36</v>
      </c>
      <c r="L346" s="61">
        <v>442.88</v>
      </c>
      <c r="AA346">
        <v>100</v>
      </c>
      <c r="AB346">
        <v>6</v>
      </c>
      <c r="AC346" t="str">
        <v>22AB273</v>
      </c>
      <c r="AD346">
        <v>29</v>
      </c>
      <c r="AE346" t="str">
        <v>single</v>
      </c>
    </row>
    <row r="347" spans="1:31" hidden="1" x14ac:dyDescent="0.25">
      <c r="A347">
        <v>346</v>
      </c>
      <c r="B347">
        <v>2025</v>
      </c>
      <c r="C347">
        <v>8</v>
      </c>
      <c r="D347">
        <v>31</v>
      </c>
      <c r="E347">
        <v>7</v>
      </c>
      <c r="F347" t="str">
        <v>10RN527</v>
      </c>
      <c r="G347" s="61">
        <v>27</v>
      </c>
      <c r="H347" t="str">
        <v>single</v>
      </c>
      <c r="I347">
        <v>0</v>
      </c>
      <c r="J347">
        <v>32</v>
      </c>
      <c r="K347" s="61">
        <v>62.5</v>
      </c>
      <c r="L347" s="61">
        <v>1687.5</v>
      </c>
      <c r="AA347">
        <v>102</v>
      </c>
      <c r="AB347">
        <v>5</v>
      </c>
      <c r="AC347" t="str">
        <v>54BM823</v>
      </c>
      <c r="AD347">
        <v>26</v>
      </c>
      <c r="AE347" t="str">
        <v>single</v>
      </c>
    </row>
    <row r="348" spans="1:31" hidden="1" x14ac:dyDescent="0.25">
      <c r="A348">
        <v>347</v>
      </c>
      <c r="B348">
        <v>2025</v>
      </c>
      <c r="C348">
        <v>8</v>
      </c>
      <c r="D348">
        <v>31</v>
      </c>
      <c r="E348">
        <v>7</v>
      </c>
      <c r="F348" t="str">
        <v>50BD165</v>
      </c>
      <c r="G348" s="61">
        <v>30</v>
      </c>
      <c r="H348" t="str">
        <v>single</v>
      </c>
      <c r="I348">
        <v>0</v>
      </c>
      <c r="J348">
        <v>41</v>
      </c>
      <c r="K348" s="61">
        <v>55.36</v>
      </c>
      <c r="L348" s="61">
        <v>1660.8</v>
      </c>
      <c r="AA348">
        <v>102</v>
      </c>
      <c r="AB348">
        <v>5</v>
      </c>
      <c r="AC348" t="str">
        <v>01BT754</v>
      </c>
      <c r="AD348">
        <v>30</v>
      </c>
      <c r="AE348" t="str">
        <v>single</v>
      </c>
    </row>
    <row r="349" spans="1:31" hidden="1" x14ac:dyDescent="0.25">
      <c r="A349">
        <v>348</v>
      </c>
      <c r="B349">
        <v>2025</v>
      </c>
      <c r="C349">
        <v>8</v>
      </c>
      <c r="D349">
        <v>31</v>
      </c>
      <c r="E349">
        <v>7</v>
      </c>
      <c r="F349" t="str">
        <v>50BN724</v>
      </c>
      <c r="G349" s="61">
        <v>30</v>
      </c>
      <c r="H349" t="str">
        <v>single</v>
      </c>
      <c r="I349">
        <v>0</v>
      </c>
      <c r="J349">
        <v>43</v>
      </c>
      <c r="K349" s="61">
        <v>66.069999999999993</v>
      </c>
      <c r="L349" s="61">
        <v>1982.1</v>
      </c>
      <c r="AA349">
        <v>102</v>
      </c>
      <c r="AB349">
        <v>5</v>
      </c>
      <c r="AC349" t="str">
        <v>10MF640</v>
      </c>
      <c r="AD349">
        <v>30</v>
      </c>
      <c r="AE349" t="str">
        <v>single</v>
      </c>
    </row>
    <row r="350" spans="1:31" hidden="1" x14ac:dyDescent="0.25">
      <c r="A350">
        <v>349</v>
      </c>
      <c r="B350">
        <v>2025</v>
      </c>
      <c r="C350">
        <v>8</v>
      </c>
      <c r="D350">
        <v>31</v>
      </c>
      <c r="E350">
        <v>7</v>
      </c>
      <c r="F350" t="str">
        <v>50CN929</v>
      </c>
      <c r="G350" s="61">
        <v>26</v>
      </c>
      <c r="H350" t="str">
        <v>single</v>
      </c>
      <c r="I350">
        <v>0</v>
      </c>
      <c r="J350">
        <v>45</v>
      </c>
      <c r="K350" s="61">
        <v>55.36</v>
      </c>
      <c r="L350" s="61">
        <v>1439.36</v>
      </c>
      <c r="AA350">
        <v>31</v>
      </c>
      <c r="AB350">
        <v>11</v>
      </c>
      <c r="AC350" t="str">
        <v>10NS184</v>
      </c>
      <c r="AD350">
        <v>30</v>
      </c>
      <c r="AE350" t="str">
        <v>single</v>
      </c>
    </row>
    <row r="351" spans="1:31" hidden="1" x14ac:dyDescent="0.25">
      <c r="A351">
        <v>350</v>
      </c>
      <c r="B351">
        <v>2025</v>
      </c>
      <c r="C351">
        <v>8</v>
      </c>
      <c r="D351">
        <v>31</v>
      </c>
      <c r="E351">
        <v>7</v>
      </c>
      <c r="F351" t="str">
        <v>50DK730</v>
      </c>
      <c r="G351" s="61">
        <v>31</v>
      </c>
      <c r="H351" t="str">
        <v>single</v>
      </c>
      <c r="I351">
        <v>0</v>
      </c>
      <c r="J351">
        <v>47</v>
      </c>
      <c r="K351" s="61">
        <v>55.36</v>
      </c>
      <c r="L351" s="61">
        <v>1716.16</v>
      </c>
      <c r="AA351">
        <v>31</v>
      </c>
      <c r="AB351">
        <v>11</v>
      </c>
      <c r="AC351" t="str">
        <v>10RN527</v>
      </c>
      <c r="AD351">
        <v>30</v>
      </c>
      <c r="AE351" t="str">
        <v>single</v>
      </c>
    </row>
    <row r="352" spans="1:31" hidden="1" x14ac:dyDescent="0.25">
      <c r="A352">
        <v>351</v>
      </c>
      <c r="B352">
        <v>2025</v>
      </c>
      <c r="C352">
        <v>8</v>
      </c>
      <c r="D352">
        <v>31</v>
      </c>
      <c r="E352">
        <v>7</v>
      </c>
      <c r="F352" t="str">
        <v>50EF902</v>
      </c>
      <c r="G352" s="61">
        <v>22</v>
      </c>
      <c r="H352" t="str">
        <v>single</v>
      </c>
      <c r="I352">
        <v>0</v>
      </c>
      <c r="J352">
        <v>49</v>
      </c>
      <c r="K352" s="61">
        <v>62.5</v>
      </c>
      <c r="L352" s="61">
        <v>1375</v>
      </c>
      <c r="AA352">
        <v>31</v>
      </c>
      <c r="AB352">
        <v>11</v>
      </c>
      <c r="AC352" t="str">
        <v>17BE358</v>
      </c>
      <c r="AD352">
        <v>28</v>
      </c>
      <c r="AE352" t="str">
        <v>single</v>
      </c>
    </row>
    <row r="353" spans="1:31" hidden="1" x14ac:dyDescent="0.25">
      <c r="A353">
        <v>352</v>
      </c>
      <c r="B353">
        <v>2025</v>
      </c>
      <c r="C353">
        <v>8</v>
      </c>
      <c r="D353">
        <v>31</v>
      </c>
      <c r="E353">
        <v>7</v>
      </c>
      <c r="F353" t="str">
        <v>53BB774</v>
      </c>
      <c r="G353" s="61">
        <v>10</v>
      </c>
      <c r="H353" t="str">
        <v>single</v>
      </c>
      <c r="I353">
        <v>0</v>
      </c>
      <c r="J353">
        <v>53</v>
      </c>
      <c r="K353" s="61">
        <v>55.36</v>
      </c>
      <c r="L353" s="61">
        <v>553.6</v>
      </c>
      <c r="AA353">
        <v>31</v>
      </c>
      <c r="AB353">
        <v>11</v>
      </c>
      <c r="AC353" t="str">
        <v>21BF442</v>
      </c>
      <c r="AD353">
        <v>30</v>
      </c>
      <c r="AE353" t="str">
        <v>single</v>
      </c>
    </row>
    <row r="354" spans="1:31" hidden="1" x14ac:dyDescent="0.25">
      <c r="A354">
        <v>353</v>
      </c>
      <c r="B354">
        <v>2025</v>
      </c>
      <c r="C354">
        <v>8</v>
      </c>
      <c r="D354">
        <v>31</v>
      </c>
      <c r="E354">
        <v>7</v>
      </c>
      <c r="F354" t="str">
        <v>55CB633</v>
      </c>
      <c r="G354" s="61">
        <v>30</v>
      </c>
      <c r="H354" t="str">
        <v>single</v>
      </c>
      <c r="I354">
        <v>0</v>
      </c>
      <c r="J354">
        <v>57</v>
      </c>
      <c r="K354" s="61">
        <v>55.36</v>
      </c>
      <c r="L354" s="61">
        <v>1660.8</v>
      </c>
      <c r="AA354">
        <v>31</v>
      </c>
      <c r="AB354">
        <v>11</v>
      </c>
      <c r="AC354" t="str">
        <v>50DK730</v>
      </c>
      <c r="AD354">
        <v>30</v>
      </c>
      <c r="AE354" t="str">
        <v>single</v>
      </c>
    </row>
    <row r="355" spans="1:31" hidden="1" x14ac:dyDescent="0.25">
      <c r="A355">
        <v>354</v>
      </c>
      <c r="B355">
        <v>2025</v>
      </c>
      <c r="C355">
        <v>8</v>
      </c>
      <c r="D355">
        <v>31</v>
      </c>
      <c r="E355">
        <v>7</v>
      </c>
      <c r="F355" t="str">
        <v>77AT386</v>
      </c>
      <c r="G355" s="61">
        <v>30</v>
      </c>
      <c r="H355" t="str">
        <v>single</v>
      </c>
      <c r="I355">
        <v>0</v>
      </c>
      <c r="J355">
        <v>13</v>
      </c>
      <c r="K355" s="61">
        <v>46.67</v>
      </c>
      <c r="L355" s="61">
        <v>1400.1000000000001</v>
      </c>
      <c r="AA355">
        <v>31</v>
      </c>
      <c r="AB355">
        <v>11</v>
      </c>
      <c r="AC355" t="str">
        <v>50EF902</v>
      </c>
      <c r="AD355">
        <v>28</v>
      </c>
      <c r="AE355" t="str">
        <v>single</v>
      </c>
    </row>
    <row r="356" spans="1:31" hidden="1" x14ac:dyDescent="0.25">
      <c r="A356">
        <v>355</v>
      </c>
      <c r="B356">
        <v>2025</v>
      </c>
      <c r="C356">
        <v>8</v>
      </c>
      <c r="D356">
        <v>31</v>
      </c>
      <c r="E356">
        <v>7</v>
      </c>
      <c r="F356" t="str">
        <v>77QE133</v>
      </c>
      <c r="G356" s="61">
        <v>30</v>
      </c>
      <c r="H356" t="str">
        <v>single</v>
      </c>
      <c r="I356">
        <v>0</v>
      </c>
      <c r="J356">
        <v>69</v>
      </c>
      <c r="K356" s="61">
        <v>73.33</v>
      </c>
      <c r="L356" s="61">
        <v>2199.9</v>
      </c>
      <c r="AA356">
        <v>31</v>
      </c>
      <c r="AB356">
        <v>11</v>
      </c>
      <c r="AC356" t="str">
        <v>50EL608</v>
      </c>
      <c r="AD356">
        <v>14</v>
      </c>
      <c r="AE356" t="str">
        <v>single</v>
      </c>
    </row>
    <row r="357" spans="1:31" hidden="1" x14ac:dyDescent="0.25">
      <c r="A357">
        <v>356</v>
      </c>
      <c r="B357">
        <v>2025</v>
      </c>
      <c r="C357">
        <v>8</v>
      </c>
      <c r="D357">
        <v>31</v>
      </c>
      <c r="E357">
        <v>7</v>
      </c>
      <c r="F357" t="str">
        <v>77TG971</v>
      </c>
      <c r="G357" s="61">
        <v>25</v>
      </c>
      <c r="H357" t="str">
        <v>single</v>
      </c>
      <c r="I357">
        <v>0</v>
      </c>
      <c r="J357">
        <v>75</v>
      </c>
      <c r="K357" s="61">
        <v>55.36</v>
      </c>
      <c r="L357" s="61">
        <v>1384</v>
      </c>
      <c r="AA357">
        <v>31</v>
      </c>
      <c r="AB357">
        <v>11</v>
      </c>
      <c r="AC357" t="str">
        <v>50FB264</v>
      </c>
      <c r="AD357">
        <v>30</v>
      </c>
      <c r="AE357" t="str">
        <v>single</v>
      </c>
    </row>
    <row r="358" spans="1:31" hidden="1" x14ac:dyDescent="0.25">
      <c r="A358">
        <v>357</v>
      </c>
      <c r="B358">
        <v>2025</v>
      </c>
      <c r="C358">
        <v>8</v>
      </c>
      <c r="D358">
        <v>31</v>
      </c>
      <c r="E358">
        <v>7</v>
      </c>
      <c r="F358" t="str">
        <v>77UR032</v>
      </c>
      <c r="G358" s="61">
        <v>29</v>
      </c>
      <c r="H358" t="str">
        <v>single</v>
      </c>
      <c r="I358">
        <v>0</v>
      </c>
      <c r="J358">
        <v>77</v>
      </c>
      <c r="K358" s="61">
        <v>55.36</v>
      </c>
      <c r="L358" s="61">
        <v>1605.44</v>
      </c>
      <c r="AA358">
        <v>31</v>
      </c>
      <c r="AB358">
        <v>11</v>
      </c>
      <c r="AC358" t="str">
        <v>53BD338</v>
      </c>
      <c r="AD358">
        <v>29</v>
      </c>
      <c r="AE358" t="str">
        <v>single</v>
      </c>
    </row>
    <row r="359" spans="1:31" hidden="1" x14ac:dyDescent="0.25">
      <c r="A359">
        <v>358</v>
      </c>
      <c r="B359">
        <v>2025</v>
      </c>
      <c r="C359">
        <v>8</v>
      </c>
      <c r="D359">
        <v>31</v>
      </c>
      <c r="E359">
        <v>7</v>
      </c>
      <c r="F359" t="str">
        <v>77VL420</v>
      </c>
      <c r="G359" s="61">
        <v>15</v>
      </c>
      <c r="H359" t="str">
        <v>single</v>
      </c>
      <c r="I359">
        <v>0</v>
      </c>
      <c r="J359">
        <v>118</v>
      </c>
      <c r="K359" s="61">
        <v>275</v>
      </c>
      <c r="L359" s="61">
        <v>4125</v>
      </c>
      <c r="AA359">
        <v>31</v>
      </c>
      <c r="AB359">
        <v>11</v>
      </c>
      <c r="AC359" t="str">
        <v>55CB633</v>
      </c>
      <c r="AD359">
        <v>29</v>
      </c>
      <c r="AE359" t="str">
        <v>single</v>
      </c>
    </row>
    <row r="360" spans="1:31" hidden="1" x14ac:dyDescent="0.25">
      <c r="A360">
        <v>359</v>
      </c>
      <c r="B360">
        <v>2025</v>
      </c>
      <c r="C360">
        <v>8</v>
      </c>
      <c r="D360">
        <v>31</v>
      </c>
      <c r="E360">
        <v>7</v>
      </c>
      <c r="F360" t="str">
        <v>90LS143</v>
      </c>
      <c r="G360" s="61">
        <v>29</v>
      </c>
      <c r="H360" t="str">
        <v>single</v>
      </c>
      <c r="I360">
        <v>0</v>
      </c>
      <c r="J360">
        <v>81</v>
      </c>
      <c r="K360" s="61">
        <v>55.36</v>
      </c>
      <c r="L360" s="61">
        <v>1605.44</v>
      </c>
      <c r="AA360">
        <v>31</v>
      </c>
      <c r="AB360">
        <v>11</v>
      </c>
      <c r="AC360" t="str">
        <v>57BV285</v>
      </c>
      <c r="AD360">
        <v>30</v>
      </c>
      <c r="AE360" t="str">
        <v>single</v>
      </c>
    </row>
    <row r="361" spans="1:31" hidden="1" x14ac:dyDescent="0.25">
      <c r="A361">
        <v>360</v>
      </c>
      <c r="B361">
        <v>2025</v>
      </c>
      <c r="C361">
        <v>8</v>
      </c>
      <c r="D361">
        <v>31</v>
      </c>
      <c r="E361">
        <v>7</v>
      </c>
      <c r="F361" t="str">
        <v>90OE402</v>
      </c>
      <c r="G361" s="61">
        <v>14</v>
      </c>
      <c r="H361" t="str">
        <v>single</v>
      </c>
      <c r="I361">
        <v>0</v>
      </c>
      <c r="J361">
        <v>83</v>
      </c>
      <c r="K361" s="61">
        <v>73.333333333333329</v>
      </c>
      <c r="L361" s="61">
        <v>1026.6666666666665</v>
      </c>
      <c r="AA361">
        <v>31</v>
      </c>
      <c r="AB361">
        <v>11</v>
      </c>
      <c r="AC361" t="str">
        <v>77AT386</v>
      </c>
      <c r="AD361">
        <v>30</v>
      </c>
      <c r="AE361" t="str">
        <v>single</v>
      </c>
    </row>
    <row r="362" spans="1:31" hidden="1" x14ac:dyDescent="0.25">
      <c r="A362">
        <v>361</v>
      </c>
      <c r="B362">
        <v>2025</v>
      </c>
      <c r="C362">
        <v>8</v>
      </c>
      <c r="D362">
        <v>31</v>
      </c>
      <c r="E362">
        <v>7</v>
      </c>
      <c r="F362" t="str">
        <v>90PY548</v>
      </c>
      <c r="G362" s="61">
        <v>30</v>
      </c>
      <c r="H362" t="str">
        <v>single</v>
      </c>
      <c r="I362">
        <v>0</v>
      </c>
      <c r="J362">
        <v>85</v>
      </c>
      <c r="K362" s="61">
        <v>40</v>
      </c>
      <c r="L362" s="61">
        <v>1200</v>
      </c>
      <c r="AA362">
        <v>31</v>
      </c>
      <c r="AB362">
        <v>11</v>
      </c>
      <c r="AC362" t="str">
        <v>77DK884</v>
      </c>
      <c r="AD362">
        <v>19</v>
      </c>
      <c r="AE362" t="str">
        <v>single</v>
      </c>
    </row>
    <row r="363" spans="1:31" hidden="1" x14ac:dyDescent="0.25">
      <c r="A363">
        <v>362</v>
      </c>
      <c r="B363">
        <v>2025</v>
      </c>
      <c r="C363">
        <v>8</v>
      </c>
      <c r="D363">
        <v>31</v>
      </c>
      <c r="E363">
        <v>7</v>
      </c>
      <c r="F363" t="str">
        <v>90SL686</v>
      </c>
      <c r="G363" s="61">
        <v>30</v>
      </c>
      <c r="H363" t="str">
        <v>single</v>
      </c>
      <c r="I363">
        <v>0</v>
      </c>
      <c r="J363">
        <v>19</v>
      </c>
      <c r="K363" s="61">
        <v>58.93</v>
      </c>
      <c r="L363" s="61">
        <v>1767.9</v>
      </c>
      <c r="AA363">
        <v>31</v>
      </c>
      <c r="AB363">
        <v>11</v>
      </c>
      <c r="AC363" t="str">
        <v>77MU119</v>
      </c>
      <c r="AD363">
        <v>12</v>
      </c>
      <c r="AE363" t="str">
        <v>single</v>
      </c>
    </row>
    <row r="364" spans="1:31" hidden="1" x14ac:dyDescent="0.25">
      <c r="A364">
        <v>363</v>
      </c>
      <c r="B364">
        <v>2025</v>
      </c>
      <c r="C364">
        <v>8</v>
      </c>
      <c r="D364">
        <v>31</v>
      </c>
      <c r="E364">
        <v>7</v>
      </c>
      <c r="F364" t="str">
        <v>90VS316</v>
      </c>
      <c r="G364" s="61">
        <v>30</v>
      </c>
      <c r="H364" t="str">
        <v>single</v>
      </c>
      <c r="I364">
        <v>0</v>
      </c>
      <c r="J364">
        <v>87</v>
      </c>
      <c r="K364" s="61">
        <v>55.36</v>
      </c>
      <c r="L364" s="61">
        <v>1660.8</v>
      </c>
      <c r="AA364">
        <v>31</v>
      </c>
      <c r="AB364">
        <v>11</v>
      </c>
      <c r="AC364" t="str">
        <v>77PV619</v>
      </c>
      <c r="AD364">
        <v>30</v>
      </c>
      <c r="AE364" t="str">
        <v>single</v>
      </c>
    </row>
    <row r="365" spans="1:31" hidden="1" x14ac:dyDescent="0.25">
      <c r="A365">
        <v>364</v>
      </c>
      <c r="B365">
        <v>2025</v>
      </c>
      <c r="C365">
        <v>8</v>
      </c>
      <c r="D365">
        <v>31</v>
      </c>
      <c r="E365">
        <v>7</v>
      </c>
      <c r="F365" t="str">
        <v>99BT339</v>
      </c>
      <c r="G365" s="61">
        <v>30</v>
      </c>
      <c r="H365" t="str">
        <v>single</v>
      </c>
      <c r="I365">
        <v>0</v>
      </c>
      <c r="J365">
        <v>93</v>
      </c>
      <c r="K365" s="61">
        <v>55.36</v>
      </c>
      <c r="L365" s="61">
        <v>1660.8</v>
      </c>
      <c r="AA365">
        <v>31</v>
      </c>
      <c r="AB365">
        <v>11</v>
      </c>
      <c r="AC365" t="str">
        <v>77SR538</v>
      </c>
      <c r="AD365">
        <v>24</v>
      </c>
      <c r="AE365" t="str">
        <v>single</v>
      </c>
    </row>
    <row r="366" spans="1:31" x14ac:dyDescent="0.25">
      <c r="A366">
        <v>365</v>
      </c>
      <c r="B366">
        <v>2025</v>
      </c>
      <c r="C366">
        <v>8</v>
      </c>
      <c r="D366">
        <v>31</v>
      </c>
      <c r="E366">
        <v>7</v>
      </c>
      <c r="F366" t="str">
        <v>99EM163</v>
      </c>
      <c r="G366" s="61">
        <v>29</v>
      </c>
      <c r="H366" t="str">
        <v>single</v>
      </c>
      <c r="I366">
        <v>0</v>
      </c>
      <c r="J366">
        <v>100</v>
      </c>
      <c r="K366" s="61">
        <v>55.36</v>
      </c>
      <c r="L366" s="61">
        <v>1605.44</v>
      </c>
      <c r="AA366">
        <v>31</v>
      </c>
      <c r="AB366">
        <v>11</v>
      </c>
      <c r="AC366" t="str">
        <v>77TG971</v>
      </c>
      <c r="AD366">
        <v>28</v>
      </c>
      <c r="AE366" t="str">
        <v>single</v>
      </c>
    </row>
    <row r="367" spans="1:31" hidden="1" x14ac:dyDescent="0.25">
      <c r="A367">
        <v>366</v>
      </c>
      <c r="B367">
        <v>2025</v>
      </c>
      <c r="C367">
        <v>8</v>
      </c>
      <c r="D367">
        <v>31</v>
      </c>
      <c r="E367">
        <v>7</v>
      </c>
      <c r="F367" t="str">
        <v>99HZ395</v>
      </c>
      <c r="G367" s="61">
        <v>29</v>
      </c>
      <c r="H367" t="str">
        <v>single</v>
      </c>
      <c r="I367">
        <v>0</v>
      </c>
      <c r="J367">
        <v>3</v>
      </c>
      <c r="K367" s="61">
        <v>65</v>
      </c>
      <c r="L367" s="61">
        <v>1885</v>
      </c>
      <c r="AA367">
        <v>31</v>
      </c>
      <c r="AB367">
        <v>11</v>
      </c>
      <c r="AC367" t="str">
        <v>77UR032</v>
      </c>
      <c r="AD367">
        <v>28</v>
      </c>
      <c r="AE367" t="str">
        <v>single</v>
      </c>
    </row>
    <row r="368" spans="1:31" hidden="1" x14ac:dyDescent="0.25">
      <c r="A368">
        <v>367</v>
      </c>
      <c r="B368">
        <v>2025</v>
      </c>
      <c r="C368">
        <v>8</v>
      </c>
      <c r="D368">
        <v>31</v>
      </c>
      <c r="E368">
        <v>7</v>
      </c>
      <c r="F368" t="str">
        <v>99KL663</v>
      </c>
      <c r="G368" s="61">
        <v>29</v>
      </c>
      <c r="H368" t="str">
        <v>single</v>
      </c>
      <c r="I368">
        <v>0</v>
      </c>
      <c r="J368">
        <v>106</v>
      </c>
      <c r="K368" s="61">
        <v>55.36</v>
      </c>
      <c r="L368" s="61">
        <v>1605.44</v>
      </c>
      <c r="AA368">
        <v>31</v>
      </c>
      <c r="AB368">
        <v>11</v>
      </c>
      <c r="AC368" t="str">
        <v>77VL420</v>
      </c>
      <c r="AD368">
        <v>30</v>
      </c>
      <c r="AE368" t="str">
        <v>single</v>
      </c>
    </row>
    <row r="369" spans="1:31" hidden="1" x14ac:dyDescent="0.25">
      <c r="A369">
        <v>368</v>
      </c>
      <c r="B369">
        <v>2025</v>
      </c>
      <c r="C369">
        <v>8</v>
      </c>
      <c r="D369">
        <v>31</v>
      </c>
      <c r="E369">
        <v>7</v>
      </c>
      <c r="F369" t="str">
        <v>99LM412</v>
      </c>
      <c r="G369" s="61">
        <v>31</v>
      </c>
      <c r="H369" t="str">
        <v>single</v>
      </c>
      <c r="I369">
        <v>0</v>
      </c>
      <c r="J369">
        <v>116</v>
      </c>
      <c r="K369" s="61">
        <v>55.357142857142854</v>
      </c>
      <c r="L369" s="61">
        <v>1716.0714285714284</v>
      </c>
      <c r="AA369">
        <v>31</v>
      </c>
      <c r="AB369">
        <v>11</v>
      </c>
      <c r="AC369" t="str">
        <v>90EC344</v>
      </c>
      <c r="AD369">
        <v>30</v>
      </c>
      <c r="AE369" t="str">
        <v>single</v>
      </c>
    </row>
    <row r="370" spans="1:31" hidden="1" x14ac:dyDescent="0.25">
      <c r="A370">
        <v>369</v>
      </c>
      <c r="B370">
        <v>2025</v>
      </c>
      <c r="C370">
        <v>8</v>
      </c>
      <c r="D370">
        <v>31</v>
      </c>
      <c r="E370">
        <v>7</v>
      </c>
      <c r="F370" t="str">
        <v>99MN472</v>
      </c>
      <c r="G370" s="61">
        <v>30</v>
      </c>
      <c r="H370" t="str">
        <v>single</v>
      </c>
      <c r="I370">
        <v>0</v>
      </c>
      <c r="J370">
        <v>108</v>
      </c>
      <c r="K370" s="61">
        <v>55.36</v>
      </c>
      <c r="L370" s="61">
        <v>1660.8</v>
      </c>
      <c r="AA370">
        <v>31</v>
      </c>
      <c r="AB370">
        <v>11</v>
      </c>
      <c r="AC370" t="str">
        <v>90LS143</v>
      </c>
      <c r="AD370">
        <v>28</v>
      </c>
      <c r="AE370" t="str">
        <v>single</v>
      </c>
    </row>
    <row r="371" spans="1:31" hidden="1" x14ac:dyDescent="0.25">
      <c r="A371">
        <v>370</v>
      </c>
      <c r="B371">
        <v>2025</v>
      </c>
      <c r="C371">
        <v>8</v>
      </c>
      <c r="D371">
        <v>31</v>
      </c>
      <c r="E371">
        <v>7</v>
      </c>
      <c r="F371" t="str">
        <v>77GR998</v>
      </c>
      <c r="G371" s="61">
        <v>31</v>
      </c>
      <c r="H371" t="str">
        <v>double</v>
      </c>
      <c r="I371">
        <v>0</v>
      </c>
      <c r="J371">
        <v>63</v>
      </c>
      <c r="K371" s="61">
        <v>99.642857142857139</v>
      </c>
      <c r="L371" s="61">
        <v>3088.9285714285711</v>
      </c>
      <c r="AA371">
        <v>31</v>
      </c>
      <c r="AB371">
        <v>11</v>
      </c>
      <c r="AC371" t="str">
        <v>90OE402</v>
      </c>
      <c r="AD371">
        <v>30</v>
      </c>
      <c r="AE371" t="str">
        <v>single</v>
      </c>
    </row>
    <row r="372" spans="1:31" hidden="1" x14ac:dyDescent="0.25">
      <c r="A372">
        <v>371</v>
      </c>
      <c r="B372">
        <v>2025</v>
      </c>
      <c r="C372">
        <v>8</v>
      </c>
      <c r="D372">
        <v>31</v>
      </c>
      <c r="E372">
        <v>7</v>
      </c>
      <c r="F372" t="str">
        <v>01CC689</v>
      </c>
      <c r="G372" s="61">
        <v>11.499999999999998</v>
      </c>
      <c r="H372" t="str">
        <v>hour</v>
      </c>
      <c r="I372">
        <v>0</v>
      </c>
      <c r="J372">
        <v>25</v>
      </c>
      <c r="K372" s="61">
        <v>5.5359999999999996</v>
      </c>
      <c r="L372" s="61">
        <v>63.663999999999987</v>
      </c>
      <c r="AA372">
        <v>31</v>
      </c>
      <c r="AB372">
        <v>11</v>
      </c>
      <c r="AC372" t="str">
        <v>90PY548</v>
      </c>
      <c r="AD372">
        <v>30</v>
      </c>
      <c r="AE372" t="str">
        <v>single</v>
      </c>
    </row>
    <row r="373" spans="1:31" hidden="1" x14ac:dyDescent="0.25">
      <c r="A373">
        <v>372</v>
      </c>
      <c r="B373">
        <v>2025</v>
      </c>
      <c r="C373">
        <v>8</v>
      </c>
      <c r="D373">
        <v>31</v>
      </c>
      <c r="E373">
        <v>7</v>
      </c>
      <c r="F373" t="str">
        <v>10RN527</v>
      </c>
      <c r="G373" s="61">
        <v>64.000000000000014</v>
      </c>
      <c r="H373" t="str">
        <v>hour</v>
      </c>
      <c r="I373">
        <v>0</v>
      </c>
      <c r="J373">
        <v>30</v>
      </c>
      <c r="K373" s="61">
        <v>6.25</v>
      </c>
      <c r="L373" s="61">
        <v>400.00000000000011</v>
      </c>
      <c r="AA373">
        <v>31</v>
      </c>
      <c r="AB373">
        <v>11</v>
      </c>
      <c r="AC373" t="str">
        <v>90RC631</v>
      </c>
      <c r="AD373">
        <v>22</v>
      </c>
      <c r="AE373" t="str">
        <v>single</v>
      </c>
    </row>
    <row r="374" spans="1:31" hidden="1" x14ac:dyDescent="0.25">
      <c r="A374">
        <v>373</v>
      </c>
      <c r="B374">
        <v>2025</v>
      </c>
      <c r="C374">
        <v>8</v>
      </c>
      <c r="D374">
        <v>31</v>
      </c>
      <c r="E374">
        <v>7</v>
      </c>
      <c r="F374" t="str">
        <v>50BD165</v>
      </c>
      <c r="G374" s="61">
        <v>82.999999999999986</v>
      </c>
      <c r="H374" t="str">
        <v>hour</v>
      </c>
      <c r="I374">
        <v>0</v>
      </c>
      <c r="J374">
        <v>40</v>
      </c>
      <c r="K374" s="61">
        <v>5.5359999999999996</v>
      </c>
      <c r="L374" s="61">
        <v>459.48799999999989</v>
      </c>
      <c r="AA374">
        <v>31</v>
      </c>
      <c r="AB374">
        <v>11</v>
      </c>
      <c r="AC374" t="str">
        <v>90UX686</v>
      </c>
      <c r="AD374">
        <v>29</v>
      </c>
      <c r="AE374" t="str">
        <v>single</v>
      </c>
    </row>
    <row r="375" spans="1:31" hidden="1" x14ac:dyDescent="0.25">
      <c r="A375">
        <v>374</v>
      </c>
      <c r="B375">
        <v>2025</v>
      </c>
      <c r="C375">
        <v>8</v>
      </c>
      <c r="D375">
        <v>31</v>
      </c>
      <c r="E375">
        <v>7</v>
      </c>
      <c r="F375" t="str">
        <v>50BN724</v>
      </c>
      <c r="G375" s="61">
        <v>75.999999999999986</v>
      </c>
      <c r="H375" t="str">
        <v>hour</v>
      </c>
      <c r="I375">
        <v>0</v>
      </c>
      <c r="J375">
        <v>42</v>
      </c>
      <c r="K375" s="61">
        <v>6.6070000000000002</v>
      </c>
      <c r="L375" s="61">
        <v>502.13199999999995</v>
      </c>
      <c r="AA375">
        <v>31</v>
      </c>
      <c r="AB375">
        <v>11</v>
      </c>
      <c r="AC375" t="str">
        <v>99BT339</v>
      </c>
      <c r="AD375">
        <v>29</v>
      </c>
      <c r="AE375" t="str">
        <v>single</v>
      </c>
    </row>
    <row r="376" spans="1:31" hidden="1" x14ac:dyDescent="0.25">
      <c r="A376">
        <v>375</v>
      </c>
      <c r="B376">
        <v>2025</v>
      </c>
      <c r="C376">
        <v>8</v>
      </c>
      <c r="D376">
        <v>31</v>
      </c>
      <c r="E376">
        <v>7</v>
      </c>
      <c r="F376" t="str">
        <v>50CN929</v>
      </c>
      <c r="G376" s="61">
        <v>20.000000000000007</v>
      </c>
      <c r="H376" t="str">
        <v>hour</v>
      </c>
      <c r="I376">
        <v>0</v>
      </c>
      <c r="J376">
        <v>44</v>
      </c>
      <c r="K376" s="61">
        <v>5.5359999999999996</v>
      </c>
      <c r="L376" s="61">
        <v>110.72000000000003</v>
      </c>
      <c r="AA376">
        <v>31</v>
      </c>
      <c r="AB376">
        <v>11</v>
      </c>
      <c r="AC376" t="str">
        <v>99CN447</v>
      </c>
      <c r="AD376">
        <v>28</v>
      </c>
      <c r="AE376" t="str">
        <v>single</v>
      </c>
    </row>
    <row r="377" spans="1:31" hidden="1" x14ac:dyDescent="0.25">
      <c r="A377">
        <v>376</v>
      </c>
      <c r="B377">
        <v>2025</v>
      </c>
      <c r="C377">
        <v>8</v>
      </c>
      <c r="D377">
        <v>31</v>
      </c>
      <c r="E377">
        <v>7</v>
      </c>
      <c r="F377" t="str">
        <v>50DK730</v>
      </c>
      <c r="G377" s="61">
        <v>98</v>
      </c>
      <c r="H377" t="str">
        <v>hour</v>
      </c>
      <c r="I377">
        <v>0</v>
      </c>
      <c r="J377">
        <v>46</v>
      </c>
      <c r="K377" s="61">
        <v>5.5359999999999996</v>
      </c>
      <c r="L377" s="61">
        <v>542.52799999999991</v>
      </c>
      <c r="AA377">
        <v>31</v>
      </c>
      <c r="AB377">
        <v>11</v>
      </c>
      <c r="AC377" t="str">
        <v>99DT131</v>
      </c>
      <c r="AD377">
        <v>30</v>
      </c>
      <c r="AE377" t="str">
        <v>single</v>
      </c>
    </row>
    <row r="378" spans="1:31" hidden="1" x14ac:dyDescent="0.25">
      <c r="A378">
        <v>377</v>
      </c>
      <c r="B378">
        <v>2025</v>
      </c>
      <c r="C378">
        <v>8</v>
      </c>
      <c r="D378">
        <v>31</v>
      </c>
      <c r="E378">
        <v>7</v>
      </c>
      <c r="F378" t="str">
        <v>50EF902</v>
      </c>
      <c r="G378" s="61">
        <v>19.999999999999993</v>
      </c>
      <c r="H378" t="str">
        <v>hour</v>
      </c>
      <c r="I378">
        <v>0</v>
      </c>
      <c r="J378">
        <v>48</v>
      </c>
      <c r="K378" s="61">
        <v>6.25</v>
      </c>
      <c r="L378" s="61">
        <v>124.99999999999996</v>
      </c>
      <c r="AA378">
        <v>31</v>
      </c>
      <c r="AB378">
        <v>11</v>
      </c>
      <c r="AC378" t="str">
        <v>99FO779</v>
      </c>
      <c r="AD378">
        <v>29</v>
      </c>
      <c r="AE378" t="str">
        <v>single</v>
      </c>
    </row>
    <row r="379" spans="1:31" hidden="1" x14ac:dyDescent="0.25">
      <c r="A379">
        <v>378</v>
      </c>
      <c r="B379">
        <v>2025</v>
      </c>
      <c r="C379">
        <v>8</v>
      </c>
      <c r="D379">
        <v>31</v>
      </c>
      <c r="E379">
        <v>7</v>
      </c>
      <c r="F379" t="str">
        <v>53BB774</v>
      </c>
      <c r="G379" s="61">
        <v>25.999999999999986</v>
      </c>
      <c r="H379" t="str">
        <v>hour</v>
      </c>
      <c r="I379">
        <v>0</v>
      </c>
      <c r="J379">
        <v>52</v>
      </c>
      <c r="K379" s="61">
        <v>0</v>
      </c>
      <c r="L379" s="61">
        <v>0</v>
      </c>
      <c r="AA379">
        <v>31</v>
      </c>
      <c r="AB379">
        <v>11</v>
      </c>
      <c r="AC379" t="str">
        <v>99GZ612</v>
      </c>
      <c r="AD379">
        <v>30</v>
      </c>
      <c r="AE379" t="str">
        <v>single</v>
      </c>
    </row>
    <row r="380" spans="1:31" hidden="1" x14ac:dyDescent="0.25">
      <c r="A380">
        <v>379</v>
      </c>
      <c r="B380">
        <v>2025</v>
      </c>
      <c r="C380">
        <v>8</v>
      </c>
      <c r="D380">
        <v>31</v>
      </c>
      <c r="E380">
        <v>7</v>
      </c>
      <c r="F380" t="str">
        <v>55CB633</v>
      </c>
      <c r="G380" s="61">
        <v>100</v>
      </c>
      <c r="H380" t="str">
        <v>hour</v>
      </c>
      <c r="I380">
        <v>0</v>
      </c>
      <c r="J380">
        <v>56</v>
      </c>
      <c r="K380" s="61">
        <v>5.5359999999999996</v>
      </c>
      <c r="L380" s="61">
        <v>553.59999999999991</v>
      </c>
      <c r="AA380">
        <v>31</v>
      </c>
      <c r="AB380">
        <v>11</v>
      </c>
      <c r="AC380" t="str">
        <v>99HZ395</v>
      </c>
      <c r="AD380">
        <v>30</v>
      </c>
      <c r="AE380" t="str">
        <v>single</v>
      </c>
    </row>
    <row r="381" spans="1:31" hidden="1" x14ac:dyDescent="0.25">
      <c r="A381">
        <v>380</v>
      </c>
      <c r="B381">
        <v>2025</v>
      </c>
      <c r="C381">
        <v>8</v>
      </c>
      <c r="D381">
        <v>31</v>
      </c>
      <c r="E381">
        <v>7</v>
      </c>
      <c r="F381" t="str">
        <v>90LS143</v>
      </c>
      <c r="G381" s="61">
        <v>11.999999999999995</v>
      </c>
      <c r="H381" t="str">
        <v>hour</v>
      </c>
      <c r="I381">
        <v>0</v>
      </c>
      <c r="J381">
        <v>80</v>
      </c>
      <c r="K381" s="61">
        <v>5.5359999999999996</v>
      </c>
      <c r="L381" s="61">
        <v>66.43199999999996</v>
      </c>
      <c r="AA381">
        <v>31</v>
      </c>
      <c r="AB381">
        <v>11</v>
      </c>
      <c r="AC381" t="str">
        <v>99KL663</v>
      </c>
      <c r="AD381">
        <v>29</v>
      </c>
      <c r="AE381" t="str">
        <v>single</v>
      </c>
    </row>
    <row r="382" spans="1:31" hidden="1" x14ac:dyDescent="0.25">
      <c r="A382">
        <v>381</v>
      </c>
      <c r="B382">
        <v>2025</v>
      </c>
      <c r="C382">
        <v>8</v>
      </c>
      <c r="D382">
        <v>31</v>
      </c>
      <c r="E382">
        <v>7</v>
      </c>
      <c r="F382" t="str">
        <v>90SL686</v>
      </c>
      <c r="G382" s="61">
        <v>116.49989999999997</v>
      </c>
      <c r="H382" t="str">
        <v>hour</v>
      </c>
      <c r="I382">
        <v>0</v>
      </c>
      <c r="J382">
        <v>20</v>
      </c>
      <c r="K382" s="61">
        <v>5.8929999999999998</v>
      </c>
      <c r="L382" s="61">
        <v>686.53391069999975</v>
      </c>
      <c r="AA382">
        <v>31</v>
      </c>
      <c r="AB382">
        <v>11</v>
      </c>
      <c r="AC382" t="str">
        <v>99LM412</v>
      </c>
      <c r="AD382">
        <v>30</v>
      </c>
      <c r="AE382" t="str">
        <v>single</v>
      </c>
    </row>
    <row r="383" spans="1:31" hidden="1" x14ac:dyDescent="0.25">
      <c r="A383">
        <v>382</v>
      </c>
      <c r="B383">
        <v>2025</v>
      </c>
      <c r="C383">
        <v>8</v>
      </c>
      <c r="D383">
        <v>31</v>
      </c>
      <c r="E383">
        <v>7</v>
      </c>
      <c r="F383" t="str">
        <v>90VS316</v>
      </c>
      <c r="G383" s="61">
        <v>102</v>
      </c>
      <c r="H383" t="str">
        <v>hour</v>
      </c>
      <c r="I383">
        <v>0</v>
      </c>
      <c r="J383">
        <v>86</v>
      </c>
      <c r="K383" s="61">
        <v>5.5359999999999996</v>
      </c>
      <c r="L383" s="61">
        <v>564.67199999999991</v>
      </c>
      <c r="AA383">
        <v>31</v>
      </c>
      <c r="AB383">
        <v>11</v>
      </c>
      <c r="AC383" t="str">
        <v>99MN472</v>
      </c>
      <c r="AD383">
        <v>30</v>
      </c>
      <c r="AE383" t="str">
        <v>single</v>
      </c>
    </row>
    <row r="384" spans="1:31" hidden="1" x14ac:dyDescent="0.25">
      <c r="A384">
        <v>383</v>
      </c>
      <c r="B384">
        <v>2025</v>
      </c>
      <c r="C384">
        <v>8</v>
      </c>
      <c r="D384">
        <v>31</v>
      </c>
      <c r="E384">
        <v>7</v>
      </c>
      <c r="F384" t="str">
        <v>99BT339</v>
      </c>
      <c r="G384" s="61">
        <v>89.999999999999986</v>
      </c>
      <c r="H384" t="str">
        <v>hour</v>
      </c>
      <c r="I384">
        <v>0</v>
      </c>
      <c r="J384">
        <v>92</v>
      </c>
      <c r="K384" s="61">
        <v>5.5359999999999996</v>
      </c>
      <c r="L384" s="61">
        <v>498.2399999999999</v>
      </c>
      <c r="AA384">
        <v>31</v>
      </c>
      <c r="AB384">
        <v>11</v>
      </c>
      <c r="AC384" t="str">
        <v>99OR961</v>
      </c>
      <c r="AD384">
        <v>30</v>
      </c>
      <c r="AE384" t="str">
        <v>single</v>
      </c>
    </row>
    <row r="385" spans="1:31" x14ac:dyDescent="0.25">
      <c r="A385">
        <v>384</v>
      </c>
      <c r="B385">
        <v>2025</v>
      </c>
      <c r="C385">
        <v>8</v>
      </c>
      <c r="D385">
        <v>31</v>
      </c>
      <c r="E385">
        <v>7</v>
      </c>
      <c r="F385" t="str">
        <v>99EM163</v>
      </c>
      <c r="G385" s="61">
        <v>200</v>
      </c>
      <c r="H385" t="str">
        <v>hour</v>
      </c>
      <c r="I385">
        <v>0</v>
      </c>
      <c r="J385">
        <v>99</v>
      </c>
      <c r="K385" s="61">
        <v>5.5359999999999996</v>
      </c>
      <c r="L385" s="61">
        <v>1107.1999999999998</v>
      </c>
      <c r="AA385">
        <v>31</v>
      </c>
      <c r="AB385">
        <v>11</v>
      </c>
      <c r="AC385" t="str">
        <v>99UK314</v>
      </c>
      <c r="AD385">
        <v>30</v>
      </c>
      <c r="AE385" t="str">
        <v>single</v>
      </c>
    </row>
    <row r="386" spans="1:31" hidden="1" x14ac:dyDescent="0.25">
      <c r="A386">
        <v>385</v>
      </c>
      <c r="B386">
        <v>2025</v>
      </c>
      <c r="C386">
        <v>8</v>
      </c>
      <c r="D386">
        <v>31</v>
      </c>
      <c r="E386">
        <v>7</v>
      </c>
      <c r="F386" t="str">
        <v>99KL663</v>
      </c>
      <c r="G386" s="61">
        <v>57.999999999999993</v>
      </c>
      <c r="H386" t="str">
        <v>hour</v>
      </c>
      <c r="I386">
        <v>0</v>
      </c>
      <c r="J386">
        <v>105</v>
      </c>
      <c r="K386" s="61">
        <v>5.5359999999999996</v>
      </c>
      <c r="L386" s="61">
        <v>321.08799999999991</v>
      </c>
      <c r="AA386">
        <v>50</v>
      </c>
      <c r="AB386">
        <v>8</v>
      </c>
      <c r="AC386" t="str">
        <v>61AB256</v>
      </c>
      <c r="AD386">
        <v>29</v>
      </c>
      <c r="AE386" t="str">
        <v>single</v>
      </c>
    </row>
    <row r="387" spans="1:31" hidden="1" x14ac:dyDescent="0.25">
      <c r="A387">
        <v>386</v>
      </c>
      <c r="B387">
        <v>2025</v>
      </c>
      <c r="C387">
        <v>8</v>
      </c>
      <c r="D387">
        <v>31</v>
      </c>
      <c r="E387">
        <v>7</v>
      </c>
      <c r="F387" t="str">
        <v>99LM412</v>
      </c>
      <c r="G387" s="61">
        <v>54.000000000000014</v>
      </c>
      <c r="H387" t="str">
        <v>hour</v>
      </c>
      <c r="I387">
        <v>0</v>
      </c>
      <c r="J387">
        <v>115</v>
      </c>
      <c r="K387" s="61">
        <v>5.5357142857142856</v>
      </c>
      <c r="L387" s="61">
        <v>298.9285714285715</v>
      </c>
      <c r="AA387">
        <v>51</v>
      </c>
      <c r="AB387">
        <v>6</v>
      </c>
      <c r="AC387" t="str">
        <v>10AD015</v>
      </c>
      <c r="AD387">
        <v>8</v>
      </c>
      <c r="AE387" t="str">
        <v>single</v>
      </c>
    </row>
    <row r="388" spans="1:31" hidden="1" x14ac:dyDescent="0.25">
      <c r="A388">
        <v>387</v>
      </c>
      <c r="B388">
        <v>2025</v>
      </c>
      <c r="C388">
        <v>8</v>
      </c>
      <c r="D388">
        <v>31</v>
      </c>
      <c r="E388">
        <v>7</v>
      </c>
      <c r="F388" t="str">
        <v>99MN472</v>
      </c>
      <c r="G388" s="61">
        <v>93</v>
      </c>
      <c r="H388" t="str">
        <v>hour</v>
      </c>
      <c r="I388">
        <v>0</v>
      </c>
      <c r="J388">
        <v>107</v>
      </c>
      <c r="K388" s="61">
        <v>5.5359999999999996</v>
      </c>
      <c r="L388" s="61">
        <v>514.84799999999996</v>
      </c>
      <c r="AA388">
        <v>65</v>
      </c>
      <c r="AB388">
        <v>9</v>
      </c>
      <c r="AC388" t="str">
        <v>10BD252</v>
      </c>
      <c r="AD388">
        <v>8</v>
      </c>
      <c r="AE388" t="str">
        <v>single</v>
      </c>
    </row>
    <row r="389" spans="1:31" hidden="1" x14ac:dyDescent="0.25">
      <c r="A389">
        <v>388</v>
      </c>
      <c r="B389">
        <v>2025</v>
      </c>
      <c r="C389">
        <v>11</v>
      </c>
      <c r="D389">
        <v>46</v>
      </c>
      <c r="E389">
        <v>7</v>
      </c>
      <c r="F389" t="str">
        <v>110FY523</v>
      </c>
      <c r="G389" s="61">
        <v>28</v>
      </c>
      <c r="H389" t="str">
        <v>single</v>
      </c>
      <c r="I389">
        <v>0</v>
      </c>
      <c r="J389">
        <v>1</v>
      </c>
      <c r="K389" s="61">
        <v>214.28571428571428</v>
      </c>
      <c r="L389" s="61">
        <v>6000</v>
      </c>
      <c r="AA389">
        <v>65</v>
      </c>
      <c r="AB389">
        <v>9</v>
      </c>
      <c r="AC389" t="str">
        <v>01BA176</v>
      </c>
      <c r="AD389">
        <v>25</v>
      </c>
      <c r="AE389" t="str">
        <v>single</v>
      </c>
    </row>
    <row r="390" spans="1:31" hidden="1" x14ac:dyDescent="0.25">
      <c r="A390">
        <v>389</v>
      </c>
      <c r="B390">
        <v>2025</v>
      </c>
      <c r="C390">
        <v>11</v>
      </c>
      <c r="D390">
        <v>46</v>
      </c>
      <c r="E390">
        <v>7</v>
      </c>
      <c r="F390" t="str">
        <v>10AD801</v>
      </c>
      <c r="G390" s="61">
        <v>19</v>
      </c>
      <c r="H390" t="str">
        <v>single</v>
      </c>
      <c r="I390">
        <v>0</v>
      </c>
      <c r="J390">
        <v>4</v>
      </c>
      <c r="K390" s="61">
        <v>446.42857142857144</v>
      </c>
      <c r="L390" s="61">
        <v>8482.1428571428569</v>
      </c>
      <c r="AA390">
        <v>85</v>
      </c>
      <c r="AB390">
        <v>8</v>
      </c>
      <c r="AC390" t="str">
        <v>77SN951</v>
      </c>
      <c r="AD390">
        <v>29</v>
      </c>
      <c r="AE390" t="str">
        <v>single</v>
      </c>
    </row>
    <row r="391" spans="1:31" hidden="1" x14ac:dyDescent="0.25">
      <c r="A391">
        <v>390</v>
      </c>
      <c r="B391">
        <v>2025</v>
      </c>
      <c r="C391">
        <v>12</v>
      </c>
      <c r="D391">
        <v>50</v>
      </c>
      <c r="E391">
        <v>7</v>
      </c>
      <c r="F391" t="str">
        <v>61AB256</v>
      </c>
      <c r="G391" s="61">
        <v>28</v>
      </c>
      <c r="H391" t="str">
        <v>single</v>
      </c>
      <c r="I391">
        <v>0</v>
      </c>
      <c r="J391">
        <v>1</v>
      </c>
      <c r="K391" s="61">
        <v>357.14285714285717</v>
      </c>
      <c r="L391" s="61">
        <v>10000</v>
      </c>
      <c r="AA391">
        <v>95</v>
      </c>
      <c r="AB391">
        <v>7</v>
      </c>
      <c r="AC391" t="str">
        <v>54BA209</v>
      </c>
      <c r="AD391">
        <v>15.6</v>
      </c>
      <c r="AE391" t="str">
        <v>single</v>
      </c>
    </row>
    <row r="392" spans="1:31" hidden="1" x14ac:dyDescent="0.25">
      <c r="A392">
        <v>391</v>
      </c>
      <c r="B392">
        <v>2026</v>
      </c>
      <c r="C392">
        <v>2</v>
      </c>
      <c r="D392">
        <v>51</v>
      </c>
      <c r="E392">
        <v>7</v>
      </c>
      <c r="F392" t="str">
        <v>10AD071</v>
      </c>
      <c r="G392" s="61">
        <v>30</v>
      </c>
      <c r="H392" t="str">
        <v>single</v>
      </c>
      <c r="I392">
        <v>0</v>
      </c>
      <c r="J392">
        <v>5</v>
      </c>
      <c r="K392" s="61">
        <v>235.71</v>
      </c>
      <c r="L392" s="61">
        <v>7071.3</v>
      </c>
      <c r="AA392">
        <v>98</v>
      </c>
      <c r="AB392">
        <v>7</v>
      </c>
      <c r="AC392" t="str">
        <v>50BD416</v>
      </c>
      <c r="AD392">
        <v>30</v>
      </c>
      <c r="AE392" t="str">
        <v>single</v>
      </c>
    </row>
    <row r="393" spans="1:31" hidden="1" x14ac:dyDescent="0.25">
      <c r="A393">
        <v>392</v>
      </c>
      <c r="B393">
        <v>2026</v>
      </c>
      <c r="C393">
        <v>2</v>
      </c>
      <c r="D393">
        <v>51</v>
      </c>
      <c r="E393">
        <v>7</v>
      </c>
      <c r="F393" t="str">
        <v>10AD071</v>
      </c>
      <c r="G393" s="61">
        <v>4.0000000000000018</v>
      </c>
      <c r="H393" t="str">
        <v>hour</v>
      </c>
      <c r="I393">
        <v>0</v>
      </c>
      <c r="J393">
        <v>6</v>
      </c>
      <c r="K393" s="61">
        <v>26.071000000000002</v>
      </c>
      <c r="L393" s="61">
        <v>104.28400000000005</v>
      </c>
      <c r="AA393">
        <v>100</v>
      </c>
      <c r="AB393">
        <v>7</v>
      </c>
      <c r="AC393" t="str">
        <v>22AB273</v>
      </c>
      <c r="AD393">
        <v>29</v>
      </c>
      <c r="AE393" t="str">
        <v>single</v>
      </c>
    </row>
    <row r="394" spans="1:31" hidden="1" x14ac:dyDescent="0.25">
      <c r="A394">
        <v>393</v>
      </c>
      <c r="B394">
        <v>2025</v>
      </c>
      <c r="C394">
        <v>11</v>
      </c>
      <c r="D394">
        <v>65</v>
      </c>
      <c r="E394">
        <v>7</v>
      </c>
      <c r="F394" t="str">
        <v>01BA176</v>
      </c>
      <c r="G394" s="61">
        <v>27</v>
      </c>
      <c r="H394" t="str">
        <v>single</v>
      </c>
      <c r="I394">
        <v>0</v>
      </c>
      <c r="J394">
        <v>1</v>
      </c>
      <c r="K394" s="61">
        <v>196.42857142857142</v>
      </c>
      <c r="L394" s="61">
        <v>5303.5714285714284</v>
      </c>
      <c r="AA394">
        <v>110</v>
      </c>
      <c r="AB394">
        <v>6</v>
      </c>
      <c r="AC394" t="str">
        <v>99XC106</v>
      </c>
      <c r="AD394">
        <v>28</v>
      </c>
      <c r="AE394" t="str">
        <v>single</v>
      </c>
    </row>
    <row r="395" spans="1:31" hidden="1" x14ac:dyDescent="0.25">
      <c r="A395">
        <v>394</v>
      </c>
      <c r="B395">
        <v>2025</v>
      </c>
      <c r="C395">
        <v>11</v>
      </c>
      <c r="D395">
        <v>65</v>
      </c>
      <c r="E395">
        <v>7</v>
      </c>
      <c r="F395" t="str">
        <v>10BD252</v>
      </c>
      <c r="G395" s="61">
        <v>28</v>
      </c>
      <c r="H395" t="str">
        <v>single</v>
      </c>
      <c r="I395">
        <v>0</v>
      </c>
      <c r="J395">
        <v>2</v>
      </c>
      <c r="K395" s="61">
        <v>160.71</v>
      </c>
      <c r="L395" s="61">
        <v>4499.88</v>
      </c>
      <c r="AA395">
        <v>121</v>
      </c>
      <c r="AB395">
        <v>4</v>
      </c>
      <c r="AC395" t="str">
        <v>11BC843</v>
      </c>
      <c r="AD395">
        <v>27</v>
      </c>
      <c r="AE395" t="str">
        <v>single</v>
      </c>
    </row>
    <row r="396" spans="1:31" hidden="1" x14ac:dyDescent="0.25">
      <c r="A396">
        <v>395</v>
      </c>
      <c r="B396">
        <v>2025</v>
      </c>
      <c r="C396">
        <v>12</v>
      </c>
      <c r="D396">
        <v>85</v>
      </c>
      <c r="E396">
        <v>7</v>
      </c>
      <c r="F396" t="str">
        <v>77SN951</v>
      </c>
      <c r="G396" s="61">
        <v>27</v>
      </c>
      <c r="H396" t="str">
        <v>single</v>
      </c>
      <c r="I396">
        <v>0</v>
      </c>
      <c r="J396">
        <v>1</v>
      </c>
      <c r="K396" s="61">
        <v>446.43</v>
      </c>
      <c r="L396" s="61">
        <v>12053.61</v>
      </c>
      <c r="AA396">
        <v>141</v>
      </c>
      <c r="AB396">
        <v>3</v>
      </c>
      <c r="AC396" t="str">
        <v>10V288</v>
      </c>
      <c r="AD396">
        <v>19</v>
      </c>
      <c r="AE396" t="str">
        <v>single</v>
      </c>
    </row>
    <row r="397" spans="1:31" hidden="1" x14ac:dyDescent="0.25">
      <c r="A397">
        <v>396</v>
      </c>
      <c r="B397">
        <v>2025</v>
      </c>
      <c r="C397">
        <v>12</v>
      </c>
      <c r="D397">
        <v>85</v>
      </c>
      <c r="E397">
        <v>7</v>
      </c>
      <c r="F397" t="str">
        <v>77SN951</v>
      </c>
      <c r="G397" s="61">
        <v>55.999999999999986</v>
      </c>
      <c r="H397" t="str">
        <v>hour</v>
      </c>
      <c r="I397">
        <v>0</v>
      </c>
      <c r="J397">
        <v>2</v>
      </c>
      <c r="K397" s="61">
        <v>44.643000000000001</v>
      </c>
      <c r="L397" s="61">
        <v>2500.0079999999994</v>
      </c>
      <c r="AA397">
        <v>164</v>
      </c>
      <c r="AB397">
        <v>1</v>
      </c>
      <c r="AC397" t="str">
        <v>77DN323</v>
      </c>
      <c r="AD397">
        <v>14</v>
      </c>
      <c r="AE397" t="str">
        <v>single</v>
      </c>
    </row>
    <row r="398" spans="1:31" hidden="1" x14ac:dyDescent="0.25">
      <c r="A398">
        <v>397</v>
      </c>
      <c r="B398">
        <v>2026</v>
      </c>
      <c r="C398">
        <v>1</v>
      </c>
      <c r="D398">
        <v>95</v>
      </c>
      <c r="E398">
        <v>7</v>
      </c>
      <c r="F398" t="str">
        <v>54BA209</v>
      </c>
      <c r="G398" s="61">
        <v>15.6</v>
      </c>
      <c r="H398" t="str">
        <v>single</v>
      </c>
      <c r="I398">
        <v>0</v>
      </c>
      <c r="J398">
        <v>1</v>
      </c>
      <c r="K398" s="61">
        <v>285.70999999999998</v>
      </c>
      <c r="L398" s="61">
        <v>4457.076</v>
      </c>
      <c r="AA398">
        <v>172</v>
      </c>
      <c r="AB398">
        <v>1</v>
      </c>
      <c r="AC398" t="str">
        <v>22T727</v>
      </c>
      <c r="AD398">
        <v>19</v>
      </c>
      <c r="AE398" t="str">
        <v>single</v>
      </c>
    </row>
    <row r="399" spans="1:31" hidden="1" x14ac:dyDescent="0.25">
      <c r="A399">
        <v>398</v>
      </c>
      <c r="B399">
        <v>2026</v>
      </c>
      <c r="C399">
        <v>1</v>
      </c>
      <c r="D399">
        <v>98</v>
      </c>
      <c r="E399">
        <v>7</v>
      </c>
      <c r="F399" t="str">
        <v>50BD416</v>
      </c>
      <c r="G399" s="61">
        <v>30</v>
      </c>
      <c r="H399" t="str">
        <v>single</v>
      </c>
      <c r="I399">
        <v>0</v>
      </c>
      <c r="J399">
        <v>1</v>
      </c>
      <c r="K399" s="61">
        <v>107.14</v>
      </c>
      <c r="L399" s="61">
        <v>3214.2</v>
      </c>
      <c r="AA399">
        <v>51</v>
      </c>
      <c r="AB399">
        <v>6</v>
      </c>
      <c r="AC399" t="str">
        <v>10AD071</v>
      </c>
      <c r="AD399">
        <v>27</v>
      </c>
      <c r="AE399" t="str">
        <v>single</v>
      </c>
    </row>
    <row r="400" spans="1:31" hidden="1" x14ac:dyDescent="0.25">
      <c r="A400">
        <v>399</v>
      </c>
      <c r="B400">
        <v>2026</v>
      </c>
      <c r="C400">
        <v>1</v>
      </c>
      <c r="D400">
        <v>98</v>
      </c>
      <c r="E400">
        <v>7</v>
      </c>
      <c r="F400" t="str">
        <v>50BD416</v>
      </c>
      <c r="G400" s="61">
        <v>8.0000000000000071</v>
      </c>
      <c r="H400" t="str">
        <v>hour</v>
      </c>
      <c r="I400">
        <v>0</v>
      </c>
      <c r="J400">
        <v>2</v>
      </c>
      <c r="K400" s="61">
        <v>10.714</v>
      </c>
      <c r="L400" s="61">
        <v>85.712000000000074</v>
      </c>
      <c r="AA400">
        <v>102</v>
      </c>
      <c r="AB400">
        <v>6</v>
      </c>
      <c r="AC400" t="str">
        <v>54BM823</v>
      </c>
      <c r="AD400">
        <v>25</v>
      </c>
      <c r="AE400" t="str">
        <v>single</v>
      </c>
    </row>
    <row r="401" spans="1:31" hidden="1" x14ac:dyDescent="0.25">
      <c r="A401">
        <v>400</v>
      </c>
      <c r="B401">
        <v>2026</v>
      </c>
      <c r="C401">
        <v>1</v>
      </c>
      <c r="D401">
        <v>100</v>
      </c>
      <c r="E401">
        <v>7</v>
      </c>
      <c r="F401" t="str">
        <v>22AB273</v>
      </c>
      <c r="G401" s="61">
        <v>29</v>
      </c>
      <c r="H401" t="str">
        <v>single</v>
      </c>
      <c r="I401">
        <v>0</v>
      </c>
      <c r="J401">
        <v>1</v>
      </c>
      <c r="K401" s="61">
        <v>196.42857142857142</v>
      </c>
      <c r="L401" s="61">
        <v>5696.4285714285706</v>
      </c>
      <c r="AA401">
        <v>102</v>
      </c>
      <c r="AB401">
        <v>6</v>
      </c>
      <c r="AC401" t="str">
        <v>01BT754</v>
      </c>
      <c r="AD401">
        <v>25</v>
      </c>
      <c r="AE401" t="str">
        <v>single</v>
      </c>
    </row>
    <row r="402" spans="1:31" hidden="1" x14ac:dyDescent="0.25">
      <c r="A402">
        <v>401</v>
      </c>
      <c r="B402">
        <v>2026</v>
      </c>
      <c r="C402">
        <v>2</v>
      </c>
      <c r="D402">
        <v>102</v>
      </c>
      <c r="E402">
        <v>7</v>
      </c>
      <c r="F402" t="str">
        <v>54BM823</v>
      </c>
      <c r="G402" s="61">
        <v>24</v>
      </c>
      <c r="H402" t="str">
        <v>single</v>
      </c>
      <c r="I402">
        <v>0</v>
      </c>
      <c r="J402">
        <v>5</v>
      </c>
      <c r="K402" s="61">
        <v>125</v>
      </c>
      <c r="L402" s="61">
        <v>3000</v>
      </c>
      <c r="AA402">
        <v>102</v>
      </c>
      <c r="AB402">
        <v>6</v>
      </c>
      <c r="AC402" t="str">
        <v>10MF640</v>
      </c>
      <c r="AD402">
        <v>30</v>
      </c>
      <c r="AE402" t="str">
        <v>single</v>
      </c>
    </row>
    <row r="403" spans="1:31" hidden="1" x14ac:dyDescent="0.25">
      <c r="A403">
        <v>402</v>
      </c>
      <c r="B403">
        <v>2026</v>
      </c>
      <c r="C403">
        <v>2</v>
      </c>
      <c r="D403">
        <v>102</v>
      </c>
      <c r="E403">
        <v>7</v>
      </c>
      <c r="F403" t="str">
        <v>01BT754</v>
      </c>
      <c r="G403" s="61">
        <v>24</v>
      </c>
      <c r="H403" t="str">
        <v>single</v>
      </c>
      <c r="I403">
        <v>0</v>
      </c>
      <c r="J403">
        <v>6</v>
      </c>
      <c r="K403" s="61">
        <v>125</v>
      </c>
      <c r="L403" s="61">
        <v>3000</v>
      </c>
      <c r="AA403">
        <v>163</v>
      </c>
      <c r="AB403">
        <v>1</v>
      </c>
      <c r="AC403" t="str">
        <v>110FA930</v>
      </c>
      <c r="AD403">
        <v>14</v>
      </c>
      <c r="AE403" t="str">
        <v>single</v>
      </c>
    </row>
    <row r="404" spans="1:31" hidden="1" x14ac:dyDescent="0.25">
      <c r="A404">
        <v>403</v>
      </c>
      <c r="B404">
        <v>2026</v>
      </c>
      <c r="C404">
        <v>2</v>
      </c>
      <c r="D404">
        <v>102</v>
      </c>
      <c r="E404">
        <v>7</v>
      </c>
      <c r="F404" t="str">
        <v>10MF640</v>
      </c>
      <c r="G404" s="61">
        <v>30</v>
      </c>
      <c r="H404" t="str">
        <v>single</v>
      </c>
      <c r="I404">
        <v>0</v>
      </c>
      <c r="J404">
        <v>3</v>
      </c>
      <c r="K404" s="61">
        <v>125</v>
      </c>
      <c r="L404" s="61">
        <v>3750</v>
      </c>
      <c r="AA404">
        <v>31</v>
      </c>
      <c r="AB404">
        <v>12</v>
      </c>
      <c r="AC404" t="str">
        <v>10NS184</v>
      </c>
      <c r="AD404">
        <v>30</v>
      </c>
      <c r="AE404" t="str">
        <v>single</v>
      </c>
    </row>
    <row r="405" spans="1:31" hidden="1" x14ac:dyDescent="0.25">
      <c r="A405">
        <v>404</v>
      </c>
      <c r="B405">
        <v>2026</v>
      </c>
      <c r="C405">
        <v>2</v>
      </c>
      <c r="D405">
        <v>102</v>
      </c>
      <c r="E405">
        <v>7</v>
      </c>
      <c r="F405" t="str">
        <v>10MF640</v>
      </c>
      <c r="G405" s="61">
        <v>15</v>
      </c>
      <c r="H405" t="str">
        <v>hour</v>
      </c>
      <c r="I405">
        <v>0</v>
      </c>
      <c r="J405">
        <v>4</v>
      </c>
      <c r="K405" s="61">
        <v>12.5</v>
      </c>
      <c r="L405" s="61">
        <v>187.5</v>
      </c>
      <c r="AA405">
        <v>31</v>
      </c>
      <c r="AB405">
        <v>12</v>
      </c>
      <c r="AC405" t="str">
        <v>10RN527</v>
      </c>
      <c r="AD405">
        <v>30</v>
      </c>
      <c r="AE405" t="str">
        <v>single</v>
      </c>
    </row>
    <row r="406" spans="1:31" hidden="1" x14ac:dyDescent="0.25">
      <c r="A406">
        <v>405</v>
      </c>
      <c r="B406">
        <v>2026</v>
      </c>
      <c r="C406">
        <v>2</v>
      </c>
      <c r="D406">
        <v>110</v>
      </c>
      <c r="E406">
        <v>7</v>
      </c>
      <c r="F406" t="str">
        <v>99XC106</v>
      </c>
      <c r="G406" s="61">
        <v>10</v>
      </c>
      <c r="H406" t="str">
        <v>single</v>
      </c>
      <c r="I406">
        <v>0</v>
      </c>
      <c r="J406">
        <v>1</v>
      </c>
      <c r="K406" s="61">
        <v>221.42857142857142</v>
      </c>
      <c r="L406" s="61">
        <v>2214.2857142857142</v>
      </c>
      <c r="AA406">
        <v>31</v>
      </c>
      <c r="AB406">
        <v>12</v>
      </c>
      <c r="AC406" t="str">
        <v>17BE358</v>
      </c>
      <c r="AD406">
        <v>26</v>
      </c>
      <c r="AE406" t="str">
        <v>single</v>
      </c>
    </row>
    <row r="407" spans="1:31" hidden="1" x14ac:dyDescent="0.25">
      <c r="A407">
        <v>406</v>
      </c>
      <c r="B407">
        <v>2025</v>
      </c>
      <c r="C407">
        <v>9</v>
      </c>
      <c r="D407">
        <v>31</v>
      </c>
      <c r="E407">
        <v>8</v>
      </c>
      <c r="F407" t="str">
        <v>10RN527</v>
      </c>
      <c r="G407" s="61">
        <v>30</v>
      </c>
      <c r="H407" t="str">
        <v>single</v>
      </c>
      <c r="I407">
        <v>0</v>
      </c>
      <c r="J407">
        <v>32</v>
      </c>
      <c r="K407" s="61">
        <v>62.5</v>
      </c>
      <c r="L407" s="61">
        <v>1875</v>
      </c>
      <c r="AA407">
        <v>31</v>
      </c>
      <c r="AB407">
        <v>12</v>
      </c>
      <c r="AC407" t="str">
        <v>21BF442</v>
      </c>
      <c r="AD407">
        <v>29</v>
      </c>
      <c r="AE407" t="str">
        <v>single</v>
      </c>
    </row>
    <row r="408" spans="1:31" hidden="1" x14ac:dyDescent="0.25">
      <c r="A408">
        <v>407</v>
      </c>
      <c r="B408">
        <v>2025</v>
      </c>
      <c r="C408">
        <v>9</v>
      </c>
      <c r="D408">
        <v>31</v>
      </c>
      <c r="E408">
        <v>8</v>
      </c>
      <c r="F408" t="str">
        <v>50BD165</v>
      </c>
      <c r="G408" s="61">
        <v>29</v>
      </c>
      <c r="H408" t="str">
        <v>single</v>
      </c>
      <c r="I408">
        <v>0</v>
      </c>
      <c r="J408">
        <v>41</v>
      </c>
      <c r="K408" s="61">
        <v>55.36</v>
      </c>
      <c r="L408" s="61">
        <v>1605.44</v>
      </c>
      <c r="AA408">
        <v>31</v>
      </c>
      <c r="AB408">
        <v>12</v>
      </c>
      <c r="AC408" t="str">
        <v>50DK730</v>
      </c>
      <c r="AD408">
        <v>30</v>
      </c>
      <c r="AE408" t="str">
        <v>single</v>
      </c>
    </row>
    <row r="409" spans="1:31" hidden="1" x14ac:dyDescent="0.25">
      <c r="A409">
        <v>408</v>
      </c>
      <c r="B409">
        <v>2025</v>
      </c>
      <c r="C409">
        <v>9</v>
      </c>
      <c r="D409">
        <v>31</v>
      </c>
      <c r="E409">
        <v>8</v>
      </c>
      <c r="F409" t="str">
        <v>50BN724</v>
      </c>
      <c r="G409" s="61">
        <v>30</v>
      </c>
      <c r="H409" t="str">
        <v>single</v>
      </c>
      <c r="I409">
        <v>0</v>
      </c>
      <c r="J409">
        <v>43</v>
      </c>
      <c r="K409" s="61">
        <v>66.069999999999993</v>
      </c>
      <c r="L409" s="61">
        <v>1982.1</v>
      </c>
      <c r="AA409">
        <v>31</v>
      </c>
      <c r="AB409">
        <v>12</v>
      </c>
      <c r="AC409" t="str">
        <v>50EF902</v>
      </c>
      <c r="AD409">
        <v>29</v>
      </c>
      <c r="AE409" t="str">
        <v>single</v>
      </c>
    </row>
    <row r="410" spans="1:31" hidden="1" x14ac:dyDescent="0.25">
      <c r="A410">
        <v>409</v>
      </c>
      <c r="B410">
        <v>2025</v>
      </c>
      <c r="C410">
        <v>9</v>
      </c>
      <c r="D410">
        <v>31</v>
      </c>
      <c r="E410">
        <v>8</v>
      </c>
      <c r="F410" t="str">
        <v>50CN929</v>
      </c>
      <c r="G410" s="61">
        <v>29</v>
      </c>
      <c r="H410" t="str">
        <v>single</v>
      </c>
      <c r="I410">
        <v>0</v>
      </c>
      <c r="J410">
        <v>45</v>
      </c>
      <c r="K410" s="61">
        <v>55.36</v>
      </c>
      <c r="L410" s="61">
        <v>1605.44</v>
      </c>
      <c r="AA410">
        <v>31</v>
      </c>
      <c r="AB410">
        <v>12</v>
      </c>
      <c r="AC410" t="str">
        <v>50FB264</v>
      </c>
      <c r="AD410">
        <v>31</v>
      </c>
      <c r="AE410" t="str">
        <v>single</v>
      </c>
    </row>
    <row r="411" spans="1:31" hidden="1" x14ac:dyDescent="0.25">
      <c r="A411">
        <v>410</v>
      </c>
      <c r="B411">
        <v>2025</v>
      </c>
      <c r="C411">
        <v>9</v>
      </c>
      <c r="D411">
        <v>31</v>
      </c>
      <c r="E411">
        <v>8</v>
      </c>
      <c r="F411" t="str">
        <v>50DK730</v>
      </c>
      <c r="G411" s="61">
        <v>29</v>
      </c>
      <c r="H411" t="str">
        <v>single</v>
      </c>
      <c r="I411">
        <v>0</v>
      </c>
      <c r="J411">
        <v>47</v>
      </c>
      <c r="K411" s="61">
        <v>55.36</v>
      </c>
      <c r="L411" s="61">
        <v>1605.44</v>
      </c>
      <c r="AA411">
        <v>31</v>
      </c>
      <c r="AB411">
        <v>12</v>
      </c>
      <c r="AC411" t="str">
        <v>55CB633</v>
      </c>
      <c r="AD411">
        <v>29</v>
      </c>
      <c r="AE411" t="str">
        <v>single</v>
      </c>
    </row>
    <row r="412" spans="1:31" hidden="1" x14ac:dyDescent="0.25">
      <c r="A412">
        <v>411</v>
      </c>
      <c r="B412">
        <v>2025</v>
      </c>
      <c r="C412">
        <v>9</v>
      </c>
      <c r="D412">
        <v>31</v>
      </c>
      <c r="E412">
        <v>8</v>
      </c>
      <c r="F412" t="str">
        <v>50EF902</v>
      </c>
      <c r="G412" s="61">
        <v>30</v>
      </c>
      <c r="H412" t="str">
        <v>single</v>
      </c>
      <c r="I412">
        <v>0</v>
      </c>
      <c r="J412">
        <v>49</v>
      </c>
      <c r="K412" s="61">
        <v>62.5</v>
      </c>
      <c r="L412" s="61">
        <v>1875</v>
      </c>
      <c r="AA412">
        <v>31</v>
      </c>
      <c r="AB412">
        <v>12</v>
      </c>
      <c r="AC412" t="str">
        <v>57BV285</v>
      </c>
      <c r="AD412">
        <v>30</v>
      </c>
      <c r="AE412" t="str">
        <v>single</v>
      </c>
    </row>
    <row r="413" spans="1:31" hidden="1" x14ac:dyDescent="0.25">
      <c r="A413">
        <v>412</v>
      </c>
      <c r="B413">
        <v>2025</v>
      </c>
      <c r="C413">
        <v>9</v>
      </c>
      <c r="D413">
        <v>31</v>
      </c>
      <c r="E413">
        <v>8</v>
      </c>
      <c r="F413" t="str">
        <v>55CB633</v>
      </c>
      <c r="G413" s="61">
        <v>27</v>
      </c>
      <c r="H413" t="str">
        <v>single</v>
      </c>
      <c r="I413">
        <v>0</v>
      </c>
      <c r="J413">
        <v>57</v>
      </c>
      <c r="K413" s="61">
        <v>55.36</v>
      </c>
      <c r="L413" s="61">
        <v>1494.72</v>
      </c>
      <c r="AA413">
        <v>31</v>
      </c>
      <c r="AB413">
        <v>12</v>
      </c>
      <c r="AC413" t="str">
        <v>77AT386</v>
      </c>
      <c r="AD413">
        <v>30</v>
      </c>
      <c r="AE413" t="str">
        <v>single</v>
      </c>
    </row>
    <row r="414" spans="1:31" hidden="1" x14ac:dyDescent="0.25">
      <c r="A414">
        <v>413</v>
      </c>
      <c r="B414">
        <v>2025</v>
      </c>
      <c r="C414">
        <v>9</v>
      </c>
      <c r="D414">
        <v>31</v>
      </c>
      <c r="E414">
        <v>8</v>
      </c>
      <c r="F414" t="str">
        <v>77AT386</v>
      </c>
      <c r="G414" s="61">
        <v>30</v>
      </c>
      <c r="H414" t="str">
        <v>single</v>
      </c>
      <c r="I414">
        <v>0</v>
      </c>
      <c r="J414">
        <v>13</v>
      </c>
      <c r="K414" s="61">
        <v>46.67</v>
      </c>
      <c r="L414" s="61">
        <v>1400.1000000000001</v>
      </c>
      <c r="AA414">
        <v>31</v>
      </c>
      <c r="AB414">
        <v>12</v>
      </c>
      <c r="AC414" t="str">
        <v>77DK884</v>
      </c>
      <c r="AD414">
        <v>10</v>
      </c>
      <c r="AE414" t="str">
        <v>single</v>
      </c>
    </row>
    <row r="415" spans="1:31" hidden="1" x14ac:dyDescent="0.25">
      <c r="A415">
        <v>414</v>
      </c>
      <c r="B415">
        <v>2025</v>
      </c>
      <c r="C415">
        <v>9</v>
      </c>
      <c r="D415">
        <v>31</v>
      </c>
      <c r="E415">
        <v>8</v>
      </c>
      <c r="F415" t="str">
        <v>77QE133</v>
      </c>
      <c r="G415" s="61">
        <v>8</v>
      </c>
      <c r="H415" t="str">
        <v>single</v>
      </c>
      <c r="I415">
        <v>0</v>
      </c>
      <c r="J415">
        <v>69</v>
      </c>
      <c r="K415" s="61">
        <v>73.33</v>
      </c>
      <c r="L415" s="61">
        <v>586.64</v>
      </c>
      <c r="AA415">
        <v>31</v>
      </c>
      <c r="AB415">
        <v>12</v>
      </c>
      <c r="AC415" t="str">
        <v>77MU119</v>
      </c>
      <c r="AD415">
        <v>30</v>
      </c>
      <c r="AE415" t="str">
        <v>single</v>
      </c>
    </row>
    <row r="416" spans="1:31" hidden="1" x14ac:dyDescent="0.25">
      <c r="A416">
        <v>415</v>
      </c>
      <c r="B416">
        <v>2025</v>
      </c>
      <c r="C416">
        <v>9</v>
      </c>
      <c r="D416">
        <v>31</v>
      </c>
      <c r="E416">
        <v>8</v>
      </c>
      <c r="F416" t="str">
        <v>77SR538</v>
      </c>
      <c r="G416" s="61">
        <v>30</v>
      </c>
      <c r="H416" t="str">
        <v>single</v>
      </c>
      <c r="I416">
        <v>0</v>
      </c>
      <c r="J416">
        <v>73</v>
      </c>
      <c r="K416" s="61">
        <v>73.33</v>
      </c>
      <c r="L416" s="61">
        <v>2199.9</v>
      </c>
      <c r="AA416">
        <v>31</v>
      </c>
      <c r="AB416">
        <v>12</v>
      </c>
      <c r="AC416" t="str">
        <v>77PV619</v>
      </c>
      <c r="AD416">
        <v>30</v>
      </c>
      <c r="AE416" t="str">
        <v>single</v>
      </c>
    </row>
    <row r="417" spans="1:31" hidden="1" x14ac:dyDescent="0.25">
      <c r="A417">
        <v>416</v>
      </c>
      <c r="B417">
        <v>2025</v>
      </c>
      <c r="C417">
        <v>9</v>
      </c>
      <c r="D417">
        <v>31</v>
      </c>
      <c r="E417">
        <v>8</v>
      </c>
      <c r="F417" t="str">
        <v>77TG971</v>
      </c>
      <c r="G417" s="61">
        <v>29</v>
      </c>
      <c r="H417" t="str">
        <v>single</v>
      </c>
      <c r="I417">
        <v>0</v>
      </c>
      <c r="J417">
        <v>75</v>
      </c>
      <c r="K417" s="61">
        <v>55.36</v>
      </c>
      <c r="L417" s="61">
        <v>1605.44</v>
      </c>
      <c r="AA417">
        <v>31</v>
      </c>
      <c r="AB417">
        <v>12</v>
      </c>
      <c r="AC417" t="str">
        <v>77TG971</v>
      </c>
      <c r="AD417">
        <v>30</v>
      </c>
      <c r="AE417" t="str">
        <v>single</v>
      </c>
    </row>
    <row r="418" spans="1:31" hidden="1" x14ac:dyDescent="0.25">
      <c r="A418">
        <v>417</v>
      </c>
      <c r="B418">
        <v>2025</v>
      </c>
      <c r="C418">
        <v>9</v>
      </c>
      <c r="D418">
        <v>31</v>
      </c>
      <c r="E418">
        <v>8</v>
      </c>
      <c r="F418" t="str">
        <v>77UR032</v>
      </c>
      <c r="G418" s="61">
        <v>27</v>
      </c>
      <c r="H418" t="str">
        <v>single</v>
      </c>
      <c r="I418">
        <v>0</v>
      </c>
      <c r="J418">
        <v>77</v>
      </c>
      <c r="K418" s="61">
        <v>55.36</v>
      </c>
      <c r="L418" s="61">
        <v>1494.72</v>
      </c>
      <c r="AA418">
        <v>31</v>
      </c>
      <c r="AB418">
        <v>12</v>
      </c>
      <c r="AC418" t="str">
        <v>77UR032</v>
      </c>
      <c r="AD418">
        <v>28</v>
      </c>
      <c r="AE418" t="str">
        <v>single</v>
      </c>
    </row>
    <row r="419" spans="1:31" hidden="1" x14ac:dyDescent="0.25">
      <c r="A419">
        <v>418</v>
      </c>
      <c r="B419">
        <v>2025</v>
      </c>
      <c r="C419">
        <v>9</v>
      </c>
      <c r="D419">
        <v>31</v>
      </c>
      <c r="E419">
        <v>8</v>
      </c>
      <c r="F419" t="str">
        <v>77VL420</v>
      </c>
      <c r="G419" s="61">
        <v>15</v>
      </c>
      <c r="H419" t="str">
        <v>single</v>
      </c>
      <c r="I419">
        <v>0</v>
      </c>
      <c r="J419">
        <v>118</v>
      </c>
      <c r="K419" s="61">
        <v>275</v>
      </c>
      <c r="L419" s="61">
        <v>4125</v>
      </c>
      <c r="AA419">
        <v>31</v>
      </c>
      <c r="AB419">
        <v>12</v>
      </c>
      <c r="AC419" t="str">
        <v>77VL420</v>
      </c>
      <c r="AD419">
        <v>30</v>
      </c>
      <c r="AE419" t="str">
        <v>single</v>
      </c>
    </row>
    <row r="420" spans="1:31" hidden="1" x14ac:dyDescent="0.25">
      <c r="A420">
        <v>419</v>
      </c>
      <c r="B420">
        <v>2025</v>
      </c>
      <c r="C420">
        <v>9</v>
      </c>
      <c r="D420">
        <v>31</v>
      </c>
      <c r="E420">
        <v>8</v>
      </c>
      <c r="F420" t="str">
        <v>90LS143</v>
      </c>
      <c r="G420" s="61">
        <v>27</v>
      </c>
      <c r="H420" t="str">
        <v>single</v>
      </c>
      <c r="I420">
        <v>0</v>
      </c>
      <c r="J420">
        <v>81</v>
      </c>
      <c r="K420" s="61">
        <v>55.36</v>
      </c>
      <c r="L420" s="61">
        <v>1494.72</v>
      </c>
      <c r="AA420">
        <v>31</v>
      </c>
      <c r="AB420">
        <v>12</v>
      </c>
      <c r="AC420" t="str">
        <v>90EC344</v>
      </c>
      <c r="AD420">
        <v>29</v>
      </c>
      <c r="AE420" t="str">
        <v>single</v>
      </c>
    </row>
    <row r="421" spans="1:31" hidden="1" x14ac:dyDescent="0.25">
      <c r="A421">
        <v>420</v>
      </c>
      <c r="B421">
        <v>2025</v>
      </c>
      <c r="C421">
        <v>9</v>
      </c>
      <c r="D421">
        <v>31</v>
      </c>
      <c r="E421">
        <v>8</v>
      </c>
      <c r="F421" t="str">
        <v>90OE402</v>
      </c>
      <c r="G421" s="61">
        <v>30</v>
      </c>
      <c r="H421" t="str">
        <v>single</v>
      </c>
      <c r="I421">
        <v>0</v>
      </c>
      <c r="J421">
        <v>83</v>
      </c>
      <c r="K421" s="61">
        <v>73.333333333333329</v>
      </c>
      <c r="L421" s="61">
        <v>2200</v>
      </c>
      <c r="AA421">
        <v>31</v>
      </c>
      <c r="AB421">
        <v>12</v>
      </c>
      <c r="AC421" t="str">
        <v>90LS143</v>
      </c>
      <c r="AD421">
        <v>30</v>
      </c>
      <c r="AE421" t="str">
        <v>single</v>
      </c>
    </row>
    <row r="422" spans="1:31" hidden="1" x14ac:dyDescent="0.25">
      <c r="A422">
        <v>421</v>
      </c>
      <c r="B422">
        <v>2025</v>
      </c>
      <c r="C422">
        <v>9</v>
      </c>
      <c r="D422">
        <v>31</v>
      </c>
      <c r="E422">
        <v>8</v>
      </c>
      <c r="F422" t="str">
        <v>90PY548</v>
      </c>
      <c r="G422" s="61">
        <v>30</v>
      </c>
      <c r="H422" t="str">
        <v>single</v>
      </c>
      <c r="I422">
        <v>0</v>
      </c>
      <c r="J422">
        <v>85</v>
      </c>
      <c r="K422" s="61">
        <v>40</v>
      </c>
      <c r="L422" s="61">
        <v>1200</v>
      </c>
      <c r="AA422">
        <v>31</v>
      </c>
      <c r="AB422">
        <v>12</v>
      </c>
      <c r="AC422" t="str">
        <v>90OE402</v>
      </c>
      <c r="AD422">
        <v>30</v>
      </c>
      <c r="AE422" t="str">
        <v>single</v>
      </c>
    </row>
    <row r="423" spans="1:31" hidden="1" x14ac:dyDescent="0.25">
      <c r="A423">
        <v>422</v>
      </c>
      <c r="B423">
        <v>2025</v>
      </c>
      <c r="C423">
        <v>9</v>
      </c>
      <c r="D423">
        <v>31</v>
      </c>
      <c r="E423">
        <v>8</v>
      </c>
      <c r="F423" t="str">
        <v>90SL686</v>
      </c>
      <c r="G423" s="61">
        <v>11</v>
      </c>
      <c r="H423" t="str">
        <v>single</v>
      </c>
      <c r="I423">
        <v>0</v>
      </c>
      <c r="J423">
        <v>19</v>
      </c>
      <c r="K423" s="61">
        <v>58.93</v>
      </c>
      <c r="L423" s="61">
        <v>648.23</v>
      </c>
      <c r="AA423">
        <v>31</v>
      </c>
      <c r="AB423">
        <v>12</v>
      </c>
      <c r="AC423" t="str">
        <v>90PY548</v>
      </c>
      <c r="AD423">
        <v>30</v>
      </c>
      <c r="AE423" t="str">
        <v>single</v>
      </c>
    </row>
    <row r="424" spans="1:31" hidden="1" x14ac:dyDescent="0.25">
      <c r="A424">
        <v>423</v>
      </c>
      <c r="B424">
        <v>2025</v>
      </c>
      <c r="C424">
        <v>9</v>
      </c>
      <c r="D424">
        <v>31</v>
      </c>
      <c r="E424">
        <v>8</v>
      </c>
      <c r="F424" t="str">
        <v>90VS316</v>
      </c>
      <c r="G424" s="61">
        <v>29</v>
      </c>
      <c r="H424" t="str">
        <v>single</v>
      </c>
      <c r="I424">
        <v>0</v>
      </c>
      <c r="J424">
        <v>87</v>
      </c>
      <c r="K424" s="61">
        <v>55.36</v>
      </c>
      <c r="L424" s="61">
        <v>1605.44</v>
      </c>
      <c r="AA424">
        <v>31</v>
      </c>
      <c r="AB424">
        <v>12</v>
      </c>
      <c r="AC424" t="str">
        <v>90UX686</v>
      </c>
      <c r="AD424">
        <v>30</v>
      </c>
      <c r="AE424" t="str">
        <v>single</v>
      </c>
    </row>
    <row r="425" spans="1:31" hidden="1" x14ac:dyDescent="0.25">
      <c r="A425">
        <v>424</v>
      </c>
      <c r="B425">
        <v>2025</v>
      </c>
      <c r="C425">
        <v>9</v>
      </c>
      <c r="D425">
        <v>31</v>
      </c>
      <c r="E425">
        <v>8</v>
      </c>
      <c r="F425" t="str">
        <v>99BT339</v>
      </c>
      <c r="G425" s="61">
        <v>29</v>
      </c>
      <c r="H425" t="str">
        <v>single</v>
      </c>
      <c r="I425">
        <v>0</v>
      </c>
      <c r="J425">
        <v>93</v>
      </c>
      <c r="K425" s="61">
        <v>55.36</v>
      </c>
      <c r="L425" s="61">
        <v>1605.44</v>
      </c>
      <c r="AA425">
        <v>31</v>
      </c>
      <c r="AB425">
        <v>12</v>
      </c>
      <c r="AC425" t="str">
        <v>99BT339</v>
      </c>
      <c r="AD425">
        <v>30</v>
      </c>
      <c r="AE425" t="str">
        <v>single</v>
      </c>
    </row>
    <row r="426" spans="1:31" hidden="1" x14ac:dyDescent="0.25">
      <c r="A426">
        <v>425</v>
      </c>
      <c r="B426">
        <v>2025</v>
      </c>
      <c r="C426">
        <v>9</v>
      </c>
      <c r="D426">
        <v>31</v>
      </c>
      <c r="E426">
        <v>8</v>
      </c>
      <c r="F426" t="str">
        <v>99CN447</v>
      </c>
      <c r="G426" s="61">
        <v>24</v>
      </c>
      <c r="H426" t="str">
        <v>single</v>
      </c>
      <c r="I426">
        <v>0</v>
      </c>
      <c r="J426">
        <v>94</v>
      </c>
      <c r="K426" s="61">
        <v>55.36</v>
      </c>
      <c r="L426" s="61">
        <v>1328.6399999999999</v>
      </c>
      <c r="AA426">
        <v>31</v>
      </c>
      <c r="AB426">
        <v>12</v>
      </c>
      <c r="AC426" t="str">
        <v>99CN447</v>
      </c>
      <c r="AD426">
        <v>29</v>
      </c>
      <c r="AE426" t="str">
        <v>single</v>
      </c>
    </row>
    <row r="427" spans="1:31" hidden="1" x14ac:dyDescent="0.25">
      <c r="A427">
        <v>426</v>
      </c>
      <c r="B427">
        <v>2025</v>
      </c>
      <c r="C427">
        <v>9</v>
      </c>
      <c r="D427">
        <v>31</v>
      </c>
      <c r="E427">
        <v>8</v>
      </c>
      <c r="F427" t="str">
        <v>99FO779</v>
      </c>
      <c r="G427" s="61">
        <v>22</v>
      </c>
      <c r="H427" t="str">
        <v>single</v>
      </c>
      <c r="I427">
        <v>0</v>
      </c>
      <c r="J427">
        <v>101</v>
      </c>
      <c r="K427" s="61">
        <v>66.071428571428569</v>
      </c>
      <c r="L427" s="61">
        <v>1453.5714285714284</v>
      </c>
      <c r="AA427">
        <v>31</v>
      </c>
      <c r="AB427">
        <v>12</v>
      </c>
      <c r="AC427" t="str">
        <v>99DT131</v>
      </c>
      <c r="AD427">
        <v>30</v>
      </c>
      <c r="AE427" t="str">
        <v>single</v>
      </c>
    </row>
    <row r="428" spans="1:31" hidden="1" x14ac:dyDescent="0.25">
      <c r="A428">
        <v>427</v>
      </c>
      <c r="B428">
        <v>2025</v>
      </c>
      <c r="C428">
        <v>9</v>
      </c>
      <c r="D428">
        <v>31</v>
      </c>
      <c r="E428">
        <v>8</v>
      </c>
      <c r="F428" t="str">
        <v>99HZ395</v>
      </c>
      <c r="G428" s="61">
        <v>30</v>
      </c>
      <c r="H428" t="str">
        <v>single</v>
      </c>
      <c r="I428">
        <v>0</v>
      </c>
      <c r="J428">
        <v>3</v>
      </c>
      <c r="K428" s="61">
        <v>65</v>
      </c>
      <c r="L428" s="61">
        <v>1950</v>
      </c>
      <c r="AA428">
        <v>31</v>
      </c>
      <c r="AB428">
        <v>12</v>
      </c>
      <c r="AC428" t="str">
        <v>99EM163</v>
      </c>
      <c r="AD428">
        <v>29</v>
      </c>
      <c r="AE428" t="str">
        <v>single</v>
      </c>
    </row>
    <row r="429" spans="1:31" hidden="1" x14ac:dyDescent="0.25">
      <c r="A429">
        <v>428</v>
      </c>
      <c r="B429">
        <v>2025</v>
      </c>
      <c r="C429">
        <v>9</v>
      </c>
      <c r="D429">
        <v>31</v>
      </c>
      <c r="E429">
        <v>8</v>
      </c>
      <c r="F429" t="str">
        <v>99KL663</v>
      </c>
      <c r="G429" s="61">
        <v>29</v>
      </c>
      <c r="H429" t="str">
        <v>single</v>
      </c>
      <c r="I429">
        <v>0</v>
      </c>
      <c r="J429">
        <v>106</v>
      </c>
      <c r="K429" s="61">
        <v>55.36</v>
      </c>
      <c r="L429" s="61">
        <v>1605.44</v>
      </c>
      <c r="AA429">
        <v>31</v>
      </c>
      <c r="AB429">
        <v>12</v>
      </c>
      <c r="AC429" t="str">
        <v>99FO779</v>
      </c>
      <c r="AD429">
        <v>29</v>
      </c>
      <c r="AE429" t="str">
        <v>single</v>
      </c>
    </row>
    <row r="430" spans="1:31" hidden="1" x14ac:dyDescent="0.25">
      <c r="A430">
        <v>429</v>
      </c>
      <c r="B430">
        <v>2025</v>
      </c>
      <c r="C430">
        <v>9</v>
      </c>
      <c r="D430">
        <v>31</v>
      </c>
      <c r="E430">
        <v>8</v>
      </c>
      <c r="F430" t="str">
        <v>99LM412</v>
      </c>
      <c r="G430" s="61">
        <v>30</v>
      </c>
      <c r="H430" t="str">
        <v>single</v>
      </c>
      <c r="I430">
        <v>0</v>
      </c>
      <c r="J430">
        <v>116</v>
      </c>
      <c r="K430" s="61">
        <v>55.357142857142854</v>
      </c>
      <c r="L430" s="61">
        <v>1660.7142857142856</v>
      </c>
      <c r="AA430">
        <v>31</v>
      </c>
      <c r="AB430">
        <v>12</v>
      </c>
      <c r="AC430" t="str">
        <v>99GZ612</v>
      </c>
      <c r="AD430">
        <v>29</v>
      </c>
      <c r="AE430" t="str">
        <v>single</v>
      </c>
    </row>
    <row r="431" spans="1:31" hidden="1" x14ac:dyDescent="0.25">
      <c r="A431">
        <v>430</v>
      </c>
      <c r="B431">
        <v>2025</v>
      </c>
      <c r="C431">
        <v>9</v>
      </c>
      <c r="D431">
        <v>31</v>
      </c>
      <c r="E431">
        <v>8</v>
      </c>
      <c r="F431" t="str">
        <v>99MN472</v>
      </c>
      <c r="G431" s="61">
        <v>30</v>
      </c>
      <c r="H431" t="str">
        <v>single</v>
      </c>
      <c r="I431">
        <v>0</v>
      </c>
      <c r="J431">
        <v>108</v>
      </c>
      <c r="K431" s="61">
        <v>55.36</v>
      </c>
      <c r="L431" s="61">
        <v>1660.8</v>
      </c>
      <c r="AA431">
        <v>31</v>
      </c>
      <c r="AB431">
        <v>12</v>
      </c>
      <c r="AC431" t="str">
        <v>99HZ395</v>
      </c>
      <c r="AD431">
        <v>27</v>
      </c>
      <c r="AE431" t="str">
        <v>single</v>
      </c>
    </row>
    <row r="432" spans="1:31" hidden="1" x14ac:dyDescent="0.25">
      <c r="A432">
        <v>431</v>
      </c>
      <c r="B432">
        <v>2025</v>
      </c>
      <c r="C432">
        <v>9</v>
      </c>
      <c r="D432">
        <v>31</v>
      </c>
      <c r="E432">
        <v>8</v>
      </c>
      <c r="F432" t="str">
        <v>99OR961</v>
      </c>
      <c r="G432" s="61">
        <v>25</v>
      </c>
      <c r="H432" t="str">
        <v>single</v>
      </c>
      <c r="I432">
        <v>0</v>
      </c>
      <c r="J432">
        <v>109</v>
      </c>
      <c r="K432" s="61">
        <v>55.36</v>
      </c>
      <c r="L432" s="61">
        <v>1384</v>
      </c>
      <c r="AA432">
        <v>31</v>
      </c>
      <c r="AB432">
        <v>12</v>
      </c>
      <c r="AC432" t="str">
        <v>99KL663</v>
      </c>
      <c r="AD432">
        <v>30</v>
      </c>
      <c r="AE432" t="str">
        <v>single</v>
      </c>
    </row>
    <row r="433" spans="1:31" hidden="1" x14ac:dyDescent="0.25">
      <c r="A433">
        <v>432</v>
      </c>
      <c r="B433">
        <v>2025</v>
      </c>
      <c r="C433">
        <v>9</v>
      </c>
      <c r="D433">
        <v>31</v>
      </c>
      <c r="E433">
        <v>8</v>
      </c>
      <c r="F433" t="str">
        <v>99UK314</v>
      </c>
      <c r="G433" s="61">
        <v>25</v>
      </c>
      <c r="H433" t="str">
        <v>single</v>
      </c>
      <c r="I433">
        <v>0</v>
      </c>
      <c r="J433">
        <v>114</v>
      </c>
      <c r="K433" s="61">
        <v>58.93</v>
      </c>
      <c r="L433" s="61">
        <v>1473.25</v>
      </c>
      <c r="AA433">
        <v>31</v>
      </c>
      <c r="AB433">
        <v>12</v>
      </c>
      <c r="AC433" t="str">
        <v>99LM412</v>
      </c>
      <c r="AD433">
        <v>30</v>
      </c>
      <c r="AE433" t="str">
        <v>single</v>
      </c>
    </row>
    <row r="434" spans="1:31" hidden="1" x14ac:dyDescent="0.25">
      <c r="A434">
        <v>433</v>
      </c>
      <c r="B434">
        <v>2025</v>
      </c>
      <c r="C434">
        <v>9</v>
      </c>
      <c r="D434">
        <v>31</v>
      </c>
      <c r="E434">
        <v>8</v>
      </c>
      <c r="F434" t="str">
        <v>90YN163</v>
      </c>
      <c r="G434" s="61">
        <v>2</v>
      </c>
      <c r="H434" t="str">
        <v>single</v>
      </c>
      <c r="I434">
        <v>0</v>
      </c>
      <c r="J434">
        <v>89</v>
      </c>
      <c r="K434" s="61">
        <v>40</v>
      </c>
      <c r="L434" s="61">
        <v>80</v>
      </c>
      <c r="AA434">
        <v>31</v>
      </c>
      <c r="AB434">
        <v>12</v>
      </c>
      <c r="AC434" t="str">
        <v>99MN472</v>
      </c>
      <c r="AD434">
        <v>31</v>
      </c>
      <c r="AE434" t="str">
        <v>single</v>
      </c>
    </row>
    <row r="435" spans="1:31" hidden="1" x14ac:dyDescent="0.25">
      <c r="A435">
        <v>434</v>
      </c>
      <c r="B435">
        <v>2025</v>
      </c>
      <c r="C435">
        <v>9</v>
      </c>
      <c r="D435">
        <v>31</v>
      </c>
      <c r="E435">
        <v>8</v>
      </c>
      <c r="F435" t="str">
        <v>77GR998</v>
      </c>
      <c r="G435" s="61">
        <v>30</v>
      </c>
      <c r="H435" t="str">
        <v>double</v>
      </c>
      <c r="I435">
        <v>0</v>
      </c>
      <c r="J435">
        <v>63</v>
      </c>
      <c r="K435" s="61">
        <v>99.642857142857139</v>
      </c>
      <c r="L435" s="61">
        <v>2989.2857142857142</v>
      </c>
      <c r="AA435">
        <v>31</v>
      </c>
      <c r="AB435">
        <v>12</v>
      </c>
      <c r="AC435" t="str">
        <v>99OR961</v>
      </c>
      <c r="AD435">
        <v>29</v>
      </c>
      <c r="AE435" t="str">
        <v>single</v>
      </c>
    </row>
    <row r="436" spans="1:31" x14ac:dyDescent="0.25">
      <c r="A436">
        <v>435</v>
      </c>
      <c r="B436">
        <v>2025</v>
      </c>
      <c r="C436">
        <v>9</v>
      </c>
      <c r="D436">
        <v>31</v>
      </c>
      <c r="E436">
        <v>8</v>
      </c>
      <c r="F436" t="str">
        <v>99EM163</v>
      </c>
      <c r="G436" s="61">
        <v>28</v>
      </c>
      <c r="H436" t="str">
        <v>double</v>
      </c>
      <c r="I436">
        <v>0</v>
      </c>
      <c r="J436">
        <v>98</v>
      </c>
      <c r="K436" s="61">
        <v>99.65</v>
      </c>
      <c r="L436" s="61">
        <v>2790.2000000000003</v>
      </c>
      <c r="AA436">
        <v>31</v>
      </c>
      <c r="AB436">
        <v>12</v>
      </c>
      <c r="AC436" t="str">
        <v>99UK314</v>
      </c>
      <c r="AD436">
        <v>31</v>
      </c>
      <c r="AE436" t="str">
        <v>single</v>
      </c>
    </row>
    <row r="437" spans="1:31" hidden="1" x14ac:dyDescent="0.25">
      <c r="A437">
        <v>436</v>
      </c>
      <c r="B437">
        <v>2025</v>
      </c>
      <c r="C437">
        <v>9</v>
      </c>
      <c r="D437">
        <v>31</v>
      </c>
      <c r="E437">
        <v>8</v>
      </c>
      <c r="F437" t="str">
        <v>10RN527</v>
      </c>
      <c r="G437" s="61">
        <v>67</v>
      </c>
      <c r="H437" t="str">
        <v>hour</v>
      </c>
      <c r="I437">
        <v>0</v>
      </c>
      <c r="J437">
        <v>30</v>
      </c>
      <c r="K437" s="61">
        <v>6.25</v>
      </c>
      <c r="L437" s="61">
        <v>418.75</v>
      </c>
      <c r="AA437">
        <v>31</v>
      </c>
      <c r="AB437">
        <v>12</v>
      </c>
      <c r="AC437" t="str">
        <v>10NG198</v>
      </c>
      <c r="AD437">
        <v>24</v>
      </c>
      <c r="AE437" t="str">
        <v>single</v>
      </c>
    </row>
    <row r="438" spans="1:31" hidden="1" x14ac:dyDescent="0.25">
      <c r="A438">
        <v>437</v>
      </c>
      <c r="B438">
        <v>2025</v>
      </c>
      <c r="C438">
        <v>9</v>
      </c>
      <c r="D438">
        <v>31</v>
      </c>
      <c r="E438">
        <v>8</v>
      </c>
      <c r="F438" t="str">
        <v>50BD165</v>
      </c>
      <c r="G438" s="61">
        <v>57.500000000000007</v>
      </c>
      <c r="H438" t="str">
        <v>hour</v>
      </c>
      <c r="I438">
        <v>0</v>
      </c>
      <c r="J438">
        <v>40</v>
      </c>
      <c r="K438" s="61">
        <v>5.5359999999999996</v>
      </c>
      <c r="L438" s="61">
        <v>318.32</v>
      </c>
      <c r="AA438">
        <v>31</v>
      </c>
      <c r="AB438">
        <v>12</v>
      </c>
      <c r="AC438" t="str">
        <v>27BP916</v>
      </c>
      <c r="AD438">
        <v>19</v>
      </c>
      <c r="AE438" t="str">
        <v>single</v>
      </c>
    </row>
    <row r="439" spans="1:31" hidden="1" x14ac:dyDescent="0.25">
      <c r="A439">
        <v>438</v>
      </c>
      <c r="B439">
        <v>2025</v>
      </c>
      <c r="C439">
        <v>9</v>
      </c>
      <c r="D439">
        <v>31</v>
      </c>
      <c r="E439">
        <v>8</v>
      </c>
      <c r="F439" t="str">
        <v>50BN724</v>
      </c>
      <c r="G439" s="61">
        <v>69.999999999999986</v>
      </c>
      <c r="H439" t="str">
        <v>hour</v>
      </c>
      <c r="I439">
        <v>0</v>
      </c>
      <c r="J439">
        <v>42</v>
      </c>
      <c r="K439" s="61">
        <v>6.6070000000000002</v>
      </c>
      <c r="L439" s="61">
        <v>462.4899999999999</v>
      </c>
      <c r="AA439">
        <v>31</v>
      </c>
      <c r="AB439">
        <v>12</v>
      </c>
      <c r="AC439" t="str">
        <v>10ON175</v>
      </c>
      <c r="AD439">
        <v>26</v>
      </c>
      <c r="AE439" t="str">
        <v>single</v>
      </c>
    </row>
    <row r="440" spans="1:31" hidden="1" x14ac:dyDescent="0.25">
      <c r="A440">
        <v>439</v>
      </c>
      <c r="B440">
        <v>2025</v>
      </c>
      <c r="C440">
        <v>9</v>
      </c>
      <c r="D440">
        <v>31</v>
      </c>
      <c r="E440">
        <v>8</v>
      </c>
      <c r="F440" t="str">
        <v>50DK730</v>
      </c>
      <c r="G440" s="61">
        <v>87</v>
      </c>
      <c r="H440" t="str">
        <v>hour</v>
      </c>
      <c r="I440">
        <v>0</v>
      </c>
      <c r="J440">
        <v>46</v>
      </c>
      <c r="K440" s="61">
        <v>5.5359999999999996</v>
      </c>
      <c r="L440" s="61">
        <v>481.63199999999995</v>
      </c>
      <c r="AA440">
        <v>31</v>
      </c>
      <c r="AB440">
        <v>12</v>
      </c>
      <c r="AC440" t="str">
        <v>27BZ361</v>
      </c>
      <c r="AD440">
        <v>16</v>
      </c>
      <c r="AE440" t="str">
        <v>single</v>
      </c>
    </row>
    <row r="441" spans="1:31" hidden="1" x14ac:dyDescent="0.25">
      <c r="A441">
        <v>440</v>
      </c>
      <c r="B441">
        <v>2025</v>
      </c>
      <c r="C441">
        <v>9</v>
      </c>
      <c r="D441">
        <v>31</v>
      </c>
      <c r="E441">
        <v>8</v>
      </c>
      <c r="F441" t="str">
        <v>50EF902</v>
      </c>
      <c r="G441" s="61">
        <v>21.999999999999972</v>
      </c>
      <c r="H441" t="str">
        <v>hour</v>
      </c>
      <c r="I441">
        <v>0</v>
      </c>
      <c r="J441">
        <v>48</v>
      </c>
      <c r="K441" s="61">
        <v>6.25</v>
      </c>
      <c r="L441" s="61">
        <v>137.49999999999983</v>
      </c>
      <c r="AA441">
        <v>31</v>
      </c>
      <c r="AB441">
        <v>12</v>
      </c>
      <c r="AC441" t="str">
        <v>10ZU722</v>
      </c>
      <c r="AD441">
        <v>15</v>
      </c>
      <c r="AE441" t="str">
        <v>single</v>
      </c>
    </row>
    <row r="442" spans="1:31" hidden="1" x14ac:dyDescent="0.25">
      <c r="A442">
        <v>441</v>
      </c>
      <c r="B442">
        <v>2025</v>
      </c>
      <c r="C442">
        <v>9</v>
      </c>
      <c r="D442">
        <v>31</v>
      </c>
      <c r="E442">
        <v>8</v>
      </c>
      <c r="F442" t="str">
        <v>55CB633</v>
      </c>
      <c r="G442" s="61">
        <v>114.99999999999999</v>
      </c>
      <c r="H442" t="str">
        <v>hour</v>
      </c>
      <c r="I442">
        <v>0</v>
      </c>
      <c r="J442">
        <v>56</v>
      </c>
      <c r="K442" s="61">
        <v>5.5359999999999996</v>
      </c>
      <c r="L442" s="61">
        <v>636.63999999999987</v>
      </c>
      <c r="AA442">
        <v>31</v>
      </c>
      <c r="AB442">
        <v>12</v>
      </c>
      <c r="AC442" t="str">
        <v>77PV319</v>
      </c>
      <c r="AD442">
        <v>15</v>
      </c>
      <c r="AE442" t="str">
        <v>single</v>
      </c>
    </row>
    <row r="443" spans="1:31" hidden="1" x14ac:dyDescent="0.25">
      <c r="A443">
        <v>442</v>
      </c>
      <c r="B443">
        <v>2025</v>
      </c>
      <c r="C443">
        <v>9</v>
      </c>
      <c r="D443">
        <v>31</v>
      </c>
      <c r="E443">
        <v>8</v>
      </c>
      <c r="F443" t="str">
        <v>77UR032</v>
      </c>
      <c r="G443" s="61">
        <v>32.999999999999986</v>
      </c>
      <c r="H443" t="str">
        <v>hour</v>
      </c>
      <c r="I443">
        <v>0</v>
      </c>
      <c r="J443">
        <v>76</v>
      </c>
      <c r="K443" s="61">
        <v>5.5359999999999996</v>
      </c>
      <c r="L443" s="61">
        <v>182.6879999999999</v>
      </c>
      <c r="AA443">
        <v>31</v>
      </c>
      <c r="AB443">
        <v>12</v>
      </c>
      <c r="AC443" t="str">
        <v>38BG860</v>
      </c>
      <c r="AD443">
        <v>11</v>
      </c>
      <c r="AE443" t="str">
        <v>single</v>
      </c>
    </row>
    <row r="444" spans="1:31" hidden="1" x14ac:dyDescent="0.25">
      <c r="A444">
        <v>443</v>
      </c>
      <c r="B444">
        <v>2025</v>
      </c>
      <c r="C444">
        <v>9</v>
      </c>
      <c r="D444">
        <v>31</v>
      </c>
      <c r="E444">
        <v>8</v>
      </c>
      <c r="F444" t="str">
        <v>90LS143</v>
      </c>
      <c r="G444" s="61">
        <v>30.999999999999986</v>
      </c>
      <c r="H444" t="str">
        <v>hour</v>
      </c>
      <c r="I444">
        <v>0</v>
      </c>
      <c r="J444">
        <v>80</v>
      </c>
      <c r="K444" s="61">
        <v>5.5359999999999996</v>
      </c>
      <c r="L444" s="61">
        <v>171.6159999999999</v>
      </c>
      <c r="AA444">
        <v>31</v>
      </c>
      <c r="AB444">
        <v>12</v>
      </c>
      <c r="AC444" t="str">
        <v>77PV659</v>
      </c>
      <c r="AD444">
        <v>5</v>
      </c>
      <c r="AE444" t="str">
        <v>single</v>
      </c>
    </row>
    <row r="445" spans="1:31" hidden="1" x14ac:dyDescent="0.25">
      <c r="A445">
        <v>444</v>
      </c>
      <c r="B445">
        <v>2025</v>
      </c>
      <c r="C445">
        <v>9</v>
      </c>
      <c r="D445">
        <v>31</v>
      </c>
      <c r="E445">
        <v>8</v>
      </c>
      <c r="F445" t="str">
        <v>90SL686</v>
      </c>
      <c r="G445" s="61">
        <v>46.999999999999986</v>
      </c>
      <c r="H445" t="str">
        <v>hour</v>
      </c>
      <c r="I445">
        <v>0</v>
      </c>
      <c r="J445">
        <v>20</v>
      </c>
      <c r="K445" s="61">
        <v>5.8929999999999998</v>
      </c>
      <c r="L445" s="61">
        <v>276.97099999999989</v>
      </c>
      <c r="AA445">
        <v>50</v>
      </c>
      <c r="AB445">
        <v>9</v>
      </c>
      <c r="AC445" t="str">
        <v>61AB256</v>
      </c>
      <c r="AD445">
        <v>28</v>
      </c>
      <c r="AE445" t="str">
        <v>single</v>
      </c>
    </row>
    <row r="446" spans="1:31" hidden="1" x14ac:dyDescent="0.25">
      <c r="A446">
        <v>445</v>
      </c>
      <c r="B446">
        <v>2025</v>
      </c>
      <c r="C446">
        <v>9</v>
      </c>
      <c r="D446">
        <v>31</v>
      </c>
      <c r="E446">
        <v>8</v>
      </c>
      <c r="F446" t="str">
        <v>90VS316</v>
      </c>
      <c r="G446" s="61">
        <v>97.999999999999986</v>
      </c>
      <c r="H446" t="str">
        <v>hour</v>
      </c>
      <c r="I446">
        <v>0</v>
      </c>
      <c r="J446">
        <v>86</v>
      </c>
      <c r="K446" s="61">
        <v>5.5359999999999996</v>
      </c>
      <c r="L446" s="61">
        <v>542.52799999999991</v>
      </c>
      <c r="AA446">
        <v>65</v>
      </c>
      <c r="AB446">
        <v>10</v>
      </c>
      <c r="AC446" t="str">
        <v>01BA176</v>
      </c>
      <c r="AD446">
        <v>28</v>
      </c>
      <c r="AE446" t="str">
        <v>single</v>
      </c>
    </row>
    <row r="447" spans="1:31" hidden="1" x14ac:dyDescent="0.25">
      <c r="A447">
        <v>446</v>
      </c>
      <c r="B447">
        <v>2025</v>
      </c>
      <c r="C447">
        <v>9</v>
      </c>
      <c r="D447">
        <v>31</v>
      </c>
      <c r="E447">
        <v>8</v>
      </c>
      <c r="F447" t="str">
        <v>99BT339</v>
      </c>
      <c r="G447" s="61">
        <v>50.999999999999986</v>
      </c>
      <c r="H447" t="str">
        <v>hour</v>
      </c>
      <c r="I447">
        <v>0</v>
      </c>
      <c r="J447">
        <v>92</v>
      </c>
      <c r="K447" s="61">
        <v>5.5359999999999996</v>
      </c>
      <c r="L447" s="61">
        <v>282.3359999999999</v>
      </c>
      <c r="AA447">
        <v>85</v>
      </c>
      <c r="AB447">
        <v>9</v>
      </c>
      <c r="AC447" t="str">
        <v>77SN951</v>
      </c>
      <c r="AD447">
        <v>29</v>
      </c>
      <c r="AE447" t="str">
        <v>single</v>
      </c>
    </row>
    <row r="448" spans="1:31" hidden="1" x14ac:dyDescent="0.25">
      <c r="A448">
        <v>447</v>
      </c>
      <c r="B448">
        <v>2025</v>
      </c>
      <c r="C448">
        <v>9</v>
      </c>
      <c r="D448">
        <v>31</v>
      </c>
      <c r="E448">
        <v>8</v>
      </c>
      <c r="F448" t="str">
        <v>99CN447</v>
      </c>
      <c r="G448" s="61">
        <v>29.999999999999986</v>
      </c>
      <c r="H448" t="str">
        <v>hour</v>
      </c>
      <c r="I448">
        <v>0</v>
      </c>
      <c r="J448">
        <v>95</v>
      </c>
      <c r="K448" s="61">
        <v>5.5359999999999996</v>
      </c>
      <c r="L448" s="61">
        <v>166.0799999999999</v>
      </c>
      <c r="AA448">
        <v>95</v>
      </c>
      <c r="AB448">
        <v>8</v>
      </c>
      <c r="AC448" t="str">
        <v>54BA209</v>
      </c>
      <c r="AD448">
        <v>27</v>
      </c>
      <c r="AE448" t="str">
        <v>single</v>
      </c>
    </row>
    <row r="449" spans="1:31" hidden="1" x14ac:dyDescent="0.25">
      <c r="A449">
        <v>448</v>
      </c>
      <c r="B449">
        <v>2025</v>
      </c>
      <c r="C449">
        <v>9</v>
      </c>
      <c r="D449">
        <v>31</v>
      </c>
      <c r="E449">
        <v>8</v>
      </c>
      <c r="F449" t="str">
        <v>99FO779</v>
      </c>
      <c r="G449" s="61">
        <v>44.000000000000014</v>
      </c>
      <c r="H449" t="str">
        <v>hour</v>
      </c>
      <c r="I449">
        <v>0</v>
      </c>
      <c r="J449">
        <v>102</v>
      </c>
      <c r="K449" s="61">
        <v>6.6071428571428568</v>
      </c>
      <c r="L449" s="61">
        <v>290.71428571428578</v>
      </c>
      <c r="AA449">
        <v>98</v>
      </c>
      <c r="AB449">
        <v>8</v>
      </c>
      <c r="AC449" t="str">
        <v>50BD416</v>
      </c>
      <c r="AD449">
        <v>29</v>
      </c>
      <c r="AE449" t="str">
        <v>single</v>
      </c>
    </row>
    <row r="450" spans="1:31" hidden="1" x14ac:dyDescent="0.25">
      <c r="A450">
        <v>449</v>
      </c>
      <c r="B450">
        <v>2025</v>
      </c>
      <c r="C450">
        <v>9</v>
      </c>
      <c r="D450">
        <v>31</v>
      </c>
      <c r="E450">
        <v>8</v>
      </c>
      <c r="F450" t="str">
        <v>99KL663</v>
      </c>
      <c r="G450" s="61">
        <v>37.999999999999986</v>
      </c>
      <c r="H450" t="str">
        <v>hour</v>
      </c>
      <c r="I450">
        <v>0</v>
      </c>
      <c r="J450">
        <v>105</v>
      </c>
      <c r="K450" s="61">
        <v>5.5359999999999996</v>
      </c>
      <c r="L450" s="61">
        <v>210.36799999999991</v>
      </c>
      <c r="AA450">
        <v>100</v>
      </c>
      <c r="AB450">
        <v>8</v>
      </c>
      <c r="AC450" t="str">
        <v>22AB273</v>
      </c>
      <c r="AD450">
        <v>27.999797999999998</v>
      </c>
      <c r="AE450" t="str">
        <v>single</v>
      </c>
    </row>
    <row r="451" spans="1:31" hidden="1" x14ac:dyDescent="0.25">
      <c r="A451">
        <v>450</v>
      </c>
      <c r="B451">
        <v>2025</v>
      </c>
      <c r="C451">
        <v>9</v>
      </c>
      <c r="D451">
        <v>31</v>
      </c>
      <c r="E451">
        <v>8</v>
      </c>
      <c r="F451" t="str">
        <v>99LM412</v>
      </c>
      <c r="G451" s="61">
        <v>49.999999999999986</v>
      </c>
      <c r="H451" t="str">
        <v>hour</v>
      </c>
      <c r="I451">
        <v>0</v>
      </c>
      <c r="J451">
        <v>115</v>
      </c>
      <c r="K451" s="61">
        <v>5.5357142857142856</v>
      </c>
      <c r="L451" s="61">
        <v>276.78571428571422</v>
      </c>
      <c r="AA451">
        <v>110</v>
      </c>
      <c r="AB451">
        <v>7</v>
      </c>
      <c r="AC451" t="str">
        <v>99XC106</v>
      </c>
      <c r="AD451">
        <v>10</v>
      </c>
      <c r="AE451" t="str">
        <v>single</v>
      </c>
    </row>
    <row r="452" spans="1:31" hidden="1" x14ac:dyDescent="0.25">
      <c r="A452">
        <v>451</v>
      </c>
      <c r="B452">
        <v>2025</v>
      </c>
      <c r="C452">
        <v>9</v>
      </c>
      <c r="D452">
        <v>31</v>
      </c>
      <c r="E452">
        <v>8</v>
      </c>
      <c r="F452" t="str">
        <v>99MN472</v>
      </c>
      <c r="G452" s="61">
        <v>90</v>
      </c>
      <c r="H452" t="str">
        <v>hour</v>
      </c>
      <c r="I452">
        <v>0</v>
      </c>
      <c r="J452">
        <v>107</v>
      </c>
      <c r="K452" s="61">
        <v>5.5359999999999996</v>
      </c>
      <c r="L452" s="61">
        <v>498.23999999999995</v>
      </c>
      <c r="AA452">
        <v>121</v>
      </c>
      <c r="AB452">
        <v>5</v>
      </c>
      <c r="AC452" t="str">
        <v>11BC843</v>
      </c>
      <c r="AD452">
        <v>30</v>
      </c>
      <c r="AE452" t="str">
        <v>single</v>
      </c>
    </row>
    <row r="453" spans="1:31" hidden="1" x14ac:dyDescent="0.25">
      <c r="A453">
        <v>452</v>
      </c>
      <c r="B453">
        <v>2025</v>
      </c>
      <c r="C453">
        <v>9</v>
      </c>
      <c r="D453">
        <v>31</v>
      </c>
      <c r="E453">
        <v>8</v>
      </c>
      <c r="F453" t="str">
        <v>99UK314</v>
      </c>
      <c r="G453" s="61">
        <v>90</v>
      </c>
      <c r="H453" t="str">
        <v>hour</v>
      </c>
      <c r="I453">
        <v>0</v>
      </c>
      <c r="J453">
        <v>113</v>
      </c>
      <c r="K453" s="61">
        <v>5.8929999999999998</v>
      </c>
      <c r="L453" s="61">
        <v>530.37</v>
      </c>
      <c r="AA453">
        <v>141</v>
      </c>
      <c r="AB453">
        <v>4</v>
      </c>
      <c r="AC453" t="str">
        <v>10V288</v>
      </c>
      <c r="AD453">
        <v>17</v>
      </c>
      <c r="AE453" t="str">
        <v>single</v>
      </c>
    </row>
    <row r="454" spans="1:31" hidden="1" x14ac:dyDescent="0.25">
      <c r="A454">
        <v>453</v>
      </c>
      <c r="B454">
        <v>2025</v>
      </c>
      <c r="C454">
        <v>12</v>
      </c>
      <c r="D454">
        <v>46</v>
      </c>
      <c r="E454">
        <v>8</v>
      </c>
      <c r="F454" t="str">
        <v>110FY523</v>
      </c>
      <c r="G454" s="61">
        <v>9</v>
      </c>
      <c r="H454" t="str">
        <v>single</v>
      </c>
      <c r="I454">
        <v>0</v>
      </c>
      <c r="J454">
        <v>1</v>
      </c>
      <c r="K454" s="61">
        <v>214.28571428571428</v>
      </c>
      <c r="L454" s="61">
        <v>1928.5714285714284</v>
      </c>
      <c r="AA454">
        <v>172</v>
      </c>
      <c r="AB454">
        <v>2</v>
      </c>
      <c r="AC454" t="str">
        <v>22T727</v>
      </c>
      <c r="AD454">
        <v>10</v>
      </c>
      <c r="AE454" t="str">
        <v>single</v>
      </c>
    </row>
    <row r="455" spans="1:31" hidden="1" x14ac:dyDescent="0.25">
      <c r="A455">
        <v>454</v>
      </c>
      <c r="B455">
        <v>2026</v>
      </c>
      <c r="C455">
        <v>1</v>
      </c>
      <c r="D455">
        <v>50</v>
      </c>
      <c r="E455">
        <v>8</v>
      </c>
      <c r="F455" t="str">
        <v>61AB256</v>
      </c>
      <c r="G455" s="61">
        <v>29</v>
      </c>
      <c r="H455" t="str">
        <v>single</v>
      </c>
      <c r="I455">
        <v>0</v>
      </c>
      <c r="J455">
        <v>1</v>
      </c>
      <c r="K455" s="61">
        <v>357.14285714285717</v>
      </c>
      <c r="L455" s="61">
        <v>10357.142857142859</v>
      </c>
      <c r="AA455">
        <v>51</v>
      </c>
      <c r="AB455">
        <v>7</v>
      </c>
      <c r="AC455" t="str">
        <v>10AD071</v>
      </c>
      <c r="AD455">
        <v>30</v>
      </c>
      <c r="AE455" t="str">
        <v>single</v>
      </c>
    </row>
    <row r="456" spans="1:31" hidden="1" x14ac:dyDescent="0.25">
      <c r="A456">
        <v>455</v>
      </c>
      <c r="B456">
        <v>2026</v>
      </c>
      <c r="C456">
        <v>3</v>
      </c>
      <c r="D456">
        <v>51</v>
      </c>
      <c r="E456">
        <v>8</v>
      </c>
      <c r="F456" t="str">
        <v>10AD071</v>
      </c>
      <c r="G456" s="61">
        <v>26</v>
      </c>
      <c r="H456" t="str">
        <v>single</v>
      </c>
      <c r="I456">
        <v>0</v>
      </c>
      <c r="J456">
        <v>5</v>
      </c>
      <c r="K456" s="61">
        <v>235.71</v>
      </c>
      <c r="L456" s="61">
        <v>6128.46</v>
      </c>
      <c r="AA456">
        <v>102</v>
      </c>
      <c r="AB456">
        <v>7</v>
      </c>
      <c r="AC456" t="str">
        <v>54BM823</v>
      </c>
      <c r="AD456">
        <v>24</v>
      </c>
      <c r="AE456" t="str">
        <v>single</v>
      </c>
    </row>
    <row r="457" spans="1:31" hidden="1" x14ac:dyDescent="0.25">
      <c r="A457">
        <v>456</v>
      </c>
      <c r="B457">
        <v>2026</v>
      </c>
      <c r="C457">
        <v>3</v>
      </c>
      <c r="D457">
        <v>51</v>
      </c>
      <c r="E457">
        <v>8</v>
      </c>
      <c r="F457" t="str">
        <v>10AD071</v>
      </c>
      <c r="G457" s="61">
        <v>3</v>
      </c>
      <c r="H457" t="str">
        <v>hour</v>
      </c>
      <c r="I457">
        <v>0</v>
      </c>
      <c r="J457">
        <v>6</v>
      </c>
      <c r="K457" s="61">
        <v>26.071000000000002</v>
      </c>
      <c r="L457" s="61">
        <v>78.213000000000008</v>
      </c>
      <c r="AA457">
        <v>102</v>
      </c>
      <c r="AB457">
        <v>7</v>
      </c>
      <c r="AC457" t="str">
        <v>01BT754</v>
      </c>
      <c r="AD457">
        <v>24</v>
      </c>
      <c r="AE457" t="str">
        <v>single</v>
      </c>
    </row>
    <row r="458" spans="1:31" hidden="1" x14ac:dyDescent="0.25">
      <c r="A458">
        <v>457</v>
      </c>
      <c r="B458">
        <v>2025</v>
      </c>
      <c r="C458">
        <v>12</v>
      </c>
      <c r="D458">
        <v>65</v>
      </c>
      <c r="E458">
        <v>8</v>
      </c>
      <c r="F458" t="str">
        <v>01BA176</v>
      </c>
      <c r="G458" s="61">
        <v>26</v>
      </c>
      <c r="H458" t="str">
        <v>single</v>
      </c>
      <c r="I458">
        <v>0</v>
      </c>
      <c r="J458">
        <v>1</v>
      </c>
      <c r="K458" s="61">
        <v>196.42857142857142</v>
      </c>
      <c r="L458" s="61">
        <v>5107.1428571428569</v>
      </c>
      <c r="AA458">
        <v>102</v>
      </c>
      <c r="AB458">
        <v>7</v>
      </c>
      <c r="AC458" t="str">
        <v>10MF640</v>
      </c>
      <c r="AD458">
        <v>30</v>
      </c>
      <c r="AE458" t="str">
        <v>single</v>
      </c>
    </row>
    <row r="459" spans="1:31" hidden="1" x14ac:dyDescent="0.25">
      <c r="A459">
        <v>458</v>
      </c>
      <c r="B459">
        <v>2025</v>
      </c>
      <c r="C459">
        <v>12</v>
      </c>
      <c r="D459">
        <v>65</v>
      </c>
      <c r="E459">
        <v>8</v>
      </c>
      <c r="F459" t="str">
        <v>10BD252</v>
      </c>
      <c r="G459" s="61">
        <v>28</v>
      </c>
      <c r="H459" t="str">
        <v>single</v>
      </c>
      <c r="I459">
        <v>0</v>
      </c>
      <c r="J459">
        <v>2</v>
      </c>
      <c r="K459" s="61">
        <v>160.71</v>
      </c>
      <c r="L459" s="61">
        <v>4499.88</v>
      </c>
      <c r="AA459">
        <v>163</v>
      </c>
      <c r="AB459">
        <v>2</v>
      </c>
      <c r="AC459" t="str">
        <v>110FA930</v>
      </c>
      <c r="AD459">
        <v>28</v>
      </c>
      <c r="AE459" t="str">
        <v>single</v>
      </c>
    </row>
    <row r="460" spans="1:31" hidden="1" x14ac:dyDescent="0.25">
      <c r="A460">
        <v>459</v>
      </c>
      <c r="B460">
        <v>2026</v>
      </c>
      <c r="C460">
        <v>1</v>
      </c>
      <c r="D460">
        <v>85</v>
      </c>
      <c r="E460">
        <v>8</v>
      </c>
      <c r="F460" t="str">
        <v>77SN951</v>
      </c>
      <c r="G460" s="61">
        <v>29</v>
      </c>
      <c r="H460" t="str">
        <v>single</v>
      </c>
      <c r="I460">
        <v>0</v>
      </c>
      <c r="J460">
        <v>1</v>
      </c>
      <c r="K460" s="61">
        <v>446.43</v>
      </c>
      <c r="L460" s="61">
        <v>12946.47</v>
      </c>
      <c r="AA460">
        <v>31</v>
      </c>
      <c r="AB460">
        <v>13</v>
      </c>
      <c r="AC460" t="str">
        <v>77GR998</v>
      </c>
      <c r="AD460">
        <v>2</v>
      </c>
      <c r="AE460" t="str">
        <v>single</v>
      </c>
    </row>
    <row r="461" spans="1:31" hidden="1" x14ac:dyDescent="0.25">
      <c r="A461">
        <v>460</v>
      </c>
      <c r="B461">
        <v>2026</v>
      </c>
      <c r="C461">
        <v>1</v>
      </c>
      <c r="D461">
        <v>85</v>
      </c>
      <c r="E461">
        <v>8</v>
      </c>
      <c r="F461" t="str">
        <v>77SN951</v>
      </c>
      <c r="G461" s="61">
        <v>63.999999999999986</v>
      </c>
      <c r="H461" t="str">
        <v>hour</v>
      </c>
      <c r="I461">
        <v>0</v>
      </c>
      <c r="J461">
        <v>2</v>
      </c>
      <c r="K461" s="61">
        <v>44.643000000000001</v>
      </c>
      <c r="L461" s="61">
        <v>2857.1519999999996</v>
      </c>
      <c r="AA461">
        <v>31</v>
      </c>
      <c r="AB461">
        <v>13</v>
      </c>
      <c r="AC461" t="str">
        <v>10NS184</v>
      </c>
      <c r="AD461">
        <v>30</v>
      </c>
      <c r="AE461" t="str">
        <v>single</v>
      </c>
    </row>
    <row r="462" spans="1:31" hidden="1" x14ac:dyDescent="0.25">
      <c r="A462">
        <v>461</v>
      </c>
      <c r="B462">
        <v>2026</v>
      </c>
      <c r="C462">
        <v>2</v>
      </c>
      <c r="D462">
        <v>95</v>
      </c>
      <c r="E462">
        <v>8</v>
      </c>
      <c r="F462" t="str">
        <v>54BA209</v>
      </c>
      <c r="G462" s="61">
        <v>27</v>
      </c>
      <c r="H462" t="str">
        <v>single</v>
      </c>
      <c r="I462">
        <v>0</v>
      </c>
      <c r="J462">
        <v>1</v>
      </c>
      <c r="K462" s="61">
        <v>285.70999999999998</v>
      </c>
      <c r="L462" s="61">
        <v>7714.1699999999992</v>
      </c>
      <c r="AA462">
        <v>31</v>
      </c>
      <c r="AB462">
        <v>13</v>
      </c>
      <c r="AC462" t="str">
        <v>10RN527</v>
      </c>
      <c r="AD462">
        <v>30</v>
      </c>
      <c r="AE462" t="str">
        <v>single</v>
      </c>
    </row>
    <row r="463" spans="1:31" hidden="1" x14ac:dyDescent="0.25">
      <c r="A463">
        <v>462</v>
      </c>
      <c r="B463">
        <v>2026</v>
      </c>
      <c r="C463">
        <v>2</v>
      </c>
      <c r="D463">
        <v>98</v>
      </c>
      <c r="E463">
        <v>8</v>
      </c>
      <c r="F463" t="str">
        <v>50BD416</v>
      </c>
      <c r="G463" s="61">
        <v>29</v>
      </c>
      <c r="H463" t="str">
        <v>single</v>
      </c>
      <c r="I463">
        <v>0</v>
      </c>
      <c r="J463">
        <v>1</v>
      </c>
      <c r="K463" s="61">
        <v>107.14</v>
      </c>
      <c r="L463" s="61">
        <v>3107.06</v>
      </c>
      <c r="AA463">
        <v>31</v>
      </c>
      <c r="AB463">
        <v>13</v>
      </c>
      <c r="AC463" t="str">
        <v>17BE358</v>
      </c>
      <c r="AD463">
        <v>24</v>
      </c>
      <c r="AE463" t="str">
        <v>single</v>
      </c>
    </row>
    <row r="464" spans="1:31" hidden="1" x14ac:dyDescent="0.25">
      <c r="A464">
        <v>463</v>
      </c>
      <c r="B464">
        <v>2026</v>
      </c>
      <c r="C464">
        <v>2</v>
      </c>
      <c r="D464">
        <v>100</v>
      </c>
      <c r="E464">
        <v>8</v>
      </c>
      <c r="F464" t="str">
        <v>22AB273</v>
      </c>
      <c r="G464" s="61">
        <v>27.999797999999998</v>
      </c>
      <c r="H464" t="str">
        <v>single</v>
      </c>
      <c r="I464">
        <v>0</v>
      </c>
      <c r="J464">
        <v>1</v>
      </c>
      <c r="K464" s="61">
        <v>196.42857142857142</v>
      </c>
      <c r="L464" s="61">
        <v>5499.9603214285708</v>
      </c>
      <c r="AA464">
        <v>31</v>
      </c>
      <c r="AB464">
        <v>13</v>
      </c>
      <c r="AC464" t="str">
        <v>21BF442</v>
      </c>
      <c r="AD464">
        <v>30</v>
      </c>
      <c r="AE464" t="str">
        <v>single</v>
      </c>
    </row>
    <row r="465" spans="1:31" hidden="1" x14ac:dyDescent="0.25">
      <c r="A465">
        <v>464</v>
      </c>
      <c r="B465">
        <v>2026</v>
      </c>
      <c r="C465">
        <v>3</v>
      </c>
      <c r="D465">
        <v>102</v>
      </c>
      <c r="E465">
        <v>8</v>
      </c>
      <c r="F465" t="str">
        <v>54BM823</v>
      </c>
      <c r="G465" s="61">
        <v>25</v>
      </c>
      <c r="H465" t="str">
        <v>single</v>
      </c>
      <c r="I465">
        <v>0</v>
      </c>
      <c r="J465">
        <v>5</v>
      </c>
      <c r="K465" s="61">
        <v>125</v>
      </c>
      <c r="L465" s="61">
        <v>3125</v>
      </c>
      <c r="AA465">
        <v>31</v>
      </c>
      <c r="AB465">
        <v>13</v>
      </c>
      <c r="AC465" t="str">
        <v>50DK730</v>
      </c>
      <c r="AD465">
        <v>29</v>
      </c>
      <c r="AE465" t="str">
        <v>single</v>
      </c>
    </row>
    <row r="466" spans="1:31" hidden="1" x14ac:dyDescent="0.25">
      <c r="A466">
        <v>465</v>
      </c>
      <c r="B466">
        <v>2026</v>
      </c>
      <c r="C466">
        <v>3</v>
      </c>
      <c r="D466">
        <v>102</v>
      </c>
      <c r="E466">
        <v>8</v>
      </c>
      <c r="F466" t="str">
        <v>01BT754</v>
      </c>
      <c r="G466" s="61">
        <v>24</v>
      </c>
      <c r="H466" t="str">
        <v>single</v>
      </c>
      <c r="I466">
        <v>0</v>
      </c>
      <c r="J466">
        <v>6</v>
      </c>
      <c r="K466" s="61">
        <v>125</v>
      </c>
      <c r="L466" s="61">
        <v>3000</v>
      </c>
      <c r="AA466">
        <v>31</v>
      </c>
      <c r="AB466">
        <v>13</v>
      </c>
      <c r="AC466" t="str">
        <v>50EF902</v>
      </c>
      <c r="AD466">
        <v>29</v>
      </c>
      <c r="AE466" t="str">
        <v>single</v>
      </c>
    </row>
    <row r="467" spans="1:31" hidden="1" x14ac:dyDescent="0.25">
      <c r="A467">
        <v>466</v>
      </c>
      <c r="B467">
        <v>2026</v>
      </c>
      <c r="C467">
        <v>3</v>
      </c>
      <c r="D467">
        <v>102</v>
      </c>
      <c r="E467">
        <v>8</v>
      </c>
      <c r="F467" t="str">
        <v>10MF640</v>
      </c>
      <c r="G467" s="61">
        <v>29</v>
      </c>
      <c r="H467" t="str">
        <v>single</v>
      </c>
      <c r="I467">
        <v>0</v>
      </c>
      <c r="J467">
        <v>3</v>
      </c>
      <c r="K467" s="61">
        <v>125</v>
      </c>
      <c r="L467" s="61">
        <v>3625</v>
      </c>
      <c r="AA467">
        <v>31</v>
      </c>
      <c r="AB467">
        <v>13</v>
      </c>
      <c r="AC467" t="str">
        <v>50FB264</v>
      </c>
      <c r="AD467">
        <v>28</v>
      </c>
      <c r="AE467" t="str">
        <v>single</v>
      </c>
    </row>
    <row r="468" spans="1:31" hidden="1" x14ac:dyDescent="0.25">
      <c r="A468">
        <v>467</v>
      </c>
      <c r="B468">
        <v>2026</v>
      </c>
      <c r="C468">
        <v>3</v>
      </c>
      <c r="D468">
        <v>102</v>
      </c>
      <c r="E468">
        <v>8</v>
      </c>
      <c r="F468" t="str">
        <v>10MF640</v>
      </c>
      <c r="G468" s="61">
        <v>26</v>
      </c>
      <c r="H468" t="str">
        <v>hour</v>
      </c>
      <c r="I468">
        <v>0</v>
      </c>
      <c r="J468">
        <v>4</v>
      </c>
      <c r="K468" s="61">
        <v>12.5</v>
      </c>
      <c r="L468" s="61">
        <v>325</v>
      </c>
      <c r="AA468">
        <v>31</v>
      </c>
      <c r="AB468">
        <v>13</v>
      </c>
      <c r="AC468" t="str">
        <v>55CB633</v>
      </c>
      <c r="AD468">
        <v>30</v>
      </c>
      <c r="AE468" t="str">
        <v>single</v>
      </c>
    </row>
    <row r="469" spans="1:31" hidden="1" x14ac:dyDescent="0.25">
      <c r="A469">
        <v>468</v>
      </c>
      <c r="B469">
        <v>2025</v>
      </c>
      <c r="C469">
        <v>10</v>
      </c>
      <c r="D469">
        <v>31</v>
      </c>
      <c r="E469">
        <v>9</v>
      </c>
      <c r="F469" t="str">
        <v>10RN527</v>
      </c>
      <c r="G469" s="61">
        <v>31</v>
      </c>
      <c r="H469" t="str">
        <v>single</v>
      </c>
      <c r="I469">
        <v>0</v>
      </c>
      <c r="J469">
        <v>32</v>
      </c>
      <c r="K469" s="61">
        <v>62.5</v>
      </c>
      <c r="L469" s="61">
        <v>1937.5</v>
      </c>
      <c r="AA469">
        <v>31</v>
      </c>
      <c r="AB469">
        <v>13</v>
      </c>
      <c r="AC469" t="str">
        <v>57BV285</v>
      </c>
      <c r="AD469">
        <v>30</v>
      </c>
      <c r="AE469" t="str">
        <v>single</v>
      </c>
    </row>
    <row r="470" spans="1:31" hidden="1" x14ac:dyDescent="0.25">
      <c r="A470">
        <v>469</v>
      </c>
      <c r="B470">
        <v>2025</v>
      </c>
      <c r="C470">
        <v>10</v>
      </c>
      <c r="D470">
        <v>31</v>
      </c>
      <c r="E470">
        <v>9</v>
      </c>
      <c r="F470" t="str">
        <v>17BE358</v>
      </c>
      <c r="G470" s="61">
        <v>1</v>
      </c>
      <c r="H470" t="str">
        <v>single</v>
      </c>
      <c r="I470">
        <v>0</v>
      </c>
      <c r="J470">
        <v>37</v>
      </c>
      <c r="K470" s="61">
        <v>55.36</v>
      </c>
      <c r="L470" s="61">
        <v>55.36</v>
      </c>
      <c r="AA470">
        <v>31</v>
      </c>
      <c r="AB470">
        <v>13</v>
      </c>
      <c r="AC470" t="str">
        <v>77AT386</v>
      </c>
      <c r="AD470">
        <v>30</v>
      </c>
      <c r="AE470" t="str">
        <v>single</v>
      </c>
    </row>
    <row r="471" spans="1:31" hidden="1" x14ac:dyDescent="0.25">
      <c r="A471">
        <v>470</v>
      </c>
      <c r="B471">
        <v>2025</v>
      </c>
      <c r="C471">
        <v>10</v>
      </c>
      <c r="D471">
        <v>31</v>
      </c>
      <c r="E471">
        <v>9</v>
      </c>
      <c r="F471" t="str">
        <v>21BF442</v>
      </c>
      <c r="G471" s="61">
        <v>29</v>
      </c>
      <c r="H471" t="str">
        <v>single</v>
      </c>
      <c r="I471">
        <v>0</v>
      </c>
      <c r="J471">
        <v>39</v>
      </c>
      <c r="K471" s="61">
        <v>55.36</v>
      </c>
      <c r="L471" s="61">
        <v>1605.44</v>
      </c>
      <c r="AA471">
        <v>31</v>
      </c>
      <c r="AB471">
        <v>13</v>
      </c>
      <c r="AC471" t="str">
        <v>77DK884</v>
      </c>
      <c r="AD471">
        <v>30</v>
      </c>
      <c r="AE471" t="str">
        <v>single</v>
      </c>
    </row>
    <row r="472" spans="1:31" hidden="1" x14ac:dyDescent="0.25">
      <c r="A472">
        <v>471</v>
      </c>
      <c r="B472">
        <v>2025</v>
      </c>
      <c r="C472">
        <v>10</v>
      </c>
      <c r="D472">
        <v>31</v>
      </c>
      <c r="E472">
        <v>9</v>
      </c>
      <c r="F472" t="str">
        <v>50BD165</v>
      </c>
      <c r="G472" s="61">
        <v>31</v>
      </c>
      <c r="H472" t="str">
        <v>single</v>
      </c>
      <c r="I472">
        <v>0</v>
      </c>
      <c r="J472">
        <v>41</v>
      </c>
      <c r="K472" s="61">
        <v>55.36</v>
      </c>
      <c r="L472" s="61">
        <v>1716.16</v>
      </c>
      <c r="AA472">
        <v>31</v>
      </c>
      <c r="AB472">
        <v>13</v>
      </c>
      <c r="AC472" t="str">
        <v>77MU119</v>
      </c>
      <c r="AD472">
        <v>30</v>
      </c>
      <c r="AE472" t="str">
        <v>single</v>
      </c>
    </row>
    <row r="473" spans="1:31" hidden="1" x14ac:dyDescent="0.25">
      <c r="A473">
        <v>472</v>
      </c>
      <c r="B473">
        <v>2025</v>
      </c>
      <c r="C473">
        <v>10</v>
      </c>
      <c r="D473">
        <v>31</v>
      </c>
      <c r="E473">
        <v>9</v>
      </c>
      <c r="F473" t="str">
        <v>50BN724</v>
      </c>
      <c r="G473" s="61">
        <v>17</v>
      </c>
      <c r="H473" t="str">
        <v>single</v>
      </c>
      <c r="I473">
        <v>0</v>
      </c>
      <c r="J473">
        <v>43</v>
      </c>
      <c r="K473" s="61">
        <v>66.069999999999993</v>
      </c>
      <c r="L473" s="61">
        <v>1123.1899999999998</v>
      </c>
      <c r="AA473">
        <v>31</v>
      </c>
      <c r="AB473">
        <v>13</v>
      </c>
      <c r="AC473" t="str">
        <v>77PV619</v>
      </c>
      <c r="AD473">
        <v>30</v>
      </c>
      <c r="AE473" t="str">
        <v>single</v>
      </c>
    </row>
    <row r="474" spans="1:31" hidden="1" x14ac:dyDescent="0.25">
      <c r="A474">
        <v>473</v>
      </c>
      <c r="B474">
        <v>2025</v>
      </c>
      <c r="C474">
        <v>10</v>
      </c>
      <c r="D474">
        <v>31</v>
      </c>
      <c r="E474">
        <v>9</v>
      </c>
      <c r="F474" t="str">
        <v>50CN929</v>
      </c>
      <c r="G474" s="61">
        <v>24</v>
      </c>
      <c r="H474" t="str">
        <v>single</v>
      </c>
      <c r="I474">
        <v>0</v>
      </c>
      <c r="J474">
        <v>45</v>
      </c>
      <c r="K474" s="61">
        <v>55.36</v>
      </c>
      <c r="L474" s="61">
        <v>1328.6399999999999</v>
      </c>
      <c r="AA474">
        <v>31</v>
      </c>
      <c r="AB474">
        <v>13</v>
      </c>
      <c r="AC474" t="str">
        <v>77TG971</v>
      </c>
      <c r="AD474">
        <v>28</v>
      </c>
      <c r="AE474" t="str">
        <v>single</v>
      </c>
    </row>
    <row r="475" spans="1:31" hidden="1" x14ac:dyDescent="0.25">
      <c r="A475">
        <v>474</v>
      </c>
      <c r="B475">
        <v>2025</v>
      </c>
      <c r="C475">
        <v>10</v>
      </c>
      <c r="D475">
        <v>31</v>
      </c>
      <c r="E475">
        <v>9</v>
      </c>
      <c r="F475" t="str">
        <v>50DK730</v>
      </c>
      <c r="G475" s="61">
        <v>30</v>
      </c>
      <c r="H475" t="str">
        <v>single</v>
      </c>
      <c r="I475">
        <v>0</v>
      </c>
      <c r="J475">
        <v>47</v>
      </c>
      <c r="K475" s="61">
        <v>55.36</v>
      </c>
      <c r="L475" s="61">
        <v>1660.8</v>
      </c>
      <c r="AA475">
        <v>31</v>
      </c>
      <c r="AB475">
        <v>13</v>
      </c>
      <c r="AC475" t="str">
        <v>77UR032</v>
      </c>
      <c r="AD475">
        <v>28</v>
      </c>
      <c r="AE475" t="str">
        <v>single</v>
      </c>
    </row>
    <row r="476" spans="1:31" hidden="1" x14ac:dyDescent="0.25">
      <c r="A476">
        <v>475</v>
      </c>
      <c r="B476">
        <v>2025</v>
      </c>
      <c r="C476">
        <v>10</v>
      </c>
      <c r="D476">
        <v>31</v>
      </c>
      <c r="E476">
        <v>9</v>
      </c>
      <c r="F476" t="str">
        <v>50EF902</v>
      </c>
      <c r="G476" s="61">
        <v>31</v>
      </c>
      <c r="H476" t="str">
        <v>single</v>
      </c>
      <c r="I476">
        <v>0</v>
      </c>
      <c r="J476">
        <v>49</v>
      </c>
      <c r="K476" s="61">
        <v>62.5</v>
      </c>
      <c r="L476" s="61">
        <v>1937.5</v>
      </c>
      <c r="AA476">
        <v>31</v>
      </c>
      <c r="AB476">
        <v>13</v>
      </c>
      <c r="AC476" t="str">
        <v>77VL420</v>
      </c>
      <c r="AD476">
        <v>30</v>
      </c>
      <c r="AE476" t="str">
        <v>single</v>
      </c>
    </row>
    <row r="477" spans="1:31" hidden="1" x14ac:dyDescent="0.25">
      <c r="A477">
        <v>476</v>
      </c>
      <c r="B477">
        <v>2025</v>
      </c>
      <c r="C477">
        <v>10</v>
      </c>
      <c r="D477">
        <v>31</v>
      </c>
      <c r="E477">
        <v>9</v>
      </c>
      <c r="F477" t="str">
        <v>50FB264</v>
      </c>
      <c r="G477" s="61">
        <v>19</v>
      </c>
      <c r="H477" t="str">
        <v>single</v>
      </c>
      <c r="I477">
        <v>0</v>
      </c>
      <c r="J477">
        <v>23</v>
      </c>
      <c r="K477" s="61">
        <v>66.069999999999993</v>
      </c>
      <c r="L477" s="61">
        <v>1255.33</v>
      </c>
      <c r="AA477">
        <v>31</v>
      </c>
      <c r="AB477">
        <v>13</v>
      </c>
      <c r="AC477" t="str">
        <v>90EC344</v>
      </c>
      <c r="AD477">
        <v>30</v>
      </c>
      <c r="AE477" t="str">
        <v>single</v>
      </c>
    </row>
    <row r="478" spans="1:31" hidden="1" x14ac:dyDescent="0.25">
      <c r="A478">
        <v>477</v>
      </c>
      <c r="B478">
        <v>2025</v>
      </c>
      <c r="C478">
        <v>10</v>
      </c>
      <c r="D478">
        <v>31</v>
      </c>
      <c r="E478">
        <v>9</v>
      </c>
      <c r="F478" t="str">
        <v>53BD338</v>
      </c>
      <c r="G478" s="61">
        <v>2</v>
      </c>
      <c r="H478" t="str">
        <v>single</v>
      </c>
      <c r="I478">
        <v>0</v>
      </c>
      <c r="J478">
        <v>55</v>
      </c>
      <c r="K478" s="61">
        <v>55.36</v>
      </c>
      <c r="L478" s="61">
        <v>110.72</v>
      </c>
      <c r="AA478">
        <v>31</v>
      </c>
      <c r="AB478">
        <v>13</v>
      </c>
      <c r="AC478" t="str">
        <v>90LS143</v>
      </c>
      <c r="AD478">
        <v>29</v>
      </c>
      <c r="AE478" t="str">
        <v>single</v>
      </c>
    </row>
    <row r="479" spans="1:31" hidden="1" x14ac:dyDescent="0.25">
      <c r="A479">
        <v>478</v>
      </c>
      <c r="B479">
        <v>2025</v>
      </c>
      <c r="C479">
        <v>10</v>
      </c>
      <c r="D479">
        <v>31</v>
      </c>
      <c r="E479">
        <v>9</v>
      </c>
      <c r="F479" t="str">
        <v>55CB633</v>
      </c>
      <c r="G479" s="61">
        <v>30</v>
      </c>
      <c r="H479" t="str">
        <v>single</v>
      </c>
      <c r="I479">
        <v>0</v>
      </c>
      <c r="J479">
        <v>57</v>
      </c>
      <c r="K479" s="61">
        <v>55.36</v>
      </c>
      <c r="L479" s="61">
        <v>1660.8</v>
      </c>
      <c r="AA479">
        <v>31</v>
      </c>
      <c r="AB479">
        <v>13</v>
      </c>
      <c r="AC479" t="str">
        <v>90OE402</v>
      </c>
      <c r="AD479">
        <v>30</v>
      </c>
      <c r="AE479" t="str">
        <v>single</v>
      </c>
    </row>
    <row r="480" spans="1:31" hidden="1" x14ac:dyDescent="0.25">
      <c r="A480">
        <v>479</v>
      </c>
      <c r="B480">
        <v>2025</v>
      </c>
      <c r="C480">
        <v>10</v>
      </c>
      <c r="D480">
        <v>31</v>
      </c>
      <c r="E480">
        <v>9</v>
      </c>
      <c r="F480" t="str">
        <v>77AT386</v>
      </c>
      <c r="G480" s="61">
        <v>30</v>
      </c>
      <c r="H480" t="str">
        <v>single</v>
      </c>
      <c r="I480">
        <v>0</v>
      </c>
      <c r="J480">
        <v>13</v>
      </c>
      <c r="K480" s="61">
        <v>46.67</v>
      </c>
      <c r="L480" s="61">
        <v>1400.1000000000001</v>
      </c>
      <c r="AA480">
        <v>31</v>
      </c>
      <c r="AB480">
        <v>13</v>
      </c>
      <c r="AC480" t="str">
        <v>90PY548</v>
      </c>
      <c r="AD480">
        <v>30</v>
      </c>
      <c r="AE480" t="str">
        <v>single</v>
      </c>
    </row>
    <row r="481" spans="1:31" hidden="1" x14ac:dyDescent="0.25">
      <c r="A481">
        <v>480</v>
      </c>
      <c r="B481">
        <v>2025</v>
      </c>
      <c r="C481">
        <v>10</v>
      </c>
      <c r="D481">
        <v>31</v>
      </c>
      <c r="E481">
        <v>9</v>
      </c>
      <c r="F481" t="str">
        <v>77DK884</v>
      </c>
      <c r="G481" s="61">
        <v>7</v>
      </c>
      <c r="H481" t="str">
        <v>single</v>
      </c>
      <c r="I481">
        <v>0</v>
      </c>
      <c r="J481">
        <v>21</v>
      </c>
      <c r="K481" s="61">
        <v>96.43</v>
      </c>
      <c r="L481" s="61">
        <v>675.01</v>
      </c>
      <c r="AA481">
        <v>31</v>
      </c>
      <c r="AB481">
        <v>13</v>
      </c>
      <c r="AC481" t="str">
        <v>90UX686</v>
      </c>
      <c r="AD481">
        <v>29</v>
      </c>
      <c r="AE481" t="str">
        <v>single</v>
      </c>
    </row>
    <row r="482" spans="1:31" hidden="1" x14ac:dyDescent="0.25">
      <c r="A482">
        <v>481</v>
      </c>
      <c r="B482">
        <v>2025</v>
      </c>
      <c r="C482">
        <v>10</v>
      </c>
      <c r="D482">
        <v>31</v>
      </c>
      <c r="E482">
        <v>9</v>
      </c>
      <c r="F482" t="str">
        <v>77SR538</v>
      </c>
      <c r="G482" s="61">
        <v>30</v>
      </c>
      <c r="H482" t="str">
        <v>single</v>
      </c>
      <c r="I482">
        <v>0</v>
      </c>
      <c r="J482">
        <v>73</v>
      </c>
      <c r="K482" s="61">
        <v>73.33</v>
      </c>
      <c r="L482" s="61">
        <v>2199.9</v>
      </c>
      <c r="AA482">
        <v>31</v>
      </c>
      <c r="AB482">
        <v>13</v>
      </c>
      <c r="AC482" t="str">
        <v>99BT339</v>
      </c>
      <c r="AD482">
        <v>29</v>
      </c>
      <c r="AE482" t="str">
        <v>single</v>
      </c>
    </row>
    <row r="483" spans="1:31" hidden="1" x14ac:dyDescent="0.25">
      <c r="A483">
        <v>482</v>
      </c>
      <c r="B483">
        <v>2025</v>
      </c>
      <c r="C483">
        <v>10</v>
      </c>
      <c r="D483">
        <v>31</v>
      </c>
      <c r="E483">
        <v>9</v>
      </c>
      <c r="F483" t="str">
        <v>77TG971</v>
      </c>
      <c r="G483" s="61">
        <v>28</v>
      </c>
      <c r="H483" t="str">
        <v>single</v>
      </c>
      <c r="I483">
        <v>0</v>
      </c>
      <c r="J483">
        <v>75</v>
      </c>
      <c r="K483" s="61">
        <v>55.36</v>
      </c>
      <c r="L483" s="61">
        <v>1550.08</v>
      </c>
      <c r="AA483">
        <v>31</v>
      </c>
      <c r="AB483">
        <v>13</v>
      </c>
      <c r="AC483" t="str">
        <v>99CN447</v>
      </c>
      <c r="AD483">
        <v>28</v>
      </c>
      <c r="AE483" t="str">
        <v>single</v>
      </c>
    </row>
    <row r="484" spans="1:31" hidden="1" x14ac:dyDescent="0.25">
      <c r="A484">
        <v>483</v>
      </c>
      <c r="B484">
        <v>2025</v>
      </c>
      <c r="C484">
        <v>10</v>
      </c>
      <c r="D484">
        <v>31</v>
      </c>
      <c r="E484">
        <v>9</v>
      </c>
      <c r="F484" t="str">
        <v>77UR032</v>
      </c>
      <c r="G484" s="61">
        <v>29</v>
      </c>
      <c r="H484" t="str">
        <v>single</v>
      </c>
      <c r="I484">
        <v>0</v>
      </c>
      <c r="J484">
        <v>77</v>
      </c>
      <c r="K484" s="61">
        <v>55.36</v>
      </c>
      <c r="L484" s="61">
        <v>1605.44</v>
      </c>
      <c r="AA484">
        <v>31</v>
      </c>
      <c r="AB484">
        <v>13</v>
      </c>
      <c r="AC484" t="str">
        <v>99DT131</v>
      </c>
      <c r="AD484">
        <v>29</v>
      </c>
      <c r="AE484" t="str">
        <v>single</v>
      </c>
    </row>
    <row r="485" spans="1:31" hidden="1" x14ac:dyDescent="0.25">
      <c r="A485">
        <v>484</v>
      </c>
      <c r="B485">
        <v>2025</v>
      </c>
      <c r="C485">
        <v>10</v>
      </c>
      <c r="D485">
        <v>31</v>
      </c>
      <c r="E485">
        <v>9</v>
      </c>
      <c r="F485" t="str">
        <v>77VL420</v>
      </c>
      <c r="G485" s="61">
        <v>31</v>
      </c>
      <c r="H485" t="str">
        <v>single</v>
      </c>
      <c r="I485">
        <v>0</v>
      </c>
      <c r="J485">
        <v>118</v>
      </c>
      <c r="K485" s="61">
        <v>275</v>
      </c>
      <c r="L485" s="61">
        <v>8525</v>
      </c>
      <c r="AA485">
        <v>31</v>
      </c>
      <c r="AB485">
        <v>13</v>
      </c>
      <c r="AC485" t="str">
        <v>99EM163</v>
      </c>
      <c r="AD485">
        <v>29</v>
      </c>
      <c r="AE485" t="str">
        <v>single</v>
      </c>
    </row>
    <row r="486" spans="1:31" hidden="1" x14ac:dyDescent="0.25">
      <c r="A486">
        <v>485</v>
      </c>
      <c r="B486">
        <v>2025</v>
      </c>
      <c r="C486">
        <v>10</v>
      </c>
      <c r="D486">
        <v>31</v>
      </c>
      <c r="E486">
        <v>9</v>
      </c>
      <c r="F486" t="str">
        <v>90EC344</v>
      </c>
      <c r="G486" s="61">
        <v>30</v>
      </c>
      <c r="H486" t="str">
        <v>single</v>
      </c>
      <c r="I486">
        <v>0</v>
      </c>
      <c r="J486">
        <v>79</v>
      </c>
      <c r="K486" s="61">
        <v>62.5</v>
      </c>
      <c r="L486" s="61">
        <v>1875</v>
      </c>
      <c r="AA486">
        <v>31</v>
      </c>
      <c r="AB486">
        <v>13</v>
      </c>
      <c r="AC486" t="str">
        <v>99FO779</v>
      </c>
      <c r="AD486">
        <v>29</v>
      </c>
      <c r="AE486" t="str">
        <v>single</v>
      </c>
    </row>
    <row r="487" spans="1:31" hidden="1" x14ac:dyDescent="0.25">
      <c r="A487">
        <v>486</v>
      </c>
      <c r="B487">
        <v>2025</v>
      </c>
      <c r="C487">
        <v>10</v>
      </c>
      <c r="D487">
        <v>31</v>
      </c>
      <c r="E487">
        <v>9</v>
      </c>
      <c r="F487" t="str">
        <v>90LS143</v>
      </c>
      <c r="G487" s="61">
        <v>31</v>
      </c>
      <c r="H487" t="str">
        <v>single</v>
      </c>
      <c r="I487">
        <v>0</v>
      </c>
      <c r="J487">
        <v>81</v>
      </c>
      <c r="K487" s="61">
        <v>55.36</v>
      </c>
      <c r="L487" s="61">
        <v>1716.16</v>
      </c>
      <c r="AA487">
        <v>31</v>
      </c>
      <c r="AB487">
        <v>13</v>
      </c>
      <c r="AC487" t="str">
        <v>99GZ612</v>
      </c>
      <c r="AD487">
        <v>30</v>
      </c>
      <c r="AE487" t="str">
        <v>single</v>
      </c>
    </row>
    <row r="488" spans="1:31" hidden="1" x14ac:dyDescent="0.25">
      <c r="A488">
        <v>487</v>
      </c>
      <c r="B488">
        <v>2025</v>
      </c>
      <c r="C488">
        <v>10</v>
      </c>
      <c r="D488">
        <v>31</v>
      </c>
      <c r="E488">
        <v>9</v>
      </c>
      <c r="F488" t="str">
        <v>90OE402</v>
      </c>
      <c r="G488" s="61">
        <v>30</v>
      </c>
      <c r="H488" t="str">
        <v>single</v>
      </c>
      <c r="I488">
        <v>0</v>
      </c>
      <c r="J488">
        <v>83</v>
      </c>
      <c r="K488" s="61">
        <v>73.333333333333329</v>
      </c>
      <c r="L488" s="61">
        <v>2200</v>
      </c>
      <c r="AA488">
        <v>31</v>
      </c>
      <c r="AB488">
        <v>13</v>
      </c>
      <c r="AC488" t="str">
        <v>99HZ395</v>
      </c>
      <c r="AD488">
        <v>30</v>
      </c>
      <c r="AE488" t="str">
        <v>single</v>
      </c>
    </row>
    <row r="489" spans="1:31" hidden="1" x14ac:dyDescent="0.25">
      <c r="A489">
        <v>488</v>
      </c>
      <c r="B489">
        <v>2025</v>
      </c>
      <c r="C489">
        <v>10</v>
      </c>
      <c r="D489">
        <v>31</v>
      </c>
      <c r="E489">
        <v>9</v>
      </c>
      <c r="F489" t="str">
        <v>90PY548</v>
      </c>
      <c r="G489" s="61">
        <v>30</v>
      </c>
      <c r="H489" t="str">
        <v>single</v>
      </c>
      <c r="I489">
        <v>0</v>
      </c>
      <c r="J489">
        <v>85</v>
      </c>
      <c r="K489" s="61">
        <v>40</v>
      </c>
      <c r="L489" s="61">
        <v>1200</v>
      </c>
      <c r="AA489">
        <v>31</v>
      </c>
      <c r="AB489">
        <v>13</v>
      </c>
      <c r="AC489" t="str">
        <v>99KL663</v>
      </c>
      <c r="AD489">
        <v>30</v>
      </c>
      <c r="AE489" t="str">
        <v>single</v>
      </c>
    </row>
    <row r="490" spans="1:31" hidden="1" x14ac:dyDescent="0.25">
      <c r="A490">
        <v>489</v>
      </c>
      <c r="B490">
        <v>2025</v>
      </c>
      <c r="C490">
        <v>10</v>
      </c>
      <c r="D490">
        <v>31</v>
      </c>
      <c r="E490">
        <v>9</v>
      </c>
      <c r="F490" t="str">
        <v>90VS316</v>
      </c>
      <c r="G490" s="61">
        <v>31</v>
      </c>
      <c r="H490" t="str">
        <v>single</v>
      </c>
      <c r="I490">
        <v>0</v>
      </c>
      <c r="J490">
        <v>87</v>
      </c>
      <c r="K490" s="61">
        <v>55.36</v>
      </c>
      <c r="L490" s="61">
        <v>1716.16</v>
      </c>
      <c r="AA490">
        <v>31</v>
      </c>
      <c r="AB490">
        <v>13</v>
      </c>
      <c r="AC490" t="str">
        <v>99LM412</v>
      </c>
      <c r="AD490">
        <v>30</v>
      </c>
      <c r="AE490" t="str">
        <v>single</v>
      </c>
    </row>
    <row r="491" spans="1:31" hidden="1" x14ac:dyDescent="0.25">
      <c r="A491">
        <v>490</v>
      </c>
      <c r="B491">
        <v>2025</v>
      </c>
      <c r="C491">
        <v>10</v>
      </c>
      <c r="D491">
        <v>31</v>
      </c>
      <c r="E491">
        <v>9</v>
      </c>
      <c r="F491" t="str">
        <v>90YN163</v>
      </c>
      <c r="G491" s="61">
        <v>30</v>
      </c>
      <c r="H491" t="str">
        <v>single</v>
      </c>
      <c r="I491">
        <v>0</v>
      </c>
      <c r="J491">
        <v>89</v>
      </c>
      <c r="K491" s="61">
        <v>40</v>
      </c>
      <c r="L491" s="61">
        <v>1200</v>
      </c>
      <c r="AA491">
        <v>31</v>
      </c>
      <c r="AB491">
        <v>13</v>
      </c>
      <c r="AC491" t="str">
        <v>99MN472</v>
      </c>
      <c r="AD491">
        <v>30</v>
      </c>
      <c r="AE491" t="str">
        <v>single</v>
      </c>
    </row>
    <row r="492" spans="1:31" hidden="1" x14ac:dyDescent="0.25">
      <c r="A492">
        <v>491</v>
      </c>
      <c r="B492">
        <v>2025</v>
      </c>
      <c r="C492">
        <v>10</v>
      </c>
      <c r="D492">
        <v>31</v>
      </c>
      <c r="E492">
        <v>9</v>
      </c>
      <c r="F492" t="str">
        <v>99BT339</v>
      </c>
      <c r="G492" s="61">
        <v>31</v>
      </c>
      <c r="H492" t="str">
        <v>single</v>
      </c>
      <c r="I492">
        <v>0</v>
      </c>
      <c r="J492">
        <v>93</v>
      </c>
      <c r="K492" s="61">
        <v>55.36</v>
      </c>
      <c r="L492" s="61">
        <v>1716.16</v>
      </c>
      <c r="AA492">
        <v>31</v>
      </c>
      <c r="AB492">
        <v>13</v>
      </c>
      <c r="AC492" t="str">
        <v>99OR961</v>
      </c>
      <c r="AD492">
        <v>29</v>
      </c>
      <c r="AE492" t="str">
        <v>single</v>
      </c>
    </row>
    <row r="493" spans="1:31" hidden="1" x14ac:dyDescent="0.25">
      <c r="A493">
        <v>492</v>
      </c>
      <c r="B493">
        <v>2025</v>
      </c>
      <c r="C493">
        <v>10</v>
      </c>
      <c r="D493">
        <v>31</v>
      </c>
      <c r="E493">
        <v>9</v>
      </c>
      <c r="F493" t="str">
        <v>99CN447</v>
      </c>
      <c r="G493" s="61">
        <v>30</v>
      </c>
      <c r="H493" t="str">
        <v>single</v>
      </c>
      <c r="I493">
        <v>0</v>
      </c>
      <c r="J493">
        <v>94</v>
      </c>
      <c r="K493" s="61">
        <v>55.36</v>
      </c>
      <c r="L493" s="61">
        <v>1660.8</v>
      </c>
      <c r="AA493">
        <v>31</v>
      </c>
      <c r="AB493">
        <v>13</v>
      </c>
      <c r="AC493" t="str">
        <v>99UK314</v>
      </c>
      <c r="AD493">
        <v>30</v>
      </c>
      <c r="AE493" t="str">
        <v>single</v>
      </c>
    </row>
    <row r="494" spans="1:31" hidden="1" x14ac:dyDescent="0.25">
      <c r="A494">
        <v>493</v>
      </c>
      <c r="B494">
        <v>2025</v>
      </c>
      <c r="C494">
        <v>10</v>
      </c>
      <c r="D494">
        <v>31</v>
      </c>
      <c r="E494">
        <v>9</v>
      </c>
      <c r="F494" t="str">
        <v>99FO779</v>
      </c>
      <c r="G494" s="61">
        <v>30</v>
      </c>
      <c r="H494" t="str">
        <v>single</v>
      </c>
      <c r="I494">
        <v>0</v>
      </c>
      <c r="J494">
        <v>101</v>
      </c>
      <c r="K494" s="61">
        <v>66.071428571428569</v>
      </c>
      <c r="L494" s="61">
        <v>1982.1428571428571</v>
      </c>
      <c r="AA494">
        <v>31</v>
      </c>
      <c r="AB494">
        <v>13</v>
      </c>
      <c r="AC494" t="str">
        <v>10NG198</v>
      </c>
      <c r="AD494">
        <v>29</v>
      </c>
      <c r="AE494" t="str">
        <v>single</v>
      </c>
    </row>
    <row r="495" spans="1:31" hidden="1" x14ac:dyDescent="0.25">
      <c r="A495">
        <v>494</v>
      </c>
      <c r="B495">
        <v>2025</v>
      </c>
      <c r="C495">
        <v>10</v>
      </c>
      <c r="D495">
        <v>31</v>
      </c>
      <c r="E495">
        <v>9</v>
      </c>
      <c r="F495" t="str">
        <v>99GZ612</v>
      </c>
      <c r="G495" s="61">
        <v>12</v>
      </c>
      <c r="H495" t="str">
        <v>single</v>
      </c>
      <c r="I495">
        <v>0</v>
      </c>
      <c r="J495">
        <v>104</v>
      </c>
      <c r="K495" s="61">
        <v>62.5</v>
      </c>
      <c r="L495" s="61">
        <v>750</v>
      </c>
      <c r="AA495">
        <v>31</v>
      </c>
      <c r="AB495">
        <v>13</v>
      </c>
      <c r="AC495" t="str">
        <v>10ON175</v>
      </c>
      <c r="AD495">
        <v>30</v>
      </c>
      <c r="AE495" t="str">
        <v>single</v>
      </c>
    </row>
    <row r="496" spans="1:31" hidden="1" x14ac:dyDescent="0.25">
      <c r="A496">
        <v>495</v>
      </c>
      <c r="B496">
        <v>2025</v>
      </c>
      <c r="C496">
        <v>10</v>
      </c>
      <c r="D496">
        <v>31</v>
      </c>
      <c r="E496">
        <v>9</v>
      </c>
      <c r="F496" t="str">
        <v>99HZ395</v>
      </c>
      <c r="G496" s="61">
        <v>29</v>
      </c>
      <c r="H496" t="str">
        <v>single</v>
      </c>
      <c r="I496">
        <v>0</v>
      </c>
      <c r="J496">
        <v>3</v>
      </c>
      <c r="K496" s="61">
        <v>65</v>
      </c>
      <c r="L496" s="61">
        <v>1885</v>
      </c>
      <c r="AA496">
        <v>31</v>
      </c>
      <c r="AB496">
        <v>13</v>
      </c>
      <c r="AC496" t="str">
        <v>27BZ361</v>
      </c>
      <c r="AD496">
        <v>28</v>
      </c>
      <c r="AE496" t="str">
        <v>single</v>
      </c>
    </row>
    <row r="497" spans="1:31" hidden="1" x14ac:dyDescent="0.25">
      <c r="A497">
        <v>496</v>
      </c>
      <c r="B497">
        <v>2025</v>
      </c>
      <c r="C497">
        <v>10</v>
      </c>
      <c r="D497">
        <v>31</v>
      </c>
      <c r="E497">
        <v>9</v>
      </c>
      <c r="F497" t="str">
        <v>99KL663</v>
      </c>
      <c r="G497" s="61">
        <v>31</v>
      </c>
      <c r="H497" t="str">
        <v>single</v>
      </c>
      <c r="I497">
        <v>0</v>
      </c>
      <c r="J497">
        <v>106</v>
      </c>
      <c r="K497" s="61">
        <v>55.36</v>
      </c>
      <c r="L497" s="61">
        <v>1716.16</v>
      </c>
      <c r="AA497">
        <v>31</v>
      </c>
      <c r="AB497">
        <v>13</v>
      </c>
      <c r="AC497" t="str">
        <v>10ZU722</v>
      </c>
      <c r="AD497">
        <v>29</v>
      </c>
      <c r="AE497" t="str">
        <v>single</v>
      </c>
    </row>
    <row r="498" spans="1:31" hidden="1" x14ac:dyDescent="0.25">
      <c r="A498">
        <v>497</v>
      </c>
      <c r="B498">
        <v>2025</v>
      </c>
      <c r="C498">
        <v>10</v>
      </c>
      <c r="D498">
        <v>31</v>
      </c>
      <c r="E498">
        <v>9</v>
      </c>
      <c r="F498" t="str">
        <v>99LM412</v>
      </c>
      <c r="G498" s="61">
        <v>31</v>
      </c>
      <c r="H498" t="str">
        <v>single</v>
      </c>
      <c r="I498">
        <v>0</v>
      </c>
      <c r="J498">
        <v>116</v>
      </c>
      <c r="K498" s="61">
        <v>55.357142857142854</v>
      </c>
      <c r="L498" s="61">
        <v>1716.0714285714284</v>
      </c>
      <c r="AA498">
        <v>31</v>
      </c>
      <c r="AB498">
        <v>13</v>
      </c>
      <c r="AC498" t="str">
        <v>77PV319</v>
      </c>
      <c r="AD498">
        <v>30</v>
      </c>
      <c r="AE498" t="str">
        <v>single</v>
      </c>
    </row>
    <row r="499" spans="1:31" hidden="1" x14ac:dyDescent="0.25">
      <c r="A499">
        <v>498</v>
      </c>
      <c r="B499">
        <v>2025</v>
      </c>
      <c r="C499">
        <v>10</v>
      </c>
      <c r="D499">
        <v>31</v>
      </c>
      <c r="E499">
        <v>9</v>
      </c>
      <c r="F499" t="str">
        <v>99MN472</v>
      </c>
      <c r="G499" s="61">
        <v>28</v>
      </c>
      <c r="H499" t="str">
        <v>single</v>
      </c>
      <c r="I499">
        <v>0</v>
      </c>
      <c r="J499">
        <v>108</v>
      </c>
      <c r="K499" s="61">
        <v>55.36</v>
      </c>
      <c r="L499" s="61">
        <v>1550.08</v>
      </c>
      <c r="AA499">
        <v>31</v>
      </c>
      <c r="AB499">
        <v>13</v>
      </c>
      <c r="AC499" t="str">
        <v>38BG860</v>
      </c>
      <c r="AD499">
        <v>30</v>
      </c>
      <c r="AE499" t="str">
        <v>single</v>
      </c>
    </row>
    <row r="500" spans="1:31" hidden="1" x14ac:dyDescent="0.25">
      <c r="A500">
        <v>499</v>
      </c>
      <c r="B500">
        <v>2025</v>
      </c>
      <c r="C500">
        <v>10</v>
      </c>
      <c r="D500">
        <v>31</v>
      </c>
      <c r="E500">
        <v>9</v>
      </c>
      <c r="F500" t="str">
        <v>99OR961</v>
      </c>
      <c r="G500" s="61">
        <v>30</v>
      </c>
      <c r="H500" t="str">
        <v>single</v>
      </c>
      <c r="I500">
        <v>0</v>
      </c>
      <c r="J500">
        <v>109</v>
      </c>
      <c r="K500" s="61">
        <v>55.36</v>
      </c>
      <c r="L500" s="61">
        <v>1660.8</v>
      </c>
      <c r="AA500">
        <v>31</v>
      </c>
      <c r="AB500">
        <v>13</v>
      </c>
      <c r="AC500" t="str">
        <v>77PV659</v>
      </c>
      <c r="AD500">
        <v>30</v>
      </c>
      <c r="AE500" t="str">
        <v>single</v>
      </c>
    </row>
    <row r="501" spans="1:31" hidden="1" x14ac:dyDescent="0.25">
      <c r="A501">
        <v>500</v>
      </c>
      <c r="B501">
        <v>2025</v>
      </c>
      <c r="C501">
        <v>10</v>
      </c>
      <c r="D501">
        <v>31</v>
      </c>
      <c r="E501">
        <v>9</v>
      </c>
      <c r="F501" t="str">
        <v>99UK314</v>
      </c>
      <c r="G501" s="61">
        <v>31</v>
      </c>
      <c r="H501" t="str">
        <v>single</v>
      </c>
      <c r="I501">
        <v>0</v>
      </c>
      <c r="J501">
        <v>114</v>
      </c>
      <c r="K501" s="61">
        <v>58.93</v>
      </c>
      <c r="L501" s="61">
        <v>1826.83</v>
      </c>
      <c r="AA501">
        <v>31</v>
      </c>
      <c r="AB501">
        <v>13</v>
      </c>
      <c r="AC501" t="str">
        <v>90GG153</v>
      </c>
      <c r="AD501">
        <v>29</v>
      </c>
      <c r="AE501" t="str">
        <v>single</v>
      </c>
    </row>
    <row r="502" spans="1:31" hidden="1" x14ac:dyDescent="0.25">
      <c r="A502">
        <v>501</v>
      </c>
      <c r="B502">
        <v>2025</v>
      </c>
      <c r="C502">
        <v>10</v>
      </c>
      <c r="D502">
        <v>31</v>
      </c>
      <c r="E502">
        <v>9</v>
      </c>
      <c r="F502" t="str">
        <v>77GR998</v>
      </c>
      <c r="G502" s="61">
        <v>31</v>
      </c>
      <c r="H502" t="str">
        <v>double</v>
      </c>
      <c r="I502">
        <v>0</v>
      </c>
      <c r="J502">
        <v>63</v>
      </c>
      <c r="K502" s="61">
        <v>99.642857142857139</v>
      </c>
      <c r="L502" s="61">
        <v>3088.9285714285711</v>
      </c>
      <c r="AA502">
        <v>173</v>
      </c>
      <c r="AB502">
        <v>1</v>
      </c>
      <c r="AC502" t="str">
        <v>99BQ963</v>
      </c>
      <c r="AD502">
        <v>29</v>
      </c>
      <c r="AE502" t="str">
        <v>single</v>
      </c>
    </row>
    <row r="503" spans="1:31" x14ac:dyDescent="0.25">
      <c r="A503">
        <v>502</v>
      </c>
      <c r="B503">
        <v>2025</v>
      </c>
      <c r="C503">
        <v>10</v>
      </c>
      <c r="D503">
        <v>31</v>
      </c>
      <c r="E503">
        <v>9</v>
      </c>
      <c r="F503" t="str">
        <v>99EM163</v>
      </c>
      <c r="G503" s="61">
        <v>31</v>
      </c>
      <c r="H503" t="str">
        <v>double</v>
      </c>
      <c r="I503">
        <v>0</v>
      </c>
      <c r="J503">
        <v>98</v>
      </c>
      <c r="K503" s="61">
        <v>99.65</v>
      </c>
      <c r="L503" s="61">
        <v>3089.15</v>
      </c>
      <c r="AA503">
        <v>182</v>
      </c>
      <c r="AB503">
        <v>1</v>
      </c>
      <c r="AC503" t="str">
        <v>99MD834</v>
      </c>
      <c r="AD503">
        <v>7</v>
      </c>
      <c r="AE503" t="str">
        <v>single</v>
      </c>
    </row>
    <row r="504" spans="1:31" hidden="1" x14ac:dyDescent="0.25">
      <c r="A504">
        <v>503</v>
      </c>
      <c r="B504">
        <v>2025</v>
      </c>
      <c r="C504">
        <v>10</v>
      </c>
      <c r="D504">
        <v>31</v>
      </c>
      <c r="E504">
        <v>9</v>
      </c>
      <c r="F504" t="str">
        <v>10RN527</v>
      </c>
      <c r="G504" s="61">
        <v>87</v>
      </c>
      <c r="H504" t="str">
        <v>hour</v>
      </c>
      <c r="I504">
        <v>0</v>
      </c>
      <c r="J504">
        <v>30</v>
      </c>
      <c r="K504" s="61">
        <v>6.25</v>
      </c>
      <c r="L504" s="61">
        <v>543.75</v>
      </c>
      <c r="AA504">
        <v>182</v>
      </c>
      <c r="AB504">
        <v>1</v>
      </c>
      <c r="AC504" t="str">
        <v>77VS178</v>
      </c>
      <c r="AD504">
        <v>4</v>
      </c>
      <c r="AE504" t="str">
        <v>single</v>
      </c>
    </row>
    <row r="505" spans="1:31" hidden="1" x14ac:dyDescent="0.25">
      <c r="A505">
        <v>504</v>
      </c>
      <c r="B505">
        <v>2025</v>
      </c>
      <c r="C505">
        <v>10</v>
      </c>
      <c r="D505">
        <v>31</v>
      </c>
      <c r="E505">
        <v>9</v>
      </c>
      <c r="F505" t="str">
        <v>21BF442</v>
      </c>
      <c r="G505" s="61">
        <v>87</v>
      </c>
      <c r="H505" t="str">
        <v>hour</v>
      </c>
      <c r="I505">
        <v>0</v>
      </c>
      <c r="J505">
        <v>38</v>
      </c>
      <c r="K505" s="61">
        <v>5.5359999999999996</v>
      </c>
      <c r="L505" s="61">
        <v>481.63199999999995</v>
      </c>
      <c r="AA505">
        <v>31</v>
      </c>
      <c r="AB505">
        <v>13</v>
      </c>
      <c r="AC505" t="str">
        <v>53BD239</v>
      </c>
      <c r="AD505">
        <v>20</v>
      </c>
      <c r="AE505" t="str">
        <v>single</v>
      </c>
    </row>
    <row r="506" spans="1:31" hidden="1" x14ac:dyDescent="0.25">
      <c r="A506">
        <v>505</v>
      </c>
      <c r="B506">
        <v>2025</v>
      </c>
      <c r="C506">
        <v>10</v>
      </c>
      <c r="D506">
        <v>31</v>
      </c>
      <c r="E506">
        <v>9</v>
      </c>
      <c r="F506" t="str">
        <v>50BD165</v>
      </c>
      <c r="G506" s="61">
        <v>28.999999999999975</v>
      </c>
      <c r="H506" t="str">
        <v>hour</v>
      </c>
      <c r="I506">
        <v>0</v>
      </c>
      <c r="J506">
        <v>40</v>
      </c>
      <c r="K506" s="61">
        <v>5.5359999999999996</v>
      </c>
      <c r="L506" s="61">
        <v>160.54399999999984</v>
      </c>
      <c r="AA506">
        <v>31</v>
      </c>
      <c r="AB506">
        <v>13</v>
      </c>
      <c r="AC506" t="str">
        <v>99GN495</v>
      </c>
      <c r="AD506">
        <v>14</v>
      </c>
      <c r="AE506" t="str">
        <v>single</v>
      </c>
    </row>
    <row r="507" spans="1:31" hidden="1" x14ac:dyDescent="0.25">
      <c r="A507">
        <v>506</v>
      </c>
      <c r="B507">
        <v>2025</v>
      </c>
      <c r="C507">
        <v>10</v>
      </c>
      <c r="D507">
        <v>31</v>
      </c>
      <c r="E507">
        <v>9</v>
      </c>
      <c r="F507" t="str">
        <v>50BN724</v>
      </c>
      <c r="G507" s="61">
        <v>35.999999999999943</v>
      </c>
      <c r="H507" t="str">
        <v>hour</v>
      </c>
      <c r="I507">
        <v>0</v>
      </c>
      <c r="J507">
        <v>42</v>
      </c>
      <c r="K507" s="61">
        <v>6.6070000000000002</v>
      </c>
      <c r="L507" s="61">
        <v>237.85199999999963</v>
      </c>
      <c r="AA507">
        <v>31</v>
      </c>
      <c r="AB507">
        <v>13</v>
      </c>
      <c r="AC507" t="str">
        <v>10OG142</v>
      </c>
      <c r="AD507">
        <v>14</v>
      </c>
      <c r="AE507" t="str">
        <v>single</v>
      </c>
    </row>
    <row r="508" spans="1:31" hidden="1" x14ac:dyDescent="0.25">
      <c r="A508">
        <v>507</v>
      </c>
      <c r="B508">
        <v>2025</v>
      </c>
      <c r="C508">
        <v>10</v>
      </c>
      <c r="D508">
        <v>31</v>
      </c>
      <c r="E508">
        <v>9</v>
      </c>
      <c r="F508" t="str">
        <v>50CN929</v>
      </c>
      <c r="G508" s="61">
        <v>72</v>
      </c>
      <c r="H508" t="str">
        <v>hour</v>
      </c>
      <c r="I508">
        <v>0</v>
      </c>
      <c r="J508">
        <v>44</v>
      </c>
      <c r="K508" s="61">
        <v>5.5359999999999996</v>
      </c>
      <c r="L508" s="61">
        <v>398.59199999999998</v>
      </c>
      <c r="AA508">
        <v>31</v>
      </c>
      <c r="AB508">
        <v>14</v>
      </c>
      <c r="AC508" t="str">
        <v>90GG153</v>
      </c>
      <c r="AD508">
        <v>29</v>
      </c>
      <c r="AE508" t="str">
        <v>single</v>
      </c>
    </row>
    <row r="509" spans="1:31" hidden="1" x14ac:dyDescent="0.25">
      <c r="A509">
        <v>508</v>
      </c>
      <c r="B509">
        <v>2025</v>
      </c>
      <c r="C509">
        <v>10</v>
      </c>
      <c r="D509">
        <v>31</v>
      </c>
      <c r="E509">
        <v>9</v>
      </c>
      <c r="F509" t="str">
        <v>50DK730</v>
      </c>
      <c r="G509" s="61">
        <v>90</v>
      </c>
      <c r="H509" t="str">
        <v>hour</v>
      </c>
      <c r="I509">
        <v>0</v>
      </c>
      <c r="J509">
        <v>46</v>
      </c>
      <c r="K509" s="61">
        <v>5.5359999999999996</v>
      </c>
      <c r="L509" s="61">
        <v>498.23999999999995</v>
      </c>
      <c r="AA509">
        <v>50</v>
      </c>
      <c r="AB509">
        <v>10</v>
      </c>
      <c r="AC509" t="str">
        <v>61AB256</v>
      </c>
      <c r="AD509">
        <v>14</v>
      </c>
      <c r="AE509" t="str">
        <v>single</v>
      </c>
    </row>
    <row r="510" spans="1:31" hidden="1" x14ac:dyDescent="0.25">
      <c r="A510">
        <v>509</v>
      </c>
      <c r="B510">
        <v>2025</v>
      </c>
      <c r="C510">
        <v>10</v>
      </c>
      <c r="D510">
        <v>31</v>
      </c>
      <c r="E510">
        <v>9</v>
      </c>
      <c r="F510" t="str">
        <v>50EF902</v>
      </c>
      <c r="G510" s="61">
        <v>63.999999999999943</v>
      </c>
      <c r="H510" t="str">
        <v>hour</v>
      </c>
      <c r="I510">
        <v>0</v>
      </c>
      <c r="J510">
        <v>48</v>
      </c>
      <c r="K510" s="61">
        <v>6.25</v>
      </c>
      <c r="L510" s="61">
        <v>399.99999999999966</v>
      </c>
      <c r="AA510">
        <v>51</v>
      </c>
      <c r="AB510">
        <v>8</v>
      </c>
      <c r="AC510" t="str">
        <v>10AD071</v>
      </c>
      <c r="AD510">
        <v>26</v>
      </c>
      <c r="AE510" t="str">
        <v>single</v>
      </c>
    </row>
    <row r="511" spans="1:31" hidden="1" x14ac:dyDescent="0.25">
      <c r="A511">
        <v>510</v>
      </c>
      <c r="B511">
        <v>2025</v>
      </c>
      <c r="C511">
        <v>10</v>
      </c>
      <c r="D511">
        <v>31</v>
      </c>
      <c r="E511">
        <v>9</v>
      </c>
      <c r="F511" t="str">
        <v>50FB264</v>
      </c>
      <c r="G511" s="61">
        <v>44.999999999999957</v>
      </c>
      <c r="H511" t="str">
        <v>hour</v>
      </c>
      <c r="I511">
        <v>0</v>
      </c>
      <c r="J511">
        <v>24</v>
      </c>
      <c r="K511" s="61">
        <v>6.6070000000000002</v>
      </c>
      <c r="L511" s="61">
        <v>297.31499999999971</v>
      </c>
      <c r="AA511">
        <v>65</v>
      </c>
      <c r="AB511">
        <v>11</v>
      </c>
      <c r="AC511" t="str">
        <v>01BA176</v>
      </c>
      <c r="AD511">
        <v>27</v>
      </c>
      <c r="AE511" t="str">
        <v>single</v>
      </c>
    </row>
    <row r="512" spans="1:31" hidden="1" x14ac:dyDescent="0.25">
      <c r="A512">
        <v>511</v>
      </c>
      <c r="B512">
        <v>2025</v>
      </c>
      <c r="C512">
        <v>10</v>
      </c>
      <c r="D512">
        <v>31</v>
      </c>
      <c r="E512">
        <v>9</v>
      </c>
      <c r="F512" t="str">
        <v>55CB633</v>
      </c>
      <c r="G512" s="61">
        <v>89</v>
      </c>
      <c r="H512" t="str">
        <v>hour</v>
      </c>
      <c r="I512">
        <v>0</v>
      </c>
      <c r="J512">
        <v>56</v>
      </c>
      <c r="K512" s="61">
        <v>5.5359999999999996</v>
      </c>
      <c r="L512" s="61">
        <v>492.70399999999995</v>
      </c>
      <c r="AA512">
        <v>85</v>
      </c>
      <c r="AB512">
        <v>10</v>
      </c>
      <c r="AC512" t="str">
        <v>77SN951</v>
      </c>
      <c r="AD512">
        <v>28</v>
      </c>
      <c r="AE512" t="str">
        <v>single</v>
      </c>
    </row>
    <row r="513" spans="1:31" hidden="1" x14ac:dyDescent="0.25">
      <c r="A513">
        <v>512</v>
      </c>
      <c r="B513">
        <v>2025</v>
      </c>
      <c r="C513">
        <v>10</v>
      </c>
      <c r="D513">
        <v>31</v>
      </c>
      <c r="E513">
        <v>9</v>
      </c>
      <c r="F513" t="str">
        <v>77TG971</v>
      </c>
      <c r="G513" s="61">
        <v>7.9999999999999858</v>
      </c>
      <c r="H513" t="str">
        <v>hour</v>
      </c>
      <c r="I513">
        <v>0</v>
      </c>
      <c r="J513">
        <v>74</v>
      </c>
      <c r="K513" s="61">
        <v>5.5359999999999996</v>
      </c>
      <c r="L513" s="61">
        <v>44.287999999999919</v>
      </c>
      <c r="AA513">
        <v>95</v>
      </c>
      <c r="AB513">
        <v>9</v>
      </c>
      <c r="AC513" t="str">
        <v>54BA209</v>
      </c>
      <c r="AD513">
        <v>28</v>
      </c>
      <c r="AE513" t="str">
        <v>single</v>
      </c>
    </row>
    <row r="514" spans="1:31" hidden="1" x14ac:dyDescent="0.25">
      <c r="A514">
        <v>513</v>
      </c>
      <c r="B514">
        <v>2025</v>
      </c>
      <c r="C514">
        <v>10</v>
      </c>
      <c r="D514">
        <v>31</v>
      </c>
      <c r="E514">
        <v>9</v>
      </c>
      <c r="F514" t="str">
        <v>90EC344</v>
      </c>
      <c r="G514" s="61">
        <v>41</v>
      </c>
      <c r="H514" t="str">
        <v>hour</v>
      </c>
      <c r="I514">
        <v>0</v>
      </c>
      <c r="J514">
        <v>78</v>
      </c>
      <c r="K514" s="61">
        <v>6.25</v>
      </c>
      <c r="L514" s="61">
        <v>256.25</v>
      </c>
      <c r="AA514">
        <v>98</v>
      </c>
      <c r="AB514">
        <v>9</v>
      </c>
      <c r="AC514" t="str">
        <v>50BD416</v>
      </c>
      <c r="AD514">
        <v>26</v>
      </c>
      <c r="AE514" t="str">
        <v>single</v>
      </c>
    </row>
    <row r="515" spans="1:31" hidden="1" x14ac:dyDescent="0.25">
      <c r="A515">
        <v>514</v>
      </c>
      <c r="B515">
        <v>2025</v>
      </c>
      <c r="C515">
        <v>10</v>
      </c>
      <c r="D515">
        <v>31</v>
      </c>
      <c r="E515">
        <v>9</v>
      </c>
      <c r="F515" t="str">
        <v>90LS143</v>
      </c>
      <c r="G515" s="61">
        <v>25.999999999999986</v>
      </c>
      <c r="H515" t="str">
        <v>hour</v>
      </c>
      <c r="I515">
        <v>0</v>
      </c>
      <c r="J515">
        <v>80</v>
      </c>
      <c r="K515" s="61">
        <v>5.5359999999999996</v>
      </c>
      <c r="L515" s="61">
        <v>143.93599999999992</v>
      </c>
      <c r="AA515">
        <v>100</v>
      </c>
      <c r="AB515">
        <v>9</v>
      </c>
      <c r="AC515" t="str">
        <v>22AB273</v>
      </c>
      <c r="AD515">
        <v>27</v>
      </c>
      <c r="AE515" t="str">
        <v>single</v>
      </c>
    </row>
    <row r="516" spans="1:31" hidden="1" x14ac:dyDescent="0.25">
      <c r="A516">
        <v>515</v>
      </c>
      <c r="B516">
        <v>2025</v>
      </c>
      <c r="C516">
        <v>10</v>
      </c>
      <c r="D516">
        <v>31</v>
      </c>
      <c r="E516">
        <v>9</v>
      </c>
      <c r="F516" t="str">
        <v>90VS316</v>
      </c>
      <c r="G516" s="61">
        <v>76.999999999999986</v>
      </c>
      <c r="H516" t="str">
        <v>hour</v>
      </c>
      <c r="I516">
        <v>0</v>
      </c>
      <c r="J516">
        <v>86</v>
      </c>
      <c r="K516" s="61">
        <v>5.5359999999999996</v>
      </c>
      <c r="L516" s="61">
        <v>426.27199999999988</v>
      </c>
      <c r="AA516">
        <v>100</v>
      </c>
      <c r="AB516">
        <v>9</v>
      </c>
      <c r="AC516" t="str">
        <v>22AB283</v>
      </c>
      <c r="AD516">
        <v>26</v>
      </c>
      <c r="AE516" t="str">
        <v>single</v>
      </c>
    </row>
    <row r="517" spans="1:31" hidden="1" x14ac:dyDescent="0.25">
      <c r="A517">
        <v>516</v>
      </c>
      <c r="B517">
        <v>2025</v>
      </c>
      <c r="C517">
        <v>10</v>
      </c>
      <c r="D517">
        <v>31</v>
      </c>
      <c r="E517">
        <v>9</v>
      </c>
      <c r="F517" t="str">
        <v>99BT339</v>
      </c>
      <c r="G517" s="61">
        <v>55.999999999999972</v>
      </c>
      <c r="H517" t="str">
        <v>hour</v>
      </c>
      <c r="I517">
        <v>0</v>
      </c>
      <c r="J517">
        <v>92</v>
      </c>
      <c r="K517" s="61">
        <v>5.5359999999999996</v>
      </c>
      <c r="L517" s="61">
        <v>310.01599999999979</v>
      </c>
      <c r="AA517">
        <v>102</v>
      </c>
      <c r="AB517">
        <v>8</v>
      </c>
      <c r="AC517" t="str">
        <v>54BM823</v>
      </c>
      <c r="AD517">
        <v>25</v>
      </c>
      <c r="AE517" t="str">
        <v>single</v>
      </c>
    </row>
    <row r="518" spans="1:31" hidden="1" x14ac:dyDescent="0.25">
      <c r="A518">
        <v>517</v>
      </c>
      <c r="B518">
        <v>2025</v>
      </c>
      <c r="C518">
        <v>10</v>
      </c>
      <c r="D518">
        <v>31</v>
      </c>
      <c r="E518">
        <v>9</v>
      </c>
      <c r="F518" t="str">
        <v>99CN447</v>
      </c>
      <c r="G518" s="61">
        <v>73.999999999999972</v>
      </c>
      <c r="H518" t="str">
        <v>hour</v>
      </c>
      <c r="I518">
        <v>0</v>
      </c>
      <c r="J518">
        <v>95</v>
      </c>
      <c r="K518" s="61">
        <v>5.5359999999999996</v>
      </c>
      <c r="L518" s="61">
        <v>409.66399999999982</v>
      </c>
      <c r="AA518">
        <v>102</v>
      </c>
      <c r="AB518">
        <v>8</v>
      </c>
      <c r="AC518" t="str">
        <v>01BT754</v>
      </c>
      <c r="AD518">
        <v>24</v>
      </c>
      <c r="AE518" t="str">
        <v>single</v>
      </c>
    </row>
    <row r="519" spans="1:31" hidden="1" x14ac:dyDescent="0.25">
      <c r="A519">
        <v>518</v>
      </c>
      <c r="B519">
        <v>2025</v>
      </c>
      <c r="C519">
        <v>10</v>
      </c>
      <c r="D519">
        <v>31</v>
      </c>
      <c r="E519">
        <v>9</v>
      </c>
      <c r="F519" t="str">
        <v>99FO779</v>
      </c>
      <c r="G519" s="61">
        <v>86.999999999999986</v>
      </c>
      <c r="H519" t="str">
        <v>hour</v>
      </c>
      <c r="I519">
        <v>0</v>
      </c>
      <c r="J519">
        <v>102</v>
      </c>
      <c r="K519" s="61">
        <v>6.6071428571428568</v>
      </c>
      <c r="L519" s="61">
        <v>574.82142857142844</v>
      </c>
      <c r="AA519">
        <v>102</v>
      </c>
      <c r="AB519">
        <v>8</v>
      </c>
      <c r="AC519" t="str">
        <v>10MF640</v>
      </c>
      <c r="AD519">
        <v>29</v>
      </c>
      <c r="AE519" t="str">
        <v>single</v>
      </c>
    </row>
    <row r="520" spans="1:31" hidden="1" x14ac:dyDescent="0.25">
      <c r="A520">
        <v>519</v>
      </c>
      <c r="B520">
        <v>2025</v>
      </c>
      <c r="C520">
        <v>10</v>
      </c>
      <c r="D520">
        <v>31</v>
      </c>
      <c r="E520">
        <v>9</v>
      </c>
      <c r="F520" t="str">
        <v>99KL663</v>
      </c>
      <c r="G520" s="61">
        <v>74.999999999999986</v>
      </c>
      <c r="H520" t="str">
        <v>hour</v>
      </c>
      <c r="I520">
        <v>0</v>
      </c>
      <c r="J520">
        <v>105</v>
      </c>
      <c r="K520" s="61">
        <v>5.5359999999999996</v>
      </c>
      <c r="L520" s="61">
        <v>415.19999999999987</v>
      </c>
      <c r="AA520">
        <v>121</v>
      </c>
      <c r="AB520">
        <v>6</v>
      </c>
      <c r="AC520" t="str">
        <v>11BC843</v>
      </c>
      <c r="AD520">
        <v>26</v>
      </c>
      <c r="AE520" t="str">
        <v>single</v>
      </c>
    </row>
    <row r="521" spans="1:31" hidden="1" x14ac:dyDescent="0.25">
      <c r="A521">
        <v>520</v>
      </c>
      <c r="B521">
        <v>2025</v>
      </c>
      <c r="C521">
        <v>10</v>
      </c>
      <c r="D521">
        <v>31</v>
      </c>
      <c r="E521">
        <v>9</v>
      </c>
      <c r="F521" t="str">
        <v>99LM412</v>
      </c>
      <c r="G521" s="61">
        <v>49.999999999999943</v>
      </c>
      <c r="H521" t="str">
        <v>hour</v>
      </c>
      <c r="I521">
        <v>0</v>
      </c>
      <c r="J521">
        <v>115</v>
      </c>
      <c r="K521" s="61">
        <v>5.5357142857142856</v>
      </c>
      <c r="L521" s="61">
        <v>276.78571428571394</v>
      </c>
      <c r="AA521">
        <v>141</v>
      </c>
      <c r="AB521">
        <v>5</v>
      </c>
      <c r="AC521" t="str">
        <v>10V288</v>
      </c>
      <c r="AD521">
        <v>27</v>
      </c>
      <c r="AE521" t="str">
        <v>single</v>
      </c>
    </row>
    <row r="522" spans="1:31" hidden="1" x14ac:dyDescent="0.25">
      <c r="A522">
        <v>521</v>
      </c>
      <c r="B522">
        <v>2025</v>
      </c>
      <c r="C522">
        <v>10</v>
      </c>
      <c r="D522">
        <v>31</v>
      </c>
      <c r="E522">
        <v>9</v>
      </c>
      <c r="F522" t="str">
        <v>99MN472</v>
      </c>
      <c r="G522" s="61">
        <v>83</v>
      </c>
      <c r="H522" t="str">
        <v>hour</v>
      </c>
      <c r="I522">
        <v>0</v>
      </c>
      <c r="J522">
        <v>107</v>
      </c>
      <c r="K522" s="61">
        <v>5.5359999999999996</v>
      </c>
      <c r="L522" s="61">
        <v>459.48799999999994</v>
      </c>
      <c r="AA522">
        <v>163</v>
      </c>
      <c r="AB522">
        <v>3</v>
      </c>
      <c r="AC522" t="str">
        <v>110FA930</v>
      </c>
      <c r="AD522">
        <v>27</v>
      </c>
      <c r="AE522" t="str">
        <v>single</v>
      </c>
    </row>
    <row r="523" spans="1:31" hidden="1" x14ac:dyDescent="0.25">
      <c r="A523">
        <v>522</v>
      </c>
      <c r="B523">
        <v>2025</v>
      </c>
      <c r="C523">
        <v>10</v>
      </c>
      <c r="D523">
        <v>31</v>
      </c>
      <c r="E523">
        <v>9</v>
      </c>
      <c r="F523" t="str">
        <v>99OR961</v>
      </c>
      <c r="G523" s="61">
        <v>40.999999999999986</v>
      </c>
      <c r="H523" t="str">
        <v>hour</v>
      </c>
      <c r="I523">
        <v>0</v>
      </c>
      <c r="J523">
        <v>110</v>
      </c>
      <c r="K523" s="61">
        <v>5.5359999999999996</v>
      </c>
      <c r="L523" s="61">
        <v>226.97599999999991</v>
      </c>
      <c r="AA523">
        <v>173</v>
      </c>
      <c r="AB523">
        <v>2</v>
      </c>
      <c r="AC523" t="str">
        <v>99BQ963</v>
      </c>
      <c r="AD523">
        <v>28</v>
      </c>
      <c r="AE523" t="str">
        <v>single</v>
      </c>
    </row>
    <row r="524" spans="1:31" hidden="1" x14ac:dyDescent="0.25">
      <c r="A524">
        <v>523</v>
      </c>
      <c r="B524">
        <v>2025</v>
      </c>
      <c r="C524">
        <v>10</v>
      </c>
      <c r="D524">
        <v>31</v>
      </c>
      <c r="E524">
        <v>9</v>
      </c>
      <c r="F524" t="str">
        <v>99UK314</v>
      </c>
      <c r="G524" s="61">
        <v>101</v>
      </c>
      <c r="H524" t="str">
        <v>hour</v>
      </c>
      <c r="I524">
        <v>0</v>
      </c>
      <c r="J524">
        <v>113</v>
      </c>
      <c r="K524" s="61">
        <v>5.8929999999999998</v>
      </c>
      <c r="L524" s="61">
        <v>595.19299999999998</v>
      </c>
      <c r="AA524">
        <v>179</v>
      </c>
      <c r="AB524">
        <v>1</v>
      </c>
      <c r="AC524" t="str">
        <v>10O046</v>
      </c>
      <c r="AD524">
        <v>4</v>
      </c>
      <c r="AE524" t="str">
        <v>single</v>
      </c>
    </row>
    <row r="525" spans="1:31" hidden="1" x14ac:dyDescent="0.25">
      <c r="A525">
        <v>524</v>
      </c>
      <c r="B525">
        <v>2026</v>
      </c>
      <c r="C525">
        <v>2</v>
      </c>
      <c r="D525">
        <v>50</v>
      </c>
      <c r="E525">
        <v>9</v>
      </c>
      <c r="F525" t="str">
        <v>61AB256</v>
      </c>
      <c r="G525" s="61">
        <v>28</v>
      </c>
      <c r="H525" t="str">
        <v>single</v>
      </c>
      <c r="I525">
        <v>0</v>
      </c>
      <c r="J525">
        <v>1</v>
      </c>
      <c r="K525" s="61">
        <v>357.14285714285717</v>
      </c>
      <c r="L525" s="61">
        <v>10000</v>
      </c>
      <c r="AA525">
        <v>179</v>
      </c>
      <c r="AB525">
        <v>1</v>
      </c>
      <c r="AC525" t="str">
        <v>10O046</v>
      </c>
      <c r="AD525">
        <v>19</v>
      </c>
      <c r="AE525" t="str">
        <v>single</v>
      </c>
    </row>
    <row r="526" spans="1:31" hidden="1" x14ac:dyDescent="0.25">
      <c r="A526">
        <v>525</v>
      </c>
      <c r="B526">
        <v>2026</v>
      </c>
      <c r="C526">
        <v>1</v>
      </c>
      <c r="D526">
        <v>65</v>
      </c>
      <c r="E526">
        <v>9</v>
      </c>
      <c r="F526" t="str">
        <v>10BD252</v>
      </c>
      <c r="G526" s="61">
        <v>8</v>
      </c>
      <c r="H526" t="str">
        <v>single</v>
      </c>
      <c r="I526">
        <v>0</v>
      </c>
      <c r="J526">
        <v>2</v>
      </c>
      <c r="K526" s="61">
        <v>160.71</v>
      </c>
      <c r="L526" s="61">
        <v>1285.68</v>
      </c>
      <c r="AA526">
        <v>182</v>
      </c>
      <c r="AB526">
        <v>2</v>
      </c>
      <c r="AC526" t="str">
        <v>99MD834</v>
      </c>
      <c r="AD526">
        <v>31</v>
      </c>
      <c r="AE526" t="str">
        <v>single</v>
      </c>
    </row>
    <row r="527" spans="1:31" hidden="1" x14ac:dyDescent="0.25">
      <c r="A527">
        <v>526</v>
      </c>
      <c r="B527">
        <v>2026</v>
      </c>
      <c r="C527">
        <v>1</v>
      </c>
      <c r="D527">
        <v>65</v>
      </c>
      <c r="E527">
        <v>9</v>
      </c>
      <c r="F527" t="str">
        <v>01BA176</v>
      </c>
      <c r="G527" s="61">
        <v>25</v>
      </c>
      <c r="H527" t="str">
        <v>single</v>
      </c>
      <c r="I527">
        <v>0</v>
      </c>
      <c r="J527">
        <v>1</v>
      </c>
      <c r="K527" s="61">
        <v>196.42857142857142</v>
      </c>
      <c r="L527" s="61">
        <v>4910.7142857142853</v>
      </c>
      <c r="AA527">
        <v>182</v>
      </c>
      <c r="AB527">
        <v>2</v>
      </c>
      <c r="AC527" t="str">
        <v>77VS178</v>
      </c>
      <c r="AD527">
        <v>27</v>
      </c>
      <c r="AE527" t="str">
        <v>single</v>
      </c>
    </row>
    <row r="528" spans="1:31" hidden="1" x14ac:dyDescent="0.25">
      <c r="A528">
        <v>527</v>
      </c>
      <c r="B528">
        <v>2026</v>
      </c>
      <c r="C528">
        <v>2</v>
      </c>
      <c r="D528">
        <v>85</v>
      </c>
      <c r="E528">
        <v>9</v>
      </c>
      <c r="F528" t="str">
        <v>77SN951</v>
      </c>
      <c r="G528" s="61">
        <v>29</v>
      </c>
      <c r="H528" t="str">
        <v>single</v>
      </c>
      <c r="I528">
        <v>0</v>
      </c>
      <c r="J528">
        <v>3</v>
      </c>
      <c r="K528" s="61">
        <v>392.85714285714283</v>
      </c>
      <c r="L528" s="61">
        <v>11392.857142857141</v>
      </c>
      <c r="AA528">
        <v>85</v>
      </c>
      <c r="AB528">
        <v>10</v>
      </c>
      <c r="AC528" t="str">
        <v>77SN951</v>
      </c>
      <c r="AD528">
        <v>8</v>
      </c>
      <c r="AE528" t="str">
        <v>single</v>
      </c>
    </row>
    <row r="529" spans="1:31" hidden="1" x14ac:dyDescent="0.25">
      <c r="A529">
        <v>528</v>
      </c>
      <c r="B529">
        <v>2026</v>
      </c>
      <c r="C529">
        <v>2</v>
      </c>
      <c r="D529">
        <v>85</v>
      </c>
      <c r="E529">
        <v>9</v>
      </c>
      <c r="F529" t="str">
        <v>77SN951</v>
      </c>
      <c r="G529" s="61">
        <v>65</v>
      </c>
      <c r="H529" t="str">
        <v>hour</v>
      </c>
      <c r="I529">
        <v>0</v>
      </c>
      <c r="J529">
        <v>4</v>
      </c>
      <c r="K529" s="61">
        <v>39.285714285714285</v>
      </c>
      <c r="L529" s="61">
        <v>2553.5714285714284</v>
      </c>
      <c r="AA529">
        <v>173</v>
      </c>
      <c r="AB529">
        <v>2</v>
      </c>
      <c r="AC529" t="str">
        <v>99BQ963</v>
      </c>
      <c r="AD529">
        <v>6</v>
      </c>
      <c r="AE529" t="str">
        <v>single</v>
      </c>
    </row>
    <row r="530" spans="1:31" hidden="1" x14ac:dyDescent="0.25">
      <c r="A530">
        <v>529</v>
      </c>
      <c r="B530">
        <v>2026</v>
      </c>
      <c r="C530">
        <v>3</v>
      </c>
      <c r="D530">
        <v>95</v>
      </c>
      <c r="E530">
        <v>9</v>
      </c>
      <c r="F530" t="str">
        <v>54BA209</v>
      </c>
      <c r="G530" s="61">
        <v>28</v>
      </c>
      <c r="H530" t="str">
        <v>single</v>
      </c>
      <c r="I530">
        <v>0</v>
      </c>
      <c r="J530">
        <v>1</v>
      </c>
      <c r="K530" s="61">
        <v>285.70999999999998</v>
      </c>
      <c r="L530" s="61">
        <v>7999.8799999999992</v>
      </c>
      <c r="AA530">
        <v>31</v>
      </c>
      <c r="AB530">
        <v>5</v>
      </c>
      <c r="AC530" t="str">
        <v>77GR998</v>
      </c>
      <c r="AD530">
        <v>17</v>
      </c>
      <c r="AE530" t="str">
        <v>double</v>
      </c>
    </row>
    <row r="531" spans="1:31" hidden="1" x14ac:dyDescent="0.25">
      <c r="A531">
        <v>530</v>
      </c>
      <c r="B531">
        <v>2026</v>
      </c>
      <c r="C531">
        <v>3</v>
      </c>
      <c r="D531">
        <v>95</v>
      </c>
      <c r="E531">
        <v>9</v>
      </c>
      <c r="F531" t="str">
        <v>54BA209</v>
      </c>
      <c r="G531" s="61">
        <v>3</v>
      </c>
      <c r="H531" t="str">
        <v>hour</v>
      </c>
      <c r="I531">
        <v>0</v>
      </c>
      <c r="J531">
        <v>2</v>
      </c>
      <c r="K531" s="61">
        <v>28.570999999999998</v>
      </c>
      <c r="L531" s="61">
        <v>85.712999999999994</v>
      </c>
      <c r="AA531">
        <v>31</v>
      </c>
      <c r="AB531">
        <v>5</v>
      </c>
      <c r="AC531" t="str">
        <v>99BT339</v>
      </c>
      <c r="AD531">
        <v>35</v>
      </c>
      <c r="AE531" t="str">
        <v>double</v>
      </c>
    </row>
    <row r="532" spans="1:31" hidden="1" x14ac:dyDescent="0.25">
      <c r="A532">
        <v>531</v>
      </c>
      <c r="B532">
        <v>2026</v>
      </c>
      <c r="C532">
        <v>3</v>
      </c>
      <c r="D532">
        <v>98</v>
      </c>
      <c r="E532">
        <v>9</v>
      </c>
      <c r="F532" t="str">
        <v>50BD416</v>
      </c>
      <c r="G532" s="61">
        <v>26</v>
      </c>
      <c r="H532" t="str">
        <v>single</v>
      </c>
      <c r="I532">
        <v>0</v>
      </c>
      <c r="J532">
        <v>1</v>
      </c>
      <c r="K532" s="61">
        <v>107.14</v>
      </c>
      <c r="L532" s="61">
        <v>2785.64</v>
      </c>
      <c r="AA532">
        <v>31</v>
      </c>
      <c r="AB532">
        <v>6</v>
      </c>
      <c r="AC532" t="str">
        <v>99BT339</v>
      </c>
      <c r="AD532">
        <v>29</v>
      </c>
      <c r="AE532" t="str">
        <v>double</v>
      </c>
    </row>
    <row r="533" spans="1:31" hidden="1" x14ac:dyDescent="0.25">
      <c r="A533">
        <v>532</v>
      </c>
      <c r="B533">
        <v>2026</v>
      </c>
      <c r="C533">
        <v>3</v>
      </c>
      <c r="D533">
        <v>100</v>
      </c>
      <c r="E533">
        <v>9</v>
      </c>
      <c r="F533" t="str">
        <v>22AB273</v>
      </c>
      <c r="G533" s="61">
        <v>27</v>
      </c>
      <c r="H533" t="str">
        <v>single</v>
      </c>
      <c r="I533">
        <v>0</v>
      </c>
      <c r="J533">
        <v>1</v>
      </c>
      <c r="K533" s="61">
        <v>196.42857142857142</v>
      </c>
      <c r="L533" s="61">
        <v>5303.5714285714284</v>
      </c>
      <c r="AA533">
        <v>31</v>
      </c>
      <c r="AB533">
        <v>6</v>
      </c>
      <c r="AC533" t="str">
        <v>77GR998</v>
      </c>
      <c r="AD533">
        <v>31</v>
      </c>
      <c r="AE533" t="str">
        <v>double</v>
      </c>
    </row>
    <row r="534" spans="1:31" hidden="1" x14ac:dyDescent="0.25">
      <c r="A534">
        <v>533</v>
      </c>
      <c r="B534">
        <v>2026</v>
      </c>
      <c r="C534">
        <v>3</v>
      </c>
      <c r="D534">
        <v>100</v>
      </c>
      <c r="E534">
        <v>9</v>
      </c>
      <c r="F534" t="str">
        <v>22AB283</v>
      </c>
      <c r="G534" s="61">
        <v>26</v>
      </c>
      <c r="H534" t="str">
        <v>single</v>
      </c>
      <c r="I534">
        <v>0</v>
      </c>
      <c r="J534">
        <v>2</v>
      </c>
      <c r="K534" s="61">
        <v>196.42857142857142</v>
      </c>
      <c r="L534" s="61">
        <v>5107.1428571428569</v>
      </c>
      <c r="AA534">
        <v>31</v>
      </c>
      <c r="AB534">
        <v>7</v>
      </c>
      <c r="AC534" t="str">
        <v>77GR998</v>
      </c>
      <c r="AD534">
        <v>31</v>
      </c>
      <c r="AE534" t="str">
        <v>double</v>
      </c>
    </row>
    <row r="535" spans="1:31" hidden="1" x14ac:dyDescent="0.25">
      <c r="A535">
        <v>534</v>
      </c>
      <c r="B535">
        <v>2025</v>
      </c>
      <c r="C535">
        <v>11</v>
      </c>
      <c r="D535">
        <v>31</v>
      </c>
      <c r="E535">
        <v>10</v>
      </c>
      <c r="F535" t="str">
        <v>10RN527</v>
      </c>
      <c r="G535" s="61">
        <v>29</v>
      </c>
      <c r="H535" t="str">
        <v>single</v>
      </c>
      <c r="I535">
        <v>0</v>
      </c>
      <c r="J535">
        <v>32</v>
      </c>
      <c r="K535" s="61">
        <v>62.5</v>
      </c>
      <c r="L535" s="61">
        <v>1812.5</v>
      </c>
      <c r="AA535">
        <v>31</v>
      </c>
      <c r="AB535">
        <v>8</v>
      </c>
      <c r="AC535" t="str">
        <v>77GR998</v>
      </c>
      <c r="AD535">
        <v>30</v>
      </c>
      <c r="AE535" t="str">
        <v>double</v>
      </c>
    </row>
    <row r="536" spans="1:31" hidden="1" x14ac:dyDescent="0.25">
      <c r="A536">
        <v>535</v>
      </c>
      <c r="B536">
        <v>2025</v>
      </c>
      <c r="C536">
        <v>11</v>
      </c>
      <c r="D536">
        <v>31</v>
      </c>
      <c r="E536">
        <v>10</v>
      </c>
      <c r="F536" t="str">
        <v>21BF442</v>
      </c>
      <c r="G536" s="61">
        <v>28</v>
      </c>
      <c r="H536" t="str">
        <v>single</v>
      </c>
      <c r="I536">
        <v>0</v>
      </c>
      <c r="J536">
        <v>39</v>
      </c>
      <c r="K536" s="61">
        <v>55.36</v>
      </c>
      <c r="L536" s="61">
        <v>1550.08</v>
      </c>
      <c r="AA536">
        <v>31</v>
      </c>
      <c r="AB536">
        <v>8</v>
      </c>
      <c r="AC536" t="str">
        <v>99EM163</v>
      </c>
      <c r="AD536">
        <v>28</v>
      </c>
      <c r="AE536" t="str">
        <v>double</v>
      </c>
    </row>
    <row r="537" spans="1:31" hidden="1" x14ac:dyDescent="0.25">
      <c r="A537">
        <v>536</v>
      </c>
      <c r="B537">
        <v>2025</v>
      </c>
      <c r="C537">
        <v>11</v>
      </c>
      <c r="D537">
        <v>31</v>
      </c>
      <c r="E537">
        <v>10</v>
      </c>
      <c r="F537" t="str">
        <v>50BD165</v>
      </c>
      <c r="G537" s="61">
        <v>12</v>
      </c>
      <c r="H537" t="str">
        <v>single</v>
      </c>
      <c r="I537">
        <v>0</v>
      </c>
      <c r="J537">
        <v>41</v>
      </c>
      <c r="K537" s="61">
        <v>55.36</v>
      </c>
      <c r="L537" s="61">
        <v>664.31999999999994</v>
      </c>
      <c r="AA537">
        <v>31</v>
      </c>
      <c r="AB537">
        <v>9</v>
      </c>
      <c r="AC537" t="str">
        <v>77GR998</v>
      </c>
      <c r="AD537">
        <v>31</v>
      </c>
      <c r="AE537" t="str">
        <v>double</v>
      </c>
    </row>
    <row r="538" spans="1:31" hidden="1" x14ac:dyDescent="0.25">
      <c r="A538">
        <v>537</v>
      </c>
      <c r="B538">
        <v>2025</v>
      </c>
      <c r="C538">
        <v>11</v>
      </c>
      <c r="D538">
        <v>31</v>
      </c>
      <c r="E538">
        <v>10</v>
      </c>
      <c r="F538" t="str">
        <v>50DK730</v>
      </c>
      <c r="G538" s="61">
        <v>29</v>
      </c>
      <c r="H538" t="str">
        <v>single</v>
      </c>
      <c r="I538">
        <v>0</v>
      </c>
      <c r="J538">
        <v>47</v>
      </c>
      <c r="K538" s="61">
        <v>55.36</v>
      </c>
      <c r="L538" s="61">
        <v>1605.44</v>
      </c>
      <c r="AA538">
        <v>31</v>
      </c>
      <c r="AB538">
        <v>9</v>
      </c>
      <c r="AC538" t="str">
        <v>99EM163</v>
      </c>
      <c r="AD538">
        <v>31</v>
      </c>
      <c r="AE538" t="str">
        <v>double</v>
      </c>
    </row>
    <row r="539" spans="1:31" hidden="1" x14ac:dyDescent="0.25">
      <c r="A539">
        <v>538</v>
      </c>
      <c r="B539">
        <v>2025</v>
      </c>
      <c r="C539">
        <v>11</v>
      </c>
      <c r="D539">
        <v>31</v>
      </c>
      <c r="E539">
        <v>10</v>
      </c>
      <c r="F539" t="str">
        <v>50EF902</v>
      </c>
      <c r="G539" s="61">
        <v>28</v>
      </c>
      <c r="H539" t="str">
        <v>single</v>
      </c>
      <c r="I539">
        <v>0</v>
      </c>
      <c r="J539">
        <v>49</v>
      </c>
      <c r="K539" s="61">
        <v>62.5</v>
      </c>
      <c r="L539" s="61">
        <v>1750</v>
      </c>
      <c r="AA539">
        <v>31</v>
      </c>
      <c r="AB539">
        <v>10</v>
      </c>
      <c r="AC539" t="str">
        <v>77GR998</v>
      </c>
      <c r="AD539">
        <v>30</v>
      </c>
      <c r="AE539" t="str">
        <v>double</v>
      </c>
    </row>
    <row r="540" spans="1:31" hidden="1" x14ac:dyDescent="0.25">
      <c r="A540">
        <v>539</v>
      </c>
      <c r="B540">
        <v>2025</v>
      </c>
      <c r="C540">
        <v>11</v>
      </c>
      <c r="D540">
        <v>31</v>
      </c>
      <c r="E540">
        <v>10</v>
      </c>
      <c r="F540" t="str">
        <v>55CB633</v>
      </c>
      <c r="G540" s="61">
        <v>29</v>
      </c>
      <c r="H540" t="str">
        <v>single</v>
      </c>
      <c r="I540">
        <v>0</v>
      </c>
      <c r="J540">
        <v>57</v>
      </c>
      <c r="K540" s="61">
        <v>55.36</v>
      </c>
      <c r="L540" s="61">
        <v>1605.44</v>
      </c>
      <c r="AA540">
        <v>31</v>
      </c>
      <c r="AB540">
        <v>10</v>
      </c>
      <c r="AC540" t="str">
        <v>99EM163</v>
      </c>
      <c r="AD540">
        <v>26</v>
      </c>
      <c r="AE540" t="str">
        <v>double</v>
      </c>
    </row>
    <row r="541" spans="1:31" hidden="1" x14ac:dyDescent="0.25">
      <c r="A541">
        <v>540</v>
      </c>
      <c r="B541">
        <v>2025</v>
      </c>
      <c r="C541">
        <v>11</v>
      </c>
      <c r="D541">
        <v>31</v>
      </c>
      <c r="E541">
        <v>10</v>
      </c>
      <c r="F541" t="str">
        <v>77SR538</v>
      </c>
      <c r="G541" s="61">
        <v>30</v>
      </c>
      <c r="H541" t="str">
        <v>single</v>
      </c>
      <c r="I541">
        <v>0</v>
      </c>
      <c r="J541">
        <v>73</v>
      </c>
      <c r="K541" s="61">
        <v>73.33</v>
      </c>
      <c r="L541" s="61">
        <v>2199.9</v>
      </c>
      <c r="AA541">
        <v>46</v>
      </c>
      <c r="AB541">
        <v>3</v>
      </c>
      <c r="AC541" t="str">
        <v>10AD801</v>
      </c>
      <c r="AD541">
        <v>13</v>
      </c>
      <c r="AE541" t="str">
        <v>double</v>
      </c>
    </row>
    <row r="542" spans="1:31" hidden="1" x14ac:dyDescent="0.25">
      <c r="A542">
        <v>541</v>
      </c>
      <c r="B542">
        <v>2025</v>
      </c>
      <c r="C542">
        <v>11</v>
      </c>
      <c r="D542">
        <v>31</v>
      </c>
      <c r="E542">
        <v>10</v>
      </c>
      <c r="F542" t="str">
        <v>77TG971</v>
      </c>
      <c r="G542" s="61">
        <v>29</v>
      </c>
      <c r="H542" t="str">
        <v>single</v>
      </c>
      <c r="I542">
        <v>0</v>
      </c>
      <c r="J542">
        <v>75</v>
      </c>
      <c r="K542" s="61">
        <v>55.36</v>
      </c>
      <c r="L542" s="61">
        <v>1605.44</v>
      </c>
      <c r="AA542">
        <v>46</v>
      </c>
      <c r="AB542">
        <v>4</v>
      </c>
      <c r="AC542" t="str">
        <v>110FY524</v>
      </c>
      <c r="AD542">
        <v>23</v>
      </c>
      <c r="AE542" t="str">
        <v>double</v>
      </c>
    </row>
    <row r="543" spans="1:31" hidden="1" x14ac:dyDescent="0.25">
      <c r="A543">
        <v>542</v>
      </c>
      <c r="B543">
        <v>2025</v>
      </c>
      <c r="C543">
        <v>11</v>
      </c>
      <c r="D543">
        <v>31</v>
      </c>
      <c r="E543">
        <v>10</v>
      </c>
      <c r="F543" t="str">
        <v>77UR032</v>
      </c>
      <c r="G543" s="61">
        <v>28</v>
      </c>
      <c r="H543" t="str">
        <v>single</v>
      </c>
      <c r="I543">
        <v>0</v>
      </c>
      <c r="J543">
        <v>77</v>
      </c>
      <c r="K543" s="61">
        <v>55.36</v>
      </c>
      <c r="L543" s="61">
        <v>1550.08</v>
      </c>
      <c r="AA543">
        <v>46</v>
      </c>
      <c r="AB543">
        <v>4</v>
      </c>
      <c r="AC543" t="str">
        <v>10AD801</v>
      </c>
      <c r="AD543">
        <v>10</v>
      </c>
      <c r="AE543" t="str">
        <v>double</v>
      </c>
    </row>
    <row r="544" spans="1:31" hidden="1" x14ac:dyDescent="0.25">
      <c r="A544">
        <v>543</v>
      </c>
      <c r="B544">
        <v>2025</v>
      </c>
      <c r="C544">
        <v>11</v>
      </c>
      <c r="D544">
        <v>31</v>
      </c>
      <c r="E544">
        <v>10</v>
      </c>
      <c r="F544" t="str">
        <v>77VL420</v>
      </c>
      <c r="G544" s="61">
        <v>29</v>
      </c>
      <c r="H544" t="str">
        <v>single</v>
      </c>
      <c r="I544">
        <v>0</v>
      </c>
      <c r="J544">
        <v>118</v>
      </c>
      <c r="K544" s="61">
        <v>275</v>
      </c>
      <c r="L544" s="61">
        <v>7975</v>
      </c>
      <c r="AA544">
        <v>46</v>
      </c>
      <c r="AB544">
        <v>5</v>
      </c>
      <c r="AC544" t="str">
        <v>110FY524</v>
      </c>
      <c r="AD544">
        <v>7</v>
      </c>
      <c r="AE544" t="str">
        <v>double</v>
      </c>
    </row>
    <row r="545" spans="1:31" hidden="1" x14ac:dyDescent="0.25">
      <c r="A545">
        <v>544</v>
      </c>
      <c r="B545">
        <v>2025</v>
      </c>
      <c r="C545">
        <v>11</v>
      </c>
      <c r="D545">
        <v>31</v>
      </c>
      <c r="E545">
        <v>10</v>
      </c>
      <c r="F545" t="str">
        <v>90EC344</v>
      </c>
      <c r="G545" s="61">
        <v>29</v>
      </c>
      <c r="H545" t="str">
        <v>single</v>
      </c>
      <c r="I545">
        <v>0</v>
      </c>
      <c r="J545">
        <v>79</v>
      </c>
      <c r="K545" s="61">
        <v>62.5</v>
      </c>
      <c r="L545" s="61">
        <v>1812.5</v>
      </c>
      <c r="AA545">
        <v>46</v>
      </c>
      <c r="AB545">
        <v>6</v>
      </c>
      <c r="AC545" t="str">
        <v>110FY523</v>
      </c>
      <c r="AD545">
        <v>29</v>
      </c>
      <c r="AE545" t="str">
        <v>double</v>
      </c>
    </row>
    <row r="546" spans="1:31" hidden="1" x14ac:dyDescent="0.25">
      <c r="A546">
        <v>545</v>
      </c>
      <c r="B546">
        <v>2025</v>
      </c>
      <c r="C546">
        <v>11</v>
      </c>
      <c r="D546">
        <v>31</v>
      </c>
      <c r="E546">
        <v>10</v>
      </c>
      <c r="F546" t="str">
        <v>90LS143</v>
      </c>
      <c r="G546" s="61">
        <v>29</v>
      </c>
      <c r="H546" t="str">
        <v>single</v>
      </c>
      <c r="I546">
        <v>0</v>
      </c>
      <c r="J546">
        <v>81</v>
      </c>
      <c r="K546" s="61">
        <v>55.36</v>
      </c>
      <c r="L546" s="61">
        <v>1605.44</v>
      </c>
      <c r="AA546">
        <v>46</v>
      </c>
      <c r="AB546">
        <v>6</v>
      </c>
      <c r="AC546" t="str">
        <v>110FY524</v>
      </c>
      <c r="AD546">
        <v>11</v>
      </c>
      <c r="AE546" t="str">
        <v>double</v>
      </c>
    </row>
    <row r="547" spans="1:31" hidden="1" x14ac:dyDescent="0.25">
      <c r="A547">
        <v>546</v>
      </c>
      <c r="B547">
        <v>2025</v>
      </c>
      <c r="C547">
        <v>11</v>
      </c>
      <c r="D547">
        <v>31</v>
      </c>
      <c r="E547">
        <v>10</v>
      </c>
      <c r="F547" t="str">
        <v>90OE402</v>
      </c>
      <c r="G547" s="61">
        <v>30</v>
      </c>
      <c r="H547" t="str">
        <v>single</v>
      </c>
      <c r="I547">
        <v>0</v>
      </c>
      <c r="J547">
        <v>83</v>
      </c>
      <c r="K547" s="61">
        <v>73.333333333333329</v>
      </c>
      <c r="L547" s="61">
        <v>2200</v>
      </c>
      <c r="AA547">
        <v>46</v>
      </c>
      <c r="AB547">
        <v>6</v>
      </c>
      <c r="AC547" t="str">
        <v>10AD801</v>
      </c>
      <c r="AD547">
        <v>28</v>
      </c>
      <c r="AE547" t="str">
        <v>double</v>
      </c>
    </row>
    <row r="548" spans="1:31" hidden="1" x14ac:dyDescent="0.25">
      <c r="A548">
        <v>547</v>
      </c>
      <c r="B548">
        <v>2025</v>
      </c>
      <c r="C548">
        <v>11</v>
      </c>
      <c r="D548">
        <v>31</v>
      </c>
      <c r="E548">
        <v>10</v>
      </c>
      <c r="F548" t="str">
        <v>90VS316</v>
      </c>
      <c r="G548" s="61">
        <v>13</v>
      </c>
      <c r="H548" t="str">
        <v>single</v>
      </c>
      <c r="I548">
        <v>0</v>
      </c>
      <c r="J548">
        <v>87</v>
      </c>
      <c r="K548" s="61">
        <v>55.36</v>
      </c>
      <c r="L548" s="61">
        <v>719.68</v>
      </c>
      <c r="AA548">
        <v>31</v>
      </c>
      <c r="AB548">
        <v>11</v>
      </c>
      <c r="AC548" t="str">
        <v>77GR998</v>
      </c>
      <c r="AD548">
        <v>31</v>
      </c>
      <c r="AE548" t="str">
        <v>double</v>
      </c>
    </row>
    <row r="549" spans="1:31" hidden="1" x14ac:dyDescent="0.25">
      <c r="A549">
        <v>548</v>
      </c>
      <c r="B549">
        <v>2025</v>
      </c>
      <c r="C549">
        <v>11</v>
      </c>
      <c r="D549">
        <v>31</v>
      </c>
      <c r="E549">
        <v>10</v>
      </c>
      <c r="F549" t="str">
        <v>99BT339</v>
      </c>
      <c r="G549" s="61">
        <v>29</v>
      </c>
      <c r="H549" t="str">
        <v>single</v>
      </c>
      <c r="I549">
        <v>0</v>
      </c>
      <c r="J549">
        <v>93</v>
      </c>
      <c r="K549" s="61">
        <v>55.36</v>
      </c>
      <c r="L549" s="61">
        <v>1605.44</v>
      </c>
      <c r="AA549">
        <v>31</v>
      </c>
      <c r="AB549">
        <v>11</v>
      </c>
      <c r="AC549" t="str">
        <v>99EM163</v>
      </c>
      <c r="AD549">
        <v>28</v>
      </c>
      <c r="AE549" t="str">
        <v>double</v>
      </c>
    </row>
    <row r="550" spans="1:31" hidden="1" x14ac:dyDescent="0.25">
      <c r="A550">
        <v>549</v>
      </c>
      <c r="B550">
        <v>2025</v>
      </c>
      <c r="C550">
        <v>11</v>
      </c>
      <c r="D550">
        <v>31</v>
      </c>
      <c r="E550">
        <v>10</v>
      </c>
      <c r="F550" t="str">
        <v>99CN447</v>
      </c>
      <c r="G550" s="61">
        <v>29</v>
      </c>
      <c r="H550" t="str">
        <v>single</v>
      </c>
      <c r="I550">
        <v>0</v>
      </c>
      <c r="J550">
        <v>94</v>
      </c>
      <c r="K550" s="61">
        <v>55.36</v>
      </c>
      <c r="L550" s="61">
        <v>1605.44</v>
      </c>
      <c r="AA550">
        <v>31</v>
      </c>
      <c r="AB550">
        <v>12</v>
      </c>
      <c r="AC550" t="str">
        <v>77GR998</v>
      </c>
      <c r="AD550">
        <v>31.000000000078455</v>
      </c>
      <c r="AE550" t="str">
        <v>double</v>
      </c>
    </row>
    <row r="551" spans="1:31" x14ac:dyDescent="0.25">
      <c r="A551">
        <v>550</v>
      </c>
      <c r="B551">
        <v>2025</v>
      </c>
      <c r="C551">
        <v>11</v>
      </c>
      <c r="D551">
        <v>31</v>
      </c>
      <c r="E551">
        <v>10</v>
      </c>
      <c r="F551" t="str">
        <v>99EM163</v>
      </c>
      <c r="G551" s="61">
        <v>1</v>
      </c>
      <c r="H551" t="str">
        <v>single</v>
      </c>
      <c r="I551">
        <v>0</v>
      </c>
      <c r="J551">
        <v>100</v>
      </c>
      <c r="K551" s="61">
        <v>55.36</v>
      </c>
      <c r="L551" s="61">
        <v>55.36</v>
      </c>
      <c r="AA551">
        <v>31</v>
      </c>
      <c r="AB551">
        <v>13</v>
      </c>
      <c r="AC551" t="str">
        <v>77GR998</v>
      </c>
      <c r="AD551">
        <v>28.000000000070862</v>
      </c>
      <c r="AE551" t="str">
        <v>double</v>
      </c>
    </row>
    <row r="552" spans="1:31" hidden="1" x14ac:dyDescent="0.25">
      <c r="A552">
        <v>551</v>
      </c>
      <c r="B552">
        <v>2025</v>
      </c>
      <c r="C552">
        <v>11</v>
      </c>
      <c r="D552">
        <v>31</v>
      </c>
      <c r="E552">
        <v>10</v>
      </c>
      <c r="F552" t="str">
        <v>99FO779</v>
      </c>
      <c r="G552" s="61">
        <v>28</v>
      </c>
      <c r="H552" t="str">
        <v>single</v>
      </c>
      <c r="I552">
        <v>0</v>
      </c>
      <c r="J552">
        <v>101</v>
      </c>
      <c r="K552" s="61">
        <v>66.071428571428569</v>
      </c>
      <c r="L552" s="61">
        <v>1850</v>
      </c>
      <c r="AA552">
        <v>31</v>
      </c>
      <c r="AB552">
        <v>1</v>
      </c>
      <c r="AC552" t="str">
        <v>99LT168</v>
      </c>
      <c r="AD552">
        <v>1.9999999999999964</v>
      </c>
      <c r="AE552" t="str">
        <v>hour</v>
      </c>
    </row>
    <row r="553" spans="1:31" hidden="1" x14ac:dyDescent="0.25">
      <c r="A553">
        <v>552</v>
      </c>
      <c r="B553">
        <v>2025</v>
      </c>
      <c r="C553">
        <v>11</v>
      </c>
      <c r="D553">
        <v>31</v>
      </c>
      <c r="E553">
        <v>10</v>
      </c>
      <c r="F553" t="str">
        <v>99KL663</v>
      </c>
      <c r="G553" s="61">
        <v>29</v>
      </c>
      <c r="H553" t="str">
        <v>single</v>
      </c>
      <c r="I553">
        <v>0</v>
      </c>
      <c r="J553">
        <v>106</v>
      </c>
      <c r="K553" s="61">
        <v>55.36</v>
      </c>
      <c r="L553" s="61">
        <v>1605.44</v>
      </c>
      <c r="AA553">
        <v>31</v>
      </c>
      <c r="AB553">
        <v>1</v>
      </c>
      <c r="AC553" t="str">
        <v>90ZP408</v>
      </c>
      <c r="AD553">
        <v>16.999999999999972</v>
      </c>
      <c r="AE553" t="str">
        <v>hour</v>
      </c>
    </row>
    <row r="554" spans="1:31" hidden="1" x14ac:dyDescent="0.25">
      <c r="A554">
        <v>553</v>
      </c>
      <c r="B554">
        <v>2025</v>
      </c>
      <c r="C554">
        <v>11</v>
      </c>
      <c r="D554">
        <v>31</v>
      </c>
      <c r="E554">
        <v>10</v>
      </c>
      <c r="F554" t="str">
        <v>99LM412</v>
      </c>
      <c r="G554" s="61">
        <v>29</v>
      </c>
      <c r="H554" t="str">
        <v>single</v>
      </c>
      <c r="I554">
        <v>0</v>
      </c>
      <c r="J554">
        <v>116</v>
      </c>
      <c r="K554" s="61">
        <v>55.357142857142854</v>
      </c>
      <c r="L554" s="61">
        <v>1605.3571428571427</v>
      </c>
      <c r="AA554">
        <v>31</v>
      </c>
      <c r="AB554">
        <v>1</v>
      </c>
      <c r="AC554" t="str">
        <v>66CC029</v>
      </c>
      <c r="AD554">
        <v>18.999999999999972</v>
      </c>
      <c r="AE554" t="str">
        <v>hour</v>
      </c>
    </row>
    <row r="555" spans="1:31" hidden="1" x14ac:dyDescent="0.25">
      <c r="A555">
        <v>554</v>
      </c>
      <c r="B555">
        <v>2025</v>
      </c>
      <c r="C555">
        <v>11</v>
      </c>
      <c r="D555">
        <v>31</v>
      </c>
      <c r="E555">
        <v>10</v>
      </c>
      <c r="F555" t="str">
        <v>99MN472</v>
      </c>
      <c r="G555" s="61">
        <v>29</v>
      </c>
      <c r="H555" t="str">
        <v>single</v>
      </c>
      <c r="I555">
        <v>0</v>
      </c>
      <c r="J555">
        <v>108</v>
      </c>
      <c r="K555" s="61">
        <v>55.36</v>
      </c>
      <c r="L555" s="61">
        <v>1605.44</v>
      </c>
      <c r="AA555">
        <v>31</v>
      </c>
      <c r="AB555">
        <v>2</v>
      </c>
      <c r="AC555" t="str">
        <v>90OV187</v>
      </c>
      <c r="AD555">
        <v>48.999999999999986</v>
      </c>
      <c r="AE555" t="str">
        <v>hour</v>
      </c>
    </row>
    <row r="556" spans="1:31" hidden="1" x14ac:dyDescent="0.25">
      <c r="A556">
        <v>555</v>
      </c>
      <c r="B556">
        <v>2025</v>
      </c>
      <c r="C556">
        <v>11</v>
      </c>
      <c r="D556">
        <v>31</v>
      </c>
      <c r="E556">
        <v>10</v>
      </c>
      <c r="F556" t="str">
        <v>99OR961</v>
      </c>
      <c r="G556" s="61">
        <v>29</v>
      </c>
      <c r="H556" t="str">
        <v>single</v>
      </c>
      <c r="I556">
        <v>0</v>
      </c>
      <c r="J556">
        <v>109</v>
      </c>
      <c r="K556" s="61">
        <v>55.36</v>
      </c>
      <c r="L556" s="61">
        <v>1605.44</v>
      </c>
      <c r="AA556">
        <v>31</v>
      </c>
      <c r="AB556">
        <v>2</v>
      </c>
      <c r="AC556" t="str">
        <v>90SL686</v>
      </c>
      <c r="AD556">
        <v>104</v>
      </c>
      <c r="AE556" t="str">
        <v>hour</v>
      </c>
    </row>
    <row r="557" spans="1:31" hidden="1" x14ac:dyDescent="0.25">
      <c r="A557">
        <v>556</v>
      </c>
      <c r="B557">
        <v>2025</v>
      </c>
      <c r="C557">
        <v>11</v>
      </c>
      <c r="D557">
        <v>31</v>
      </c>
      <c r="E557">
        <v>10</v>
      </c>
      <c r="F557" t="str">
        <v>99UK314</v>
      </c>
      <c r="G557" s="61">
        <v>30</v>
      </c>
      <c r="H557" t="str">
        <v>single</v>
      </c>
      <c r="I557">
        <v>0</v>
      </c>
      <c r="J557">
        <v>114</v>
      </c>
      <c r="K557" s="61">
        <v>58.93</v>
      </c>
      <c r="L557" s="61">
        <v>1767.9</v>
      </c>
      <c r="AA557">
        <v>31</v>
      </c>
      <c r="AB557">
        <v>2</v>
      </c>
      <c r="AC557" t="str">
        <v>55CB633</v>
      </c>
      <c r="AD557">
        <v>35.999999999999964</v>
      </c>
      <c r="AE557" t="str">
        <v>hour</v>
      </c>
    </row>
    <row r="558" spans="1:31" hidden="1" x14ac:dyDescent="0.25">
      <c r="A558">
        <v>557</v>
      </c>
      <c r="B558">
        <v>2025</v>
      </c>
      <c r="C558">
        <v>11</v>
      </c>
      <c r="D558">
        <v>31</v>
      </c>
      <c r="E558">
        <v>10</v>
      </c>
      <c r="F558" t="str">
        <v>10NS184</v>
      </c>
      <c r="G558" s="61">
        <v>16</v>
      </c>
      <c r="H558" t="str">
        <v>single</v>
      </c>
      <c r="I558">
        <v>0</v>
      </c>
      <c r="J558">
        <v>28</v>
      </c>
      <c r="K558" s="61">
        <v>55.36</v>
      </c>
      <c r="L558" s="61">
        <v>885.76</v>
      </c>
      <c r="AA558">
        <v>31</v>
      </c>
      <c r="AB558">
        <v>2</v>
      </c>
      <c r="AC558" t="str">
        <v>77GM723</v>
      </c>
      <c r="AD558">
        <v>80.999999999999986</v>
      </c>
      <c r="AE558" t="str">
        <v>hour</v>
      </c>
    </row>
    <row r="559" spans="1:31" hidden="1" x14ac:dyDescent="0.25">
      <c r="A559">
        <v>558</v>
      </c>
      <c r="B559">
        <v>2025</v>
      </c>
      <c r="C559">
        <v>11</v>
      </c>
      <c r="D559">
        <v>31</v>
      </c>
      <c r="E559">
        <v>10</v>
      </c>
      <c r="F559" t="str">
        <v>10ZS260</v>
      </c>
      <c r="G559" s="61">
        <v>1</v>
      </c>
      <c r="H559" t="str">
        <v>single</v>
      </c>
      <c r="I559">
        <v>0</v>
      </c>
      <c r="J559">
        <v>33</v>
      </c>
      <c r="K559" s="61">
        <v>66.67</v>
      </c>
      <c r="L559" s="61">
        <v>66.67</v>
      </c>
      <c r="AA559">
        <v>31</v>
      </c>
      <c r="AB559">
        <v>2</v>
      </c>
      <c r="AC559" t="str">
        <v>99DX531</v>
      </c>
      <c r="AD559">
        <v>34.999999999999986</v>
      </c>
      <c r="AE559" t="str">
        <v>hour</v>
      </c>
    </row>
    <row r="560" spans="1:31" hidden="1" x14ac:dyDescent="0.25">
      <c r="A560">
        <v>559</v>
      </c>
      <c r="B560">
        <v>2025</v>
      </c>
      <c r="C560">
        <v>11</v>
      </c>
      <c r="D560">
        <v>31</v>
      </c>
      <c r="E560">
        <v>10</v>
      </c>
      <c r="F560" t="str">
        <v>50FB264</v>
      </c>
      <c r="G560" s="61">
        <v>28</v>
      </c>
      <c r="H560" t="str">
        <v>single</v>
      </c>
      <c r="I560">
        <v>0</v>
      </c>
      <c r="J560">
        <v>23</v>
      </c>
      <c r="K560" s="61">
        <v>66.069999999999993</v>
      </c>
      <c r="L560" s="61">
        <v>1849.9599999999998</v>
      </c>
      <c r="AA560">
        <v>31</v>
      </c>
      <c r="AB560">
        <v>2</v>
      </c>
      <c r="AC560" t="str">
        <v>15BZ942</v>
      </c>
      <c r="AD560">
        <v>26.999999999999993</v>
      </c>
      <c r="AE560" t="str">
        <v>hour</v>
      </c>
    </row>
    <row r="561" spans="1:31" hidden="1" x14ac:dyDescent="0.25">
      <c r="A561">
        <v>560</v>
      </c>
      <c r="B561">
        <v>2025</v>
      </c>
      <c r="C561">
        <v>11</v>
      </c>
      <c r="D561">
        <v>31</v>
      </c>
      <c r="E561">
        <v>10</v>
      </c>
      <c r="F561" t="str">
        <v>57BV285</v>
      </c>
      <c r="G561" s="61">
        <v>13</v>
      </c>
      <c r="H561" t="str">
        <v>single</v>
      </c>
      <c r="I561">
        <v>0</v>
      </c>
      <c r="J561">
        <v>119</v>
      </c>
      <c r="K561" s="61">
        <v>62.5</v>
      </c>
      <c r="L561" s="61">
        <v>812.5</v>
      </c>
      <c r="AA561">
        <v>31</v>
      </c>
      <c r="AB561">
        <v>2</v>
      </c>
      <c r="AC561" t="str">
        <v>99BT339</v>
      </c>
      <c r="AD561">
        <v>27.99999999999995</v>
      </c>
      <c r="AE561" t="str">
        <v>hour</v>
      </c>
    </row>
    <row r="562" spans="1:31" hidden="1" x14ac:dyDescent="0.25">
      <c r="A562">
        <v>561</v>
      </c>
      <c r="B562">
        <v>2025</v>
      </c>
      <c r="C562">
        <v>11</v>
      </c>
      <c r="D562">
        <v>31</v>
      </c>
      <c r="E562">
        <v>10</v>
      </c>
      <c r="F562" t="str">
        <v>77DK884</v>
      </c>
      <c r="G562" s="61">
        <v>29</v>
      </c>
      <c r="H562" t="str">
        <v>single</v>
      </c>
      <c r="I562">
        <v>0</v>
      </c>
      <c r="J562">
        <v>21</v>
      </c>
      <c r="K562" s="61">
        <v>96.43</v>
      </c>
      <c r="L562" s="61">
        <v>2796.4700000000003</v>
      </c>
      <c r="AA562">
        <v>31</v>
      </c>
      <c r="AB562">
        <v>2</v>
      </c>
      <c r="AC562" t="str">
        <v>50DK730</v>
      </c>
      <c r="AD562">
        <v>81.999999999999986</v>
      </c>
      <c r="AE562" t="str">
        <v>hour</v>
      </c>
    </row>
    <row r="563" spans="1:31" hidden="1" x14ac:dyDescent="0.25">
      <c r="A563">
        <v>562</v>
      </c>
      <c r="B563">
        <v>2025</v>
      </c>
      <c r="C563">
        <v>11</v>
      </c>
      <c r="D563">
        <v>31</v>
      </c>
      <c r="E563">
        <v>10</v>
      </c>
      <c r="F563" t="str">
        <v>90RC631</v>
      </c>
      <c r="G563" s="61">
        <v>4</v>
      </c>
      <c r="H563" t="str">
        <v>single</v>
      </c>
      <c r="I563">
        <v>0</v>
      </c>
      <c r="J563">
        <v>125</v>
      </c>
      <c r="K563" s="61">
        <v>96.43</v>
      </c>
      <c r="L563" s="61">
        <v>385.72</v>
      </c>
      <c r="AA563">
        <v>31</v>
      </c>
      <c r="AB563">
        <v>2</v>
      </c>
      <c r="AC563" t="str">
        <v>99MN472</v>
      </c>
      <c r="AD563">
        <v>54.999999999999943</v>
      </c>
      <c r="AE563" t="str">
        <v>hour</v>
      </c>
    </row>
    <row r="564" spans="1:31" hidden="1" x14ac:dyDescent="0.25">
      <c r="A564">
        <v>563</v>
      </c>
      <c r="B564">
        <v>2025</v>
      </c>
      <c r="C564">
        <v>11</v>
      </c>
      <c r="D564">
        <v>31</v>
      </c>
      <c r="E564">
        <v>10</v>
      </c>
      <c r="F564" t="str">
        <v>90UX686</v>
      </c>
      <c r="G564" s="61">
        <v>16</v>
      </c>
      <c r="H564" t="str">
        <v>single</v>
      </c>
      <c r="I564">
        <v>0</v>
      </c>
      <c r="J564">
        <v>121</v>
      </c>
      <c r="K564" s="61">
        <v>62.5</v>
      </c>
      <c r="L564" s="61">
        <v>1000</v>
      </c>
      <c r="AA564">
        <v>31</v>
      </c>
      <c r="AB564">
        <v>2</v>
      </c>
      <c r="AC564" t="str">
        <v>10RN527</v>
      </c>
      <c r="AD564">
        <v>33.999999999999986</v>
      </c>
      <c r="AE564" t="str">
        <v>hour</v>
      </c>
    </row>
    <row r="565" spans="1:31" hidden="1" x14ac:dyDescent="0.25">
      <c r="A565">
        <v>564</v>
      </c>
      <c r="B565">
        <v>2025</v>
      </c>
      <c r="C565">
        <v>11</v>
      </c>
      <c r="D565">
        <v>31</v>
      </c>
      <c r="E565">
        <v>10</v>
      </c>
      <c r="F565" t="str">
        <v>99DT131</v>
      </c>
      <c r="G565" s="61">
        <v>21</v>
      </c>
      <c r="H565" t="str">
        <v>single</v>
      </c>
      <c r="I565">
        <v>0</v>
      </c>
      <c r="J565">
        <v>123</v>
      </c>
      <c r="K565" s="61">
        <v>55.36</v>
      </c>
      <c r="L565" s="61">
        <v>1162.56</v>
      </c>
      <c r="AA565">
        <v>31</v>
      </c>
      <c r="AB565">
        <v>2</v>
      </c>
      <c r="AC565" t="str">
        <v>99LM412</v>
      </c>
      <c r="AD565">
        <v>4.9999999999999964</v>
      </c>
      <c r="AE565" t="str">
        <v>hour</v>
      </c>
    </row>
    <row r="566" spans="1:31" hidden="1" x14ac:dyDescent="0.25">
      <c r="A566">
        <v>565</v>
      </c>
      <c r="B566">
        <v>2025</v>
      </c>
      <c r="C566">
        <v>11</v>
      </c>
      <c r="D566">
        <v>31</v>
      </c>
      <c r="E566">
        <v>10</v>
      </c>
      <c r="F566" t="str">
        <v>77AT386</v>
      </c>
      <c r="G566" s="61">
        <v>30</v>
      </c>
      <c r="H566" t="str">
        <v>single</v>
      </c>
      <c r="I566">
        <v>0</v>
      </c>
      <c r="J566">
        <v>13</v>
      </c>
      <c r="K566" s="61">
        <v>46.67</v>
      </c>
      <c r="L566" s="61">
        <v>1400.1000000000001</v>
      </c>
      <c r="AA566">
        <v>31</v>
      </c>
      <c r="AB566">
        <v>2</v>
      </c>
      <c r="AC566" t="str">
        <v>99TV366</v>
      </c>
      <c r="AD566">
        <v>20.999999999999986</v>
      </c>
      <c r="AE566" t="str">
        <v>hour</v>
      </c>
    </row>
    <row r="567" spans="1:31" hidden="1" x14ac:dyDescent="0.25">
      <c r="A567">
        <v>566</v>
      </c>
      <c r="B567">
        <v>2025</v>
      </c>
      <c r="C567">
        <v>11</v>
      </c>
      <c r="D567">
        <v>31</v>
      </c>
      <c r="E567">
        <v>10</v>
      </c>
      <c r="F567" t="str">
        <v>90PY548</v>
      </c>
      <c r="G567" s="61">
        <v>30</v>
      </c>
      <c r="H567" t="str">
        <v>single</v>
      </c>
      <c r="I567">
        <v>0</v>
      </c>
      <c r="J567">
        <v>85</v>
      </c>
      <c r="K567" s="61">
        <v>40</v>
      </c>
      <c r="L567" s="61">
        <v>1200</v>
      </c>
      <c r="AA567">
        <v>31</v>
      </c>
      <c r="AB567">
        <v>3</v>
      </c>
      <c r="AC567" t="str">
        <v>90ZP408</v>
      </c>
      <c r="AD567">
        <v>15.299999999999976</v>
      </c>
      <c r="AE567" t="str">
        <v>hour</v>
      </c>
    </row>
    <row r="568" spans="1:31" hidden="1" x14ac:dyDescent="0.25">
      <c r="A568">
        <v>567</v>
      </c>
      <c r="B568">
        <v>2025</v>
      </c>
      <c r="C568">
        <v>11</v>
      </c>
      <c r="D568">
        <v>31</v>
      </c>
      <c r="E568">
        <v>10</v>
      </c>
      <c r="F568" t="str">
        <v>99HZ395</v>
      </c>
      <c r="G568" s="61">
        <v>30</v>
      </c>
      <c r="H568" t="str">
        <v>single</v>
      </c>
      <c r="I568">
        <v>0</v>
      </c>
      <c r="J568">
        <v>3</v>
      </c>
      <c r="K568" s="61">
        <v>65</v>
      </c>
      <c r="L568" s="61">
        <v>1950</v>
      </c>
      <c r="AA568">
        <v>31</v>
      </c>
      <c r="AB568">
        <v>3</v>
      </c>
      <c r="AC568" t="str">
        <v>66CC029</v>
      </c>
      <c r="AD568">
        <v>99.999999999999986</v>
      </c>
      <c r="AE568" t="str">
        <v>hour</v>
      </c>
    </row>
    <row r="569" spans="1:31" hidden="1" x14ac:dyDescent="0.25">
      <c r="A569">
        <v>568</v>
      </c>
      <c r="B569">
        <v>2025</v>
      </c>
      <c r="C569">
        <v>11</v>
      </c>
      <c r="D569">
        <v>31</v>
      </c>
      <c r="E569">
        <v>10</v>
      </c>
      <c r="F569" t="str">
        <v>53BD338</v>
      </c>
      <c r="G569" s="61">
        <v>29</v>
      </c>
      <c r="H569" t="str">
        <v>single</v>
      </c>
      <c r="I569">
        <v>0</v>
      </c>
      <c r="J569">
        <v>55</v>
      </c>
      <c r="K569" s="61">
        <v>55.36</v>
      </c>
      <c r="L569" s="61">
        <v>1605.44</v>
      </c>
      <c r="AA569">
        <v>31</v>
      </c>
      <c r="AB569">
        <v>3</v>
      </c>
      <c r="AC569" t="str">
        <v>90SL686</v>
      </c>
      <c r="AD569">
        <v>67.84999999999998</v>
      </c>
      <c r="AE569" t="str">
        <v>hour</v>
      </c>
    </row>
    <row r="570" spans="1:31" hidden="1" x14ac:dyDescent="0.25">
      <c r="A570">
        <v>569</v>
      </c>
      <c r="B570">
        <v>2025</v>
      </c>
      <c r="C570">
        <v>11</v>
      </c>
      <c r="D570">
        <v>31</v>
      </c>
      <c r="E570">
        <v>10</v>
      </c>
      <c r="F570" t="str">
        <v>17BE358</v>
      </c>
      <c r="G570" s="61">
        <v>18</v>
      </c>
      <c r="H570" t="str">
        <v>single</v>
      </c>
      <c r="I570">
        <v>0</v>
      </c>
      <c r="J570">
        <v>37</v>
      </c>
      <c r="K570" s="61">
        <v>55.36</v>
      </c>
      <c r="L570" s="61">
        <v>996.48</v>
      </c>
      <c r="AA570">
        <v>31</v>
      </c>
      <c r="AB570">
        <v>3</v>
      </c>
      <c r="AC570" t="str">
        <v>55CB633</v>
      </c>
      <c r="AD570">
        <v>69.999999999999986</v>
      </c>
      <c r="AE570" t="str">
        <v>hour</v>
      </c>
    </row>
    <row r="571" spans="1:31" hidden="1" x14ac:dyDescent="0.25">
      <c r="A571">
        <v>570</v>
      </c>
      <c r="B571">
        <v>2025</v>
      </c>
      <c r="C571">
        <v>11</v>
      </c>
      <c r="D571">
        <v>31</v>
      </c>
      <c r="E571">
        <v>10</v>
      </c>
      <c r="F571" t="str">
        <v>99GZ612</v>
      </c>
      <c r="G571" s="61">
        <v>29</v>
      </c>
      <c r="H571" t="str">
        <v>single</v>
      </c>
      <c r="I571">
        <v>0</v>
      </c>
      <c r="J571">
        <v>104</v>
      </c>
      <c r="K571" s="61">
        <v>62.5</v>
      </c>
      <c r="L571" s="61">
        <v>1812.5</v>
      </c>
      <c r="AA571">
        <v>31</v>
      </c>
      <c r="AB571">
        <v>3</v>
      </c>
      <c r="AC571" t="str">
        <v>99BT339</v>
      </c>
      <c r="AD571">
        <v>36.999999999999957</v>
      </c>
      <c r="AE571" t="str">
        <v>hour</v>
      </c>
    </row>
    <row r="572" spans="1:31" hidden="1" x14ac:dyDescent="0.25">
      <c r="A572">
        <v>571</v>
      </c>
      <c r="B572">
        <v>2025</v>
      </c>
      <c r="C572">
        <v>11</v>
      </c>
      <c r="D572">
        <v>31</v>
      </c>
      <c r="E572">
        <v>10</v>
      </c>
      <c r="F572" t="str">
        <v>77PV619</v>
      </c>
      <c r="G572" s="61">
        <v>30</v>
      </c>
      <c r="H572" t="str">
        <v>single</v>
      </c>
      <c r="I572">
        <v>0</v>
      </c>
      <c r="J572">
        <v>67</v>
      </c>
      <c r="K572" s="61">
        <v>40</v>
      </c>
      <c r="L572" s="61">
        <v>1200</v>
      </c>
      <c r="AA572">
        <v>31</v>
      </c>
      <c r="AB572">
        <v>3</v>
      </c>
      <c r="AC572" t="str">
        <v>50DK730</v>
      </c>
      <c r="AD572">
        <v>94.999999999999986</v>
      </c>
      <c r="AE572" t="str">
        <v>hour</v>
      </c>
    </row>
    <row r="573" spans="1:31" hidden="1" x14ac:dyDescent="0.25">
      <c r="A573">
        <v>572</v>
      </c>
      <c r="B573">
        <v>2025</v>
      </c>
      <c r="C573">
        <v>11</v>
      </c>
      <c r="D573">
        <v>31</v>
      </c>
      <c r="E573">
        <v>10</v>
      </c>
      <c r="F573" t="str">
        <v>77GR998</v>
      </c>
      <c r="G573" s="61">
        <v>30</v>
      </c>
      <c r="H573" t="str">
        <v>double</v>
      </c>
      <c r="I573">
        <v>0</v>
      </c>
      <c r="J573">
        <v>63</v>
      </c>
      <c r="K573" s="61">
        <v>99.642857142857139</v>
      </c>
      <c r="L573" s="61">
        <v>2989.2857142857142</v>
      </c>
      <c r="AA573">
        <v>31</v>
      </c>
      <c r="AB573">
        <v>3</v>
      </c>
      <c r="AC573" t="str">
        <v>99MN472</v>
      </c>
      <c r="AD573">
        <v>61.999999999999943</v>
      </c>
      <c r="AE573" t="str">
        <v>hour</v>
      </c>
    </row>
    <row r="574" spans="1:31" x14ac:dyDescent="0.25">
      <c r="A574">
        <v>573</v>
      </c>
      <c r="B574">
        <v>2025</v>
      </c>
      <c r="C574">
        <v>11</v>
      </c>
      <c r="D574">
        <v>31</v>
      </c>
      <c r="E574">
        <v>10</v>
      </c>
      <c r="F574" t="str">
        <v>99EM163</v>
      </c>
      <c r="G574" s="61">
        <v>26</v>
      </c>
      <c r="H574" t="str">
        <v>double</v>
      </c>
      <c r="I574">
        <v>0</v>
      </c>
      <c r="J574">
        <v>98</v>
      </c>
      <c r="K574" s="61">
        <v>99.65</v>
      </c>
      <c r="L574" s="61">
        <v>2590.9</v>
      </c>
      <c r="AA574">
        <v>31</v>
      </c>
      <c r="AB574">
        <v>3</v>
      </c>
      <c r="AC574" t="str">
        <v>52BK688</v>
      </c>
      <c r="AD574">
        <v>64.5</v>
      </c>
      <c r="AE574" t="str">
        <v>hour</v>
      </c>
    </row>
    <row r="575" spans="1:31" hidden="1" x14ac:dyDescent="0.25">
      <c r="A575">
        <v>574</v>
      </c>
      <c r="B575">
        <v>2025</v>
      </c>
      <c r="C575">
        <v>11</v>
      </c>
      <c r="D575">
        <v>31</v>
      </c>
      <c r="E575">
        <v>10</v>
      </c>
      <c r="F575" t="str">
        <v>10RN527</v>
      </c>
      <c r="G575" s="61">
        <v>84</v>
      </c>
      <c r="H575" t="str">
        <v>hour</v>
      </c>
      <c r="I575">
        <v>0</v>
      </c>
      <c r="J575">
        <v>30</v>
      </c>
      <c r="K575" s="61">
        <v>6.25</v>
      </c>
      <c r="L575" s="61">
        <v>525</v>
      </c>
      <c r="AA575">
        <v>31</v>
      </c>
      <c r="AB575">
        <v>3</v>
      </c>
      <c r="AC575" t="str">
        <v>99LM412</v>
      </c>
      <c r="AD575">
        <v>49.799999999999969</v>
      </c>
      <c r="AE575" t="str">
        <v>hour</v>
      </c>
    </row>
    <row r="576" spans="1:31" hidden="1" x14ac:dyDescent="0.25">
      <c r="A576">
        <v>575</v>
      </c>
      <c r="B576">
        <v>2025</v>
      </c>
      <c r="C576">
        <v>11</v>
      </c>
      <c r="D576">
        <v>31</v>
      </c>
      <c r="E576">
        <v>10</v>
      </c>
      <c r="F576" t="str">
        <v>21BF442</v>
      </c>
      <c r="G576" s="61">
        <v>84</v>
      </c>
      <c r="H576" t="str">
        <v>hour</v>
      </c>
      <c r="I576">
        <v>0</v>
      </c>
      <c r="J576">
        <v>38</v>
      </c>
      <c r="K576" s="61">
        <v>5.5359999999999996</v>
      </c>
      <c r="L576" s="61">
        <v>465.02399999999994</v>
      </c>
      <c r="AA576">
        <v>31</v>
      </c>
      <c r="AB576">
        <v>3</v>
      </c>
      <c r="AC576" t="str">
        <v>50BD165</v>
      </c>
      <c r="AD576">
        <v>20.999999999999972</v>
      </c>
      <c r="AE576" t="str">
        <v>hour</v>
      </c>
    </row>
    <row r="577" spans="1:31" hidden="1" x14ac:dyDescent="0.25">
      <c r="A577">
        <v>576</v>
      </c>
      <c r="B577">
        <v>2025</v>
      </c>
      <c r="C577">
        <v>11</v>
      </c>
      <c r="D577">
        <v>31</v>
      </c>
      <c r="E577">
        <v>10</v>
      </c>
      <c r="F577" t="str">
        <v>50DK730</v>
      </c>
      <c r="G577" s="61">
        <v>87</v>
      </c>
      <c r="H577" t="str">
        <v>hour</v>
      </c>
      <c r="I577">
        <v>0</v>
      </c>
      <c r="J577">
        <v>46</v>
      </c>
      <c r="K577" s="61">
        <v>5.5359999999999996</v>
      </c>
      <c r="L577" s="61">
        <v>481.63199999999995</v>
      </c>
      <c r="AA577">
        <v>31</v>
      </c>
      <c r="AB577">
        <v>4</v>
      </c>
      <c r="AC577" t="str">
        <v>66CC029</v>
      </c>
      <c r="AD577">
        <v>93</v>
      </c>
      <c r="AE577" t="str">
        <v>hour</v>
      </c>
    </row>
    <row r="578" spans="1:31" hidden="1" x14ac:dyDescent="0.25">
      <c r="A578">
        <v>577</v>
      </c>
      <c r="B578">
        <v>2025</v>
      </c>
      <c r="C578">
        <v>11</v>
      </c>
      <c r="D578">
        <v>31</v>
      </c>
      <c r="E578">
        <v>10</v>
      </c>
      <c r="F578" t="str">
        <v>50EF902</v>
      </c>
      <c r="G578" s="61">
        <v>27.999999999999972</v>
      </c>
      <c r="H578" t="str">
        <v>hour</v>
      </c>
      <c r="I578">
        <v>0</v>
      </c>
      <c r="J578">
        <v>48</v>
      </c>
      <c r="K578" s="61">
        <v>6.25</v>
      </c>
      <c r="L578" s="61">
        <v>174.99999999999983</v>
      </c>
      <c r="AA578">
        <v>31</v>
      </c>
      <c r="AB578">
        <v>4</v>
      </c>
      <c r="AC578" t="str">
        <v>90SL686</v>
      </c>
      <c r="AD578">
        <v>82.499999999999986</v>
      </c>
      <c r="AE578" t="str">
        <v>hour</v>
      </c>
    </row>
    <row r="579" spans="1:31" hidden="1" x14ac:dyDescent="0.25">
      <c r="A579">
        <v>578</v>
      </c>
      <c r="B579">
        <v>2025</v>
      </c>
      <c r="C579">
        <v>11</v>
      </c>
      <c r="D579">
        <v>31</v>
      </c>
      <c r="E579">
        <v>10</v>
      </c>
      <c r="F579" t="str">
        <v>55CB633</v>
      </c>
      <c r="G579" s="61">
        <v>60.999999999999986</v>
      </c>
      <c r="H579" t="str">
        <v>hour</v>
      </c>
      <c r="I579">
        <v>0</v>
      </c>
      <c r="J579">
        <v>56</v>
      </c>
      <c r="K579" s="61">
        <v>5.5359999999999996</v>
      </c>
      <c r="L579" s="61">
        <v>337.69599999999991</v>
      </c>
      <c r="AA579">
        <v>31</v>
      </c>
      <c r="AB579">
        <v>4</v>
      </c>
      <c r="AC579" t="str">
        <v>55CB633</v>
      </c>
      <c r="AD579">
        <v>68.999999999999972</v>
      </c>
      <c r="AE579" t="str">
        <v>hour</v>
      </c>
    </row>
    <row r="580" spans="1:31" hidden="1" x14ac:dyDescent="0.25">
      <c r="A580">
        <v>579</v>
      </c>
      <c r="B580">
        <v>2025</v>
      </c>
      <c r="C580">
        <v>11</v>
      </c>
      <c r="D580">
        <v>31</v>
      </c>
      <c r="E580">
        <v>10</v>
      </c>
      <c r="F580" t="str">
        <v>77SR538</v>
      </c>
      <c r="G580" s="61">
        <v>108</v>
      </c>
      <c r="H580" t="str">
        <v>hour</v>
      </c>
      <c r="I580">
        <v>0</v>
      </c>
      <c r="J580">
        <v>72</v>
      </c>
      <c r="K580" s="61">
        <v>7.3330000000000002</v>
      </c>
      <c r="L580" s="61">
        <v>791.96400000000006</v>
      </c>
      <c r="AA580">
        <v>31</v>
      </c>
      <c r="AB580">
        <v>4</v>
      </c>
      <c r="AC580" t="str">
        <v>99BT339</v>
      </c>
      <c r="AD580">
        <v>39.999999999999957</v>
      </c>
      <c r="AE580" t="str">
        <v>hour</v>
      </c>
    </row>
    <row r="581" spans="1:31" hidden="1" x14ac:dyDescent="0.25">
      <c r="A581">
        <v>580</v>
      </c>
      <c r="B581">
        <v>2025</v>
      </c>
      <c r="C581">
        <v>11</v>
      </c>
      <c r="D581">
        <v>31</v>
      </c>
      <c r="E581">
        <v>10</v>
      </c>
      <c r="F581" t="str">
        <v>90EC344</v>
      </c>
      <c r="G581" s="61">
        <v>39.999999999999972</v>
      </c>
      <c r="H581" t="str">
        <v>hour</v>
      </c>
      <c r="I581">
        <v>0</v>
      </c>
      <c r="J581">
        <v>78</v>
      </c>
      <c r="K581" s="61">
        <v>6.25</v>
      </c>
      <c r="L581" s="61">
        <v>249.99999999999983</v>
      </c>
      <c r="AA581">
        <v>31</v>
      </c>
      <c r="AB581">
        <v>4</v>
      </c>
      <c r="AC581" t="str">
        <v>50DK730</v>
      </c>
      <c r="AD581">
        <v>99.999999999999986</v>
      </c>
      <c r="AE581" t="str">
        <v>hour</v>
      </c>
    </row>
    <row r="582" spans="1:31" hidden="1" x14ac:dyDescent="0.25">
      <c r="A582">
        <v>581</v>
      </c>
      <c r="B582">
        <v>2025</v>
      </c>
      <c r="C582">
        <v>11</v>
      </c>
      <c r="D582">
        <v>31</v>
      </c>
      <c r="E582">
        <v>10</v>
      </c>
      <c r="F582" t="str">
        <v>90LS143</v>
      </c>
      <c r="G582" s="61">
        <v>47</v>
      </c>
      <c r="H582" t="str">
        <v>hour</v>
      </c>
      <c r="I582">
        <v>0</v>
      </c>
      <c r="J582">
        <v>80</v>
      </c>
      <c r="K582" s="61">
        <v>5.5359999999999996</v>
      </c>
      <c r="L582" s="61">
        <v>260.19200000000001</v>
      </c>
      <c r="AA582">
        <v>31</v>
      </c>
      <c r="AB582">
        <v>4</v>
      </c>
      <c r="AC582" t="str">
        <v>99MN472</v>
      </c>
      <c r="AD582">
        <v>61.999999999999943</v>
      </c>
      <c r="AE582" t="str">
        <v>hour</v>
      </c>
    </row>
    <row r="583" spans="1:31" hidden="1" x14ac:dyDescent="0.25">
      <c r="A583">
        <v>582</v>
      </c>
      <c r="B583">
        <v>2025</v>
      </c>
      <c r="C583">
        <v>11</v>
      </c>
      <c r="D583">
        <v>31</v>
      </c>
      <c r="E583">
        <v>10</v>
      </c>
      <c r="F583" t="str">
        <v>90OE402</v>
      </c>
      <c r="G583" s="61">
        <v>59.999999999999943</v>
      </c>
      <c r="H583" t="str">
        <v>hour</v>
      </c>
      <c r="I583">
        <v>0</v>
      </c>
      <c r="J583">
        <v>82</v>
      </c>
      <c r="K583" s="61">
        <v>7.333333333333333</v>
      </c>
      <c r="L583" s="61">
        <v>439.99999999999955</v>
      </c>
      <c r="AA583">
        <v>31</v>
      </c>
      <c r="AB583">
        <v>4</v>
      </c>
      <c r="AC583" t="str">
        <v>99LM412</v>
      </c>
      <c r="AD583">
        <v>37.999999999999972</v>
      </c>
      <c r="AE583" t="str">
        <v>hour</v>
      </c>
    </row>
    <row r="584" spans="1:31" hidden="1" x14ac:dyDescent="0.25">
      <c r="A584">
        <v>583</v>
      </c>
      <c r="B584">
        <v>2025</v>
      </c>
      <c r="C584">
        <v>11</v>
      </c>
      <c r="D584">
        <v>31</v>
      </c>
      <c r="E584">
        <v>10</v>
      </c>
      <c r="F584" t="str">
        <v>90VS316</v>
      </c>
      <c r="G584" s="61">
        <v>20.999999999999993</v>
      </c>
      <c r="H584" t="str">
        <v>hour</v>
      </c>
      <c r="I584">
        <v>0</v>
      </c>
      <c r="J584">
        <v>86</v>
      </c>
      <c r="K584" s="61">
        <v>5.5359999999999996</v>
      </c>
      <c r="L584" s="61">
        <v>116.25599999999996</v>
      </c>
      <c r="AA584">
        <v>31</v>
      </c>
      <c r="AB584">
        <v>4</v>
      </c>
      <c r="AC584" t="str">
        <v>50BD165</v>
      </c>
      <c r="AD584">
        <v>51.999999999999957</v>
      </c>
      <c r="AE584" t="str">
        <v>hour</v>
      </c>
    </row>
    <row r="585" spans="1:31" hidden="1" x14ac:dyDescent="0.25">
      <c r="A585">
        <v>584</v>
      </c>
      <c r="B585">
        <v>2025</v>
      </c>
      <c r="C585">
        <v>11</v>
      </c>
      <c r="D585">
        <v>31</v>
      </c>
      <c r="E585">
        <v>10</v>
      </c>
      <c r="F585" t="str">
        <v>99BT339</v>
      </c>
      <c r="G585" s="61">
        <v>46</v>
      </c>
      <c r="H585" t="str">
        <v>hour</v>
      </c>
      <c r="I585">
        <v>0</v>
      </c>
      <c r="J585">
        <v>92</v>
      </c>
      <c r="K585" s="61">
        <v>5.5359999999999996</v>
      </c>
      <c r="L585" s="61">
        <v>254.65599999999998</v>
      </c>
      <c r="AA585">
        <v>31</v>
      </c>
      <c r="AB585">
        <v>4</v>
      </c>
      <c r="AC585" t="str">
        <v>90VS316</v>
      </c>
      <c r="AD585">
        <v>48.999999999999972</v>
      </c>
      <c r="AE585" t="str">
        <v>hour</v>
      </c>
    </row>
    <row r="586" spans="1:31" hidden="1" x14ac:dyDescent="0.25">
      <c r="A586">
        <v>585</v>
      </c>
      <c r="B586">
        <v>2025</v>
      </c>
      <c r="C586">
        <v>11</v>
      </c>
      <c r="D586">
        <v>31</v>
      </c>
      <c r="E586">
        <v>10</v>
      </c>
      <c r="F586" t="str">
        <v>99CN447</v>
      </c>
      <c r="G586" s="61">
        <v>30</v>
      </c>
      <c r="H586" t="str">
        <v>hour</v>
      </c>
      <c r="I586">
        <v>0</v>
      </c>
      <c r="J586">
        <v>95</v>
      </c>
      <c r="K586" s="61">
        <v>5.5359999999999996</v>
      </c>
      <c r="L586" s="61">
        <v>166.07999999999998</v>
      </c>
      <c r="AA586">
        <v>31</v>
      </c>
      <c r="AB586">
        <v>5</v>
      </c>
      <c r="AC586" t="str">
        <v>01CC689</v>
      </c>
      <c r="AD586">
        <v>63</v>
      </c>
      <c r="AE586" t="str">
        <v>hour</v>
      </c>
    </row>
    <row r="587" spans="1:31" hidden="1" x14ac:dyDescent="0.25">
      <c r="A587">
        <v>586</v>
      </c>
      <c r="B587">
        <v>2025</v>
      </c>
      <c r="C587">
        <v>11</v>
      </c>
      <c r="D587">
        <v>31</v>
      </c>
      <c r="E587">
        <v>10</v>
      </c>
      <c r="F587" t="str">
        <v>99FO779</v>
      </c>
      <c r="G587" s="61">
        <v>65</v>
      </c>
      <c r="H587" t="str">
        <v>hour</v>
      </c>
      <c r="I587">
        <v>0</v>
      </c>
      <c r="J587">
        <v>102</v>
      </c>
      <c r="K587" s="61">
        <v>6.6071428571428568</v>
      </c>
      <c r="L587" s="61">
        <v>429.46428571428567</v>
      </c>
      <c r="AA587">
        <v>31</v>
      </c>
      <c r="AB587">
        <v>5</v>
      </c>
      <c r="AC587" t="str">
        <v>50BD165</v>
      </c>
      <c r="AD587">
        <v>75.999999999999986</v>
      </c>
      <c r="AE587" t="str">
        <v>hour</v>
      </c>
    </row>
    <row r="588" spans="1:31" hidden="1" x14ac:dyDescent="0.25">
      <c r="A588">
        <v>587</v>
      </c>
      <c r="B588">
        <v>2025</v>
      </c>
      <c r="C588">
        <v>11</v>
      </c>
      <c r="D588">
        <v>31</v>
      </c>
      <c r="E588">
        <v>10</v>
      </c>
      <c r="F588" t="str">
        <v>99KL663</v>
      </c>
      <c r="G588" s="61">
        <v>70.999999999999986</v>
      </c>
      <c r="H588" t="str">
        <v>hour</v>
      </c>
      <c r="I588">
        <v>0</v>
      </c>
      <c r="J588">
        <v>105</v>
      </c>
      <c r="K588" s="61">
        <v>5.5359999999999996</v>
      </c>
      <c r="L588" s="61">
        <v>393.05599999999987</v>
      </c>
      <c r="AA588">
        <v>31</v>
      </c>
      <c r="AB588">
        <v>5</v>
      </c>
      <c r="AC588" t="str">
        <v>50DK730</v>
      </c>
      <c r="AD588">
        <v>104.99999999999999</v>
      </c>
      <c r="AE588" t="str">
        <v>hour</v>
      </c>
    </row>
    <row r="589" spans="1:31" hidden="1" x14ac:dyDescent="0.25">
      <c r="A589">
        <v>588</v>
      </c>
      <c r="B589">
        <v>2025</v>
      </c>
      <c r="C589">
        <v>11</v>
      </c>
      <c r="D589">
        <v>31</v>
      </c>
      <c r="E589">
        <v>10</v>
      </c>
      <c r="F589" t="str">
        <v>99LM412</v>
      </c>
      <c r="G589" s="61">
        <v>59.999999999999943</v>
      </c>
      <c r="H589" t="str">
        <v>hour</v>
      </c>
      <c r="I589">
        <v>0</v>
      </c>
      <c r="J589">
        <v>115</v>
      </c>
      <c r="K589" s="61">
        <v>5.5357142857142856</v>
      </c>
      <c r="L589" s="61">
        <v>332.14285714285683</v>
      </c>
      <c r="AA589">
        <v>31</v>
      </c>
      <c r="AB589">
        <v>5</v>
      </c>
      <c r="AC589" t="str">
        <v>53BB774</v>
      </c>
      <c r="AD589">
        <v>44.999999999999993</v>
      </c>
      <c r="AE589" t="str">
        <v>hour</v>
      </c>
    </row>
    <row r="590" spans="1:31" hidden="1" x14ac:dyDescent="0.25">
      <c r="A590">
        <v>589</v>
      </c>
      <c r="B590">
        <v>2025</v>
      </c>
      <c r="C590">
        <v>11</v>
      </c>
      <c r="D590">
        <v>31</v>
      </c>
      <c r="E590">
        <v>10</v>
      </c>
      <c r="F590" t="str">
        <v>99MN472</v>
      </c>
      <c r="G590" s="61">
        <v>86.999999999999986</v>
      </c>
      <c r="H590" t="str">
        <v>hour</v>
      </c>
      <c r="I590">
        <v>0</v>
      </c>
      <c r="J590">
        <v>107</v>
      </c>
      <c r="K590" s="61">
        <v>5.5359999999999996</v>
      </c>
      <c r="L590" s="61">
        <v>481.63199999999989</v>
      </c>
      <c r="AA590">
        <v>31</v>
      </c>
      <c r="AB590">
        <v>5</v>
      </c>
      <c r="AC590" t="str">
        <v>55CB633</v>
      </c>
      <c r="AD590">
        <v>35.999999999999986</v>
      </c>
      <c r="AE590" t="str">
        <v>hour</v>
      </c>
    </row>
    <row r="591" spans="1:31" hidden="1" x14ac:dyDescent="0.25">
      <c r="A591">
        <v>590</v>
      </c>
      <c r="B591">
        <v>2025</v>
      </c>
      <c r="C591">
        <v>11</v>
      </c>
      <c r="D591">
        <v>31</v>
      </c>
      <c r="E591">
        <v>10</v>
      </c>
      <c r="F591" t="str">
        <v>99OR961</v>
      </c>
      <c r="G591" s="61">
        <v>36.999999999999993</v>
      </c>
      <c r="H591" t="str">
        <v>hour</v>
      </c>
      <c r="I591">
        <v>0</v>
      </c>
      <c r="J591">
        <v>110</v>
      </c>
      <c r="K591" s="61">
        <v>5.5359999999999996</v>
      </c>
      <c r="L591" s="61">
        <v>204.83199999999994</v>
      </c>
      <c r="AA591">
        <v>31</v>
      </c>
      <c r="AB591">
        <v>5</v>
      </c>
      <c r="AC591" t="str">
        <v>90SL686</v>
      </c>
      <c r="AD591">
        <v>89.499999999999986</v>
      </c>
      <c r="AE591" t="str">
        <v>hour</v>
      </c>
    </row>
    <row r="592" spans="1:31" hidden="1" x14ac:dyDescent="0.25">
      <c r="A592">
        <v>591</v>
      </c>
      <c r="B592">
        <v>2025</v>
      </c>
      <c r="C592">
        <v>11</v>
      </c>
      <c r="D592">
        <v>31</v>
      </c>
      <c r="E592">
        <v>10</v>
      </c>
      <c r="F592" t="str">
        <v>99UK314</v>
      </c>
      <c r="G592" s="61">
        <v>98</v>
      </c>
      <c r="H592" t="str">
        <v>hour</v>
      </c>
      <c r="I592">
        <v>0</v>
      </c>
      <c r="J592">
        <v>113</v>
      </c>
      <c r="K592" s="61">
        <v>5.8929999999999998</v>
      </c>
      <c r="L592" s="61">
        <v>577.51400000000001</v>
      </c>
      <c r="AA592">
        <v>31</v>
      </c>
      <c r="AB592">
        <v>5</v>
      </c>
      <c r="AC592" t="str">
        <v>90VS316</v>
      </c>
      <c r="AD592">
        <v>48.999999999999957</v>
      </c>
      <c r="AE592" t="str">
        <v>hour</v>
      </c>
    </row>
    <row r="593" spans="1:31" hidden="1" x14ac:dyDescent="0.25">
      <c r="A593">
        <v>592</v>
      </c>
      <c r="B593">
        <v>2025</v>
      </c>
      <c r="C593">
        <v>11</v>
      </c>
      <c r="D593">
        <v>31</v>
      </c>
      <c r="E593">
        <v>10</v>
      </c>
      <c r="F593" t="str">
        <v>10NS184</v>
      </c>
      <c r="G593" s="61">
        <v>3</v>
      </c>
      <c r="H593" t="str">
        <v>hour</v>
      </c>
      <c r="I593">
        <v>0</v>
      </c>
      <c r="J593">
        <v>27</v>
      </c>
      <c r="K593" s="61">
        <v>5.5359999999999996</v>
      </c>
      <c r="L593" s="61">
        <v>16.607999999999997</v>
      </c>
      <c r="AA593">
        <v>31</v>
      </c>
      <c r="AB593">
        <v>5</v>
      </c>
      <c r="AC593" t="str">
        <v>99LM412</v>
      </c>
      <c r="AD593">
        <v>39.999999999999943</v>
      </c>
      <c r="AE593" t="str">
        <v>hour</v>
      </c>
    </row>
    <row r="594" spans="1:31" hidden="1" x14ac:dyDescent="0.25">
      <c r="A594">
        <v>593</v>
      </c>
      <c r="B594">
        <v>2025</v>
      </c>
      <c r="C594">
        <v>11</v>
      </c>
      <c r="D594">
        <v>31</v>
      </c>
      <c r="E594">
        <v>10</v>
      </c>
      <c r="F594" t="str">
        <v>50FB264</v>
      </c>
      <c r="G594" s="61">
        <v>79.999999999999986</v>
      </c>
      <c r="H594" t="str">
        <v>hour</v>
      </c>
      <c r="I594">
        <v>0</v>
      </c>
      <c r="J594">
        <v>24</v>
      </c>
      <c r="K594" s="61">
        <v>6.6070000000000002</v>
      </c>
      <c r="L594" s="61">
        <v>528.55999999999995</v>
      </c>
      <c r="AA594">
        <v>31</v>
      </c>
      <c r="AB594">
        <v>5</v>
      </c>
      <c r="AC594" t="str">
        <v>99MN472</v>
      </c>
      <c r="AD594">
        <v>67.999999999999957</v>
      </c>
      <c r="AE594" t="str">
        <v>hour</v>
      </c>
    </row>
    <row r="595" spans="1:31" hidden="1" x14ac:dyDescent="0.25">
      <c r="A595">
        <v>594</v>
      </c>
      <c r="B595">
        <v>2025</v>
      </c>
      <c r="C595">
        <v>11</v>
      </c>
      <c r="D595">
        <v>31</v>
      </c>
      <c r="E595">
        <v>10</v>
      </c>
      <c r="F595" t="str">
        <v>57BV285</v>
      </c>
      <c r="G595" s="61">
        <v>22.999999999999993</v>
      </c>
      <c r="H595" t="str">
        <v>hour</v>
      </c>
      <c r="I595">
        <v>0</v>
      </c>
      <c r="J595">
        <v>120</v>
      </c>
      <c r="K595" s="61">
        <v>6.25</v>
      </c>
      <c r="L595" s="61">
        <v>143.74999999999994</v>
      </c>
      <c r="AA595">
        <v>31</v>
      </c>
      <c r="AB595">
        <v>6</v>
      </c>
      <c r="AC595" t="str">
        <v>01CC689</v>
      </c>
      <c r="AD595">
        <v>15.499999999999979</v>
      </c>
      <c r="AE595" t="str">
        <v>hour</v>
      </c>
    </row>
    <row r="596" spans="1:31" hidden="1" x14ac:dyDescent="0.25">
      <c r="A596">
        <v>595</v>
      </c>
      <c r="B596">
        <v>2025</v>
      </c>
      <c r="C596">
        <v>11</v>
      </c>
      <c r="D596">
        <v>31</v>
      </c>
      <c r="E596">
        <v>10</v>
      </c>
      <c r="F596" t="str">
        <v>77DK884</v>
      </c>
      <c r="G596" s="61">
        <v>94.999999999999986</v>
      </c>
      <c r="H596" t="str">
        <v>hour</v>
      </c>
      <c r="I596">
        <v>0</v>
      </c>
      <c r="J596">
        <v>22</v>
      </c>
      <c r="K596" s="61">
        <v>9.6430000000000007</v>
      </c>
      <c r="L596" s="61">
        <v>916.08499999999992</v>
      </c>
      <c r="AA596">
        <v>31</v>
      </c>
      <c r="AB596">
        <v>6</v>
      </c>
      <c r="AC596" t="str">
        <v>50BD165</v>
      </c>
      <c r="AD596">
        <v>66.999999999999986</v>
      </c>
      <c r="AE596" t="str">
        <v>hour</v>
      </c>
    </row>
    <row r="597" spans="1:31" hidden="1" x14ac:dyDescent="0.25">
      <c r="A597">
        <v>596</v>
      </c>
      <c r="B597">
        <v>2025</v>
      </c>
      <c r="C597">
        <v>11</v>
      </c>
      <c r="D597">
        <v>31</v>
      </c>
      <c r="E597">
        <v>10</v>
      </c>
      <c r="F597" t="str">
        <v>90UX686</v>
      </c>
      <c r="G597" s="61">
        <v>21.999999999999986</v>
      </c>
      <c r="H597" t="str">
        <v>hour</v>
      </c>
      <c r="I597">
        <v>0</v>
      </c>
      <c r="J597">
        <v>122</v>
      </c>
      <c r="K597" s="61">
        <v>6.25</v>
      </c>
      <c r="L597" s="61">
        <v>137.49999999999991</v>
      </c>
      <c r="AA597">
        <v>31</v>
      </c>
      <c r="AB597">
        <v>6</v>
      </c>
      <c r="AC597" t="str">
        <v>50BN724</v>
      </c>
      <c r="AD597">
        <v>24.999999999999979</v>
      </c>
      <c r="AE597" t="str">
        <v>hour</v>
      </c>
    </row>
    <row r="598" spans="1:31" hidden="1" x14ac:dyDescent="0.25">
      <c r="A598">
        <v>597</v>
      </c>
      <c r="B598">
        <v>2025</v>
      </c>
      <c r="C598">
        <v>11</v>
      </c>
      <c r="D598">
        <v>31</v>
      </c>
      <c r="E598">
        <v>10</v>
      </c>
      <c r="F598" t="str">
        <v>99DT131</v>
      </c>
      <c r="G598" s="61">
        <v>7.9999999999999982</v>
      </c>
      <c r="H598" t="str">
        <v>hour</v>
      </c>
      <c r="I598">
        <v>0</v>
      </c>
      <c r="J598">
        <v>124</v>
      </c>
      <c r="K598" s="61">
        <v>5.5359999999999996</v>
      </c>
      <c r="L598" s="61">
        <v>44.28799999999999</v>
      </c>
      <c r="AA598">
        <v>31</v>
      </c>
      <c r="AB598">
        <v>6</v>
      </c>
      <c r="AC598" t="str">
        <v>50DK730</v>
      </c>
      <c r="AD598">
        <v>94</v>
      </c>
      <c r="AE598" t="str">
        <v>hour</v>
      </c>
    </row>
    <row r="599" spans="1:31" hidden="1" x14ac:dyDescent="0.25">
      <c r="A599">
        <v>598</v>
      </c>
      <c r="B599">
        <v>2025</v>
      </c>
      <c r="C599">
        <v>11</v>
      </c>
      <c r="D599">
        <v>31</v>
      </c>
      <c r="E599">
        <v>10</v>
      </c>
      <c r="F599" t="str">
        <v>99HZ395</v>
      </c>
      <c r="G599" s="61">
        <v>84</v>
      </c>
      <c r="H599" t="str">
        <v>hour</v>
      </c>
      <c r="I599">
        <v>0</v>
      </c>
      <c r="J599">
        <v>4</v>
      </c>
      <c r="K599" s="61">
        <v>6.5</v>
      </c>
      <c r="L599" s="61">
        <v>546</v>
      </c>
      <c r="AA599">
        <v>31</v>
      </c>
      <c r="AB599">
        <v>6</v>
      </c>
      <c r="AC599" t="str">
        <v>53BB774</v>
      </c>
      <c r="AD599">
        <v>97.999999999999986</v>
      </c>
      <c r="AE599" t="str">
        <v>hour</v>
      </c>
    </row>
    <row r="600" spans="1:31" hidden="1" x14ac:dyDescent="0.25">
      <c r="A600">
        <v>599</v>
      </c>
      <c r="B600">
        <v>2025</v>
      </c>
      <c r="C600">
        <v>11</v>
      </c>
      <c r="D600">
        <v>31</v>
      </c>
      <c r="E600">
        <v>10</v>
      </c>
      <c r="F600" t="str">
        <v>53BD338</v>
      </c>
      <c r="G600" s="61">
        <v>37.999999999999979</v>
      </c>
      <c r="H600" t="str">
        <v>hour</v>
      </c>
      <c r="I600">
        <v>0</v>
      </c>
      <c r="J600">
        <v>54</v>
      </c>
      <c r="K600" s="61">
        <v>5.5359999999999996</v>
      </c>
      <c r="L600" s="61">
        <v>210.36799999999985</v>
      </c>
      <c r="AA600">
        <v>31</v>
      </c>
      <c r="AB600">
        <v>6</v>
      </c>
      <c r="AC600" t="str">
        <v>55CB633</v>
      </c>
      <c r="AD600">
        <v>107</v>
      </c>
      <c r="AE600" t="str">
        <v>hour</v>
      </c>
    </row>
    <row r="601" spans="1:31" hidden="1" x14ac:dyDescent="0.25">
      <c r="A601">
        <v>600</v>
      </c>
      <c r="B601">
        <v>2025</v>
      </c>
      <c r="C601">
        <v>11</v>
      </c>
      <c r="D601">
        <v>31</v>
      </c>
      <c r="E601">
        <v>10</v>
      </c>
      <c r="F601" t="str">
        <v>99GZ612</v>
      </c>
      <c r="G601" s="61">
        <v>20</v>
      </c>
      <c r="H601" t="str">
        <v>hour</v>
      </c>
      <c r="I601">
        <v>0</v>
      </c>
      <c r="J601">
        <v>103</v>
      </c>
      <c r="K601" s="61">
        <v>6.25</v>
      </c>
      <c r="L601" s="61">
        <v>125</v>
      </c>
      <c r="AA601">
        <v>31</v>
      </c>
      <c r="AB601">
        <v>6</v>
      </c>
      <c r="AC601" t="str">
        <v>77QE133</v>
      </c>
      <c r="AD601">
        <v>40</v>
      </c>
      <c r="AE601" t="str">
        <v>hour</v>
      </c>
    </row>
    <row r="602" spans="1:31" hidden="1" x14ac:dyDescent="0.25">
      <c r="A602">
        <v>601</v>
      </c>
      <c r="B602">
        <v>2026</v>
      </c>
      <c r="C602">
        <v>3</v>
      </c>
      <c r="D602">
        <v>50</v>
      </c>
      <c r="E602">
        <v>10</v>
      </c>
      <c r="F602" t="str">
        <v>61AB256</v>
      </c>
      <c r="G602" s="61">
        <v>14</v>
      </c>
      <c r="H602" t="str">
        <v>single</v>
      </c>
      <c r="I602">
        <v>0</v>
      </c>
      <c r="J602">
        <v>1</v>
      </c>
      <c r="K602" s="61">
        <v>357.14285714285717</v>
      </c>
      <c r="L602" s="61">
        <v>5000</v>
      </c>
      <c r="AA602">
        <v>31</v>
      </c>
      <c r="AB602">
        <v>6</v>
      </c>
      <c r="AC602" t="str">
        <v>77UR032</v>
      </c>
      <c r="AD602">
        <v>9.9999999999999822</v>
      </c>
      <c r="AE602" t="str">
        <v>hour</v>
      </c>
    </row>
    <row r="603" spans="1:31" hidden="1" x14ac:dyDescent="0.25">
      <c r="A603">
        <v>602</v>
      </c>
      <c r="B603">
        <v>2026</v>
      </c>
      <c r="C603">
        <v>2</v>
      </c>
      <c r="D603">
        <v>65</v>
      </c>
      <c r="E603">
        <v>10</v>
      </c>
      <c r="F603" t="str">
        <v>01BA176</v>
      </c>
      <c r="G603" s="61">
        <v>28</v>
      </c>
      <c r="H603" t="str">
        <v>single</v>
      </c>
      <c r="I603">
        <v>0</v>
      </c>
      <c r="J603">
        <v>1</v>
      </c>
      <c r="K603" s="61">
        <v>196.42857142857142</v>
      </c>
      <c r="L603" s="61">
        <v>5500</v>
      </c>
      <c r="AA603">
        <v>31</v>
      </c>
      <c r="AB603">
        <v>6</v>
      </c>
      <c r="AC603" t="str">
        <v>90LS143</v>
      </c>
      <c r="AD603">
        <v>5.9999999999999929</v>
      </c>
      <c r="AE603" t="str">
        <v>hour</v>
      </c>
    </row>
    <row r="604" spans="1:31" hidden="1" x14ac:dyDescent="0.25">
      <c r="A604">
        <v>603</v>
      </c>
      <c r="B604">
        <v>2026</v>
      </c>
      <c r="C604">
        <v>3</v>
      </c>
      <c r="D604">
        <v>85</v>
      </c>
      <c r="E604">
        <v>10</v>
      </c>
      <c r="F604" t="str">
        <v>77SN951</v>
      </c>
      <c r="G604" s="61">
        <v>28</v>
      </c>
      <c r="H604" t="str">
        <v>single</v>
      </c>
      <c r="I604">
        <v>0</v>
      </c>
      <c r="J604">
        <v>3</v>
      </c>
      <c r="K604" s="61">
        <v>392.85714285714283</v>
      </c>
      <c r="L604" s="61">
        <v>11000</v>
      </c>
      <c r="AA604">
        <v>31</v>
      </c>
      <c r="AB604">
        <v>6</v>
      </c>
      <c r="AC604" t="str">
        <v>90SL686</v>
      </c>
      <c r="AD604">
        <v>108.99999999999999</v>
      </c>
      <c r="AE604" t="str">
        <v>hour</v>
      </c>
    </row>
    <row r="605" spans="1:31" hidden="1" x14ac:dyDescent="0.25">
      <c r="A605">
        <v>604</v>
      </c>
      <c r="B605">
        <v>2026</v>
      </c>
      <c r="C605">
        <v>3</v>
      </c>
      <c r="D605">
        <v>85</v>
      </c>
      <c r="E605">
        <v>10</v>
      </c>
      <c r="F605" t="str">
        <v>77SN951</v>
      </c>
      <c r="G605" s="61">
        <v>47</v>
      </c>
      <c r="H605" t="str">
        <v>hour</v>
      </c>
      <c r="I605">
        <v>0</v>
      </c>
      <c r="J605">
        <v>4</v>
      </c>
      <c r="K605" s="61">
        <v>39.285714285714285</v>
      </c>
      <c r="L605" s="61">
        <v>1846.4285714285713</v>
      </c>
      <c r="AA605">
        <v>31</v>
      </c>
      <c r="AB605">
        <v>6</v>
      </c>
      <c r="AC605" t="str">
        <v>90VS316</v>
      </c>
      <c r="AD605">
        <v>89.999999999999972</v>
      </c>
      <c r="AE605" t="str">
        <v>hour</v>
      </c>
    </row>
    <row r="606" spans="1:31" hidden="1" x14ac:dyDescent="0.25">
      <c r="A606">
        <v>605</v>
      </c>
      <c r="B606">
        <v>2026</v>
      </c>
      <c r="C606">
        <v>4</v>
      </c>
      <c r="D606">
        <v>85</v>
      </c>
      <c r="E606">
        <v>10</v>
      </c>
      <c r="F606" t="str">
        <v>77SN951</v>
      </c>
      <c r="G606" s="61">
        <v>8</v>
      </c>
      <c r="H606" t="str">
        <v>single</v>
      </c>
      <c r="I606">
        <v>0</v>
      </c>
      <c r="J606">
        <v>3</v>
      </c>
      <c r="K606" s="61">
        <v>392.85714285714283</v>
      </c>
      <c r="L606" s="61">
        <v>3142.8571428571427</v>
      </c>
      <c r="AA606">
        <v>31</v>
      </c>
      <c r="AB606">
        <v>6</v>
      </c>
      <c r="AC606" t="str">
        <v>99KL663</v>
      </c>
      <c r="AD606">
        <v>49.999999999999986</v>
      </c>
      <c r="AE606" t="str">
        <v>hour</v>
      </c>
    </row>
    <row r="607" spans="1:31" hidden="1" x14ac:dyDescent="0.25">
      <c r="A607">
        <v>606</v>
      </c>
      <c r="B607">
        <v>2026</v>
      </c>
      <c r="C607">
        <v>4</v>
      </c>
      <c r="D607">
        <v>85</v>
      </c>
      <c r="E607">
        <v>10</v>
      </c>
      <c r="F607" t="str">
        <v>77SN951</v>
      </c>
      <c r="G607" s="61">
        <v>7</v>
      </c>
      <c r="H607" t="str">
        <v>hour</v>
      </c>
      <c r="I607">
        <v>0</v>
      </c>
      <c r="J607">
        <v>4</v>
      </c>
      <c r="K607" s="61">
        <v>39.285714285714285</v>
      </c>
      <c r="L607" s="61">
        <v>275</v>
      </c>
      <c r="AA607">
        <v>31</v>
      </c>
      <c r="AB607">
        <v>6</v>
      </c>
      <c r="AC607" t="str">
        <v>99LM412</v>
      </c>
      <c r="AD607">
        <v>61.000000000000014</v>
      </c>
      <c r="AE607" t="str">
        <v>hour</v>
      </c>
    </row>
    <row r="608" spans="1:31" hidden="1" x14ac:dyDescent="0.25">
      <c r="A608">
        <v>607</v>
      </c>
      <c r="B608">
        <v>2025</v>
      </c>
      <c r="C608">
        <v>12</v>
      </c>
      <c r="D608">
        <v>31</v>
      </c>
      <c r="E608">
        <v>11</v>
      </c>
      <c r="F608" t="str">
        <v>10NS184</v>
      </c>
      <c r="G608" s="61">
        <v>30</v>
      </c>
      <c r="H608" t="str">
        <v>single</v>
      </c>
      <c r="I608">
        <v>0</v>
      </c>
      <c r="J608">
        <v>28</v>
      </c>
      <c r="K608" s="61">
        <v>55.36</v>
      </c>
      <c r="L608" s="61">
        <v>1660.8</v>
      </c>
      <c r="AA608">
        <v>31</v>
      </c>
      <c r="AB608">
        <v>6</v>
      </c>
      <c r="AC608" t="str">
        <v>99MN472</v>
      </c>
      <c r="AD608">
        <v>71.999999999999957</v>
      </c>
      <c r="AE608" t="str">
        <v>hour</v>
      </c>
    </row>
    <row r="609" spans="1:31" hidden="1" x14ac:dyDescent="0.25">
      <c r="A609">
        <v>608</v>
      </c>
      <c r="B609">
        <v>2025</v>
      </c>
      <c r="C609">
        <v>12</v>
      </c>
      <c r="D609">
        <v>31</v>
      </c>
      <c r="E609">
        <v>11</v>
      </c>
      <c r="F609" t="str">
        <v>10RN527</v>
      </c>
      <c r="G609" s="61">
        <v>30</v>
      </c>
      <c r="H609" t="str">
        <v>single</v>
      </c>
      <c r="I609">
        <v>0</v>
      </c>
      <c r="J609">
        <v>32</v>
      </c>
      <c r="K609" s="61">
        <v>62.5</v>
      </c>
      <c r="L609" s="61">
        <v>1875</v>
      </c>
      <c r="AA609">
        <v>31</v>
      </c>
      <c r="AB609">
        <v>7</v>
      </c>
      <c r="AC609" t="str">
        <v>01CC689</v>
      </c>
      <c r="AD609">
        <v>11.499999999999998</v>
      </c>
      <c r="AE609" t="str">
        <v>hour</v>
      </c>
    </row>
    <row r="610" spans="1:31" hidden="1" x14ac:dyDescent="0.25">
      <c r="A610">
        <v>609</v>
      </c>
      <c r="B610">
        <v>2025</v>
      </c>
      <c r="C610">
        <v>12</v>
      </c>
      <c r="D610">
        <v>31</v>
      </c>
      <c r="E610">
        <v>11</v>
      </c>
      <c r="F610" t="str">
        <v>17BE358</v>
      </c>
      <c r="G610" s="61">
        <v>28</v>
      </c>
      <c r="H610" t="str">
        <v>single</v>
      </c>
      <c r="I610">
        <v>0</v>
      </c>
      <c r="J610">
        <v>37</v>
      </c>
      <c r="K610" s="61">
        <v>55.36</v>
      </c>
      <c r="L610" s="61">
        <v>1550.08</v>
      </c>
      <c r="AA610">
        <v>31</v>
      </c>
      <c r="AB610">
        <v>7</v>
      </c>
      <c r="AC610" t="str">
        <v>10RN527</v>
      </c>
      <c r="AD610">
        <v>64.000000000000014</v>
      </c>
      <c r="AE610" t="str">
        <v>hour</v>
      </c>
    </row>
    <row r="611" spans="1:31" hidden="1" x14ac:dyDescent="0.25">
      <c r="A611">
        <v>610</v>
      </c>
      <c r="B611">
        <v>2025</v>
      </c>
      <c r="C611">
        <v>12</v>
      </c>
      <c r="D611">
        <v>31</v>
      </c>
      <c r="E611">
        <v>11</v>
      </c>
      <c r="F611" t="str">
        <v>21BF442</v>
      </c>
      <c r="G611" s="61">
        <v>30</v>
      </c>
      <c r="H611" t="str">
        <v>single</v>
      </c>
      <c r="I611">
        <v>0</v>
      </c>
      <c r="J611">
        <v>39</v>
      </c>
      <c r="K611" s="61">
        <v>55.36</v>
      </c>
      <c r="L611" s="61">
        <v>1660.8</v>
      </c>
      <c r="AA611">
        <v>31</v>
      </c>
      <c r="AB611">
        <v>7</v>
      </c>
      <c r="AC611" t="str">
        <v>50BD165</v>
      </c>
      <c r="AD611">
        <v>82.999999999999986</v>
      </c>
      <c r="AE611" t="str">
        <v>hour</v>
      </c>
    </row>
    <row r="612" spans="1:31" hidden="1" x14ac:dyDescent="0.25">
      <c r="A612">
        <v>611</v>
      </c>
      <c r="B612">
        <v>2025</v>
      </c>
      <c r="C612">
        <v>12</v>
      </c>
      <c r="D612">
        <v>31</v>
      </c>
      <c r="E612">
        <v>11</v>
      </c>
      <c r="F612" t="str">
        <v>50DK730</v>
      </c>
      <c r="G612" s="61">
        <v>30</v>
      </c>
      <c r="H612" t="str">
        <v>single</v>
      </c>
      <c r="I612">
        <v>0</v>
      </c>
      <c r="J612">
        <v>47</v>
      </c>
      <c r="K612" s="61">
        <v>55.36</v>
      </c>
      <c r="L612" s="61">
        <v>1660.8</v>
      </c>
      <c r="AA612">
        <v>31</v>
      </c>
      <c r="AB612">
        <v>7</v>
      </c>
      <c r="AC612" t="str">
        <v>50BN724</v>
      </c>
      <c r="AD612">
        <v>75.999999999999986</v>
      </c>
      <c r="AE612" t="str">
        <v>hour</v>
      </c>
    </row>
    <row r="613" spans="1:31" hidden="1" x14ac:dyDescent="0.25">
      <c r="A613">
        <v>612</v>
      </c>
      <c r="B613">
        <v>2025</v>
      </c>
      <c r="C613">
        <v>12</v>
      </c>
      <c r="D613">
        <v>31</v>
      </c>
      <c r="E613">
        <v>11</v>
      </c>
      <c r="F613" t="str">
        <v>50EF902</v>
      </c>
      <c r="G613" s="61">
        <v>28</v>
      </c>
      <c r="H613" t="str">
        <v>single</v>
      </c>
      <c r="I613">
        <v>0</v>
      </c>
      <c r="J613">
        <v>49</v>
      </c>
      <c r="K613" s="61">
        <v>62.5</v>
      </c>
      <c r="L613" s="61">
        <v>1750</v>
      </c>
      <c r="AA613">
        <v>31</v>
      </c>
      <c r="AB613">
        <v>7</v>
      </c>
      <c r="AC613" t="str">
        <v>50CN929</v>
      </c>
      <c r="AD613">
        <v>20.000000000000007</v>
      </c>
      <c r="AE613" t="str">
        <v>hour</v>
      </c>
    </row>
    <row r="614" spans="1:31" hidden="1" x14ac:dyDescent="0.25">
      <c r="A614">
        <v>613</v>
      </c>
      <c r="B614">
        <v>2025</v>
      </c>
      <c r="C614">
        <v>12</v>
      </c>
      <c r="D614">
        <v>31</v>
      </c>
      <c r="E614">
        <v>11</v>
      </c>
      <c r="F614" t="str">
        <v>50EL608</v>
      </c>
      <c r="G614" s="61">
        <v>14</v>
      </c>
      <c r="H614" t="str">
        <v>single</v>
      </c>
      <c r="I614">
        <v>0</v>
      </c>
      <c r="J614">
        <v>182</v>
      </c>
      <c r="K614" s="61">
        <v>96.428571428571431</v>
      </c>
      <c r="L614" s="61">
        <v>1350</v>
      </c>
      <c r="AA614">
        <v>31</v>
      </c>
      <c r="AB614">
        <v>7</v>
      </c>
      <c r="AC614" t="str">
        <v>50DK730</v>
      </c>
      <c r="AD614">
        <v>98</v>
      </c>
      <c r="AE614" t="str">
        <v>hour</v>
      </c>
    </row>
    <row r="615" spans="1:31" hidden="1" x14ac:dyDescent="0.25">
      <c r="A615">
        <v>614</v>
      </c>
      <c r="B615">
        <v>2025</v>
      </c>
      <c r="C615">
        <v>12</v>
      </c>
      <c r="D615">
        <v>31</v>
      </c>
      <c r="E615">
        <v>11</v>
      </c>
      <c r="F615" t="str">
        <v>50FB264</v>
      </c>
      <c r="G615" s="61">
        <v>30</v>
      </c>
      <c r="H615" t="str">
        <v>single</v>
      </c>
      <c r="I615">
        <v>0</v>
      </c>
      <c r="J615">
        <v>23</v>
      </c>
      <c r="K615" s="61">
        <v>66.069999999999993</v>
      </c>
      <c r="L615" s="61">
        <v>1982.1</v>
      </c>
      <c r="AA615">
        <v>31</v>
      </c>
      <c r="AB615">
        <v>7</v>
      </c>
      <c r="AC615" t="str">
        <v>50EF902</v>
      </c>
      <c r="AD615">
        <v>19.999999999999993</v>
      </c>
      <c r="AE615" t="str">
        <v>hour</v>
      </c>
    </row>
    <row r="616" spans="1:31" hidden="1" x14ac:dyDescent="0.25">
      <c r="A616">
        <v>615</v>
      </c>
      <c r="B616">
        <v>2025</v>
      </c>
      <c r="C616">
        <v>12</v>
      </c>
      <c r="D616">
        <v>31</v>
      </c>
      <c r="E616">
        <v>11</v>
      </c>
      <c r="F616" t="str">
        <v>53BD338</v>
      </c>
      <c r="G616" s="61">
        <v>29</v>
      </c>
      <c r="H616" t="str">
        <v>single</v>
      </c>
      <c r="I616">
        <v>0</v>
      </c>
      <c r="J616">
        <v>55</v>
      </c>
      <c r="K616" s="61">
        <v>55.36</v>
      </c>
      <c r="L616" s="61">
        <v>1605.44</v>
      </c>
      <c r="AA616">
        <v>31</v>
      </c>
      <c r="AB616">
        <v>7</v>
      </c>
      <c r="AC616" t="str">
        <v>53BB774</v>
      </c>
      <c r="AD616">
        <v>25.999999999999986</v>
      </c>
      <c r="AE616" t="str">
        <v>hour</v>
      </c>
    </row>
    <row r="617" spans="1:31" hidden="1" x14ac:dyDescent="0.25">
      <c r="A617">
        <v>616</v>
      </c>
      <c r="B617">
        <v>2025</v>
      </c>
      <c r="C617">
        <v>12</v>
      </c>
      <c r="D617">
        <v>31</v>
      </c>
      <c r="E617">
        <v>11</v>
      </c>
      <c r="F617" t="str">
        <v>55CB633</v>
      </c>
      <c r="G617" s="61">
        <v>29</v>
      </c>
      <c r="H617" t="str">
        <v>single</v>
      </c>
      <c r="I617">
        <v>0</v>
      </c>
      <c r="J617">
        <v>57</v>
      </c>
      <c r="K617" s="61">
        <v>55.36</v>
      </c>
      <c r="L617" s="61">
        <v>1605.44</v>
      </c>
      <c r="AA617">
        <v>31</v>
      </c>
      <c r="AB617">
        <v>7</v>
      </c>
      <c r="AC617" t="str">
        <v>55CB633</v>
      </c>
      <c r="AD617">
        <v>100</v>
      </c>
      <c r="AE617" t="str">
        <v>hour</v>
      </c>
    </row>
    <row r="618" spans="1:31" hidden="1" x14ac:dyDescent="0.25">
      <c r="A618">
        <v>617</v>
      </c>
      <c r="B618">
        <v>2025</v>
      </c>
      <c r="C618">
        <v>12</v>
      </c>
      <c r="D618">
        <v>31</v>
      </c>
      <c r="E618">
        <v>11</v>
      </c>
      <c r="F618" t="str">
        <v>57BV285</v>
      </c>
      <c r="G618" s="61">
        <v>30</v>
      </c>
      <c r="H618" t="str">
        <v>single</v>
      </c>
      <c r="I618">
        <v>0</v>
      </c>
      <c r="J618">
        <v>119</v>
      </c>
      <c r="K618" s="61">
        <v>62.5</v>
      </c>
      <c r="L618" s="61">
        <v>1875</v>
      </c>
      <c r="AA618">
        <v>31</v>
      </c>
      <c r="AB618">
        <v>7</v>
      </c>
      <c r="AC618" t="str">
        <v>90LS143</v>
      </c>
      <c r="AD618">
        <v>11.999999999999995</v>
      </c>
      <c r="AE618" t="str">
        <v>hour</v>
      </c>
    </row>
    <row r="619" spans="1:31" hidden="1" x14ac:dyDescent="0.25">
      <c r="A619">
        <v>618</v>
      </c>
      <c r="B619">
        <v>2025</v>
      </c>
      <c r="C619">
        <v>12</v>
      </c>
      <c r="D619">
        <v>31</v>
      </c>
      <c r="E619">
        <v>11</v>
      </c>
      <c r="F619" t="str">
        <v>77AT386</v>
      </c>
      <c r="G619" s="61">
        <v>30</v>
      </c>
      <c r="H619" t="str">
        <v>single</v>
      </c>
      <c r="I619">
        <v>0</v>
      </c>
      <c r="J619">
        <v>13</v>
      </c>
      <c r="K619" s="61">
        <v>46.67</v>
      </c>
      <c r="L619" s="61">
        <v>1400.1000000000001</v>
      </c>
      <c r="AA619">
        <v>31</v>
      </c>
      <c r="AB619">
        <v>7</v>
      </c>
      <c r="AC619" t="str">
        <v>90SL686</v>
      </c>
      <c r="AD619">
        <v>116.49989999999997</v>
      </c>
      <c r="AE619" t="str">
        <v>hour</v>
      </c>
    </row>
    <row r="620" spans="1:31" hidden="1" x14ac:dyDescent="0.25">
      <c r="A620">
        <v>619</v>
      </c>
      <c r="B620">
        <v>2025</v>
      </c>
      <c r="C620">
        <v>12</v>
      </c>
      <c r="D620">
        <v>31</v>
      </c>
      <c r="E620">
        <v>11</v>
      </c>
      <c r="F620" t="str">
        <v>77DK884</v>
      </c>
      <c r="G620" s="61">
        <v>19</v>
      </c>
      <c r="H620" t="str">
        <v>single</v>
      </c>
      <c r="I620">
        <v>0</v>
      </c>
      <c r="J620">
        <v>21</v>
      </c>
      <c r="K620" s="61">
        <v>96.43</v>
      </c>
      <c r="L620" s="61">
        <v>1832.17</v>
      </c>
      <c r="AA620">
        <v>31</v>
      </c>
      <c r="AB620">
        <v>7</v>
      </c>
      <c r="AC620" t="str">
        <v>90VS316</v>
      </c>
      <c r="AD620">
        <v>102</v>
      </c>
      <c r="AE620" t="str">
        <v>hour</v>
      </c>
    </row>
    <row r="621" spans="1:31" hidden="1" x14ac:dyDescent="0.25">
      <c r="A621">
        <v>620</v>
      </c>
      <c r="B621">
        <v>2025</v>
      </c>
      <c r="C621">
        <v>12</v>
      </c>
      <c r="D621">
        <v>31</v>
      </c>
      <c r="E621">
        <v>11</v>
      </c>
      <c r="F621" t="str">
        <v>77MU119</v>
      </c>
      <c r="G621" s="61">
        <v>12</v>
      </c>
      <c r="H621" t="str">
        <v>single</v>
      </c>
      <c r="I621">
        <v>0</v>
      </c>
      <c r="J621">
        <v>180</v>
      </c>
      <c r="K621" s="61">
        <v>78.571428571428569</v>
      </c>
      <c r="L621" s="61">
        <v>942.85714285714289</v>
      </c>
      <c r="AA621">
        <v>31</v>
      </c>
      <c r="AB621">
        <v>7</v>
      </c>
      <c r="AC621" t="str">
        <v>99BT339</v>
      </c>
      <c r="AD621">
        <v>89.999999999999986</v>
      </c>
      <c r="AE621" t="str">
        <v>hour</v>
      </c>
    </row>
    <row r="622" spans="1:31" hidden="1" x14ac:dyDescent="0.25">
      <c r="A622">
        <v>621</v>
      </c>
      <c r="B622">
        <v>2025</v>
      </c>
      <c r="C622">
        <v>12</v>
      </c>
      <c r="D622">
        <v>31</v>
      </c>
      <c r="E622">
        <v>11</v>
      </c>
      <c r="F622" t="str">
        <v>77PV619</v>
      </c>
      <c r="G622" s="61">
        <v>30</v>
      </c>
      <c r="H622" t="str">
        <v>single</v>
      </c>
      <c r="I622">
        <v>0</v>
      </c>
      <c r="J622">
        <v>67</v>
      </c>
      <c r="K622" s="61">
        <v>40</v>
      </c>
      <c r="L622" s="61">
        <v>1200</v>
      </c>
      <c r="AA622">
        <v>31</v>
      </c>
      <c r="AB622">
        <v>7</v>
      </c>
      <c r="AC622" t="str">
        <v>99EM163</v>
      </c>
      <c r="AD622">
        <v>200</v>
      </c>
      <c r="AE622" t="str">
        <v>hour</v>
      </c>
    </row>
    <row r="623" spans="1:31" hidden="1" x14ac:dyDescent="0.25">
      <c r="A623">
        <v>622</v>
      </c>
      <c r="B623">
        <v>2025</v>
      </c>
      <c r="C623">
        <v>12</v>
      </c>
      <c r="D623">
        <v>31</v>
      </c>
      <c r="E623">
        <v>11</v>
      </c>
      <c r="F623" t="str">
        <v>77SR538</v>
      </c>
      <c r="G623" s="61">
        <v>24</v>
      </c>
      <c r="H623" t="str">
        <v>single</v>
      </c>
      <c r="I623">
        <v>0</v>
      </c>
      <c r="J623">
        <v>73</v>
      </c>
      <c r="K623" s="61">
        <v>73.33</v>
      </c>
      <c r="L623" s="61">
        <v>1759.92</v>
      </c>
      <c r="AA623">
        <v>31</v>
      </c>
      <c r="AB623">
        <v>7</v>
      </c>
      <c r="AC623" t="str">
        <v>99KL663</v>
      </c>
      <c r="AD623">
        <v>57.999999999999993</v>
      </c>
      <c r="AE623" t="str">
        <v>hour</v>
      </c>
    </row>
    <row r="624" spans="1:31" hidden="1" x14ac:dyDescent="0.25">
      <c r="A624">
        <v>623</v>
      </c>
      <c r="B624">
        <v>2025</v>
      </c>
      <c r="C624">
        <v>12</v>
      </c>
      <c r="D624">
        <v>31</v>
      </c>
      <c r="E624">
        <v>11</v>
      </c>
      <c r="F624" t="str">
        <v>77TG971</v>
      </c>
      <c r="G624" s="61">
        <v>28</v>
      </c>
      <c r="H624" t="str">
        <v>single</v>
      </c>
      <c r="I624">
        <v>0</v>
      </c>
      <c r="J624">
        <v>75</v>
      </c>
      <c r="K624" s="61">
        <v>55.36</v>
      </c>
      <c r="L624" s="61">
        <v>1550.08</v>
      </c>
      <c r="AA624">
        <v>31</v>
      </c>
      <c r="AB624">
        <v>7</v>
      </c>
      <c r="AC624" t="str">
        <v>99LM412</v>
      </c>
      <c r="AD624">
        <v>54.000000000000014</v>
      </c>
      <c r="AE624" t="str">
        <v>hour</v>
      </c>
    </row>
    <row r="625" spans="1:31" hidden="1" x14ac:dyDescent="0.25">
      <c r="A625">
        <v>624</v>
      </c>
      <c r="B625">
        <v>2025</v>
      </c>
      <c r="C625">
        <v>12</v>
      </c>
      <c r="D625">
        <v>31</v>
      </c>
      <c r="E625">
        <v>11</v>
      </c>
      <c r="F625" t="str">
        <v>77UR032</v>
      </c>
      <c r="G625" s="61">
        <v>28</v>
      </c>
      <c r="H625" t="str">
        <v>single</v>
      </c>
      <c r="I625">
        <v>0</v>
      </c>
      <c r="J625">
        <v>77</v>
      </c>
      <c r="K625" s="61">
        <v>55.36</v>
      </c>
      <c r="L625" s="61">
        <v>1550.08</v>
      </c>
      <c r="AA625">
        <v>31</v>
      </c>
      <c r="AB625">
        <v>7</v>
      </c>
      <c r="AC625" t="str">
        <v>99MN472</v>
      </c>
      <c r="AD625">
        <v>93</v>
      </c>
      <c r="AE625" t="str">
        <v>hour</v>
      </c>
    </row>
    <row r="626" spans="1:31" hidden="1" x14ac:dyDescent="0.25">
      <c r="A626">
        <v>625</v>
      </c>
      <c r="B626">
        <v>2025</v>
      </c>
      <c r="C626">
        <v>12</v>
      </c>
      <c r="D626">
        <v>31</v>
      </c>
      <c r="E626">
        <v>11</v>
      </c>
      <c r="F626" t="str">
        <v>77VL420</v>
      </c>
      <c r="G626" s="61">
        <v>30</v>
      </c>
      <c r="H626" t="str">
        <v>single</v>
      </c>
      <c r="I626">
        <v>0</v>
      </c>
      <c r="J626">
        <v>118</v>
      </c>
      <c r="K626" s="61">
        <v>275</v>
      </c>
      <c r="L626" s="61">
        <v>8250</v>
      </c>
      <c r="AA626">
        <v>31</v>
      </c>
      <c r="AB626">
        <v>8</v>
      </c>
      <c r="AC626" t="str">
        <v>10RN527</v>
      </c>
      <c r="AD626">
        <v>67</v>
      </c>
      <c r="AE626" t="str">
        <v>hour</v>
      </c>
    </row>
    <row r="627" spans="1:31" hidden="1" x14ac:dyDescent="0.25">
      <c r="A627">
        <v>626</v>
      </c>
      <c r="B627">
        <v>2025</v>
      </c>
      <c r="C627">
        <v>12</v>
      </c>
      <c r="D627">
        <v>31</v>
      </c>
      <c r="E627">
        <v>11</v>
      </c>
      <c r="F627" t="str">
        <v>90EC344</v>
      </c>
      <c r="G627" s="61">
        <v>30</v>
      </c>
      <c r="H627" t="str">
        <v>single</v>
      </c>
      <c r="I627">
        <v>0</v>
      </c>
      <c r="J627">
        <v>79</v>
      </c>
      <c r="K627" s="61">
        <v>62.5</v>
      </c>
      <c r="L627" s="61">
        <v>1875</v>
      </c>
      <c r="AA627">
        <v>31</v>
      </c>
      <c r="AB627">
        <v>8</v>
      </c>
      <c r="AC627" t="str">
        <v>50BD165</v>
      </c>
      <c r="AD627">
        <v>57.500000000000007</v>
      </c>
      <c r="AE627" t="str">
        <v>hour</v>
      </c>
    </row>
    <row r="628" spans="1:31" hidden="1" x14ac:dyDescent="0.25">
      <c r="A628">
        <v>627</v>
      </c>
      <c r="B628">
        <v>2025</v>
      </c>
      <c r="C628">
        <v>12</v>
      </c>
      <c r="D628">
        <v>31</v>
      </c>
      <c r="E628">
        <v>11</v>
      </c>
      <c r="F628" t="str">
        <v>90LS143</v>
      </c>
      <c r="G628" s="61">
        <v>28</v>
      </c>
      <c r="H628" t="str">
        <v>single</v>
      </c>
      <c r="I628">
        <v>0</v>
      </c>
      <c r="J628">
        <v>81</v>
      </c>
      <c r="K628" s="61">
        <v>55.36</v>
      </c>
      <c r="L628" s="61">
        <v>1550.08</v>
      </c>
      <c r="AA628">
        <v>31</v>
      </c>
      <c r="AB628">
        <v>8</v>
      </c>
      <c r="AC628" t="str">
        <v>50BN724</v>
      </c>
      <c r="AD628">
        <v>69.999999999999986</v>
      </c>
      <c r="AE628" t="str">
        <v>hour</v>
      </c>
    </row>
    <row r="629" spans="1:31" hidden="1" x14ac:dyDescent="0.25">
      <c r="A629">
        <v>628</v>
      </c>
      <c r="B629">
        <v>2025</v>
      </c>
      <c r="C629">
        <v>12</v>
      </c>
      <c r="D629">
        <v>31</v>
      </c>
      <c r="E629">
        <v>11</v>
      </c>
      <c r="F629" t="str">
        <v>90OE402</v>
      </c>
      <c r="G629" s="61">
        <v>30</v>
      </c>
      <c r="H629" t="str">
        <v>single</v>
      </c>
      <c r="I629">
        <v>0</v>
      </c>
      <c r="J629">
        <v>83</v>
      </c>
      <c r="K629" s="61">
        <v>73.333333333333329</v>
      </c>
      <c r="L629" s="61">
        <v>2200</v>
      </c>
      <c r="AA629">
        <v>31</v>
      </c>
      <c r="AB629">
        <v>8</v>
      </c>
      <c r="AC629" t="str">
        <v>50DK730</v>
      </c>
      <c r="AD629">
        <v>87</v>
      </c>
      <c r="AE629" t="str">
        <v>hour</v>
      </c>
    </row>
    <row r="630" spans="1:31" hidden="1" x14ac:dyDescent="0.25">
      <c r="A630">
        <v>629</v>
      </c>
      <c r="B630">
        <v>2025</v>
      </c>
      <c r="C630">
        <v>12</v>
      </c>
      <c r="D630">
        <v>31</v>
      </c>
      <c r="E630">
        <v>11</v>
      </c>
      <c r="F630" t="str">
        <v>90PY548</v>
      </c>
      <c r="G630" s="61">
        <v>30</v>
      </c>
      <c r="H630" t="str">
        <v>single</v>
      </c>
      <c r="I630">
        <v>0</v>
      </c>
      <c r="J630">
        <v>85</v>
      </c>
      <c r="K630" s="61">
        <v>40</v>
      </c>
      <c r="L630" s="61">
        <v>1200</v>
      </c>
      <c r="AA630">
        <v>31</v>
      </c>
      <c r="AB630">
        <v>8</v>
      </c>
      <c r="AC630" t="str">
        <v>50EF902</v>
      </c>
      <c r="AD630">
        <v>21.999999999999972</v>
      </c>
      <c r="AE630" t="str">
        <v>hour</v>
      </c>
    </row>
    <row r="631" spans="1:31" hidden="1" x14ac:dyDescent="0.25">
      <c r="A631">
        <v>630</v>
      </c>
      <c r="B631">
        <v>2025</v>
      </c>
      <c r="C631">
        <v>12</v>
      </c>
      <c r="D631">
        <v>31</v>
      </c>
      <c r="E631">
        <v>11</v>
      </c>
      <c r="F631" t="str">
        <v>90RC631</v>
      </c>
      <c r="G631" s="61">
        <v>22</v>
      </c>
      <c r="H631" t="str">
        <v>single</v>
      </c>
      <c r="I631">
        <v>0</v>
      </c>
      <c r="J631">
        <v>125</v>
      </c>
      <c r="K631" s="61">
        <v>96.43</v>
      </c>
      <c r="L631" s="61">
        <v>2121.46</v>
      </c>
      <c r="AA631">
        <v>31</v>
      </c>
      <c r="AB631">
        <v>8</v>
      </c>
      <c r="AC631" t="str">
        <v>55CB633</v>
      </c>
      <c r="AD631">
        <v>114.99999999999999</v>
      </c>
      <c r="AE631" t="str">
        <v>hour</v>
      </c>
    </row>
    <row r="632" spans="1:31" hidden="1" x14ac:dyDescent="0.25">
      <c r="A632">
        <v>631</v>
      </c>
      <c r="B632">
        <v>2025</v>
      </c>
      <c r="C632">
        <v>12</v>
      </c>
      <c r="D632">
        <v>31</v>
      </c>
      <c r="E632">
        <v>11</v>
      </c>
      <c r="F632" t="str">
        <v>90UX686</v>
      </c>
      <c r="G632" s="61">
        <v>29</v>
      </c>
      <c r="H632" t="str">
        <v>single</v>
      </c>
      <c r="I632">
        <v>0</v>
      </c>
      <c r="J632">
        <v>121</v>
      </c>
      <c r="K632" s="61">
        <v>62.5</v>
      </c>
      <c r="L632" s="61">
        <v>1812.5</v>
      </c>
      <c r="AA632">
        <v>31</v>
      </c>
      <c r="AB632">
        <v>8</v>
      </c>
      <c r="AC632" t="str">
        <v>77UR032</v>
      </c>
      <c r="AD632">
        <v>32.999999999999986</v>
      </c>
      <c r="AE632" t="str">
        <v>hour</v>
      </c>
    </row>
    <row r="633" spans="1:31" hidden="1" x14ac:dyDescent="0.25">
      <c r="A633">
        <v>632</v>
      </c>
      <c r="B633">
        <v>2025</v>
      </c>
      <c r="C633">
        <v>12</v>
      </c>
      <c r="D633">
        <v>31</v>
      </c>
      <c r="E633">
        <v>11</v>
      </c>
      <c r="F633" t="str">
        <v>99BT339</v>
      </c>
      <c r="G633" s="61">
        <v>29</v>
      </c>
      <c r="H633" t="str">
        <v>single</v>
      </c>
      <c r="I633">
        <v>0</v>
      </c>
      <c r="J633">
        <v>93</v>
      </c>
      <c r="K633" s="61">
        <v>55.36</v>
      </c>
      <c r="L633" s="61">
        <v>1605.44</v>
      </c>
      <c r="AA633">
        <v>31</v>
      </c>
      <c r="AB633">
        <v>8</v>
      </c>
      <c r="AC633" t="str">
        <v>90LS143</v>
      </c>
      <c r="AD633">
        <v>30.999999999999986</v>
      </c>
      <c r="AE633" t="str">
        <v>hour</v>
      </c>
    </row>
    <row r="634" spans="1:31" hidden="1" x14ac:dyDescent="0.25">
      <c r="A634">
        <v>633</v>
      </c>
      <c r="B634">
        <v>2025</v>
      </c>
      <c r="C634">
        <v>12</v>
      </c>
      <c r="D634">
        <v>31</v>
      </c>
      <c r="E634">
        <v>11</v>
      </c>
      <c r="F634" t="str">
        <v>99CN447</v>
      </c>
      <c r="G634" s="61">
        <v>28</v>
      </c>
      <c r="H634" t="str">
        <v>single</v>
      </c>
      <c r="I634">
        <v>0</v>
      </c>
      <c r="J634">
        <v>94</v>
      </c>
      <c r="K634" s="61">
        <v>55.36</v>
      </c>
      <c r="L634" s="61">
        <v>1550.08</v>
      </c>
      <c r="AA634">
        <v>31</v>
      </c>
      <c r="AB634">
        <v>8</v>
      </c>
      <c r="AC634" t="str">
        <v>90SL686</v>
      </c>
      <c r="AD634">
        <v>46.999999999999986</v>
      </c>
      <c r="AE634" t="str">
        <v>hour</v>
      </c>
    </row>
    <row r="635" spans="1:31" hidden="1" x14ac:dyDescent="0.25">
      <c r="A635">
        <v>634</v>
      </c>
      <c r="B635">
        <v>2025</v>
      </c>
      <c r="C635">
        <v>12</v>
      </c>
      <c r="D635">
        <v>31</v>
      </c>
      <c r="E635">
        <v>11</v>
      </c>
      <c r="F635" t="str">
        <v>99DT131</v>
      </c>
      <c r="G635" s="61">
        <v>30</v>
      </c>
      <c r="H635" t="str">
        <v>single</v>
      </c>
      <c r="I635">
        <v>0</v>
      </c>
      <c r="J635">
        <v>123</v>
      </c>
      <c r="K635" s="61">
        <v>55.36</v>
      </c>
      <c r="L635" s="61">
        <v>1660.8</v>
      </c>
      <c r="AA635">
        <v>31</v>
      </c>
      <c r="AB635">
        <v>8</v>
      </c>
      <c r="AC635" t="str">
        <v>90VS316</v>
      </c>
      <c r="AD635">
        <v>97.999999999999986</v>
      </c>
      <c r="AE635" t="str">
        <v>hour</v>
      </c>
    </row>
    <row r="636" spans="1:31" hidden="1" x14ac:dyDescent="0.25">
      <c r="A636">
        <v>635</v>
      </c>
      <c r="B636">
        <v>2025</v>
      </c>
      <c r="C636">
        <v>12</v>
      </c>
      <c r="D636">
        <v>31</v>
      </c>
      <c r="E636">
        <v>11</v>
      </c>
      <c r="F636" t="str">
        <v>99FO779</v>
      </c>
      <c r="G636" s="61">
        <v>29</v>
      </c>
      <c r="H636" t="str">
        <v>single</v>
      </c>
      <c r="I636">
        <v>0</v>
      </c>
      <c r="J636">
        <v>101</v>
      </c>
      <c r="K636" s="61">
        <v>66.071428571428569</v>
      </c>
      <c r="L636" s="61">
        <v>1916.0714285714284</v>
      </c>
      <c r="AA636">
        <v>31</v>
      </c>
      <c r="AB636">
        <v>8</v>
      </c>
      <c r="AC636" t="str">
        <v>99BT339</v>
      </c>
      <c r="AD636">
        <v>50.999999999999986</v>
      </c>
      <c r="AE636" t="str">
        <v>hour</v>
      </c>
    </row>
    <row r="637" spans="1:31" hidden="1" x14ac:dyDescent="0.25">
      <c r="A637">
        <v>636</v>
      </c>
      <c r="B637">
        <v>2025</v>
      </c>
      <c r="C637">
        <v>12</v>
      </c>
      <c r="D637">
        <v>31</v>
      </c>
      <c r="E637">
        <v>11</v>
      </c>
      <c r="F637" t="str">
        <v>99GZ612</v>
      </c>
      <c r="G637" s="61">
        <v>30</v>
      </c>
      <c r="H637" t="str">
        <v>single</v>
      </c>
      <c r="I637">
        <v>0</v>
      </c>
      <c r="J637">
        <v>104</v>
      </c>
      <c r="K637" s="61">
        <v>62.5</v>
      </c>
      <c r="L637" s="61">
        <v>1875</v>
      </c>
      <c r="AA637">
        <v>31</v>
      </c>
      <c r="AB637">
        <v>8</v>
      </c>
      <c r="AC637" t="str">
        <v>99CN447</v>
      </c>
      <c r="AD637">
        <v>29.999999999999986</v>
      </c>
      <c r="AE637" t="str">
        <v>hour</v>
      </c>
    </row>
    <row r="638" spans="1:31" hidden="1" x14ac:dyDescent="0.25">
      <c r="A638">
        <v>637</v>
      </c>
      <c r="B638">
        <v>2025</v>
      </c>
      <c r="C638">
        <v>12</v>
      </c>
      <c r="D638">
        <v>31</v>
      </c>
      <c r="E638">
        <v>11</v>
      </c>
      <c r="F638" t="str">
        <v>99HZ395</v>
      </c>
      <c r="G638" s="61">
        <v>30</v>
      </c>
      <c r="H638" t="str">
        <v>single</v>
      </c>
      <c r="I638">
        <v>0</v>
      </c>
      <c r="J638">
        <v>3</v>
      </c>
      <c r="K638" s="61">
        <v>65</v>
      </c>
      <c r="L638" s="61">
        <v>1950</v>
      </c>
      <c r="AA638">
        <v>31</v>
      </c>
      <c r="AB638">
        <v>8</v>
      </c>
      <c r="AC638" t="str">
        <v>99FO779</v>
      </c>
      <c r="AD638">
        <v>44.000000000000014</v>
      </c>
      <c r="AE638" t="str">
        <v>hour</v>
      </c>
    </row>
    <row r="639" spans="1:31" hidden="1" x14ac:dyDescent="0.25">
      <c r="A639">
        <v>638</v>
      </c>
      <c r="B639">
        <v>2025</v>
      </c>
      <c r="C639">
        <v>12</v>
      </c>
      <c r="D639">
        <v>31</v>
      </c>
      <c r="E639">
        <v>11</v>
      </c>
      <c r="F639" t="str">
        <v>99KL663</v>
      </c>
      <c r="G639" s="61">
        <v>29</v>
      </c>
      <c r="H639" t="str">
        <v>single</v>
      </c>
      <c r="I639">
        <v>0</v>
      </c>
      <c r="J639">
        <v>106</v>
      </c>
      <c r="K639" s="61">
        <v>55.36</v>
      </c>
      <c r="L639" s="61">
        <v>1605.44</v>
      </c>
      <c r="AA639">
        <v>31</v>
      </c>
      <c r="AB639">
        <v>8</v>
      </c>
      <c r="AC639" t="str">
        <v>99KL663</v>
      </c>
      <c r="AD639">
        <v>37.999999999999986</v>
      </c>
      <c r="AE639" t="str">
        <v>hour</v>
      </c>
    </row>
    <row r="640" spans="1:31" hidden="1" x14ac:dyDescent="0.25">
      <c r="A640">
        <v>639</v>
      </c>
      <c r="B640">
        <v>2025</v>
      </c>
      <c r="C640">
        <v>12</v>
      </c>
      <c r="D640">
        <v>31</v>
      </c>
      <c r="E640">
        <v>11</v>
      </c>
      <c r="F640" t="str">
        <v>99LM412</v>
      </c>
      <c r="G640" s="61">
        <v>30</v>
      </c>
      <c r="H640" t="str">
        <v>single</v>
      </c>
      <c r="I640">
        <v>0</v>
      </c>
      <c r="J640">
        <v>116</v>
      </c>
      <c r="K640" s="61">
        <v>55.357142857142854</v>
      </c>
      <c r="L640" s="61">
        <v>1660.7142857142856</v>
      </c>
      <c r="AA640">
        <v>31</v>
      </c>
      <c r="AB640">
        <v>8</v>
      </c>
      <c r="AC640" t="str">
        <v>99LM412</v>
      </c>
      <c r="AD640">
        <v>49.999999999999986</v>
      </c>
      <c r="AE640" t="str">
        <v>hour</v>
      </c>
    </row>
    <row r="641" spans="1:31" hidden="1" x14ac:dyDescent="0.25">
      <c r="A641">
        <v>640</v>
      </c>
      <c r="B641">
        <v>2025</v>
      </c>
      <c r="C641">
        <v>12</v>
      </c>
      <c r="D641">
        <v>31</v>
      </c>
      <c r="E641">
        <v>11</v>
      </c>
      <c r="F641" t="str">
        <v>99MN472</v>
      </c>
      <c r="G641" s="61">
        <v>30</v>
      </c>
      <c r="H641" t="str">
        <v>single</v>
      </c>
      <c r="I641">
        <v>0</v>
      </c>
      <c r="J641">
        <v>108</v>
      </c>
      <c r="K641" s="61">
        <v>55.36</v>
      </c>
      <c r="L641" s="61">
        <v>1660.8</v>
      </c>
      <c r="AA641">
        <v>31</v>
      </c>
      <c r="AB641">
        <v>8</v>
      </c>
      <c r="AC641" t="str">
        <v>99MN472</v>
      </c>
      <c r="AD641">
        <v>90</v>
      </c>
      <c r="AE641" t="str">
        <v>hour</v>
      </c>
    </row>
    <row r="642" spans="1:31" hidden="1" x14ac:dyDescent="0.25">
      <c r="A642">
        <v>641</v>
      </c>
      <c r="B642">
        <v>2025</v>
      </c>
      <c r="C642">
        <v>12</v>
      </c>
      <c r="D642">
        <v>31</v>
      </c>
      <c r="E642">
        <v>11</v>
      </c>
      <c r="F642" t="str">
        <v>99OR961</v>
      </c>
      <c r="G642" s="61">
        <v>30</v>
      </c>
      <c r="H642" t="str">
        <v>single</v>
      </c>
      <c r="I642">
        <v>0</v>
      </c>
      <c r="J642">
        <v>109</v>
      </c>
      <c r="K642" s="61">
        <v>55.36</v>
      </c>
      <c r="L642" s="61">
        <v>1660.8</v>
      </c>
      <c r="AA642">
        <v>31</v>
      </c>
      <c r="AB642">
        <v>8</v>
      </c>
      <c r="AC642" t="str">
        <v>99UK314</v>
      </c>
      <c r="AD642">
        <v>90</v>
      </c>
      <c r="AE642" t="str">
        <v>hour</v>
      </c>
    </row>
    <row r="643" spans="1:31" hidden="1" x14ac:dyDescent="0.25">
      <c r="A643">
        <v>642</v>
      </c>
      <c r="B643">
        <v>2025</v>
      </c>
      <c r="C643">
        <v>12</v>
      </c>
      <c r="D643">
        <v>31</v>
      </c>
      <c r="E643">
        <v>11</v>
      </c>
      <c r="F643" t="str">
        <v>99UK314</v>
      </c>
      <c r="G643" s="61">
        <v>30</v>
      </c>
      <c r="H643" t="str">
        <v>single</v>
      </c>
      <c r="I643">
        <v>0</v>
      </c>
      <c r="J643">
        <v>114</v>
      </c>
      <c r="K643" s="61">
        <v>58.93</v>
      </c>
      <c r="L643" s="61">
        <v>1767.9</v>
      </c>
      <c r="AA643">
        <v>31</v>
      </c>
      <c r="AB643">
        <v>9</v>
      </c>
      <c r="AC643" t="str">
        <v>10RN527</v>
      </c>
      <c r="AD643">
        <v>87</v>
      </c>
      <c r="AE643" t="str">
        <v>hour</v>
      </c>
    </row>
    <row r="644" spans="1:31" hidden="1" x14ac:dyDescent="0.25">
      <c r="A644">
        <v>643</v>
      </c>
      <c r="B644">
        <v>2025</v>
      </c>
      <c r="C644">
        <v>12</v>
      </c>
      <c r="D644">
        <v>31</v>
      </c>
      <c r="E644">
        <v>11</v>
      </c>
      <c r="F644" t="str">
        <v>77GR998</v>
      </c>
      <c r="G644" s="61">
        <v>31</v>
      </c>
      <c r="H644" t="str">
        <v>double</v>
      </c>
      <c r="I644">
        <v>0</v>
      </c>
      <c r="J644">
        <v>63</v>
      </c>
      <c r="K644" s="61">
        <v>99.642857142857139</v>
      </c>
      <c r="L644" s="61">
        <v>3088.9285714285711</v>
      </c>
      <c r="AA644">
        <v>31</v>
      </c>
      <c r="AB644">
        <v>9</v>
      </c>
      <c r="AC644" t="str">
        <v>21BF442</v>
      </c>
      <c r="AD644">
        <v>87</v>
      </c>
      <c r="AE644" t="str">
        <v>hour</v>
      </c>
    </row>
    <row r="645" spans="1:31" x14ac:dyDescent="0.25">
      <c r="A645">
        <v>644</v>
      </c>
      <c r="B645">
        <v>2025</v>
      </c>
      <c r="C645">
        <v>12</v>
      </c>
      <c r="D645">
        <v>31</v>
      </c>
      <c r="E645">
        <v>11</v>
      </c>
      <c r="F645" t="str">
        <v>99EM163</v>
      </c>
      <c r="G645" s="61">
        <v>28</v>
      </c>
      <c r="H645" t="str">
        <v>double</v>
      </c>
      <c r="I645">
        <v>0</v>
      </c>
      <c r="J645">
        <v>98</v>
      </c>
      <c r="K645" s="61">
        <v>99.65</v>
      </c>
      <c r="L645" s="61">
        <v>2790.2000000000003</v>
      </c>
      <c r="AA645">
        <v>31</v>
      </c>
      <c r="AB645">
        <v>9</v>
      </c>
      <c r="AC645" t="str">
        <v>50BD165</v>
      </c>
      <c r="AD645">
        <v>28.999999999999975</v>
      </c>
      <c r="AE645" t="str">
        <v>hour</v>
      </c>
    </row>
    <row r="646" spans="1:31" hidden="1" x14ac:dyDescent="0.25">
      <c r="A646">
        <v>645</v>
      </c>
      <c r="B646">
        <v>2025</v>
      </c>
      <c r="C646">
        <v>12</v>
      </c>
      <c r="D646">
        <v>31</v>
      </c>
      <c r="E646">
        <v>11</v>
      </c>
      <c r="F646" t="str">
        <v>10NS184</v>
      </c>
      <c r="G646" s="61">
        <v>3.9999999999999982</v>
      </c>
      <c r="H646" t="str">
        <v>hour</v>
      </c>
      <c r="I646">
        <v>0</v>
      </c>
      <c r="J646">
        <v>27</v>
      </c>
      <c r="K646" s="61">
        <v>5.5359999999999996</v>
      </c>
      <c r="L646" s="61">
        <v>22.143999999999988</v>
      </c>
      <c r="AA646">
        <v>31</v>
      </c>
      <c r="AB646">
        <v>9</v>
      </c>
      <c r="AC646" t="str">
        <v>50BN724</v>
      </c>
      <c r="AD646">
        <v>35.999999999999943</v>
      </c>
      <c r="AE646" t="str">
        <v>hour</v>
      </c>
    </row>
    <row r="647" spans="1:31" hidden="1" x14ac:dyDescent="0.25">
      <c r="A647">
        <v>646</v>
      </c>
      <c r="B647">
        <v>2025</v>
      </c>
      <c r="C647">
        <v>12</v>
      </c>
      <c r="D647">
        <v>31</v>
      </c>
      <c r="E647">
        <v>11</v>
      </c>
      <c r="F647" t="str">
        <v>10RN527</v>
      </c>
      <c r="G647" s="61">
        <v>86</v>
      </c>
      <c r="H647" t="str">
        <v>hour</v>
      </c>
      <c r="I647">
        <v>0</v>
      </c>
      <c r="J647">
        <v>30</v>
      </c>
      <c r="K647" s="61">
        <v>6.25</v>
      </c>
      <c r="L647" s="61">
        <v>537.5</v>
      </c>
      <c r="AA647">
        <v>31</v>
      </c>
      <c r="AB647">
        <v>9</v>
      </c>
      <c r="AC647" t="str">
        <v>50CN929</v>
      </c>
      <c r="AD647">
        <v>72</v>
      </c>
      <c r="AE647" t="str">
        <v>hour</v>
      </c>
    </row>
    <row r="648" spans="1:31" hidden="1" x14ac:dyDescent="0.25">
      <c r="A648">
        <v>647</v>
      </c>
      <c r="B648">
        <v>2025</v>
      </c>
      <c r="C648">
        <v>12</v>
      </c>
      <c r="D648">
        <v>31</v>
      </c>
      <c r="E648">
        <v>11</v>
      </c>
      <c r="F648" t="str">
        <v>21BF442</v>
      </c>
      <c r="G648" s="61">
        <v>90</v>
      </c>
      <c r="H648" t="str">
        <v>hour</v>
      </c>
      <c r="I648">
        <v>0</v>
      </c>
      <c r="J648">
        <v>38</v>
      </c>
      <c r="K648" s="61">
        <v>5.5359999999999996</v>
      </c>
      <c r="L648" s="61">
        <v>498.23999999999995</v>
      </c>
      <c r="AA648">
        <v>31</v>
      </c>
      <c r="AB648">
        <v>9</v>
      </c>
      <c r="AC648" t="str">
        <v>50DK730</v>
      </c>
      <c r="AD648">
        <v>90</v>
      </c>
      <c r="AE648" t="str">
        <v>hour</v>
      </c>
    </row>
    <row r="649" spans="1:31" hidden="1" x14ac:dyDescent="0.25">
      <c r="A649">
        <v>648</v>
      </c>
      <c r="B649">
        <v>2025</v>
      </c>
      <c r="C649">
        <v>12</v>
      </c>
      <c r="D649">
        <v>31</v>
      </c>
      <c r="E649">
        <v>11</v>
      </c>
      <c r="F649" t="str">
        <v>50DK730</v>
      </c>
      <c r="G649" s="61">
        <v>90</v>
      </c>
      <c r="H649" t="str">
        <v>hour</v>
      </c>
      <c r="I649">
        <v>0</v>
      </c>
      <c r="J649">
        <v>46</v>
      </c>
      <c r="K649" s="61">
        <v>5.5359999999999996</v>
      </c>
      <c r="L649" s="61">
        <v>498.23999999999995</v>
      </c>
      <c r="AA649">
        <v>31</v>
      </c>
      <c r="AB649">
        <v>9</v>
      </c>
      <c r="AC649" t="str">
        <v>50EF902</v>
      </c>
      <c r="AD649">
        <v>63.999999999999943</v>
      </c>
      <c r="AE649" t="str">
        <v>hour</v>
      </c>
    </row>
    <row r="650" spans="1:31" hidden="1" x14ac:dyDescent="0.25">
      <c r="A650">
        <v>649</v>
      </c>
      <c r="B650">
        <v>2025</v>
      </c>
      <c r="C650">
        <v>12</v>
      </c>
      <c r="D650">
        <v>31</v>
      </c>
      <c r="E650">
        <v>11</v>
      </c>
      <c r="F650" t="str">
        <v>50EF902</v>
      </c>
      <c r="G650" s="61">
        <v>43</v>
      </c>
      <c r="H650" t="str">
        <v>hour</v>
      </c>
      <c r="I650">
        <v>0</v>
      </c>
      <c r="J650">
        <v>48</v>
      </c>
      <c r="K650" s="61">
        <v>6.25</v>
      </c>
      <c r="L650" s="61">
        <v>268.75</v>
      </c>
      <c r="AA650">
        <v>31</v>
      </c>
      <c r="AB650">
        <v>9</v>
      </c>
      <c r="AC650" t="str">
        <v>50FB264</v>
      </c>
      <c r="AD650">
        <v>44.999999999999957</v>
      </c>
      <c r="AE650" t="str">
        <v>hour</v>
      </c>
    </row>
    <row r="651" spans="1:31" hidden="1" x14ac:dyDescent="0.25">
      <c r="A651">
        <v>650</v>
      </c>
      <c r="B651">
        <v>2025</v>
      </c>
      <c r="C651">
        <v>12</v>
      </c>
      <c r="D651">
        <v>31</v>
      </c>
      <c r="E651">
        <v>11</v>
      </c>
      <c r="F651" t="str">
        <v>50FB264</v>
      </c>
      <c r="G651" s="61">
        <v>89.999999999999986</v>
      </c>
      <c r="H651" t="str">
        <v>hour</v>
      </c>
      <c r="I651">
        <v>0</v>
      </c>
      <c r="J651">
        <v>24</v>
      </c>
      <c r="K651" s="61">
        <v>6.6070000000000002</v>
      </c>
      <c r="L651" s="61">
        <v>594.62999999999988</v>
      </c>
      <c r="AA651">
        <v>31</v>
      </c>
      <c r="AB651">
        <v>9</v>
      </c>
      <c r="AC651" t="str">
        <v>55CB633</v>
      </c>
      <c r="AD651">
        <v>89</v>
      </c>
      <c r="AE651" t="str">
        <v>hour</v>
      </c>
    </row>
    <row r="652" spans="1:31" hidden="1" x14ac:dyDescent="0.25">
      <c r="A652">
        <v>651</v>
      </c>
      <c r="B652">
        <v>2025</v>
      </c>
      <c r="C652">
        <v>12</v>
      </c>
      <c r="D652">
        <v>31</v>
      </c>
      <c r="E652">
        <v>11</v>
      </c>
      <c r="F652" t="str">
        <v>53BD338</v>
      </c>
      <c r="G652" s="61">
        <v>31.999999999999993</v>
      </c>
      <c r="H652" t="str">
        <v>hour</v>
      </c>
      <c r="I652">
        <v>0</v>
      </c>
      <c r="J652">
        <v>54</v>
      </c>
      <c r="K652" s="61">
        <v>5.5359999999999996</v>
      </c>
      <c r="L652" s="61">
        <v>177.15199999999996</v>
      </c>
      <c r="AA652">
        <v>31</v>
      </c>
      <c r="AB652">
        <v>9</v>
      </c>
      <c r="AC652" t="str">
        <v>77TG971</v>
      </c>
      <c r="AD652">
        <v>7.9999999999999858</v>
      </c>
      <c r="AE652" t="str">
        <v>hour</v>
      </c>
    </row>
    <row r="653" spans="1:31" hidden="1" x14ac:dyDescent="0.25">
      <c r="A653">
        <v>652</v>
      </c>
      <c r="B653">
        <v>2025</v>
      </c>
      <c r="C653">
        <v>12</v>
      </c>
      <c r="D653">
        <v>31</v>
      </c>
      <c r="E653">
        <v>11</v>
      </c>
      <c r="F653" t="str">
        <v>55CB633</v>
      </c>
      <c r="G653" s="61">
        <v>39.999999999999986</v>
      </c>
      <c r="H653" t="str">
        <v>hour</v>
      </c>
      <c r="I653">
        <v>0</v>
      </c>
      <c r="J653">
        <v>56</v>
      </c>
      <c r="K653" s="61">
        <v>5.5359999999999996</v>
      </c>
      <c r="L653" s="61">
        <v>221.43999999999991</v>
      </c>
      <c r="AA653">
        <v>31</v>
      </c>
      <c r="AB653">
        <v>9</v>
      </c>
      <c r="AC653" t="str">
        <v>90EC344</v>
      </c>
      <c r="AD653">
        <v>41</v>
      </c>
      <c r="AE653" t="str">
        <v>hour</v>
      </c>
    </row>
    <row r="654" spans="1:31" hidden="1" x14ac:dyDescent="0.25">
      <c r="A654">
        <v>653</v>
      </c>
      <c r="B654">
        <v>2025</v>
      </c>
      <c r="C654">
        <v>12</v>
      </c>
      <c r="D654">
        <v>31</v>
      </c>
      <c r="E654">
        <v>11</v>
      </c>
      <c r="F654" t="str">
        <v>57BV285</v>
      </c>
      <c r="G654" s="61">
        <v>39.999999999999972</v>
      </c>
      <c r="H654" t="str">
        <v>hour</v>
      </c>
      <c r="I654">
        <v>0</v>
      </c>
      <c r="J654">
        <v>120</v>
      </c>
      <c r="K654" s="61">
        <v>6.25</v>
      </c>
      <c r="L654" s="61">
        <v>249.99999999999983</v>
      </c>
      <c r="AA654">
        <v>31</v>
      </c>
      <c r="AB654">
        <v>9</v>
      </c>
      <c r="AC654" t="str">
        <v>90LS143</v>
      </c>
      <c r="AD654">
        <v>25.999999999999986</v>
      </c>
      <c r="AE654" t="str">
        <v>hour</v>
      </c>
    </row>
    <row r="655" spans="1:31" hidden="1" x14ac:dyDescent="0.25">
      <c r="A655">
        <v>654</v>
      </c>
      <c r="B655">
        <v>2025</v>
      </c>
      <c r="C655">
        <v>12</v>
      </c>
      <c r="D655">
        <v>31</v>
      </c>
      <c r="E655">
        <v>11</v>
      </c>
      <c r="F655" t="str">
        <v>77MU119</v>
      </c>
      <c r="G655" s="61">
        <v>32.999999999999979</v>
      </c>
      <c r="H655" t="str">
        <v>hour</v>
      </c>
      <c r="I655">
        <v>0</v>
      </c>
      <c r="J655">
        <v>181</v>
      </c>
      <c r="K655" s="61">
        <v>7.8571428571428568</v>
      </c>
      <c r="L655" s="61">
        <v>259.28571428571411</v>
      </c>
      <c r="AA655">
        <v>31</v>
      </c>
      <c r="AB655">
        <v>9</v>
      </c>
      <c r="AC655" t="str">
        <v>90VS316</v>
      </c>
      <c r="AD655">
        <v>76.999999999999986</v>
      </c>
      <c r="AE655" t="str">
        <v>hour</v>
      </c>
    </row>
    <row r="656" spans="1:31" hidden="1" x14ac:dyDescent="0.25">
      <c r="A656">
        <v>655</v>
      </c>
      <c r="B656">
        <v>2025</v>
      </c>
      <c r="C656">
        <v>12</v>
      </c>
      <c r="D656">
        <v>31</v>
      </c>
      <c r="E656">
        <v>11</v>
      </c>
      <c r="F656" t="str">
        <v>77SR538</v>
      </c>
      <c r="G656" s="61">
        <v>92</v>
      </c>
      <c r="H656" t="str">
        <v>hour</v>
      </c>
      <c r="I656">
        <v>0</v>
      </c>
      <c r="J656">
        <v>72</v>
      </c>
      <c r="K656" s="61">
        <v>7.3330000000000002</v>
      </c>
      <c r="L656" s="61">
        <v>674.63599999999997</v>
      </c>
      <c r="AA656">
        <v>31</v>
      </c>
      <c r="AB656">
        <v>9</v>
      </c>
      <c r="AC656" t="str">
        <v>99BT339</v>
      </c>
      <c r="AD656">
        <v>55.999999999999972</v>
      </c>
      <c r="AE656" t="str">
        <v>hour</v>
      </c>
    </row>
    <row r="657" spans="1:31" hidden="1" x14ac:dyDescent="0.25">
      <c r="A657">
        <v>656</v>
      </c>
      <c r="B657">
        <v>2025</v>
      </c>
      <c r="C657">
        <v>12</v>
      </c>
      <c r="D657">
        <v>31</v>
      </c>
      <c r="E657">
        <v>11</v>
      </c>
      <c r="F657" t="str">
        <v>77TG971</v>
      </c>
      <c r="G657" s="61">
        <v>7.9999999999999982</v>
      </c>
      <c r="H657" t="str">
        <v>hour</v>
      </c>
      <c r="I657">
        <v>0</v>
      </c>
      <c r="J657">
        <v>74</v>
      </c>
      <c r="K657" s="61">
        <v>5.5359999999999996</v>
      </c>
      <c r="L657" s="61">
        <v>44.28799999999999</v>
      </c>
      <c r="AA657">
        <v>31</v>
      </c>
      <c r="AB657">
        <v>9</v>
      </c>
      <c r="AC657" t="str">
        <v>99CN447</v>
      </c>
      <c r="AD657">
        <v>73.999999999999972</v>
      </c>
      <c r="AE657" t="str">
        <v>hour</v>
      </c>
    </row>
    <row r="658" spans="1:31" hidden="1" x14ac:dyDescent="0.25">
      <c r="A658">
        <v>657</v>
      </c>
      <c r="B658">
        <v>2025</v>
      </c>
      <c r="C658">
        <v>12</v>
      </c>
      <c r="D658">
        <v>31</v>
      </c>
      <c r="E658">
        <v>11</v>
      </c>
      <c r="F658" t="str">
        <v>77UR032</v>
      </c>
      <c r="G658" s="61">
        <v>74.999999999999972</v>
      </c>
      <c r="H658" t="str">
        <v>hour</v>
      </c>
      <c r="I658">
        <v>0</v>
      </c>
      <c r="J658">
        <v>76</v>
      </c>
      <c r="K658" s="61">
        <v>5.5359999999999996</v>
      </c>
      <c r="L658" s="61">
        <v>415.19999999999982</v>
      </c>
      <c r="AA658">
        <v>31</v>
      </c>
      <c r="AB658">
        <v>9</v>
      </c>
      <c r="AC658" t="str">
        <v>99FO779</v>
      </c>
      <c r="AD658">
        <v>86.999999999999986</v>
      </c>
      <c r="AE658" t="str">
        <v>hour</v>
      </c>
    </row>
    <row r="659" spans="1:31" hidden="1" x14ac:dyDescent="0.25">
      <c r="A659">
        <v>658</v>
      </c>
      <c r="B659">
        <v>2025</v>
      </c>
      <c r="C659">
        <v>12</v>
      </c>
      <c r="D659">
        <v>31</v>
      </c>
      <c r="E659">
        <v>11</v>
      </c>
      <c r="F659" t="str">
        <v>90EC344</v>
      </c>
      <c r="G659" s="61">
        <v>71.999999999999986</v>
      </c>
      <c r="H659" t="str">
        <v>hour</v>
      </c>
      <c r="I659">
        <v>0</v>
      </c>
      <c r="J659">
        <v>78</v>
      </c>
      <c r="K659" s="61">
        <v>6.25</v>
      </c>
      <c r="L659" s="61">
        <v>449.99999999999989</v>
      </c>
      <c r="AA659">
        <v>31</v>
      </c>
      <c r="AB659">
        <v>9</v>
      </c>
      <c r="AC659" t="str">
        <v>99KL663</v>
      </c>
      <c r="AD659">
        <v>74.999999999999986</v>
      </c>
      <c r="AE659" t="str">
        <v>hour</v>
      </c>
    </row>
    <row r="660" spans="1:31" hidden="1" x14ac:dyDescent="0.25">
      <c r="A660">
        <v>659</v>
      </c>
      <c r="B660">
        <v>2025</v>
      </c>
      <c r="C660">
        <v>12</v>
      </c>
      <c r="D660">
        <v>31</v>
      </c>
      <c r="E660">
        <v>11</v>
      </c>
      <c r="F660" t="str">
        <v>90LS143</v>
      </c>
      <c r="G660" s="61">
        <v>5.9999999999999964</v>
      </c>
      <c r="H660" t="str">
        <v>hour</v>
      </c>
      <c r="I660">
        <v>0</v>
      </c>
      <c r="J660">
        <v>80</v>
      </c>
      <c r="K660" s="61">
        <v>5.5359999999999996</v>
      </c>
      <c r="L660" s="61">
        <v>33.21599999999998</v>
      </c>
      <c r="AA660">
        <v>31</v>
      </c>
      <c r="AB660">
        <v>9</v>
      </c>
      <c r="AC660" t="str">
        <v>99LM412</v>
      </c>
      <c r="AD660">
        <v>49.999999999999943</v>
      </c>
      <c r="AE660" t="str">
        <v>hour</v>
      </c>
    </row>
    <row r="661" spans="1:31" hidden="1" x14ac:dyDescent="0.25">
      <c r="A661">
        <v>660</v>
      </c>
      <c r="B661">
        <v>2025</v>
      </c>
      <c r="C661">
        <v>12</v>
      </c>
      <c r="D661">
        <v>31</v>
      </c>
      <c r="E661">
        <v>11</v>
      </c>
      <c r="F661" t="str">
        <v>90OE402</v>
      </c>
      <c r="G661" s="61">
        <v>89.999999999999986</v>
      </c>
      <c r="H661" t="str">
        <v>hour</v>
      </c>
      <c r="I661">
        <v>0</v>
      </c>
      <c r="J661">
        <v>82</v>
      </c>
      <c r="K661" s="61">
        <v>7.333333333333333</v>
      </c>
      <c r="L661" s="61">
        <v>659.99999999999989</v>
      </c>
      <c r="AA661">
        <v>31</v>
      </c>
      <c r="AB661">
        <v>9</v>
      </c>
      <c r="AC661" t="str">
        <v>99MN472</v>
      </c>
      <c r="AD661">
        <v>83</v>
      </c>
      <c r="AE661" t="str">
        <v>hour</v>
      </c>
    </row>
    <row r="662" spans="1:31" hidden="1" x14ac:dyDescent="0.25">
      <c r="A662">
        <v>661</v>
      </c>
      <c r="B662">
        <v>2025</v>
      </c>
      <c r="C662">
        <v>12</v>
      </c>
      <c r="D662">
        <v>31</v>
      </c>
      <c r="E662">
        <v>11</v>
      </c>
      <c r="F662" t="str">
        <v>90UX686</v>
      </c>
      <c r="G662" s="61">
        <v>60.999999999999986</v>
      </c>
      <c r="H662" t="str">
        <v>hour</v>
      </c>
      <c r="I662">
        <v>0</v>
      </c>
      <c r="J662">
        <v>122</v>
      </c>
      <c r="K662" s="61">
        <v>6.25</v>
      </c>
      <c r="L662" s="61">
        <v>381.24999999999989</v>
      </c>
      <c r="AA662">
        <v>31</v>
      </c>
      <c r="AB662">
        <v>9</v>
      </c>
      <c r="AC662" t="str">
        <v>99OR961</v>
      </c>
      <c r="AD662">
        <v>40.999999999999986</v>
      </c>
      <c r="AE662" t="str">
        <v>hour</v>
      </c>
    </row>
    <row r="663" spans="1:31" hidden="1" x14ac:dyDescent="0.25">
      <c r="A663">
        <v>662</v>
      </c>
      <c r="B663">
        <v>2025</v>
      </c>
      <c r="C663">
        <v>12</v>
      </c>
      <c r="D663">
        <v>31</v>
      </c>
      <c r="E663">
        <v>11</v>
      </c>
      <c r="F663" t="str">
        <v>99BT339</v>
      </c>
      <c r="G663" s="61">
        <v>81.999999999999986</v>
      </c>
      <c r="H663" t="str">
        <v>hour</v>
      </c>
      <c r="I663">
        <v>0</v>
      </c>
      <c r="J663">
        <v>92</v>
      </c>
      <c r="K663" s="61">
        <v>5.5359999999999996</v>
      </c>
      <c r="L663" s="61">
        <v>453.95199999999988</v>
      </c>
      <c r="AA663">
        <v>31</v>
      </c>
      <c r="AB663">
        <v>9</v>
      </c>
      <c r="AC663" t="str">
        <v>99UK314</v>
      </c>
      <c r="AD663">
        <v>101</v>
      </c>
      <c r="AE663" t="str">
        <v>hour</v>
      </c>
    </row>
    <row r="664" spans="1:31" hidden="1" x14ac:dyDescent="0.25">
      <c r="A664">
        <v>663</v>
      </c>
      <c r="B664">
        <v>2025</v>
      </c>
      <c r="C664">
        <v>12</v>
      </c>
      <c r="D664">
        <v>31</v>
      </c>
      <c r="E664">
        <v>11</v>
      </c>
      <c r="F664" t="str">
        <v>99CN447</v>
      </c>
      <c r="G664" s="61">
        <v>19.999999999999982</v>
      </c>
      <c r="H664" t="str">
        <v>hour</v>
      </c>
      <c r="I664">
        <v>0</v>
      </c>
      <c r="J664">
        <v>95</v>
      </c>
      <c r="K664" s="61">
        <v>5.5359999999999996</v>
      </c>
      <c r="L664" s="61">
        <v>110.7199999999999</v>
      </c>
      <c r="AA664">
        <v>31</v>
      </c>
      <c r="AB664">
        <v>10</v>
      </c>
      <c r="AC664" t="str">
        <v>10RN527</v>
      </c>
      <c r="AD664">
        <v>84</v>
      </c>
      <c r="AE664" t="str">
        <v>hour</v>
      </c>
    </row>
    <row r="665" spans="1:31" hidden="1" x14ac:dyDescent="0.25">
      <c r="A665">
        <v>664</v>
      </c>
      <c r="B665">
        <v>2025</v>
      </c>
      <c r="C665">
        <v>12</v>
      </c>
      <c r="D665">
        <v>31</v>
      </c>
      <c r="E665">
        <v>11</v>
      </c>
      <c r="F665" t="str">
        <v>99DT131</v>
      </c>
      <c r="G665" s="61">
        <v>40.999999999999972</v>
      </c>
      <c r="H665" t="str">
        <v>hour</v>
      </c>
      <c r="I665">
        <v>0</v>
      </c>
      <c r="J665">
        <v>124</v>
      </c>
      <c r="K665" s="61">
        <v>5.5359999999999996</v>
      </c>
      <c r="L665" s="61">
        <v>226.97599999999983</v>
      </c>
      <c r="AA665">
        <v>31</v>
      </c>
      <c r="AB665">
        <v>10</v>
      </c>
      <c r="AC665" t="str">
        <v>21BF442</v>
      </c>
      <c r="AD665">
        <v>84</v>
      </c>
      <c r="AE665" t="str">
        <v>hour</v>
      </c>
    </row>
    <row r="666" spans="1:31" hidden="1" x14ac:dyDescent="0.25">
      <c r="A666">
        <v>665</v>
      </c>
      <c r="B666">
        <v>2025</v>
      </c>
      <c r="C666">
        <v>12</v>
      </c>
      <c r="D666">
        <v>31</v>
      </c>
      <c r="E666">
        <v>11</v>
      </c>
      <c r="F666" t="str">
        <v>99FO779</v>
      </c>
      <c r="G666" s="61">
        <v>80.999999999999972</v>
      </c>
      <c r="H666" t="str">
        <v>hour</v>
      </c>
      <c r="I666">
        <v>0</v>
      </c>
      <c r="J666">
        <v>102</v>
      </c>
      <c r="K666" s="61">
        <v>6.6071428571428568</v>
      </c>
      <c r="L666" s="61">
        <v>535.17857142857122</v>
      </c>
      <c r="AA666">
        <v>31</v>
      </c>
      <c r="AB666">
        <v>10</v>
      </c>
      <c r="AC666" t="str">
        <v>50DK730</v>
      </c>
      <c r="AD666">
        <v>87</v>
      </c>
      <c r="AE666" t="str">
        <v>hour</v>
      </c>
    </row>
    <row r="667" spans="1:31" hidden="1" x14ac:dyDescent="0.25">
      <c r="A667">
        <v>666</v>
      </c>
      <c r="B667">
        <v>2025</v>
      </c>
      <c r="C667">
        <v>12</v>
      </c>
      <c r="D667">
        <v>31</v>
      </c>
      <c r="E667">
        <v>11</v>
      </c>
      <c r="F667" t="str">
        <v>99GZ612</v>
      </c>
      <c r="G667" s="61">
        <v>14.999999999999991</v>
      </c>
      <c r="H667" t="str">
        <v>hour</v>
      </c>
      <c r="I667">
        <v>0</v>
      </c>
      <c r="J667">
        <v>103</v>
      </c>
      <c r="K667" s="61">
        <v>6.25</v>
      </c>
      <c r="L667" s="61">
        <v>93.749999999999943</v>
      </c>
      <c r="AA667">
        <v>31</v>
      </c>
      <c r="AB667">
        <v>10</v>
      </c>
      <c r="AC667" t="str">
        <v>50EF902</v>
      </c>
      <c r="AD667">
        <v>27.999999999999972</v>
      </c>
      <c r="AE667" t="str">
        <v>hour</v>
      </c>
    </row>
    <row r="668" spans="1:31" hidden="1" x14ac:dyDescent="0.25">
      <c r="A668">
        <v>667</v>
      </c>
      <c r="B668">
        <v>2025</v>
      </c>
      <c r="C668">
        <v>12</v>
      </c>
      <c r="D668">
        <v>31</v>
      </c>
      <c r="E668">
        <v>11</v>
      </c>
      <c r="F668" t="str">
        <v>99HZ395</v>
      </c>
      <c r="G668" s="61">
        <v>120</v>
      </c>
      <c r="H668" t="str">
        <v>hour</v>
      </c>
      <c r="I668">
        <v>0</v>
      </c>
      <c r="J668">
        <v>4</v>
      </c>
      <c r="K668" s="61">
        <v>6.5</v>
      </c>
      <c r="L668" s="61">
        <v>780</v>
      </c>
      <c r="AA668">
        <v>31</v>
      </c>
      <c r="AB668">
        <v>10</v>
      </c>
      <c r="AC668" t="str">
        <v>55CB633</v>
      </c>
      <c r="AD668">
        <v>60.999999999999986</v>
      </c>
      <c r="AE668" t="str">
        <v>hour</v>
      </c>
    </row>
    <row r="669" spans="1:31" hidden="1" x14ac:dyDescent="0.25">
      <c r="A669">
        <v>668</v>
      </c>
      <c r="B669">
        <v>2025</v>
      </c>
      <c r="C669">
        <v>12</v>
      </c>
      <c r="D669">
        <v>31</v>
      </c>
      <c r="E669">
        <v>11</v>
      </c>
      <c r="F669" t="str">
        <v>99KL663</v>
      </c>
      <c r="G669" s="61">
        <v>34.999999999999972</v>
      </c>
      <c r="H669" t="str">
        <v>hour</v>
      </c>
      <c r="I669">
        <v>0</v>
      </c>
      <c r="J669">
        <v>105</v>
      </c>
      <c r="K669" s="61">
        <v>5.5359999999999996</v>
      </c>
      <c r="L669" s="61">
        <v>193.75999999999982</v>
      </c>
      <c r="AA669">
        <v>31</v>
      </c>
      <c r="AB669">
        <v>10</v>
      </c>
      <c r="AC669" t="str">
        <v>77SR538</v>
      </c>
      <c r="AD669">
        <v>108</v>
      </c>
      <c r="AE669" t="str">
        <v>hour</v>
      </c>
    </row>
    <row r="670" spans="1:31" hidden="1" x14ac:dyDescent="0.25">
      <c r="A670">
        <v>669</v>
      </c>
      <c r="B670">
        <v>2025</v>
      </c>
      <c r="C670">
        <v>12</v>
      </c>
      <c r="D670">
        <v>31</v>
      </c>
      <c r="E670">
        <v>11</v>
      </c>
      <c r="F670" t="str">
        <v>99LM412</v>
      </c>
      <c r="G670" s="61">
        <v>115.99999999999999</v>
      </c>
      <c r="H670" t="str">
        <v>hour</v>
      </c>
      <c r="I670">
        <v>0</v>
      </c>
      <c r="J670">
        <v>115</v>
      </c>
      <c r="K670" s="61">
        <v>5.5357142857142856</v>
      </c>
      <c r="L670" s="61">
        <v>642.142857142857</v>
      </c>
      <c r="AA670">
        <v>31</v>
      </c>
      <c r="AB670">
        <v>10</v>
      </c>
      <c r="AC670" t="str">
        <v>90EC344</v>
      </c>
      <c r="AD670">
        <v>39.999999999999972</v>
      </c>
      <c r="AE670" t="str">
        <v>hour</v>
      </c>
    </row>
    <row r="671" spans="1:31" hidden="1" x14ac:dyDescent="0.25">
      <c r="A671">
        <v>670</v>
      </c>
      <c r="B671">
        <v>2025</v>
      </c>
      <c r="C671">
        <v>12</v>
      </c>
      <c r="D671">
        <v>31</v>
      </c>
      <c r="E671">
        <v>11</v>
      </c>
      <c r="F671" t="str">
        <v>99MN472</v>
      </c>
      <c r="G671" s="61">
        <v>90</v>
      </c>
      <c r="H671" t="str">
        <v>hour</v>
      </c>
      <c r="I671">
        <v>0</v>
      </c>
      <c r="J671">
        <v>107</v>
      </c>
      <c r="K671" s="61">
        <v>5.5359999999999996</v>
      </c>
      <c r="L671" s="61">
        <v>498.23999999999995</v>
      </c>
      <c r="AA671">
        <v>31</v>
      </c>
      <c r="AB671">
        <v>10</v>
      </c>
      <c r="AC671" t="str">
        <v>90LS143</v>
      </c>
      <c r="AD671">
        <v>47</v>
      </c>
      <c r="AE671" t="str">
        <v>hour</v>
      </c>
    </row>
    <row r="672" spans="1:31" hidden="1" x14ac:dyDescent="0.25">
      <c r="A672">
        <v>671</v>
      </c>
      <c r="B672">
        <v>2025</v>
      </c>
      <c r="C672">
        <v>12</v>
      </c>
      <c r="D672">
        <v>31</v>
      </c>
      <c r="E672">
        <v>11</v>
      </c>
      <c r="F672" t="str">
        <v>99OR961</v>
      </c>
      <c r="G672" s="61">
        <v>109.99999999999999</v>
      </c>
      <c r="H672" t="str">
        <v>hour</v>
      </c>
      <c r="I672">
        <v>0</v>
      </c>
      <c r="J672">
        <v>110</v>
      </c>
      <c r="K672" s="61">
        <v>5.5359999999999996</v>
      </c>
      <c r="L672" s="61">
        <v>608.95999999999992</v>
      </c>
      <c r="AA672">
        <v>31</v>
      </c>
      <c r="AB672">
        <v>10</v>
      </c>
      <c r="AC672" t="str">
        <v>90OE402</v>
      </c>
      <c r="AD672">
        <v>59.999999999999943</v>
      </c>
      <c r="AE672" t="str">
        <v>hour</v>
      </c>
    </row>
    <row r="673" spans="1:31" hidden="1" x14ac:dyDescent="0.25">
      <c r="A673">
        <v>672</v>
      </c>
      <c r="B673">
        <v>2025</v>
      </c>
      <c r="C673">
        <v>12</v>
      </c>
      <c r="D673">
        <v>31</v>
      </c>
      <c r="E673">
        <v>11</v>
      </c>
      <c r="F673" t="str">
        <v>99UK314</v>
      </c>
      <c r="G673" s="61">
        <v>97</v>
      </c>
      <c r="H673" t="str">
        <v>hour</v>
      </c>
      <c r="I673">
        <v>0</v>
      </c>
      <c r="J673">
        <v>113</v>
      </c>
      <c r="K673" s="61">
        <v>5.8929999999999998</v>
      </c>
      <c r="L673" s="61">
        <v>571.62099999999998</v>
      </c>
      <c r="AA673">
        <v>31</v>
      </c>
      <c r="AB673">
        <v>10</v>
      </c>
      <c r="AC673" t="str">
        <v>90VS316</v>
      </c>
      <c r="AD673">
        <v>20.999999999999993</v>
      </c>
      <c r="AE673" t="str">
        <v>hour</v>
      </c>
    </row>
    <row r="674" spans="1:31" hidden="1" x14ac:dyDescent="0.25">
      <c r="A674">
        <v>673</v>
      </c>
      <c r="B674">
        <v>2026</v>
      </c>
      <c r="C674">
        <v>3</v>
      </c>
      <c r="D674">
        <v>65</v>
      </c>
      <c r="E674">
        <v>11</v>
      </c>
      <c r="F674" t="str">
        <v>01BA176</v>
      </c>
      <c r="G674" s="61">
        <v>27</v>
      </c>
      <c r="H674" t="str">
        <v>single</v>
      </c>
      <c r="I674">
        <v>0</v>
      </c>
      <c r="J674">
        <v>1</v>
      </c>
      <c r="K674" s="61">
        <v>196.42857142857142</v>
      </c>
      <c r="L674" s="61">
        <v>5303.5714285714284</v>
      </c>
      <c r="AA674">
        <v>31</v>
      </c>
      <c r="AB674">
        <v>10</v>
      </c>
      <c r="AC674" t="str">
        <v>99BT339</v>
      </c>
      <c r="AD674">
        <v>46</v>
      </c>
      <c r="AE674" t="str">
        <v>hour</v>
      </c>
    </row>
    <row r="675" spans="1:31" hidden="1" x14ac:dyDescent="0.25">
      <c r="A675">
        <v>674</v>
      </c>
      <c r="B675">
        <v>2026</v>
      </c>
      <c r="C675">
        <v>1</v>
      </c>
      <c r="D675">
        <v>31</v>
      </c>
      <c r="E675">
        <v>12</v>
      </c>
      <c r="F675" t="str">
        <v>10NS184</v>
      </c>
      <c r="G675" s="61">
        <v>30</v>
      </c>
      <c r="H675" t="str">
        <v>single</v>
      </c>
      <c r="I675">
        <v>0</v>
      </c>
      <c r="J675">
        <v>28</v>
      </c>
      <c r="K675" s="61">
        <v>55.36</v>
      </c>
      <c r="L675" s="61">
        <v>1660.8</v>
      </c>
      <c r="AA675">
        <v>31</v>
      </c>
      <c r="AB675">
        <v>10</v>
      </c>
      <c r="AC675" t="str">
        <v>99CN447</v>
      </c>
      <c r="AD675">
        <v>30</v>
      </c>
      <c r="AE675" t="str">
        <v>hour</v>
      </c>
    </row>
    <row r="676" spans="1:31" hidden="1" x14ac:dyDescent="0.25">
      <c r="A676">
        <v>675</v>
      </c>
      <c r="B676">
        <v>2026</v>
      </c>
      <c r="C676">
        <v>1</v>
      </c>
      <c r="D676">
        <v>31</v>
      </c>
      <c r="E676">
        <v>12</v>
      </c>
      <c r="F676" t="str">
        <v>10RN527</v>
      </c>
      <c r="G676" s="61">
        <v>30</v>
      </c>
      <c r="H676" t="str">
        <v>single</v>
      </c>
      <c r="I676">
        <v>0</v>
      </c>
      <c r="J676">
        <v>32</v>
      </c>
      <c r="K676" s="61">
        <v>62.5</v>
      </c>
      <c r="L676" s="61">
        <v>1875</v>
      </c>
      <c r="AA676">
        <v>31</v>
      </c>
      <c r="AB676">
        <v>10</v>
      </c>
      <c r="AC676" t="str">
        <v>99FO779</v>
      </c>
      <c r="AD676">
        <v>65</v>
      </c>
      <c r="AE676" t="str">
        <v>hour</v>
      </c>
    </row>
    <row r="677" spans="1:31" hidden="1" x14ac:dyDescent="0.25">
      <c r="A677">
        <v>676</v>
      </c>
      <c r="B677">
        <v>2026</v>
      </c>
      <c r="C677">
        <v>1</v>
      </c>
      <c r="D677">
        <v>31</v>
      </c>
      <c r="E677">
        <v>12</v>
      </c>
      <c r="F677" t="str">
        <v>17BE358</v>
      </c>
      <c r="G677" s="61">
        <v>26</v>
      </c>
      <c r="H677" t="str">
        <v>single</v>
      </c>
      <c r="I677">
        <v>0</v>
      </c>
      <c r="J677">
        <v>37</v>
      </c>
      <c r="K677" s="61">
        <v>55.36</v>
      </c>
      <c r="L677" s="61">
        <v>1439.36</v>
      </c>
      <c r="AA677">
        <v>31</v>
      </c>
      <c r="AB677">
        <v>10</v>
      </c>
      <c r="AC677" t="str">
        <v>99KL663</v>
      </c>
      <c r="AD677">
        <v>70.999999999999986</v>
      </c>
      <c r="AE677" t="str">
        <v>hour</v>
      </c>
    </row>
    <row r="678" spans="1:31" hidden="1" x14ac:dyDescent="0.25">
      <c r="A678">
        <v>677</v>
      </c>
      <c r="B678">
        <v>2026</v>
      </c>
      <c r="C678">
        <v>1</v>
      </c>
      <c r="D678">
        <v>31</v>
      </c>
      <c r="E678">
        <v>12</v>
      </c>
      <c r="F678" t="str">
        <v>21BF442</v>
      </c>
      <c r="G678" s="61">
        <v>29</v>
      </c>
      <c r="H678" t="str">
        <v>single</v>
      </c>
      <c r="I678">
        <v>0</v>
      </c>
      <c r="J678">
        <v>39</v>
      </c>
      <c r="K678" s="61">
        <v>55.36</v>
      </c>
      <c r="L678" s="61">
        <v>1605.44</v>
      </c>
      <c r="AA678">
        <v>31</v>
      </c>
      <c r="AB678">
        <v>10</v>
      </c>
      <c r="AC678" t="str">
        <v>99LM412</v>
      </c>
      <c r="AD678">
        <v>59.999999999999943</v>
      </c>
      <c r="AE678" t="str">
        <v>hour</v>
      </c>
    </row>
    <row r="679" spans="1:31" hidden="1" x14ac:dyDescent="0.25">
      <c r="A679">
        <v>678</v>
      </c>
      <c r="B679">
        <v>2026</v>
      </c>
      <c r="C679">
        <v>1</v>
      </c>
      <c r="D679">
        <v>31</v>
      </c>
      <c r="E679">
        <v>12</v>
      </c>
      <c r="F679" t="str">
        <v>50DK730</v>
      </c>
      <c r="G679" s="61">
        <v>30</v>
      </c>
      <c r="H679" t="str">
        <v>single</v>
      </c>
      <c r="I679">
        <v>0</v>
      </c>
      <c r="J679">
        <v>47</v>
      </c>
      <c r="K679" s="61">
        <v>55.36</v>
      </c>
      <c r="L679" s="61">
        <v>1660.8</v>
      </c>
      <c r="AA679">
        <v>31</v>
      </c>
      <c r="AB679">
        <v>10</v>
      </c>
      <c r="AC679" t="str">
        <v>99MN472</v>
      </c>
      <c r="AD679">
        <v>86.999999999999986</v>
      </c>
      <c r="AE679" t="str">
        <v>hour</v>
      </c>
    </row>
    <row r="680" spans="1:31" hidden="1" x14ac:dyDescent="0.25">
      <c r="A680">
        <v>679</v>
      </c>
      <c r="B680">
        <v>2026</v>
      </c>
      <c r="C680">
        <v>1</v>
      </c>
      <c r="D680">
        <v>31</v>
      </c>
      <c r="E680">
        <v>12</v>
      </c>
      <c r="F680" t="str">
        <v>50EF902</v>
      </c>
      <c r="G680" s="61">
        <v>29</v>
      </c>
      <c r="H680" t="str">
        <v>single</v>
      </c>
      <c r="I680">
        <v>0</v>
      </c>
      <c r="J680">
        <v>49</v>
      </c>
      <c r="K680" s="61">
        <v>62.5</v>
      </c>
      <c r="L680" s="61">
        <v>1812.5</v>
      </c>
      <c r="AA680">
        <v>31</v>
      </c>
      <c r="AB680">
        <v>10</v>
      </c>
      <c r="AC680" t="str">
        <v>99OR961</v>
      </c>
      <c r="AD680">
        <v>36.999999999999993</v>
      </c>
      <c r="AE680" t="str">
        <v>hour</v>
      </c>
    </row>
    <row r="681" spans="1:31" hidden="1" x14ac:dyDescent="0.25">
      <c r="A681">
        <v>680</v>
      </c>
      <c r="B681">
        <v>2026</v>
      </c>
      <c r="C681">
        <v>1</v>
      </c>
      <c r="D681">
        <v>31</v>
      </c>
      <c r="E681">
        <v>12</v>
      </c>
      <c r="F681" t="str">
        <v>50FB264</v>
      </c>
      <c r="G681" s="61">
        <v>31</v>
      </c>
      <c r="H681" t="str">
        <v>single</v>
      </c>
      <c r="I681">
        <v>0</v>
      </c>
      <c r="J681">
        <v>23</v>
      </c>
      <c r="K681" s="61">
        <v>66.069999999999993</v>
      </c>
      <c r="L681" s="61">
        <v>2048.1699999999996</v>
      </c>
      <c r="AA681">
        <v>31</v>
      </c>
      <c r="AB681">
        <v>10</v>
      </c>
      <c r="AC681" t="str">
        <v>99UK314</v>
      </c>
      <c r="AD681">
        <v>98</v>
      </c>
      <c r="AE681" t="str">
        <v>hour</v>
      </c>
    </row>
    <row r="682" spans="1:31" hidden="1" x14ac:dyDescent="0.25">
      <c r="A682">
        <v>681</v>
      </c>
      <c r="B682">
        <v>2026</v>
      </c>
      <c r="C682">
        <v>1</v>
      </c>
      <c r="D682">
        <v>31</v>
      </c>
      <c r="E682">
        <v>12</v>
      </c>
      <c r="F682" t="str">
        <v>55CB633</v>
      </c>
      <c r="G682" s="61">
        <v>29</v>
      </c>
      <c r="H682" t="str">
        <v>single</v>
      </c>
      <c r="I682">
        <v>0</v>
      </c>
      <c r="J682">
        <v>57</v>
      </c>
      <c r="K682" s="61">
        <v>55.36</v>
      </c>
      <c r="L682" s="61">
        <v>1605.44</v>
      </c>
      <c r="AA682">
        <v>31</v>
      </c>
      <c r="AB682">
        <v>10</v>
      </c>
      <c r="AC682" t="str">
        <v>10NS184</v>
      </c>
      <c r="AD682">
        <v>3</v>
      </c>
      <c r="AE682" t="str">
        <v>hour</v>
      </c>
    </row>
    <row r="683" spans="1:31" hidden="1" x14ac:dyDescent="0.25">
      <c r="A683">
        <v>682</v>
      </c>
      <c r="B683">
        <v>2026</v>
      </c>
      <c r="C683">
        <v>1</v>
      </c>
      <c r="D683">
        <v>31</v>
      </c>
      <c r="E683">
        <v>12</v>
      </c>
      <c r="F683" t="str">
        <v>57BV285</v>
      </c>
      <c r="G683" s="61">
        <v>30</v>
      </c>
      <c r="H683" t="str">
        <v>single</v>
      </c>
      <c r="I683">
        <v>0</v>
      </c>
      <c r="J683">
        <v>119</v>
      </c>
      <c r="K683" s="61">
        <v>62.5</v>
      </c>
      <c r="L683" s="61">
        <v>1875</v>
      </c>
      <c r="AA683">
        <v>31</v>
      </c>
      <c r="AB683">
        <v>10</v>
      </c>
      <c r="AC683" t="str">
        <v>50FB264</v>
      </c>
      <c r="AD683">
        <v>79.999999999999986</v>
      </c>
      <c r="AE683" t="str">
        <v>hour</v>
      </c>
    </row>
    <row r="684" spans="1:31" hidden="1" x14ac:dyDescent="0.25">
      <c r="A684">
        <v>683</v>
      </c>
      <c r="B684">
        <v>2026</v>
      </c>
      <c r="C684">
        <v>1</v>
      </c>
      <c r="D684">
        <v>31</v>
      </c>
      <c r="E684">
        <v>12</v>
      </c>
      <c r="F684" t="str">
        <v>77AT386</v>
      </c>
      <c r="G684" s="61">
        <v>30</v>
      </c>
      <c r="H684" t="str">
        <v>single</v>
      </c>
      <c r="I684">
        <v>0</v>
      </c>
      <c r="J684">
        <v>13</v>
      </c>
      <c r="K684" s="61">
        <v>46.67</v>
      </c>
      <c r="L684" s="61">
        <v>1400.1000000000001</v>
      </c>
      <c r="AA684">
        <v>31</v>
      </c>
      <c r="AB684">
        <v>10</v>
      </c>
      <c r="AC684" t="str">
        <v>57BV285</v>
      </c>
      <c r="AD684">
        <v>22.999999999999993</v>
      </c>
      <c r="AE684" t="str">
        <v>hour</v>
      </c>
    </row>
    <row r="685" spans="1:31" hidden="1" x14ac:dyDescent="0.25">
      <c r="A685">
        <v>684</v>
      </c>
      <c r="B685">
        <v>2026</v>
      </c>
      <c r="C685">
        <v>1</v>
      </c>
      <c r="D685">
        <v>31</v>
      </c>
      <c r="E685">
        <v>12</v>
      </c>
      <c r="F685" t="str">
        <v>77DK884</v>
      </c>
      <c r="G685" s="61">
        <v>10</v>
      </c>
      <c r="H685" t="str">
        <v>single</v>
      </c>
      <c r="I685">
        <v>0</v>
      </c>
      <c r="J685">
        <v>200</v>
      </c>
      <c r="K685" s="61">
        <v>89.285714285714292</v>
      </c>
      <c r="L685" s="61">
        <v>892.85714285714289</v>
      </c>
      <c r="AA685">
        <v>31</v>
      </c>
      <c r="AB685">
        <v>10</v>
      </c>
      <c r="AC685" t="str">
        <v>77DK884</v>
      </c>
      <c r="AD685">
        <v>94.999999999999986</v>
      </c>
      <c r="AE685" t="str">
        <v>hour</v>
      </c>
    </row>
    <row r="686" spans="1:31" hidden="1" x14ac:dyDescent="0.25">
      <c r="A686">
        <v>685</v>
      </c>
      <c r="B686">
        <v>2026</v>
      </c>
      <c r="C686">
        <v>1</v>
      </c>
      <c r="D686">
        <v>31</v>
      </c>
      <c r="E686">
        <v>12</v>
      </c>
      <c r="F686" t="str">
        <v>77MU119</v>
      </c>
      <c r="G686" s="61">
        <v>30</v>
      </c>
      <c r="H686" t="str">
        <v>single</v>
      </c>
      <c r="I686">
        <v>0</v>
      </c>
      <c r="J686">
        <v>180</v>
      </c>
      <c r="K686" s="61">
        <v>78.571428571428569</v>
      </c>
      <c r="L686" s="61">
        <v>2357.1428571428569</v>
      </c>
      <c r="AA686">
        <v>31</v>
      </c>
      <c r="AB686">
        <v>10</v>
      </c>
      <c r="AC686" t="str">
        <v>90UX686</v>
      </c>
      <c r="AD686">
        <v>21.999999999999986</v>
      </c>
      <c r="AE686" t="str">
        <v>hour</v>
      </c>
    </row>
    <row r="687" spans="1:31" hidden="1" x14ac:dyDescent="0.25">
      <c r="A687">
        <v>686</v>
      </c>
      <c r="B687">
        <v>2026</v>
      </c>
      <c r="C687">
        <v>1</v>
      </c>
      <c r="D687">
        <v>31</v>
      </c>
      <c r="E687">
        <v>12</v>
      </c>
      <c r="F687" t="str">
        <v>77PV619</v>
      </c>
      <c r="G687" s="61">
        <v>30</v>
      </c>
      <c r="H687" t="str">
        <v>single</v>
      </c>
      <c r="I687">
        <v>0</v>
      </c>
      <c r="J687">
        <v>67</v>
      </c>
      <c r="K687" s="61">
        <v>40</v>
      </c>
      <c r="L687" s="61">
        <v>1200</v>
      </c>
      <c r="AA687">
        <v>31</v>
      </c>
      <c r="AB687">
        <v>10</v>
      </c>
      <c r="AC687" t="str">
        <v>99DT131</v>
      </c>
      <c r="AD687">
        <v>7.9999999999999982</v>
      </c>
      <c r="AE687" t="str">
        <v>hour</v>
      </c>
    </row>
    <row r="688" spans="1:31" hidden="1" x14ac:dyDescent="0.25">
      <c r="A688">
        <v>687</v>
      </c>
      <c r="B688">
        <v>2026</v>
      </c>
      <c r="C688">
        <v>1</v>
      </c>
      <c r="D688">
        <v>31</v>
      </c>
      <c r="E688">
        <v>12</v>
      </c>
      <c r="F688" t="str">
        <v>77TG971</v>
      </c>
      <c r="G688" s="61">
        <v>30</v>
      </c>
      <c r="H688" t="str">
        <v>single</v>
      </c>
      <c r="I688">
        <v>0</v>
      </c>
      <c r="J688">
        <v>75</v>
      </c>
      <c r="K688" s="61">
        <v>55.36</v>
      </c>
      <c r="L688" s="61">
        <v>1660.8</v>
      </c>
      <c r="AA688">
        <v>31</v>
      </c>
      <c r="AB688">
        <v>10</v>
      </c>
      <c r="AC688" t="str">
        <v>99HZ395</v>
      </c>
      <c r="AD688">
        <v>84</v>
      </c>
      <c r="AE688" t="str">
        <v>hour</v>
      </c>
    </row>
    <row r="689" spans="1:31" hidden="1" x14ac:dyDescent="0.25">
      <c r="A689">
        <v>688</v>
      </c>
      <c r="B689">
        <v>2026</v>
      </c>
      <c r="C689">
        <v>1</v>
      </c>
      <c r="D689">
        <v>31</v>
      </c>
      <c r="E689">
        <v>12</v>
      </c>
      <c r="F689" t="str">
        <v>77UR032</v>
      </c>
      <c r="G689" s="61">
        <v>28</v>
      </c>
      <c r="H689" t="str">
        <v>single</v>
      </c>
      <c r="I689">
        <v>0</v>
      </c>
      <c r="J689">
        <v>77</v>
      </c>
      <c r="K689" s="61">
        <v>55.36</v>
      </c>
      <c r="L689" s="61">
        <v>1550.08</v>
      </c>
      <c r="AA689">
        <v>31</v>
      </c>
      <c r="AB689">
        <v>10</v>
      </c>
      <c r="AC689" t="str">
        <v>53BD338</v>
      </c>
      <c r="AD689">
        <v>37.999999999999979</v>
      </c>
      <c r="AE689" t="str">
        <v>hour</v>
      </c>
    </row>
    <row r="690" spans="1:31" hidden="1" x14ac:dyDescent="0.25">
      <c r="A690">
        <v>689</v>
      </c>
      <c r="B690">
        <v>2026</v>
      </c>
      <c r="C690">
        <v>1</v>
      </c>
      <c r="D690">
        <v>31</v>
      </c>
      <c r="E690">
        <v>12</v>
      </c>
      <c r="F690" t="str">
        <v>77VL420</v>
      </c>
      <c r="G690" s="61">
        <v>30</v>
      </c>
      <c r="H690" t="str">
        <v>single</v>
      </c>
      <c r="I690">
        <v>0</v>
      </c>
      <c r="J690">
        <v>118</v>
      </c>
      <c r="K690" s="61">
        <v>275</v>
      </c>
      <c r="L690" s="61">
        <v>8250</v>
      </c>
      <c r="AA690">
        <v>31</v>
      </c>
      <c r="AB690">
        <v>10</v>
      </c>
      <c r="AC690" t="str">
        <v>99GZ612</v>
      </c>
      <c r="AD690">
        <v>20</v>
      </c>
      <c r="AE690" t="str">
        <v>hour</v>
      </c>
    </row>
    <row r="691" spans="1:31" hidden="1" x14ac:dyDescent="0.25">
      <c r="A691">
        <v>690</v>
      </c>
      <c r="B691">
        <v>2026</v>
      </c>
      <c r="C691">
        <v>1</v>
      </c>
      <c r="D691">
        <v>31</v>
      </c>
      <c r="E691">
        <v>12</v>
      </c>
      <c r="F691" t="str">
        <v>90EC344</v>
      </c>
      <c r="G691" s="61">
        <v>29</v>
      </c>
      <c r="H691" t="str">
        <v>single</v>
      </c>
      <c r="I691">
        <v>0</v>
      </c>
      <c r="J691">
        <v>79</v>
      </c>
      <c r="K691" s="61">
        <v>62.5</v>
      </c>
      <c r="L691" s="61">
        <v>1812.5</v>
      </c>
      <c r="AA691">
        <v>51</v>
      </c>
      <c r="AB691">
        <v>1</v>
      </c>
      <c r="AC691" t="str">
        <v>10BA194</v>
      </c>
      <c r="AD691">
        <v>3.9999999999999929</v>
      </c>
      <c r="AE691" t="str">
        <v>hour</v>
      </c>
    </row>
    <row r="692" spans="1:31" hidden="1" x14ac:dyDescent="0.25">
      <c r="A692">
        <v>691</v>
      </c>
      <c r="B692">
        <v>2026</v>
      </c>
      <c r="C692">
        <v>1</v>
      </c>
      <c r="D692">
        <v>31</v>
      </c>
      <c r="E692">
        <v>12</v>
      </c>
      <c r="F692" t="str">
        <v>90LS143</v>
      </c>
      <c r="G692" s="61">
        <v>30</v>
      </c>
      <c r="H692" t="str">
        <v>single</v>
      </c>
      <c r="I692">
        <v>0</v>
      </c>
      <c r="J692">
        <v>81</v>
      </c>
      <c r="K692" s="61">
        <v>55.36</v>
      </c>
      <c r="L692" s="61">
        <v>1660.8</v>
      </c>
      <c r="AA692">
        <v>51</v>
      </c>
      <c r="AB692">
        <v>2</v>
      </c>
      <c r="AC692" t="str">
        <v>10BA857</v>
      </c>
      <c r="AD692">
        <v>29.999999999999993</v>
      </c>
      <c r="AE692" t="str">
        <v>hour</v>
      </c>
    </row>
    <row r="693" spans="1:31" hidden="1" x14ac:dyDescent="0.25">
      <c r="A693">
        <v>692</v>
      </c>
      <c r="B693">
        <v>2026</v>
      </c>
      <c r="C693">
        <v>1</v>
      </c>
      <c r="D693">
        <v>31</v>
      </c>
      <c r="E693">
        <v>12</v>
      </c>
      <c r="F693" t="str">
        <v>90OE402</v>
      </c>
      <c r="G693" s="61">
        <v>30</v>
      </c>
      <c r="H693" t="str">
        <v>single</v>
      </c>
      <c r="I693">
        <v>0</v>
      </c>
      <c r="J693">
        <v>83</v>
      </c>
      <c r="K693" s="61">
        <v>73.333333333333329</v>
      </c>
      <c r="L693" s="61">
        <v>2200</v>
      </c>
      <c r="AA693">
        <v>51</v>
      </c>
      <c r="AB693">
        <v>2</v>
      </c>
      <c r="AC693" t="str">
        <v>10BA857</v>
      </c>
      <c r="AD693">
        <v>10</v>
      </c>
      <c r="AE693" t="str">
        <v>hour</v>
      </c>
    </row>
    <row r="694" spans="1:31" hidden="1" x14ac:dyDescent="0.25">
      <c r="A694">
        <v>693</v>
      </c>
      <c r="B694">
        <v>2026</v>
      </c>
      <c r="C694">
        <v>1</v>
      </c>
      <c r="D694">
        <v>31</v>
      </c>
      <c r="E694">
        <v>12</v>
      </c>
      <c r="F694" t="str">
        <v>90PY548</v>
      </c>
      <c r="G694" s="61">
        <v>30</v>
      </c>
      <c r="H694" t="str">
        <v>single</v>
      </c>
      <c r="I694">
        <v>0</v>
      </c>
      <c r="J694">
        <v>85</v>
      </c>
      <c r="K694" s="61">
        <v>40</v>
      </c>
      <c r="L694" s="61">
        <v>1200</v>
      </c>
      <c r="AA694">
        <v>51</v>
      </c>
      <c r="AB694">
        <v>3</v>
      </c>
      <c r="AC694" t="str">
        <v>10BA857</v>
      </c>
      <c r="AD694">
        <v>45.999999999999972</v>
      </c>
      <c r="AE694" t="str">
        <v>hour</v>
      </c>
    </row>
    <row r="695" spans="1:31" hidden="1" x14ac:dyDescent="0.25">
      <c r="A695">
        <v>694</v>
      </c>
      <c r="B695">
        <v>2026</v>
      </c>
      <c r="C695">
        <v>1</v>
      </c>
      <c r="D695">
        <v>31</v>
      </c>
      <c r="E695">
        <v>12</v>
      </c>
      <c r="F695" t="str">
        <v>90UX686</v>
      </c>
      <c r="G695" s="61">
        <v>30</v>
      </c>
      <c r="H695" t="str">
        <v>single</v>
      </c>
      <c r="I695">
        <v>0</v>
      </c>
      <c r="J695">
        <v>121</v>
      </c>
      <c r="K695" s="61">
        <v>62.5</v>
      </c>
      <c r="L695" s="61">
        <v>1875</v>
      </c>
      <c r="AA695">
        <v>51</v>
      </c>
      <c r="AB695">
        <v>4</v>
      </c>
      <c r="AC695" t="str">
        <v>10BA857</v>
      </c>
      <c r="AD695">
        <v>46.999999999999972</v>
      </c>
      <c r="AE695" t="str">
        <v>hour</v>
      </c>
    </row>
    <row r="696" spans="1:31" hidden="1" x14ac:dyDescent="0.25">
      <c r="A696">
        <v>695</v>
      </c>
      <c r="B696">
        <v>2026</v>
      </c>
      <c r="C696">
        <v>1</v>
      </c>
      <c r="D696">
        <v>31</v>
      </c>
      <c r="E696">
        <v>12</v>
      </c>
      <c r="F696" t="str">
        <v>99BT339</v>
      </c>
      <c r="G696" s="61">
        <v>30</v>
      </c>
      <c r="H696" t="str">
        <v>single</v>
      </c>
      <c r="I696">
        <v>0</v>
      </c>
      <c r="J696">
        <v>93</v>
      </c>
      <c r="K696" s="61">
        <v>55.36</v>
      </c>
      <c r="L696" s="61">
        <v>1660.8</v>
      </c>
      <c r="AA696">
        <v>52</v>
      </c>
      <c r="AB696">
        <v>1</v>
      </c>
      <c r="AC696" t="str">
        <v>10AC750</v>
      </c>
      <c r="AD696">
        <v>6.9999999999999982</v>
      </c>
      <c r="AE696" t="str">
        <v>hour</v>
      </c>
    </row>
    <row r="697" spans="1:31" hidden="1" x14ac:dyDescent="0.25">
      <c r="A697">
        <v>696</v>
      </c>
      <c r="B697">
        <v>2026</v>
      </c>
      <c r="C697">
        <v>1</v>
      </c>
      <c r="D697">
        <v>31</v>
      </c>
      <c r="E697">
        <v>12</v>
      </c>
      <c r="F697" t="str">
        <v>99CN447</v>
      </c>
      <c r="G697" s="61">
        <v>29</v>
      </c>
      <c r="H697" t="str">
        <v>single</v>
      </c>
      <c r="I697">
        <v>0</v>
      </c>
      <c r="J697">
        <v>94</v>
      </c>
      <c r="K697" s="61">
        <v>55.36</v>
      </c>
      <c r="L697" s="61">
        <v>1605.44</v>
      </c>
      <c r="AA697">
        <v>85</v>
      </c>
      <c r="AB697">
        <v>1</v>
      </c>
      <c r="AC697" t="str">
        <v>77SN951</v>
      </c>
      <c r="AD697">
        <v>25.999999999999993</v>
      </c>
      <c r="AE697" t="str">
        <v>hour</v>
      </c>
    </row>
    <row r="698" spans="1:31" hidden="1" x14ac:dyDescent="0.25">
      <c r="A698">
        <v>697</v>
      </c>
      <c r="B698">
        <v>2026</v>
      </c>
      <c r="C698">
        <v>1</v>
      </c>
      <c r="D698">
        <v>31</v>
      </c>
      <c r="E698">
        <v>12</v>
      </c>
      <c r="F698" t="str">
        <v>99DT131</v>
      </c>
      <c r="G698" s="61">
        <v>30</v>
      </c>
      <c r="H698" t="str">
        <v>single</v>
      </c>
      <c r="I698">
        <v>0</v>
      </c>
      <c r="J698">
        <v>123</v>
      </c>
      <c r="K698" s="61">
        <v>55.36</v>
      </c>
      <c r="L698" s="61">
        <v>1660.8</v>
      </c>
      <c r="AA698">
        <v>85</v>
      </c>
      <c r="AB698">
        <v>2</v>
      </c>
      <c r="AC698" t="str">
        <v>77SN951</v>
      </c>
      <c r="AD698">
        <v>39.999999999999972</v>
      </c>
      <c r="AE698" t="str">
        <v>hour</v>
      </c>
    </row>
    <row r="699" spans="1:31" x14ac:dyDescent="0.25">
      <c r="A699">
        <v>698</v>
      </c>
      <c r="B699">
        <v>2026</v>
      </c>
      <c r="C699">
        <v>1</v>
      </c>
      <c r="D699">
        <v>31</v>
      </c>
      <c r="E699">
        <v>12</v>
      </c>
      <c r="F699" t="str">
        <v>99EM163</v>
      </c>
      <c r="G699" s="61">
        <v>29</v>
      </c>
      <c r="H699" t="str">
        <v>single</v>
      </c>
      <c r="I699">
        <v>0</v>
      </c>
      <c r="J699">
        <v>100</v>
      </c>
      <c r="K699" s="61">
        <v>55.36</v>
      </c>
      <c r="L699" s="61">
        <v>1605.44</v>
      </c>
      <c r="AA699">
        <v>85</v>
      </c>
      <c r="AB699">
        <v>3</v>
      </c>
      <c r="AC699" t="str">
        <v>77SN951</v>
      </c>
      <c r="AD699">
        <v>36.999999999999979</v>
      </c>
      <c r="AE699" t="str">
        <v>hour</v>
      </c>
    </row>
    <row r="700" spans="1:31" hidden="1" x14ac:dyDescent="0.25">
      <c r="A700">
        <v>699</v>
      </c>
      <c r="B700">
        <v>2026</v>
      </c>
      <c r="C700">
        <v>1</v>
      </c>
      <c r="D700">
        <v>31</v>
      </c>
      <c r="E700">
        <v>12</v>
      </c>
      <c r="F700" t="str">
        <v>99FO779</v>
      </c>
      <c r="G700" s="61">
        <v>29</v>
      </c>
      <c r="H700" t="str">
        <v>single</v>
      </c>
      <c r="I700">
        <v>0</v>
      </c>
      <c r="J700">
        <v>101</v>
      </c>
      <c r="K700" s="61">
        <v>66.071428571428569</v>
      </c>
      <c r="L700" s="61">
        <v>1916.0714285714284</v>
      </c>
      <c r="AA700">
        <v>85</v>
      </c>
      <c r="AB700">
        <v>4</v>
      </c>
      <c r="AC700" t="str">
        <v>77SN951</v>
      </c>
      <c r="AD700">
        <v>30.999999999999979</v>
      </c>
      <c r="AE700" t="str">
        <v>hour</v>
      </c>
    </row>
    <row r="701" spans="1:31" hidden="1" x14ac:dyDescent="0.25">
      <c r="A701">
        <v>700</v>
      </c>
      <c r="B701">
        <v>2026</v>
      </c>
      <c r="C701">
        <v>1</v>
      </c>
      <c r="D701">
        <v>31</v>
      </c>
      <c r="E701">
        <v>12</v>
      </c>
      <c r="F701" t="str">
        <v>99GZ612</v>
      </c>
      <c r="G701" s="61">
        <v>29</v>
      </c>
      <c r="H701" t="str">
        <v>single</v>
      </c>
      <c r="I701">
        <v>0</v>
      </c>
      <c r="J701">
        <v>104</v>
      </c>
      <c r="K701" s="61">
        <v>62.5</v>
      </c>
      <c r="L701" s="61">
        <v>1812.5</v>
      </c>
      <c r="AA701">
        <v>85</v>
      </c>
      <c r="AB701">
        <v>5</v>
      </c>
      <c r="AC701" t="str">
        <v>77SN951</v>
      </c>
      <c r="AD701">
        <v>6</v>
      </c>
      <c r="AE701" t="str">
        <v>hour</v>
      </c>
    </row>
    <row r="702" spans="1:31" hidden="1" x14ac:dyDescent="0.25">
      <c r="A702">
        <v>701</v>
      </c>
      <c r="B702">
        <v>2026</v>
      </c>
      <c r="C702">
        <v>1</v>
      </c>
      <c r="D702">
        <v>31</v>
      </c>
      <c r="E702">
        <v>12</v>
      </c>
      <c r="F702" t="str">
        <v>99HZ395</v>
      </c>
      <c r="G702" s="61">
        <v>27</v>
      </c>
      <c r="H702" t="str">
        <v>single</v>
      </c>
      <c r="I702">
        <v>0</v>
      </c>
      <c r="J702">
        <v>3</v>
      </c>
      <c r="K702" s="61">
        <v>65</v>
      </c>
      <c r="L702" s="61">
        <v>1755</v>
      </c>
      <c r="AA702">
        <v>85</v>
      </c>
      <c r="AB702">
        <v>6</v>
      </c>
      <c r="AC702" t="str">
        <v>77SN951</v>
      </c>
      <c r="AD702">
        <v>51.999999999999972</v>
      </c>
      <c r="AE702" t="str">
        <v>hour</v>
      </c>
    </row>
    <row r="703" spans="1:31" hidden="1" x14ac:dyDescent="0.25">
      <c r="A703">
        <v>702</v>
      </c>
      <c r="B703">
        <v>2026</v>
      </c>
      <c r="C703">
        <v>1</v>
      </c>
      <c r="D703">
        <v>31</v>
      </c>
      <c r="E703">
        <v>12</v>
      </c>
      <c r="F703" t="str">
        <v>99KL663</v>
      </c>
      <c r="G703" s="61">
        <v>30</v>
      </c>
      <c r="H703" t="str">
        <v>single</v>
      </c>
      <c r="I703">
        <v>0</v>
      </c>
      <c r="J703">
        <v>106</v>
      </c>
      <c r="K703" s="61">
        <v>55.36</v>
      </c>
      <c r="L703" s="61">
        <v>1660.8</v>
      </c>
      <c r="AA703">
        <v>94</v>
      </c>
      <c r="AB703">
        <v>2</v>
      </c>
      <c r="AC703" t="str">
        <v>54BM823</v>
      </c>
      <c r="AD703">
        <v>5</v>
      </c>
      <c r="AE703" t="str">
        <v>hour</v>
      </c>
    </row>
    <row r="704" spans="1:31" hidden="1" x14ac:dyDescent="0.25">
      <c r="A704">
        <v>703</v>
      </c>
      <c r="B704">
        <v>2026</v>
      </c>
      <c r="C704">
        <v>1</v>
      </c>
      <c r="D704">
        <v>31</v>
      </c>
      <c r="E704">
        <v>12</v>
      </c>
      <c r="F704" t="str">
        <v>99LM412</v>
      </c>
      <c r="G704" s="61">
        <v>30</v>
      </c>
      <c r="H704" t="str">
        <v>single</v>
      </c>
      <c r="I704">
        <v>0</v>
      </c>
      <c r="J704">
        <v>116</v>
      </c>
      <c r="K704" s="61">
        <v>55.357142857142854</v>
      </c>
      <c r="L704" s="61">
        <v>1660.7142857142856</v>
      </c>
      <c r="AA704">
        <v>94</v>
      </c>
      <c r="AB704">
        <v>3</v>
      </c>
      <c r="AC704" t="str">
        <v>10MF640</v>
      </c>
      <c r="AD704">
        <v>39.000000000000014</v>
      </c>
      <c r="AE704" t="str">
        <v>hour</v>
      </c>
    </row>
    <row r="705" spans="1:31" hidden="1" x14ac:dyDescent="0.25">
      <c r="A705">
        <v>704</v>
      </c>
      <c r="B705">
        <v>2026</v>
      </c>
      <c r="C705">
        <v>1</v>
      </c>
      <c r="D705">
        <v>31</v>
      </c>
      <c r="E705">
        <v>12</v>
      </c>
      <c r="F705" t="str">
        <v>99MN472</v>
      </c>
      <c r="G705" s="61">
        <v>31</v>
      </c>
      <c r="H705" t="str">
        <v>single</v>
      </c>
      <c r="I705">
        <v>0</v>
      </c>
      <c r="J705">
        <v>108</v>
      </c>
      <c r="K705" s="61">
        <v>55.36</v>
      </c>
      <c r="L705" s="61">
        <v>1716.16</v>
      </c>
      <c r="AA705">
        <v>98</v>
      </c>
      <c r="AB705">
        <v>3</v>
      </c>
      <c r="AC705" t="str">
        <v>50BD416</v>
      </c>
      <c r="AD705">
        <v>6.9999999999999947</v>
      </c>
      <c r="AE705" t="str">
        <v>hour</v>
      </c>
    </row>
    <row r="706" spans="1:31" hidden="1" x14ac:dyDescent="0.25">
      <c r="A706">
        <v>705</v>
      </c>
      <c r="B706">
        <v>2026</v>
      </c>
      <c r="C706">
        <v>1</v>
      </c>
      <c r="D706">
        <v>31</v>
      </c>
      <c r="E706">
        <v>12</v>
      </c>
      <c r="F706" t="str">
        <v>99OR961</v>
      </c>
      <c r="G706" s="61">
        <v>29</v>
      </c>
      <c r="H706" t="str">
        <v>single</v>
      </c>
      <c r="I706">
        <v>0</v>
      </c>
      <c r="J706">
        <v>109</v>
      </c>
      <c r="K706" s="61">
        <v>55.36</v>
      </c>
      <c r="L706" s="61">
        <v>1605.44</v>
      </c>
      <c r="AA706">
        <v>98</v>
      </c>
      <c r="AB706">
        <v>4</v>
      </c>
      <c r="AC706" t="str">
        <v>50BD416</v>
      </c>
      <c r="AD706">
        <v>9.9999999999999893</v>
      </c>
      <c r="AE706" t="str">
        <v>hour</v>
      </c>
    </row>
    <row r="707" spans="1:31" hidden="1" x14ac:dyDescent="0.25">
      <c r="A707">
        <v>706</v>
      </c>
      <c r="B707">
        <v>2026</v>
      </c>
      <c r="C707">
        <v>1</v>
      </c>
      <c r="D707">
        <v>31</v>
      </c>
      <c r="E707">
        <v>12</v>
      </c>
      <c r="F707" t="str">
        <v>99UK314</v>
      </c>
      <c r="G707" s="61">
        <v>31</v>
      </c>
      <c r="H707" t="str">
        <v>single</v>
      </c>
      <c r="I707">
        <v>0</v>
      </c>
      <c r="J707">
        <v>114</v>
      </c>
      <c r="K707" s="61">
        <v>58.93</v>
      </c>
      <c r="L707" s="61">
        <v>1826.83</v>
      </c>
      <c r="AA707">
        <v>98</v>
      </c>
      <c r="AB707">
        <v>5</v>
      </c>
      <c r="AC707" t="str">
        <v>50BD416</v>
      </c>
      <c r="AD707">
        <v>7.9999999999999911</v>
      </c>
      <c r="AE707" t="str">
        <v>hour</v>
      </c>
    </row>
    <row r="708" spans="1:31" hidden="1" x14ac:dyDescent="0.25">
      <c r="A708">
        <v>707</v>
      </c>
      <c r="B708">
        <v>2026</v>
      </c>
      <c r="C708">
        <v>1</v>
      </c>
      <c r="D708">
        <v>31</v>
      </c>
      <c r="E708">
        <v>12</v>
      </c>
      <c r="F708" t="str">
        <v>10NG198</v>
      </c>
      <c r="G708" s="61">
        <v>24</v>
      </c>
      <c r="H708" t="str">
        <v>single</v>
      </c>
      <c r="I708">
        <v>0</v>
      </c>
      <c r="J708">
        <v>184</v>
      </c>
      <c r="K708" s="61">
        <v>62.5</v>
      </c>
      <c r="L708" s="61">
        <v>1500</v>
      </c>
      <c r="AA708">
        <v>99</v>
      </c>
      <c r="AB708">
        <v>2</v>
      </c>
      <c r="AC708" t="str">
        <v>50BX301</v>
      </c>
      <c r="AD708">
        <v>31</v>
      </c>
      <c r="AE708" t="str">
        <v>hour</v>
      </c>
    </row>
    <row r="709" spans="1:31" hidden="1" x14ac:dyDescent="0.25">
      <c r="A709">
        <v>708</v>
      </c>
      <c r="B709">
        <v>2026</v>
      </c>
      <c r="C709">
        <v>1</v>
      </c>
      <c r="D709">
        <v>31</v>
      </c>
      <c r="E709">
        <v>12</v>
      </c>
      <c r="F709" t="str">
        <v>27BP916</v>
      </c>
      <c r="G709" s="61">
        <v>19</v>
      </c>
      <c r="H709" t="str">
        <v>single</v>
      </c>
      <c r="I709">
        <v>0</v>
      </c>
      <c r="J709">
        <v>186</v>
      </c>
      <c r="K709" s="61">
        <v>62.5</v>
      </c>
      <c r="L709" s="61">
        <v>1187.5</v>
      </c>
      <c r="AA709">
        <v>99</v>
      </c>
      <c r="AB709">
        <v>3</v>
      </c>
      <c r="AC709" t="str">
        <v>50BX301</v>
      </c>
      <c r="AD709">
        <v>43</v>
      </c>
      <c r="AE709" t="str">
        <v>hour</v>
      </c>
    </row>
    <row r="710" spans="1:31" hidden="1" x14ac:dyDescent="0.25">
      <c r="A710">
        <v>709</v>
      </c>
      <c r="B710">
        <v>2026</v>
      </c>
      <c r="C710">
        <v>1</v>
      </c>
      <c r="D710">
        <v>31</v>
      </c>
      <c r="E710">
        <v>12</v>
      </c>
      <c r="F710" t="str">
        <v>10ON175</v>
      </c>
      <c r="G710" s="61">
        <v>26</v>
      </c>
      <c r="H710" t="str">
        <v>single</v>
      </c>
      <c r="I710">
        <v>0</v>
      </c>
      <c r="J710">
        <v>188</v>
      </c>
      <c r="K710" s="61">
        <v>62.5</v>
      </c>
      <c r="L710" s="61">
        <v>1625</v>
      </c>
      <c r="AA710">
        <v>102</v>
      </c>
      <c r="AB710">
        <v>2</v>
      </c>
      <c r="AC710" t="str">
        <v>99HQ687</v>
      </c>
      <c r="AD710">
        <v>43</v>
      </c>
      <c r="AE710" t="str">
        <v>hour</v>
      </c>
    </row>
    <row r="711" spans="1:31" hidden="1" x14ac:dyDescent="0.25">
      <c r="A711">
        <v>710</v>
      </c>
      <c r="B711">
        <v>2026</v>
      </c>
      <c r="C711">
        <v>1</v>
      </c>
      <c r="D711">
        <v>31</v>
      </c>
      <c r="E711">
        <v>12</v>
      </c>
      <c r="F711" t="str">
        <v>27BZ361</v>
      </c>
      <c r="G711" s="61">
        <v>16</v>
      </c>
      <c r="H711" t="str">
        <v>single</v>
      </c>
      <c r="I711">
        <v>0</v>
      </c>
      <c r="J711">
        <v>190</v>
      </c>
      <c r="K711" s="61">
        <v>55.357142857142854</v>
      </c>
      <c r="L711" s="61">
        <v>885.71428571428567</v>
      </c>
      <c r="AA711">
        <v>102</v>
      </c>
      <c r="AB711">
        <v>2</v>
      </c>
      <c r="AC711" t="str">
        <v>10MF640</v>
      </c>
      <c r="AD711">
        <v>65</v>
      </c>
      <c r="AE711" t="str">
        <v>hour</v>
      </c>
    </row>
    <row r="712" spans="1:31" hidden="1" x14ac:dyDescent="0.25">
      <c r="A712">
        <v>711</v>
      </c>
      <c r="B712">
        <v>2026</v>
      </c>
      <c r="C712">
        <v>1</v>
      </c>
      <c r="D712">
        <v>31</v>
      </c>
      <c r="E712">
        <v>12</v>
      </c>
      <c r="F712" t="str">
        <v>10ZU722</v>
      </c>
      <c r="G712" s="61">
        <v>15</v>
      </c>
      <c r="H712" t="str">
        <v>single</v>
      </c>
      <c r="I712">
        <v>0</v>
      </c>
      <c r="J712">
        <v>192</v>
      </c>
      <c r="K712" s="61">
        <v>62.5</v>
      </c>
      <c r="L712" s="61">
        <v>937.5</v>
      </c>
      <c r="AA712">
        <v>102</v>
      </c>
      <c r="AB712">
        <v>3</v>
      </c>
      <c r="AC712" t="str">
        <v>10MF640</v>
      </c>
      <c r="AD712">
        <v>55</v>
      </c>
      <c r="AE712" t="str">
        <v>hour</v>
      </c>
    </row>
    <row r="713" spans="1:31" hidden="1" x14ac:dyDescent="0.25">
      <c r="A713">
        <v>712</v>
      </c>
      <c r="B713">
        <v>2026</v>
      </c>
      <c r="C713">
        <v>1</v>
      </c>
      <c r="D713">
        <v>31</v>
      </c>
      <c r="E713">
        <v>12</v>
      </c>
      <c r="F713" t="str">
        <v>77PV319</v>
      </c>
      <c r="G713" s="61">
        <v>15</v>
      </c>
      <c r="H713" t="str">
        <v>single</v>
      </c>
      <c r="I713">
        <v>0</v>
      </c>
      <c r="J713">
        <v>194</v>
      </c>
      <c r="K713" s="61">
        <v>50</v>
      </c>
      <c r="L713" s="61">
        <v>750</v>
      </c>
      <c r="AA713">
        <v>102</v>
      </c>
      <c r="AB713">
        <v>4</v>
      </c>
      <c r="AC713" t="str">
        <v>10MF640</v>
      </c>
      <c r="AD713">
        <v>28</v>
      </c>
      <c r="AE713" t="str">
        <v>hour</v>
      </c>
    </row>
    <row r="714" spans="1:31" hidden="1" x14ac:dyDescent="0.25">
      <c r="A714">
        <v>713</v>
      </c>
      <c r="B714">
        <v>2026</v>
      </c>
      <c r="C714">
        <v>1</v>
      </c>
      <c r="D714">
        <v>31</v>
      </c>
      <c r="E714">
        <v>12</v>
      </c>
      <c r="F714" t="str">
        <v>38BG860</v>
      </c>
      <c r="G714" s="61">
        <v>11</v>
      </c>
      <c r="H714" t="str">
        <v>single</v>
      </c>
      <c r="I714">
        <v>0</v>
      </c>
      <c r="J714">
        <v>196</v>
      </c>
      <c r="K714" s="61">
        <v>55.357142857142854</v>
      </c>
      <c r="L714" s="61">
        <v>608.92857142857144</v>
      </c>
      <c r="AA714">
        <v>121</v>
      </c>
      <c r="AB714">
        <v>1</v>
      </c>
      <c r="AC714" t="str">
        <v>11BC843</v>
      </c>
      <c r="AD714">
        <v>8</v>
      </c>
      <c r="AE714" t="str">
        <v>hour</v>
      </c>
    </row>
    <row r="715" spans="1:31" hidden="1" x14ac:dyDescent="0.25">
      <c r="A715">
        <v>714</v>
      </c>
      <c r="B715">
        <v>2026</v>
      </c>
      <c r="C715">
        <v>1</v>
      </c>
      <c r="D715">
        <v>31</v>
      </c>
      <c r="E715">
        <v>12</v>
      </c>
      <c r="F715" t="str">
        <v>77PV659</v>
      </c>
      <c r="G715" s="61">
        <v>5</v>
      </c>
      <c r="H715" t="str">
        <v>single</v>
      </c>
      <c r="I715">
        <v>0</v>
      </c>
      <c r="J715">
        <v>198</v>
      </c>
      <c r="K715" s="61">
        <v>85</v>
      </c>
      <c r="L715" s="61">
        <v>425</v>
      </c>
      <c r="AA715">
        <v>121</v>
      </c>
      <c r="AB715">
        <v>2</v>
      </c>
      <c r="AC715" t="str">
        <v>11BC843</v>
      </c>
      <c r="AD715">
        <v>8</v>
      </c>
      <c r="AE715" t="str">
        <v>hour</v>
      </c>
    </row>
    <row r="716" spans="1:31" hidden="1" x14ac:dyDescent="0.25">
      <c r="A716">
        <v>715</v>
      </c>
      <c r="B716">
        <v>2026</v>
      </c>
      <c r="C716">
        <v>1</v>
      </c>
      <c r="D716">
        <v>31</v>
      </c>
      <c r="E716">
        <v>12</v>
      </c>
      <c r="F716" t="str">
        <v>77GR998</v>
      </c>
      <c r="G716" s="61">
        <v>31.000000000078455</v>
      </c>
      <c r="H716" t="str">
        <v>double</v>
      </c>
      <c r="I716">
        <v>0</v>
      </c>
      <c r="J716">
        <v>63</v>
      </c>
      <c r="K716" s="61">
        <v>99.642857142857139</v>
      </c>
      <c r="L716" s="61">
        <v>3088.9285714363887</v>
      </c>
      <c r="AA716">
        <v>141</v>
      </c>
      <c r="AB716">
        <v>1</v>
      </c>
      <c r="AC716" t="str">
        <v>10V288</v>
      </c>
      <c r="AD716">
        <v>24</v>
      </c>
      <c r="AE716" t="str">
        <v>hour</v>
      </c>
    </row>
    <row r="717" spans="1:31" hidden="1" x14ac:dyDescent="0.25">
      <c r="A717">
        <v>716</v>
      </c>
      <c r="B717">
        <v>2026</v>
      </c>
      <c r="C717">
        <v>1</v>
      </c>
      <c r="D717">
        <v>31</v>
      </c>
      <c r="E717">
        <v>12</v>
      </c>
      <c r="F717" t="str">
        <v>10NS184</v>
      </c>
      <c r="G717" s="61">
        <v>17.999999999999993</v>
      </c>
      <c r="H717" t="str">
        <v>hour</v>
      </c>
      <c r="I717">
        <v>0</v>
      </c>
      <c r="J717">
        <v>27</v>
      </c>
      <c r="K717" s="61">
        <v>5.5359999999999996</v>
      </c>
      <c r="L717" s="61">
        <v>99.647999999999954</v>
      </c>
      <c r="AA717">
        <v>141</v>
      </c>
      <c r="AB717">
        <v>2</v>
      </c>
      <c r="AC717" t="str">
        <v>10V288</v>
      </c>
      <c r="AD717">
        <v>10</v>
      </c>
      <c r="AE717" t="str">
        <v>hour</v>
      </c>
    </row>
    <row r="718" spans="1:31" hidden="1" x14ac:dyDescent="0.25">
      <c r="A718">
        <v>717</v>
      </c>
      <c r="B718">
        <v>2026</v>
      </c>
      <c r="C718">
        <v>1</v>
      </c>
      <c r="D718">
        <v>31</v>
      </c>
      <c r="E718">
        <v>12</v>
      </c>
      <c r="F718" t="str">
        <v>10RN527</v>
      </c>
      <c r="G718" s="61">
        <v>88</v>
      </c>
      <c r="H718" t="str">
        <v>hour</v>
      </c>
      <c r="I718">
        <v>0</v>
      </c>
      <c r="J718">
        <v>30</v>
      </c>
      <c r="K718" s="61">
        <v>6.25</v>
      </c>
      <c r="L718" s="61">
        <v>550</v>
      </c>
      <c r="AA718">
        <v>51</v>
      </c>
      <c r="AB718">
        <v>5</v>
      </c>
      <c r="AC718" t="str">
        <v>10AD071</v>
      </c>
      <c r="AD718">
        <v>62.999999999999972</v>
      </c>
      <c r="AE718" t="str">
        <v>hour</v>
      </c>
    </row>
    <row r="719" spans="1:31" hidden="1" x14ac:dyDescent="0.25">
      <c r="A719">
        <v>718</v>
      </c>
      <c r="B719">
        <v>2026</v>
      </c>
      <c r="C719">
        <v>1</v>
      </c>
      <c r="D719">
        <v>31</v>
      </c>
      <c r="E719">
        <v>12</v>
      </c>
      <c r="F719" t="str">
        <v>17BE358</v>
      </c>
      <c r="G719" s="61">
        <v>10.499999999999996</v>
      </c>
      <c r="H719" t="str">
        <v>hour</v>
      </c>
      <c r="I719">
        <v>0</v>
      </c>
      <c r="J719">
        <v>36</v>
      </c>
      <c r="K719" s="61">
        <v>5.5359999999999996</v>
      </c>
      <c r="L719" s="61">
        <v>58.127999999999979</v>
      </c>
      <c r="AA719">
        <v>85</v>
      </c>
      <c r="AB719">
        <v>7</v>
      </c>
      <c r="AC719" t="str">
        <v>77SN951</v>
      </c>
      <c r="AD719">
        <v>55.999999999999986</v>
      </c>
      <c r="AE719" t="str">
        <v>hour</v>
      </c>
    </row>
    <row r="720" spans="1:31" hidden="1" x14ac:dyDescent="0.25">
      <c r="A720">
        <v>719</v>
      </c>
      <c r="B720">
        <v>2026</v>
      </c>
      <c r="C720">
        <v>1</v>
      </c>
      <c r="D720">
        <v>31</v>
      </c>
      <c r="E720">
        <v>12</v>
      </c>
      <c r="F720" t="str">
        <v>21BF442</v>
      </c>
      <c r="G720" s="61">
        <v>87</v>
      </c>
      <c r="H720" t="str">
        <v>hour</v>
      </c>
      <c r="I720">
        <v>0</v>
      </c>
      <c r="J720">
        <v>38</v>
      </c>
      <c r="K720" s="61">
        <v>5.5359999999999996</v>
      </c>
      <c r="L720" s="61">
        <v>481.63199999999995</v>
      </c>
      <c r="AA720">
        <v>102</v>
      </c>
      <c r="AB720">
        <v>5</v>
      </c>
      <c r="AC720" t="str">
        <v>10MF640</v>
      </c>
      <c r="AD720">
        <v>35</v>
      </c>
      <c r="AE720" t="str">
        <v>hour</v>
      </c>
    </row>
    <row r="721" spans="1:31" hidden="1" x14ac:dyDescent="0.25">
      <c r="A721">
        <v>720</v>
      </c>
      <c r="B721">
        <v>2026</v>
      </c>
      <c r="C721">
        <v>1</v>
      </c>
      <c r="D721">
        <v>31</v>
      </c>
      <c r="E721">
        <v>12</v>
      </c>
      <c r="F721" t="str">
        <v>50DK730</v>
      </c>
      <c r="G721" s="61">
        <v>92</v>
      </c>
      <c r="H721" t="str">
        <v>hour</v>
      </c>
      <c r="I721">
        <v>0</v>
      </c>
      <c r="J721">
        <v>46</v>
      </c>
      <c r="K721" s="61">
        <v>5.5359999999999996</v>
      </c>
      <c r="L721" s="61">
        <v>509.31199999999995</v>
      </c>
      <c r="AA721">
        <v>31</v>
      </c>
      <c r="AB721">
        <v>11</v>
      </c>
      <c r="AC721" t="str">
        <v>10NS184</v>
      </c>
      <c r="AD721">
        <v>3.9999999999999982</v>
      </c>
      <c r="AE721" t="str">
        <v>hour</v>
      </c>
    </row>
    <row r="722" spans="1:31" hidden="1" x14ac:dyDescent="0.25">
      <c r="A722">
        <v>721</v>
      </c>
      <c r="B722">
        <v>2026</v>
      </c>
      <c r="C722">
        <v>1</v>
      </c>
      <c r="D722">
        <v>31</v>
      </c>
      <c r="E722">
        <v>12</v>
      </c>
      <c r="F722" t="str">
        <v>50EF902</v>
      </c>
      <c r="G722" s="61">
        <v>18.999999999999982</v>
      </c>
      <c r="H722" t="str">
        <v>hour</v>
      </c>
      <c r="I722">
        <v>0</v>
      </c>
      <c r="J722">
        <v>48</v>
      </c>
      <c r="K722" s="61">
        <v>6.25</v>
      </c>
      <c r="L722" s="61">
        <v>118.74999999999989</v>
      </c>
      <c r="AA722">
        <v>31</v>
      </c>
      <c r="AB722">
        <v>11</v>
      </c>
      <c r="AC722" t="str">
        <v>10RN527</v>
      </c>
      <c r="AD722">
        <v>86</v>
      </c>
      <c r="AE722" t="str">
        <v>hour</v>
      </c>
    </row>
    <row r="723" spans="1:31" hidden="1" x14ac:dyDescent="0.25">
      <c r="A723">
        <v>722</v>
      </c>
      <c r="B723">
        <v>2026</v>
      </c>
      <c r="C723">
        <v>1</v>
      </c>
      <c r="D723">
        <v>31</v>
      </c>
      <c r="E723">
        <v>12</v>
      </c>
      <c r="F723" t="str">
        <v>50FB264</v>
      </c>
      <c r="G723" s="61">
        <v>99.999999999999972</v>
      </c>
      <c r="H723" t="str">
        <v>hour</v>
      </c>
      <c r="I723">
        <v>0</v>
      </c>
      <c r="J723">
        <v>24</v>
      </c>
      <c r="K723" s="61">
        <v>6.6070000000000002</v>
      </c>
      <c r="L723" s="61">
        <v>660.69999999999982</v>
      </c>
      <c r="AA723">
        <v>31</v>
      </c>
      <c r="AB723">
        <v>11</v>
      </c>
      <c r="AC723" t="str">
        <v>21BF442</v>
      </c>
      <c r="AD723">
        <v>90</v>
      </c>
      <c r="AE723" t="str">
        <v>hour</v>
      </c>
    </row>
    <row r="724" spans="1:31" hidden="1" x14ac:dyDescent="0.25">
      <c r="A724">
        <v>723</v>
      </c>
      <c r="B724">
        <v>2026</v>
      </c>
      <c r="C724">
        <v>1</v>
      </c>
      <c r="D724">
        <v>31</v>
      </c>
      <c r="E724">
        <v>12</v>
      </c>
      <c r="F724" t="str">
        <v>55CB633</v>
      </c>
      <c r="G724" s="61">
        <v>23.000000001222361</v>
      </c>
      <c r="H724" t="str">
        <v>hour</v>
      </c>
      <c r="I724">
        <v>0</v>
      </c>
      <c r="J724">
        <v>56</v>
      </c>
      <c r="K724" s="61">
        <v>5.5359999999999996</v>
      </c>
      <c r="L724" s="61">
        <v>127.32800000676698</v>
      </c>
      <c r="AA724">
        <v>31</v>
      </c>
      <c r="AB724">
        <v>11</v>
      </c>
      <c r="AC724" t="str">
        <v>50DK730</v>
      </c>
      <c r="AD724">
        <v>90</v>
      </c>
      <c r="AE724" t="str">
        <v>hour</v>
      </c>
    </row>
    <row r="725" spans="1:31" hidden="1" x14ac:dyDescent="0.25">
      <c r="A725">
        <v>724</v>
      </c>
      <c r="B725">
        <v>2026</v>
      </c>
      <c r="C725">
        <v>1</v>
      </c>
      <c r="D725">
        <v>31</v>
      </c>
      <c r="E725">
        <v>12</v>
      </c>
      <c r="F725" t="str">
        <v>57BV285</v>
      </c>
      <c r="G725" s="61">
        <v>21.999999999999986</v>
      </c>
      <c r="H725" t="str">
        <v>hour</v>
      </c>
      <c r="I725">
        <v>0</v>
      </c>
      <c r="J725">
        <v>120</v>
      </c>
      <c r="K725" s="61">
        <v>6.25</v>
      </c>
      <c r="L725" s="61">
        <v>137.49999999999991</v>
      </c>
      <c r="AA725">
        <v>31</v>
      </c>
      <c r="AB725">
        <v>11</v>
      </c>
      <c r="AC725" t="str">
        <v>50EF902</v>
      </c>
      <c r="AD725">
        <v>43</v>
      </c>
      <c r="AE725" t="str">
        <v>hour</v>
      </c>
    </row>
    <row r="726" spans="1:31" hidden="1" x14ac:dyDescent="0.25">
      <c r="A726">
        <v>725</v>
      </c>
      <c r="B726">
        <v>2026</v>
      </c>
      <c r="C726">
        <v>1</v>
      </c>
      <c r="D726">
        <v>31</v>
      </c>
      <c r="E726">
        <v>12</v>
      </c>
      <c r="F726" t="str">
        <v>77MU119</v>
      </c>
      <c r="G726" s="61">
        <v>63.999999999999993</v>
      </c>
      <c r="H726" t="str">
        <v>hour</v>
      </c>
      <c r="I726">
        <v>0</v>
      </c>
      <c r="J726">
        <v>181</v>
      </c>
      <c r="K726" s="61">
        <v>7.8571428571428568</v>
      </c>
      <c r="L726" s="61">
        <v>502.85714285714278</v>
      </c>
      <c r="AA726">
        <v>31</v>
      </c>
      <c r="AB726">
        <v>11</v>
      </c>
      <c r="AC726" t="str">
        <v>50FB264</v>
      </c>
      <c r="AD726">
        <v>89.999999999999986</v>
      </c>
      <c r="AE726" t="str">
        <v>hour</v>
      </c>
    </row>
    <row r="727" spans="1:31" hidden="1" x14ac:dyDescent="0.25">
      <c r="A727">
        <v>726</v>
      </c>
      <c r="B727">
        <v>2026</v>
      </c>
      <c r="C727">
        <v>1</v>
      </c>
      <c r="D727">
        <v>31</v>
      </c>
      <c r="E727">
        <v>12</v>
      </c>
      <c r="F727" t="str">
        <v>77UR032</v>
      </c>
      <c r="G727" s="61">
        <v>47.999999999999986</v>
      </c>
      <c r="H727" t="str">
        <v>hour</v>
      </c>
      <c r="I727">
        <v>0</v>
      </c>
      <c r="J727">
        <v>76</v>
      </c>
      <c r="K727" s="61">
        <v>5.5359999999999996</v>
      </c>
      <c r="L727" s="61">
        <v>265.72799999999989</v>
      </c>
      <c r="AA727">
        <v>31</v>
      </c>
      <c r="AB727">
        <v>11</v>
      </c>
      <c r="AC727" t="str">
        <v>53BD338</v>
      </c>
      <c r="AD727">
        <v>31.999999999999993</v>
      </c>
      <c r="AE727" t="str">
        <v>hour</v>
      </c>
    </row>
    <row r="728" spans="1:31" hidden="1" x14ac:dyDescent="0.25">
      <c r="A728">
        <v>727</v>
      </c>
      <c r="B728">
        <v>2026</v>
      </c>
      <c r="C728">
        <v>1</v>
      </c>
      <c r="D728">
        <v>31</v>
      </c>
      <c r="E728">
        <v>12</v>
      </c>
      <c r="F728" t="str">
        <v>90EC344</v>
      </c>
      <c r="G728" s="61">
        <v>68.000000000698492</v>
      </c>
      <c r="H728" t="str">
        <v>hour</v>
      </c>
      <c r="I728">
        <v>0</v>
      </c>
      <c r="J728">
        <v>78</v>
      </c>
      <c r="K728" s="61">
        <v>6.25</v>
      </c>
      <c r="L728" s="61">
        <v>425.00000000436557</v>
      </c>
      <c r="AA728">
        <v>31</v>
      </c>
      <c r="AB728">
        <v>11</v>
      </c>
      <c r="AC728" t="str">
        <v>55CB633</v>
      </c>
      <c r="AD728">
        <v>39.999999999999986</v>
      </c>
      <c r="AE728" t="str">
        <v>hour</v>
      </c>
    </row>
    <row r="729" spans="1:31" hidden="1" x14ac:dyDescent="0.25">
      <c r="A729">
        <v>728</v>
      </c>
      <c r="B729">
        <v>2026</v>
      </c>
      <c r="C729">
        <v>1</v>
      </c>
      <c r="D729">
        <v>31</v>
      </c>
      <c r="E729">
        <v>12</v>
      </c>
      <c r="F729" t="str">
        <v>90LS143</v>
      </c>
      <c r="G729" s="61">
        <v>13.999999999999986</v>
      </c>
      <c r="H729" t="str">
        <v>hour</v>
      </c>
      <c r="I729">
        <v>0</v>
      </c>
      <c r="J729">
        <v>80</v>
      </c>
      <c r="K729" s="61">
        <v>5.5359999999999996</v>
      </c>
      <c r="L729" s="61">
        <v>77.50399999999992</v>
      </c>
      <c r="AA729">
        <v>31</v>
      </c>
      <c r="AB729">
        <v>11</v>
      </c>
      <c r="AC729" t="str">
        <v>57BV285</v>
      </c>
      <c r="AD729">
        <v>39.999999999999972</v>
      </c>
      <c r="AE729" t="str">
        <v>hour</v>
      </c>
    </row>
    <row r="730" spans="1:31" hidden="1" x14ac:dyDescent="0.25">
      <c r="A730">
        <v>729</v>
      </c>
      <c r="B730">
        <v>2026</v>
      </c>
      <c r="C730">
        <v>1</v>
      </c>
      <c r="D730">
        <v>31</v>
      </c>
      <c r="E730">
        <v>12</v>
      </c>
      <c r="F730" t="str">
        <v>90OE402</v>
      </c>
      <c r="G730" s="61">
        <v>90.999999999999986</v>
      </c>
      <c r="H730" t="str">
        <v>hour</v>
      </c>
      <c r="I730">
        <v>0</v>
      </c>
      <c r="J730">
        <v>82</v>
      </c>
      <c r="K730" s="61">
        <v>7.333333333333333</v>
      </c>
      <c r="L730" s="61">
        <v>667.33333333333326</v>
      </c>
      <c r="AA730">
        <v>31</v>
      </c>
      <c r="AB730">
        <v>11</v>
      </c>
      <c r="AC730" t="str">
        <v>77MU119</v>
      </c>
      <c r="AD730">
        <v>32.999999999999979</v>
      </c>
      <c r="AE730" t="str">
        <v>hour</v>
      </c>
    </row>
    <row r="731" spans="1:31" hidden="1" x14ac:dyDescent="0.25">
      <c r="A731">
        <v>730</v>
      </c>
      <c r="B731">
        <v>2026</v>
      </c>
      <c r="C731">
        <v>1</v>
      </c>
      <c r="D731">
        <v>31</v>
      </c>
      <c r="E731">
        <v>12</v>
      </c>
      <c r="F731" t="str">
        <v>90UX686</v>
      </c>
      <c r="G731" s="61">
        <v>59.999999999999986</v>
      </c>
      <c r="H731" t="str">
        <v>hour</v>
      </c>
      <c r="I731">
        <v>0</v>
      </c>
      <c r="J731">
        <v>122</v>
      </c>
      <c r="K731" s="61">
        <v>6.25</v>
      </c>
      <c r="L731" s="61">
        <v>374.99999999999989</v>
      </c>
      <c r="AA731">
        <v>31</v>
      </c>
      <c r="AB731">
        <v>11</v>
      </c>
      <c r="AC731" t="str">
        <v>77SR538</v>
      </c>
      <c r="AD731">
        <v>92</v>
      </c>
      <c r="AE731" t="str">
        <v>hour</v>
      </c>
    </row>
    <row r="732" spans="1:31" hidden="1" x14ac:dyDescent="0.25">
      <c r="A732">
        <v>731</v>
      </c>
      <c r="B732">
        <v>2026</v>
      </c>
      <c r="C732">
        <v>1</v>
      </c>
      <c r="D732">
        <v>31</v>
      </c>
      <c r="E732">
        <v>12</v>
      </c>
      <c r="F732" t="str">
        <v>99BT339</v>
      </c>
      <c r="G732" s="61">
        <v>60.999999999999986</v>
      </c>
      <c r="H732" t="str">
        <v>hour</v>
      </c>
      <c r="I732">
        <v>0</v>
      </c>
      <c r="J732">
        <v>92</v>
      </c>
      <c r="K732" s="61">
        <v>5.5359999999999996</v>
      </c>
      <c r="L732" s="61">
        <v>337.69599999999991</v>
      </c>
      <c r="AA732">
        <v>31</v>
      </c>
      <c r="AB732">
        <v>11</v>
      </c>
      <c r="AC732" t="str">
        <v>77TG971</v>
      </c>
      <c r="AD732">
        <v>7.9999999999999982</v>
      </c>
      <c r="AE732" t="str">
        <v>hour</v>
      </c>
    </row>
    <row r="733" spans="1:31" hidden="1" x14ac:dyDescent="0.25">
      <c r="A733">
        <v>732</v>
      </c>
      <c r="B733">
        <v>2026</v>
      </c>
      <c r="C733">
        <v>1</v>
      </c>
      <c r="D733">
        <v>31</v>
      </c>
      <c r="E733">
        <v>12</v>
      </c>
      <c r="F733" t="str">
        <v>99CN447</v>
      </c>
      <c r="G733" s="61">
        <v>40.999999999999979</v>
      </c>
      <c r="H733" t="str">
        <v>hour</v>
      </c>
      <c r="I733">
        <v>0</v>
      </c>
      <c r="J733">
        <v>95</v>
      </c>
      <c r="K733" s="61">
        <v>5.5359999999999996</v>
      </c>
      <c r="L733" s="61">
        <v>226.97599999999986</v>
      </c>
      <c r="AA733">
        <v>31</v>
      </c>
      <c r="AB733">
        <v>11</v>
      </c>
      <c r="AC733" t="str">
        <v>77UR032</v>
      </c>
      <c r="AD733">
        <v>74.999999999999972</v>
      </c>
      <c r="AE733" t="str">
        <v>hour</v>
      </c>
    </row>
    <row r="734" spans="1:31" hidden="1" x14ac:dyDescent="0.25">
      <c r="A734">
        <v>733</v>
      </c>
      <c r="B734">
        <v>2026</v>
      </c>
      <c r="C734">
        <v>1</v>
      </c>
      <c r="D734">
        <v>31</v>
      </c>
      <c r="E734">
        <v>12</v>
      </c>
      <c r="F734" t="str">
        <v>99DT131</v>
      </c>
      <c r="G734" s="61">
        <v>24.999999999999993</v>
      </c>
      <c r="H734" t="str">
        <v>hour</v>
      </c>
      <c r="I734">
        <v>0</v>
      </c>
      <c r="J734">
        <v>124</v>
      </c>
      <c r="K734" s="61">
        <v>5.5359999999999996</v>
      </c>
      <c r="L734" s="61">
        <v>138.39999999999995</v>
      </c>
      <c r="AA734">
        <v>31</v>
      </c>
      <c r="AB734">
        <v>11</v>
      </c>
      <c r="AC734" t="str">
        <v>90EC344</v>
      </c>
      <c r="AD734">
        <v>71.999999999999986</v>
      </c>
      <c r="AE734" t="str">
        <v>hour</v>
      </c>
    </row>
    <row r="735" spans="1:31" x14ac:dyDescent="0.25">
      <c r="A735">
        <v>734</v>
      </c>
      <c r="B735">
        <v>2026</v>
      </c>
      <c r="C735">
        <v>1</v>
      </c>
      <c r="D735">
        <v>31</v>
      </c>
      <c r="E735">
        <v>12</v>
      </c>
      <c r="F735" t="str">
        <v>99EM163</v>
      </c>
      <c r="G735" s="61">
        <v>53.999999999999986</v>
      </c>
      <c r="H735" t="str">
        <v>hour</v>
      </c>
      <c r="I735">
        <v>0</v>
      </c>
      <c r="J735">
        <v>99</v>
      </c>
      <c r="K735" s="61">
        <v>5.5359999999999996</v>
      </c>
      <c r="L735" s="61">
        <v>298.9439999999999</v>
      </c>
      <c r="AA735">
        <v>31</v>
      </c>
      <c r="AB735">
        <v>11</v>
      </c>
      <c r="AC735" t="str">
        <v>90LS143</v>
      </c>
      <c r="AD735">
        <v>5.9999999999999964</v>
      </c>
      <c r="AE735" t="str">
        <v>hour</v>
      </c>
    </row>
    <row r="736" spans="1:31" hidden="1" x14ac:dyDescent="0.25">
      <c r="A736">
        <v>735</v>
      </c>
      <c r="B736">
        <v>2026</v>
      </c>
      <c r="C736">
        <v>1</v>
      </c>
      <c r="D736">
        <v>31</v>
      </c>
      <c r="E736">
        <v>12</v>
      </c>
      <c r="F736" t="str">
        <v>99FO779</v>
      </c>
      <c r="G736" s="61">
        <v>86.999999999999986</v>
      </c>
      <c r="H736" t="str">
        <v>hour</v>
      </c>
      <c r="I736">
        <v>0</v>
      </c>
      <c r="J736">
        <v>102</v>
      </c>
      <c r="K736" s="61">
        <v>6.6071428571428568</v>
      </c>
      <c r="L736" s="61">
        <v>574.82142857142844</v>
      </c>
      <c r="AA736">
        <v>31</v>
      </c>
      <c r="AB736">
        <v>11</v>
      </c>
      <c r="AC736" t="str">
        <v>90OE402</v>
      </c>
      <c r="AD736">
        <v>89.999999999999986</v>
      </c>
      <c r="AE736" t="str">
        <v>hour</v>
      </c>
    </row>
    <row r="737" spans="1:31" hidden="1" x14ac:dyDescent="0.25">
      <c r="A737">
        <v>736</v>
      </c>
      <c r="B737">
        <v>2026</v>
      </c>
      <c r="C737">
        <v>1</v>
      </c>
      <c r="D737">
        <v>31</v>
      </c>
      <c r="E737">
        <v>12</v>
      </c>
      <c r="F737" t="str">
        <v>99GZ612</v>
      </c>
      <c r="G737" s="61">
        <v>4.4999999999999982</v>
      </c>
      <c r="H737" t="str">
        <v>hour</v>
      </c>
      <c r="I737">
        <v>0</v>
      </c>
      <c r="J737">
        <v>103</v>
      </c>
      <c r="K737" s="61">
        <v>6.25</v>
      </c>
      <c r="L737" s="61">
        <v>28.124999999999989</v>
      </c>
      <c r="AA737">
        <v>31</v>
      </c>
      <c r="AB737">
        <v>11</v>
      </c>
      <c r="AC737" t="str">
        <v>90UX686</v>
      </c>
      <c r="AD737">
        <v>60.999999999999986</v>
      </c>
      <c r="AE737" t="str">
        <v>hour</v>
      </c>
    </row>
    <row r="738" spans="1:31" hidden="1" x14ac:dyDescent="0.25">
      <c r="A738">
        <v>737</v>
      </c>
      <c r="B738">
        <v>2026</v>
      </c>
      <c r="C738">
        <v>1</v>
      </c>
      <c r="D738">
        <v>31</v>
      </c>
      <c r="E738">
        <v>12</v>
      </c>
      <c r="F738" t="str">
        <v>99HZ395</v>
      </c>
      <c r="G738" s="61">
        <v>81.000000001571607</v>
      </c>
      <c r="H738" t="str">
        <v>hour</v>
      </c>
      <c r="I738">
        <v>0</v>
      </c>
      <c r="J738">
        <v>4</v>
      </c>
      <c r="K738" s="61">
        <v>6.5</v>
      </c>
      <c r="L738" s="61">
        <v>526.50000001021544</v>
      </c>
      <c r="AA738">
        <v>31</v>
      </c>
      <c r="AB738">
        <v>11</v>
      </c>
      <c r="AC738" t="str">
        <v>99BT339</v>
      </c>
      <c r="AD738">
        <v>81.999999999999986</v>
      </c>
      <c r="AE738" t="str">
        <v>hour</v>
      </c>
    </row>
    <row r="739" spans="1:31" hidden="1" x14ac:dyDescent="0.25">
      <c r="A739">
        <v>738</v>
      </c>
      <c r="B739">
        <v>2026</v>
      </c>
      <c r="C739">
        <v>1</v>
      </c>
      <c r="D739">
        <v>31</v>
      </c>
      <c r="E739">
        <v>12</v>
      </c>
      <c r="F739" t="str">
        <v>99KL663</v>
      </c>
      <c r="G739" s="61">
        <v>42.999999999999972</v>
      </c>
      <c r="H739" t="str">
        <v>hour</v>
      </c>
      <c r="I739">
        <v>0</v>
      </c>
      <c r="J739">
        <v>105</v>
      </c>
      <c r="K739" s="61">
        <v>5.5359999999999996</v>
      </c>
      <c r="L739" s="61">
        <v>238.04799999999983</v>
      </c>
      <c r="AA739">
        <v>31</v>
      </c>
      <c r="AB739">
        <v>11</v>
      </c>
      <c r="AC739" t="str">
        <v>99CN447</v>
      </c>
      <c r="AD739">
        <v>19.999999999999982</v>
      </c>
      <c r="AE739" t="str">
        <v>hour</v>
      </c>
    </row>
    <row r="740" spans="1:31" hidden="1" x14ac:dyDescent="0.25">
      <c r="A740">
        <v>739</v>
      </c>
      <c r="B740">
        <v>2026</v>
      </c>
      <c r="C740">
        <v>1</v>
      </c>
      <c r="D740">
        <v>31</v>
      </c>
      <c r="E740">
        <v>12</v>
      </c>
      <c r="F740" t="str">
        <v>99LM412</v>
      </c>
      <c r="G740" s="61">
        <v>89.999999999999986</v>
      </c>
      <c r="H740" t="str">
        <v>hour</v>
      </c>
      <c r="I740">
        <v>0</v>
      </c>
      <c r="J740">
        <v>115</v>
      </c>
      <c r="K740" s="61">
        <v>5.5357142857142856</v>
      </c>
      <c r="L740" s="61">
        <v>498.21428571428561</v>
      </c>
      <c r="AA740">
        <v>31</v>
      </c>
      <c r="AB740">
        <v>11</v>
      </c>
      <c r="AC740" t="str">
        <v>99DT131</v>
      </c>
      <c r="AD740">
        <v>40.999999999999972</v>
      </c>
      <c r="AE740" t="str">
        <v>hour</v>
      </c>
    </row>
    <row r="741" spans="1:31" hidden="1" x14ac:dyDescent="0.25">
      <c r="A741">
        <v>740</v>
      </c>
      <c r="B741">
        <v>2026</v>
      </c>
      <c r="C741">
        <v>1</v>
      </c>
      <c r="D741">
        <v>31</v>
      </c>
      <c r="E741">
        <v>12</v>
      </c>
      <c r="F741" t="str">
        <v>99MN472</v>
      </c>
      <c r="G741" s="61">
        <v>93.000000000000043</v>
      </c>
      <c r="H741" t="str">
        <v>hour</v>
      </c>
      <c r="I741">
        <v>0</v>
      </c>
      <c r="J741">
        <v>107</v>
      </c>
      <c r="K741" s="61">
        <v>5.5359999999999996</v>
      </c>
      <c r="L741" s="61">
        <v>514.84800000000018</v>
      </c>
      <c r="AA741">
        <v>31</v>
      </c>
      <c r="AB741">
        <v>11</v>
      </c>
      <c r="AC741" t="str">
        <v>99FO779</v>
      </c>
      <c r="AD741">
        <v>80.999999999999972</v>
      </c>
      <c r="AE741" t="str">
        <v>hour</v>
      </c>
    </row>
    <row r="742" spans="1:31" hidden="1" x14ac:dyDescent="0.25">
      <c r="A742">
        <v>741</v>
      </c>
      <c r="B742">
        <v>2026</v>
      </c>
      <c r="C742">
        <v>1</v>
      </c>
      <c r="D742">
        <v>31</v>
      </c>
      <c r="E742">
        <v>12</v>
      </c>
      <c r="F742" t="str">
        <v>99OR961</v>
      </c>
      <c r="G742" s="61">
        <v>56.999999999999972</v>
      </c>
      <c r="H742" t="str">
        <v>hour</v>
      </c>
      <c r="I742">
        <v>0</v>
      </c>
      <c r="J742">
        <v>110</v>
      </c>
      <c r="K742" s="61">
        <v>5.5359999999999996</v>
      </c>
      <c r="L742" s="61">
        <v>315.55199999999979</v>
      </c>
      <c r="AA742">
        <v>31</v>
      </c>
      <c r="AB742">
        <v>11</v>
      </c>
      <c r="AC742" t="str">
        <v>99GZ612</v>
      </c>
      <c r="AD742">
        <v>14.999999999999991</v>
      </c>
      <c r="AE742" t="str">
        <v>hour</v>
      </c>
    </row>
    <row r="743" spans="1:31" hidden="1" x14ac:dyDescent="0.25">
      <c r="A743">
        <v>742</v>
      </c>
      <c r="B743">
        <v>2026</v>
      </c>
      <c r="C743">
        <v>1</v>
      </c>
      <c r="D743">
        <v>31</v>
      </c>
      <c r="E743">
        <v>12</v>
      </c>
      <c r="F743" t="str">
        <v>99UK314</v>
      </c>
      <c r="G743" s="61">
        <v>99</v>
      </c>
      <c r="H743" t="str">
        <v>hour</v>
      </c>
      <c r="I743">
        <v>0</v>
      </c>
      <c r="J743">
        <v>113</v>
      </c>
      <c r="K743" s="61">
        <v>5.8929999999999998</v>
      </c>
      <c r="L743" s="61">
        <v>583.40699999999993</v>
      </c>
      <c r="AA743">
        <v>31</v>
      </c>
      <c r="AB743">
        <v>11</v>
      </c>
      <c r="AC743" t="str">
        <v>99HZ395</v>
      </c>
      <c r="AD743">
        <v>120</v>
      </c>
      <c r="AE743" t="str">
        <v>hour</v>
      </c>
    </row>
    <row r="744" spans="1:31" hidden="1" x14ac:dyDescent="0.25">
      <c r="A744">
        <v>743</v>
      </c>
      <c r="B744">
        <v>2026</v>
      </c>
      <c r="C744">
        <v>1</v>
      </c>
      <c r="D744">
        <v>31</v>
      </c>
      <c r="E744">
        <v>12</v>
      </c>
      <c r="F744" t="str">
        <v>10NG198</v>
      </c>
      <c r="G744" s="61">
        <v>37.999999999999986</v>
      </c>
      <c r="H744" t="str">
        <v>hour</v>
      </c>
      <c r="I744">
        <v>0</v>
      </c>
      <c r="J744">
        <v>185</v>
      </c>
      <c r="K744" s="61">
        <v>6.25</v>
      </c>
      <c r="L744" s="61">
        <v>237.49999999999991</v>
      </c>
      <c r="AA744">
        <v>31</v>
      </c>
      <c r="AB744">
        <v>11</v>
      </c>
      <c r="AC744" t="str">
        <v>99KL663</v>
      </c>
      <c r="AD744">
        <v>34.999999999999972</v>
      </c>
      <c r="AE744" t="str">
        <v>hour</v>
      </c>
    </row>
    <row r="745" spans="1:31" hidden="1" x14ac:dyDescent="0.25">
      <c r="A745">
        <v>744</v>
      </c>
      <c r="B745">
        <v>2026</v>
      </c>
      <c r="C745">
        <v>1</v>
      </c>
      <c r="D745">
        <v>31</v>
      </c>
      <c r="E745">
        <v>12</v>
      </c>
      <c r="F745" t="str">
        <v>10ON175</v>
      </c>
      <c r="G745" s="61">
        <v>23.999999999999979</v>
      </c>
      <c r="H745" t="str">
        <v>hour</v>
      </c>
      <c r="I745">
        <v>0</v>
      </c>
      <c r="J745">
        <v>189</v>
      </c>
      <c r="K745" s="61">
        <v>6.25</v>
      </c>
      <c r="L745" s="61">
        <v>149.99999999999986</v>
      </c>
      <c r="AA745">
        <v>31</v>
      </c>
      <c r="AB745">
        <v>11</v>
      </c>
      <c r="AC745" t="str">
        <v>99LM412</v>
      </c>
      <c r="AD745">
        <v>115.99999999999999</v>
      </c>
      <c r="AE745" t="str">
        <v>hour</v>
      </c>
    </row>
    <row r="746" spans="1:31" hidden="1" x14ac:dyDescent="0.25">
      <c r="A746">
        <v>745</v>
      </c>
      <c r="B746">
        <v>2026</v>
      </c>
      <c r="C746">
        <v>1</v>
      </c>
      <c r="D746">
        <v>31</v>
      </c>
      <c r="E746">
        <v>12</v>
      </c>
      <c r="F746" t="str">
        <v>27BZ361</v>
      </c>
      <c r="G746" s="61">
        <v>29.999999999999993</v>
      </c>
      <c r="H746" t="str">
        <v>hour</v>
      </c>
      <c r="I746">
        <v>0</v>
      </c>
      <c r="J746">
        <v>191</v>
      </c>
      <c r="K746" s="61">
        <v>5.5357142857142856</v>
      </c>
      <c r="L746" s="61">
        <v>166.07142857142853</v>
      </c>
      <c r="AA746">
        <v>31</v>
      </c>
      <c r="AB746">
        <v>11</v>
      </c>
      <c r="AC746" t="str">
        <v>99MN472</v>
      </c>
      <c r="AD746">
        <v>90</v>
      </c>
      <c r="AE746" t="str">
        <v>hour</v>
      </c>
    </row>
    <row r="747" spans="1:31" hidden="1" x14ac:dyDescent="0.25">
      <c r="A747">
        <v>746</v>
      </c>
      <c r="B747">
        <v>2026</v>
      </c>
      <c r="C747">
        <v>1</v>
      </c>
      <c r="D747">
        <v>31</v>
      </c>
      <c r="E747">
        <v>12</v>
      </c>
      <c r="F747" t="str">
        <v>10ZU722</v>
      </c>
      <c r="G747" s="61">
        <v>13.999999999999996</v>
      </c>
      <c r="H747" t="str">
        <v>hour</v>
      </c>
      <c r="I747">
        <v>0</v>
      </c>
      <c r="J747">
        <v>193</v>
      </c>
      <c r="K747" s="61">
        <v>6.25</v>
      </c>
      <c r="L747" s="61">
        <v>87.499999999999972</v>
      </c>
      <c r="AA747">
        <v>31</v>
      </c>
      <c r="AB747">
        <v>11</v>
      </c>
      <c r="AC747" t="str">
        <v>99OR961</v>
      </c>
      <c r="AD747">
        <v>109.99999999999999</v>
      </c>
      <c r="AE747" t="str">
        <v>hour</v>
      </c>
    </row>
    <row r="748" spans="1:31" hidden="1" x14ac:dyDescent="0.25">
      <c r="A748">
        <v>747</v>
      </c>
      <c r="B748">
        <v>2026</v>
      </c>
      <c r="C748">
        <v>2</v>
      </c>
      <c r="D748">
        <v>31</v>
      </c>
      <c r="E748">
        <v>13</v>
      </c>
      <c r="F748" t="str">
        <v>77GR998</v>
      </c>
      <c r="G748" s="61">
        <v>2</v>
      </c>
      <c r="H748" t="str">
        <v>single</v>
      </c>
      <c r="I748">
        <v>0</v>
      </c>
      <c r="J748">
        <v>65</v>
      </c>
      <c r="K748" s="61">
        <v>55.357142857142854</v>
      </c>
      <c r="L748" s="61">
        <v>110.71428571428571</v>
      </c>
      <c r="AA748">
        <v>31</v>
      </c>
      <c r="AB748">
        <v>11</v>
      </c>
      <c r="AC748" t="str">
        <v>99UK314</v>
      </c>
      <c r="AD748">
        <v>97</v>
      </c>
      <c r="AE748" t="str">
        <v>hour</v>
      </c>
    </row>
    <row r="749" spans="1:31" hidden="1" x14ac:dyDescent="0.25">
      <c r="A749">
        <v>748</v>
      </c>
      <c r="B749">
        <v>2026</v>
      </c>
      <c r="C749">
        <v>2</v>
      </c>
      <c r="D749">
        <v>31</v>
      </c>
      <c r="E749">
        <v>13</v>
      </c>
      <c r="F749" t="str">
        <v>10NS184</v>
      </c>
      <c r="G749" s="61">
        <v>30</v>
      </c>
      <c r="H749" t="str">
        <v>single</v>
      </c>
      <c r="I749">
        <v>0</v>
      </c>
      <c r="J749">
        <v>28</v>
      </c>
      <c r="K749" s="61">
        <v>55.36</v>
      </c>
      <c r="L749" s="61">
        <v>1660.8</v>
      </c>
      <c r="AA749">
        <v>85</v>
      </c>
      <c r="AB749">
        <v>8</v>
      </c>
      <c r="AC749" t="str">
        <v>77SN951</v>
      </c>
      <c r="AD749">
        <v>63.999999999999986</v>
      </c>
      <c r="AE749" t="str">
        <v>hour</v>
      </c>
    </row>
    <row r="750" spans="1:31" hidden="1" x14ac:dyDescent="0.25">
      <c r="A750">
        <v>749</v>
      </c>
      <c r="B750">
        <v>2026</v>
      </c>
      <c r="C750">
        <v>2</v>
      </c>
      <c r="D750">
        <v>31</v>
      </c>
      <c r="E750">
        <v>13</v>
      </c>
      <c r="F750" t="str">
        <v>10RN527</v>
      </c>
      <c r="G750" s="61">
        <v>30</v>
      </c>
      <c r="H750" t="str">
        <v>single</v>
      </c>
      <c r="I750">
        <v>0</v>
      </c>
      <c r="J750">
        <v>32</v>
      </c>
      <c r="K750" s="61">
        <v>62.5</v>
      </c>
      <c r="L750" s="61">
        <v>1875</v>
      </c>
      <c r="AA750">
        <v>98</v>
      </c>
      <c r="AB750">
        <v>7</v>
      </c>
      <c r="AC750" t="str">
        <v>50BD416</v>
      </c>
      <c r="AD750">
        <v>8.0000000000000071</v>
      </c>
      <c r="AE750" t="str">
        <v>hour</v>
      </c>
    </row>
    <row r="751" spans="1:31" hidden="1" x14ac:dyDescent="0.25">
      <c r="A751">
        <v>750</v>
      </c>
      <c r="B751">
        <v>2026</v>
      </c>
      <c r="C751">
        <v>2</v>
      </c>
      <c r="D751">
        <v>31</v>
      </c>
      <c r="E751">
        <v>13</v>
      </c>
      <c r="F751" t="str">
        <v>17BE358</v>
      </c>
      <c r="G751" s="61">
        <v>24</v>
      </c>
      <c r="H751" t="str">
        <v>single</v>
      </c>
      <c r="I751">
        <v>0</v>
      </c>
      <c r="J751">
        <v>37</v>
      </c>
      <c r="K751" s="61">
        <v>55.36</v>
      </c>
      <c r="L751" s="61">
        <v>1328.6399999999999</v>
      </c>
      <c r="AA751">
        <v>141</v>
      </c>
      <c r="AB751">
        <v>3</v>
      </c>
      <c r="AC751" t="str">
        <v>10V288</v>
      </c>
      <c r="AD751">
        <v>36</v>
      </c>
      <c r="AE751" t="str">
        <v>hour</v>
      </c>
    </row>
    <row r="752" spans="1:31" hidden="1" x14ac:dyDescent="0.25">
      <c r="A752">
        <v>751</v>
      </c>
      <c r="B752">
        <v>2026</v>
      </c>
      <c r="C752">
        <v>2</v>
      </c>
      <c r="D752">
        <v>31</v>
      </c>
      <c r="E752">
        <v>13</v>
      </c>
      <c r="F752" t="str">
        <v>21BF442</v>
      </c>
      <c r="G752" s="61">
        <v>30</v>
      </c>
      <c r="H752" t="str">
        <v>single</v>
      </c>
      <c r="I752">
        <v>0</v>
      </c>
      <c r="J752">
        <v>39</v>
      </c>
      <c r="K752" s="61">
        <v>55.36</v>
      </c>
      <c r="L752" s="61">
        <v>1660.8</v>
      </c>
      <c r="AA752">
        <v>164</v>
      </c>
      <c r="AB752">
        <v>1</v>
      </c>
      <c r="AC752" t="str">
        <v>77DN323</v>
      </c>
      <c r="AD752">
        <v>35.000000000000007</v>
      </c>
      <c r="AE752" t="str">
        <v>hour</v>
      </c>
    </row>
    <row r="753" spans="1:31" hidden="1" x14ac:dyDescent="0.25">
      <c r="A753">
        <v>752</v>
      </c>
      <c r="B753">
        <v>2026</v>
      </c>
      <c r="C753">
        <v>2</v>
      </c>
      <c r="D753">
        <v>31</v>
      </c>
      <c r="E753">
        <v>13</v>
      </c>
      <c r="F753" t="str">
        <v>50DK730</v>
      </c>
      <c r="G753" s="61">
        <v>29</v>
      </c>
      <c r="H753" t="str">
        <v>single</v>
      </c>
      <c r="I753">
        <v>0</v>
      </c>
      <c r="J753">
        <v>47</v>
      </c>
      <c r="K753" s="61">
        <v>55.36</v>
      </c>
      <c r="L753" s="61">
        <v>1605.44</v>
      </c>
      <c r="AA753">
        <v>51</v>
      </c>
      <c r="AB753">
        <v>6</v>
      </c>
      <c r="AC753" t="str">
        <v>10AD071</v>
      </c>
      <c r="AD753">
        <v>30.000000000000014</v>
      </c>
      <c r="AE753" t="str">
        <v>hour</v>
      </c>
    </row>
    <row r="754" spans="1:31" hidden="1" x14ac:dyDescent="0.25">
      <c r="A754">
        <v>753</v>
      </c>
      <c r="B754">
        <v>2026</v>
      </c>
      <c r="C754">
        <v>2</v>
      </c>
      <c r="D754">
        <v>31</v>
      </c>
      <c r="E754">
        <v>13</v>
      </c>
      <c r="F754" t="str">
        <v>50EF902</v>
      </c>
      <c r="G754" s="61">
        <v>29</v>
      </c>
      <c r="H754" t="str">
        <v>single</v>
      </c>
      <c r="I754">
        <v>0</v>
      </c>
      <c r="J754">
        <v>49</v>
      </c>
      <c r="K754" s="61">
        <v>62.5</v>
      </c>
      <c r="L754" s="61">
        <v>1812.5</v>
      </c>
      <c r="AA754">
        <v>102</v>
      </c>
      <c r="AB754">
        <v>6</v>
      </c>
      <c r="AC754" t="str">
        <v>10MF640</v>
      </c>
      <c r="AD754">
        <v>21.000000000000007</v>
      </c>
      <c r="AE754" t="str">
        <v>hour</v>
      </c>
    </row>
    <row r="755" spans="1:31" hidden="1" x14ac:dyDescent="0.25">
      <c r="A755">
        <v>754</v>
      </c>
      <c r="B755">
        <v>2026</v>
      </c>
      <c r="C755">
        <v>2</v>
      </c>
      <c r="D755">
        <v>31</v>
      </c>
      <c r="E755">
        <v>13</v>
      </c>
      <c r="F755" t="str">
        <v>50FB264</v>
      </c>
      <c r="G755" s="61">
        <v>28</v>
      </c>
      <c r="H755" t="str">
        <v>single</v>
      </c>
      <c r="I755">
        <v>0</v>
      </c>
      <c r="J755">
        <v>23</v>
      </c>
      <c r="K755" s="61">
        <v>66.069999999999993</v>
      </c>
      <c r="L755" s="61">
        <v>1849.9599999999998</v>
      </c>
      <c r="AA755">
        <v>31</v>
      </c>
      <c r="AB755">
        <v>12</v>
      </c>
      <c r="AC755" t="str">
        <v>10NS184</v>
      </c>
      <c r="AD755">
        <v>17.999999999999993</v>
      </c>
      <c r="AE755" t="str">
        <v>hour</v>
      </c>
    </row>
    <row r="756" spans="1:31" hidden="1" x14ac:dyDescent="0.25">
      <c r="A756">
        <v>755</v>
      </c>
      <c r="B756">
        <v>2026</v>
      </c>
      <c r="C756">
        <v>2</v>
      </c>
      <c r="D756">
        <v>31</v>
      </c>
      <c r="E756">
        <v>13</v>
      </c>
      <c r="F756" t="str">
        <v>55CB633</v>
      </c>
      <c r="G756" s="61">
        <v>30</v>
      </c>
      <c r="H756" t="str">
        <v>single</v>
      </c>
      <c r="I756">
        <v>0</v>
      </c>
      <c r="J756">
        <v>57</v>
      </c>
      <c r="K756" s="61">
        <v>55.36</v>
      </c>
      <c r="L756" s="61">
        <v>1660.8</v>
      </c>
      <c r="O756" s="61"/>
      <c r="AA756">
        <v>31</v>
      </c>
      <c r="AB756">
        <v>12</v>
      </c>
      <c r="AC756" t="str">
        <v>10RN527</v>
      </c>
      <c r="AD756">
        <v>88</v>
      </c>
      <c r="AE756" t="str">
        <v>hour</v>
      </c>
    </row>
    <row r="757" spans="1:31" hidden="1" x14ac:dyDescent="0.25">
      <c r="A757">
        <v>756</v>
      </c>
      <c r="B757">
        <v>2026</v>
      </c>
      <c r="C757">
        <v>2</v>
      </c>
      <c r="D757">
        <v>31</v>
      </c>
      <c r="E757">
        <v>13</v>
      </c>
      <c r="F757" t="str">
        <v>57BV285</v>
      </c>
      <c r="G757" s="61">
        <v>30</v>
      </c>
      <c r="H757" t="str">
        <v>single</v>
      </c>
      <c r="I757">
        <v>0</v>
      </c>
      <c r="J757">
        <v>119</v>
      </c>
      <c r="K757" s="61">
        <v>62.5</v>
      </c>
      <c r="L757" s="61">
        <v>1875</v>
      </c>
      <c r="O757" s="61"/>
      <c r="AA757">
        <v>31</v>
      </c>
      <c r="AB757">
        <v>12</v>
      </c>
      <c r="AC757" t="str">
        <v>17BE358</v>
      </c>
      <c r="AD757">
        <v>10.499999999999996</v>
      </c>
      <c r="AE757" t="str">
        <v>hour</v>
      </c>
    </row>
    <row r="758" spans="1:31" hidden="1" x14ac:dyDescent="0.25">
      <c r="A758">
        <v>757</v>
      </c>
      <c r="B758">
        <v>2026</v>
      </c>
      <c r="C758">
        <v>2</v>
      </c>
      <c r="D758">
        <v>31</v>
      </c>
      <c r="E758">
        <v>13</v>
      </c>
      <c r="F758" t="str">
        <v>77AT386</v>
      </c>
      <c r="G758" s="61">
        <v>30</v>
      </c>
      <c r="H758" t="str">
        <v>single</v>
      </c>
      <c r="I758">
        <v>0</v>
      </c>
      <c r="J758">
        <v>13</v>
      </c>
      <c r="K758" s="61">
        <v>46.67</v>
      </c>
      <c r="L758" s="61">
        <v>1400.1000000000001</v>
      </c>
      <c r="O758" s="61"/>
      <c r="AA758">
        <v>31</v>
      </c>
      <c r="AB758">
        <v>12</v>
      </c>
      <c r="AC758" t="str">
        <v>21BF442</v>
      </c>
      <c r="AD758">
        <v>87</v>
      </c>
      <c r="AE758" t="str">
        <v>hour</v>
      </c>
    </row>
    <row r="759" spans="1:31" hidden="1" x14ac:dyDescent="0.25">
      <c r="A759">
        <v>758</v>
      </c>
      <c r="B759">
        <v>2026</v>
      </c>
      <c r="C759">
        <v>2</v>
      </c>
      <c r="D759">
        <v>31</v>
      </c>
      <c r="E759">
        <v>13</v>
      </c>
      <c r="F759" t="str">
        <v>77DK884</v>
      </c>
      <c r="G759" s="61">
        <v>30</v>
      </c>
      <c r="H759" t="str">
        <v>single</v>
      </c>
      <c r="I759">
        <v>0</v>
      </c>
      <c r="J759">
        <v>200</v>
      </c>
      <c r="K759" s="61">
        <v>89.285714285714292</v>
      </c>
      <c r="L759" s="61">
        <v>2678.5714285714289</v>
      </c>
      <c r="O759" s="61"/>
      <c r="AA759">
        <v>31</v>
      </c>
      <c r="AB759">
        <v>12</v>
      </c>
      <c r="AC759" t="str">
        <v>50DK730</v>
      </c>
      <c r="AD759">
        <v>92</v>
      </c>
      <c r="AE759" t="str">
        <v>hour</v>
      </c>
    </row>
    <row r="760" spans="1:31" hidden="1" x14ac:dyDescent="0.25">
      <c r="A760">
        <v>759</v>
      </c>
      <c r="B760">
        <v>2026</v>
      </c>
      <c r="C760">
        <v>2</v>
      </c>
      <c r="D760">
        <v>31</v>
      </c>
      <c r="E760">
        <v>13</v>
      </c>
      <c r="F760" t="str">
        <v>77MU119</v>
      </c>
      <c r="G760" s="61">
        <v>30</v>
      </c>
      <c r="H760" t="str">
        <v>single</v>
      </c>
      <c r="I760">
        <v>0</v>
      </c>
      <c r="J760">
        <v>180</v>
      </c>
      <c r="K760" s="61">
        <v>78.571428571428569</v>
      </c>
      <c r="L760" s="61">
        <v>2357.1428571428569</v>
      </c>
      <c r="O760" s="61"/>
      <c r="AA760">
        <v>31</v>
      </c>
      <c r="AB760">
        <v>12</v>
      </c>
      <c r="AC760" t="str">
        <v>50EF902</v>
      </c>
      <c r="AD760">
        <v>18.999999999999982</v>
      </c>
      <c r="AE760" t="str">
        <v>hour</v>
      </c>
    </row>
    <row r="761" spans="1:31" hidden="1" x14ac:dyDescent="0.25">
      <c r="A761">
        <v>760</v>
      </c>
      <c r="B761">
        <v>2026</v>
      </c>
      <c r="C761">
        <v>2</v>
      </c>
      <c r="D761">
        <v>31</v>
      </c>
      <c r="E761">
        <v>13</v>
      </c>
      <c r="F761" t="str">
        <v>77PV619</v>
      </c>
      <c r="G761" s="61">
        <v>30</v>
      </c>
      <c r="H761" t="str">
        <v>single</v>
      </c>
      <c r="I761">
        <v>0</v>
      </c>
      <c r="J761">
        <v>67</v>
      </c>
      <c r="K761" s="61">
        <v>40</v>
      </c>
      <c r="L761" s="61">
        <v>1200</v>
      </c>
      <c r="AA761">
        <v>31</v>
      </c>
      <c r="AB761">
        <v>12</v>
      </c>
      <c r="AC761" t="str">
        <v>50FB264</v>
      </c>
      <c r="AD761">
        <v>99.999999999999972</v>
      </c>
      <c r="AE761" t="str">
        <v>hour</v>
      </c>
    </row>
    <row r="762" spans="1:31" hidden="1" x14ac:dyDescent="0.25">
      <c r="A762">
        <v>761</v>
      </c>
      <c r="B762">
        <v>2026</v>
      </c>
      <c r="C762">
        <v>2</v>
      </c>
      <c r="D762">
        <v>31</v>
      </c>
      <c r="E762">
        <v>13</v>
      </c>
      <c r="F762" t="str">
        <v>77TG971</v>
      </c>
      <c r="G762" s="61">
        <v>28</v>
      </c>
      <c r="H762" t="str">
        <v>single</v>
      </c>
      <c r="I762">
        <v>0</v>
      </c>
      <c r="J762">
        <v>75</v>
      </c>
      <c r="K762" s="61">
        <v>55.36</v>
      </c>
      <c r="L762" s="61">
        <v>1550.08</v>
      </c>
      <c r="AA762">
        <v>31</v>
      </c>
      <c r="AB762">
        <v>12</v>
      </c>
      <c r="AC762" t="str">
        <v>55CB633</v>
      </c>
      <c r="AD762">
        <v>23.000000001222361</v>
      </c>
      <c r="AE762" t="str">
        <v>hour</v>
      </c>
    </row>
    <row r="763" spans="1:31" hidden="1" x14ac:dyDescent="0.25">
      <c r="A763">
        <v>762</v>
      </c>
      <c r="B763">
        <v>2026</v>
      </c>
      <c r="C763">
        <v>2</v>
      </c>
      <c r="D763">
        <v>31</v>
      </c>
      <c r="E763">
        <v>13</v>
      </c>
      <c r="F763" t="str">
        <v>77UR032</v>
      </c>
      <c r="G763" s="61">
        <v>28</v>
      </c>
      <c r="H763" t="str">
        <v>single</v>
      </c>
      <c r="I763">
        <v>0</v>
      </c>
      <c r="J763">
        <v>77</v>
      </c>
      <c r="K763" s="61">
        <v>55.36</v>
      </c>
      <c r="L763" s="61">
        <v>1550.08</v>
      </c>
      <c r="AA763">
        <v>31</v>
      </c>
      <c r="AB763">
        <v>12</v>
      </c>
      <c r="AC763" t="str">
        <v>57BV285</v>
      </c>
      <c r="AD763">
        <v>21.999999999999986</v>
      </c>
      <c r="AE763" t="str">
        <v>hour</v>
      </c>
    </row>
    <row r="764" spans="1:31" hidden="1" x14ac:dyDescent="0.25">
      <c r="A764">
        <v>763</v>
      </c>
      <c r="B764">
        <v>2026</v>
      </c>
      <c r="C764">
        <v>2</v>
      </c>
      <c r="D764">
        <v>31</v>
      </c>
      <c r="E764">
        <v>13</v>
      </c>
      <c r="F764" t="str">
        <v>77VL420</v>
      </c>
      <c r="G764" s="61">
        <v>30</v>
      </c>
      <c r="H764" t="str">
        <v>single</v>
      </c>
      <c r="I764">
        <v>0</v>
      </c>
      <c r="J764">
        <v>118</v>
      </c>
      <c r="K764" s="61">
        <v>275</v>
      </c>
      <c r="L764" s="61">
        <v>8250</v>
      </c>
      <c r="AA764">
        <v>31</v>
      </c>
      <c r="AB764">
        <v>12</v>
      </c>
      <c r="AC764" t="str">
        <v>77MU119</v>
      </c>
      <c r="AD764">
        <v>63.999999999999993</v>
      </c>
      <c r="AE764" t="str">
        <v>hour</v>
      </c>
    </row>
    <row r="765" spans="1:31" hidden="1" x14ac:dyDescent="0.25">
      <c r="A765">
        <v>764</v>
      </c>
      <c r="B765">
        <v>2026</v>
      </c>
      <c r="C765">
        <v>2</v>
      </c>
      <c r="D765">
        <v>31</v>
      </c>
      <c r="E765">
        <v>13</v>
      </c>
      <c r="F765" t="str">
        <v>90EC344</v>
      </c>
      <c r="G765" s="61">
        <v>30</v>
      </c>
      <c r="H765" t="str">
        <v>single</v>
      </c>
      <c r="I765">
        <v>0</v>
      </c>
      <c r="J765">
        <v>79</v>
      </c>
      <c r="K765" s="61">
        <v>62.5</v>
      </c>
      <c r="L765" s="61">
        <v>1875</v>
      </c>
      <c r="AA765">
        <v>31</v>
      </c>
      <c r="AB765">
        <v>12</v>
      </c>
      <c r="AC765" t="str">
        <v>77UR032</v>
      </c>
      <c r="AD765">
        <v>47.999999999999986</v>
      </c>
      <c r="AE765" t="str">
        <v>hour</v>
      </c>
    </row>
    <row r="766" spans="1:31" hidden="1" x14ac:dyDescent="0.25">
      <c r="A766">
        <v>765</v>
      </c>
      <c r="B766">
        <v>2026</v>
      </c>
      <c r="C766">
        <v>2</v>
      </c>
      <c r="D766">
        <v>31</v>
      </c>
      <c r="E766">
        <v>13</v>
      </c>
      <c r="F766" t="str">
        <v>90LS143</v>
      </c>
      <c r="G766" s="61">
        <v>29</v>
      </c>
      <c r="H766" t="str">
        <v>single</v>
      </c>
      <c r="I766">
        <v>0</v>
      </c>
      <c r="J766">
        <v>81</v>
      </c>
      <c r="K766" s="61">
        <v>55.36</v>
      </c>
      <c r="L766" s="61">
        <v>1605.44</v>
      </c>
      <c r="AA766">
        <v>31</v>
      </c>
      <c r="AB766">
        <v>12</v>
      </c>
      <c r="AC766" t="str">
        <v>90EC344</v>
      </c>
      <c r="AD766">
        <v>68.000000000698492</v>
      </c>
      <c r="AE766" t="str">
        <v>hour</v>
      </c>
    </row>
    <row r="767" spans="1:31" hidden="1" x14ac:dyDescent="0.25">
      <c r="A767">
        <v>766</v>
      </c>
      <c r="B767">
        <v>2026</v>
      </c>
      <c r="C767">
        <v>2</v>
      </c>
      <c r="D767">
        <v>31</v>
      </c>
      <c r="E767">
        <v>13</v>
      </c>
      <c r="F767" t="str">
        <v>90OE402</v>
      </c>
      <c r="G767" s="61">
        <v>30</v>
      </c>
      <c r="H767" t="str">
        <v>single</v>
      </c>
      <c r="I767">
        <v>0</v>
      </c>
      <c r="J767">
        <v>83</v>
      </c>
      <c r="K767" s="61">
        <v>73.333333333333329</v>
      </c>
      <c r="L767" s="61">
        <v>2200</v>
      </c>
      <c r="AA767">
        <v>31</v>
      </c>
      <c r="AB767">
        <v>12</v>
      </c>
      <c r="AC767" t="str">
        <v>90LS143</v>
      </c>
      <c r="AD767">
        <v>13.999999999999986</v>
      </c>
      <c r="AE767" t="str">
        <v>hour</v>
      </c>
    </row>
    <row r="768" spans="1:31" hidden="1" x14ac:dyDescent="0.25">
      <c r="A768">
        <v>767</v>
      </c>
      <c r="B768">
        <v>2026</v>
      </c>
      <c r="C768">
        <v>2</v>
      </c>
      <c r="D768">
        <v>31</v>
      </c>
      <c r="E768">
        <v>13</v>
      </c>
      <c r="F768" t="str">
        <v>90PY548</v>
      </c>
      <c r="G768" s="61">
        <v>30</v>
      </c>
      <c r="H768" t="str">
        <v>single</v>
      </c>
      <c r="I768">
        <v>0</v>
      </c>
      <c r="J768">
        <v>85</v>
      </c>
      <c r="K768" s="61">
        <v>40</v>
      </c>
      <c r="L768" s="61">
        <v>1200</v>
      </c>
      <c r="AA768">
        <v>31</v>
      </c>
      <c r="AB768">
        <v>12</v>
      </c>
      <c r="AC768" t="str">
        <v>90OE402</v>
      </c>
      <c r="AD768">
        <v>90.999999999999986</v>
      </c>
      <c r="AE768" t="str">
        <v>hour</v>
      </c>
    </row>
    <row r="769" spans="1:31" hidden="1" x14ac:dyDescent="0.25">
      <c r="A769">
        <v>768</v>
      </c>
      <c r="B769">
        <v>2026</v>
      </c>
      <c r="C769">
        <v>2</v>
      </c>
      <c r="D769">
        <v>31</v>
      </c>
      <c r="E769">
        <v>13</v>
      </c>
      <c r="F769" t="str">
        <v>90UX686</v>
      </c>
      <c r="G769" s="61">
        <v>29</v>
      </c>
      <c r="H769" t="str">
        <v>single</v>
      </c>
      <c r="I769">
        <v>0</v>
      </c>
      <c r="J769">
        <v>121</v>
      </c>
      <c r="K769" s="61">
        <v>62.5</v>
      </c>
      <c r="L769" s="61">
        <v>1812.5</v>
      </c>
      <c r="AA769">
        <v>31</v>
      </c>
      <c r="AB769">
        <v>12</v>
      </c>
      <c r="AC769" t="str">
        <v>90UX686</v>
      </c>
      <c r="AD769">
        <v>59.999999999999986</v>
      </c>
      <c r="AE769" t="str">
        <v>hour</v>
      </c>
    </row>
    <row r="770" spans="1:31" hidden="1" x14ac:dyDescent="0.25">
      <c r="A770">
        <v>769</v>
      </c>
      <c r="B770">
        <v>2026</v>
      </c>
      <c r="C770">
        <v>2</v>
      </c>
      <c r="D770">
        <v>31</v>
      </c>
      <c r="E770">
        <v>13</v>
      </c>
      <c r="F770" t="str">
        <v>99BT339</v>
      </c>
      <c r="G770" s="61">
        <v>29</v>
      </c>
      <c r="H770" t="str">
        <v>single</v>
      </c>
      <c r="I770">
        <v>0</v>
      </c>
      <c r="J770">
        <v>93</v>
      </c>
      <c r="K770" s="61">
        <v>55.36</v>
      </c>
      <c r="L770" s="61">
        <v>1605.44</v>
      </c>
      <c r="AA770">
        <v>31</v>
      </c>
      <c r="AB770">
        <v>12</v>
      </c>
      <c r="AC770" t="str">
        <v>99BT339</v>
      </c>
      <c r="AD770">
        <v>60.999999999999986</v>
      </c>
      <c r="AE770" t="str">
        <v>hour</v>
      </c>
    </row>
    <row r="771" spans="1:31" hidden="1" x14ac:dyDescent="0.25">
      <c r="A771">
        <v>770</v>
      </c>
      <c r="B771">
        <v>2026</v>
      </c>
      <c r="C771">
        <v>2</v>
      </c>
      <c r="D771">
        <v>31</v>
      </c>
      <c r="E771">
        <v>13</v>
      </c>
      <c r="F771" t="str">
        <v>99CN447</v>
      </c>
      <c r="G771" s="61">
        <v>28</v>
      </c>
      <c r="H771" t="str">
        <v>single</v>
      </c>
      <c r="I771">
        <v>0</v>
      </c>
      <c r="J771">
        <v>94</v>
      </c>
      <c r="K771" s="61">
        <v>55.36</v>
      </c>
      <c r="L771" s="61">
        <v>1550.08</v>
      </c>
      <c r="AA771">
        <v>31</v>
      </c>
      <c r="AB771">
        <v>12</v>
      </c>
      <c r="AC771" t="str">
        <v>99CN447</v>
      </c>
      <c r="AD771">
        <v>40.999999999999979</v>
      </c>
      <c r="AE771" t="str">
        <v>hour</v>
      </c>
    </row>
    <row r="772" spans="1:31" hidden="1" x14ac:dyDescent="0.25">
      <c r="A772">
        <v>771</v>
      </c>
      <c r="B772">
        <v>2026</v>
      </c>
      <c r="C772">
        <v>2</v>
      </c>
      <c r="D772">
        <v>31</v>
      </c>
      <c r="E772">
        <v>13</v>
      </c>
      <c r="F772" t="str">
        <v>99DT131</v>
      </c>
      <c r="G772" s="61">
        <v>29</v>
      </c>
      <c r="H772" t="str">
        <v>single</v>
      </c>
      <c r="I772">
        <v>0</v>
      </c>
      <c r="J772">
        <v>123</v>
      </c>
      <c r="K772" s="61">
        <v>55.36</v>
      </c>
      <c r="L772" s="61">
        <v>1605.44</v>
      </c>
      <c r="AA772">
        <v>31</v>
      </c>
      <c r="AB772">
        <v>12</v>
      </c>
      <c r="AC772" t="str">
        <v>99DT131</v>
      </c>
      <c r="AD772">
        <v>24.999999999999993</v>
      </c>
      <c r="AE772" t="str">
        <v>hour</v>
      </c>
    </row>
    <row r="773" spans="1:31" x14ac:dyDescent="0.25">
      <c r="A773">
        <v>772</v>
      </c>
      <c r="B773">
        <v>2026</v>
      </c>
      <c r="C773">
        <v>2</v>
      </c>
      <c r="D773">
        <v>31</v>
      </c>
      <c r="E773">
        <v>13</v>
      </c>
      <c r="F773" t="str">
        <v>99EM163</v>
      </c>
      <c r="G773" s="61">
        <v>29</v>
      </c>
      <c r="H773" t="str">
        <v>single</v>
      </c>
      <c r="I773">
        <v>0</v>
      </c>
      <c r="J773">
        <v>100</v>
      </c>
      <c r="K773" s="61">
        <v>55.36</v>
      </c>
      <c r="L773" s="61">
        <v>1605.44</v>
      </c>
      <c r="AA773">
        <v>31</v>
      </c>
      <c r="AB773">
        <v>12</v>
      </c>
      <c r="AC773" t="str">
        <v>99EM163</v>
      </c>
      <c r="AD773">
        <v>53.999999999999986</v>
      </c>
      <c r="AE773" t="str">
        <v>hour</v>
      </c>
    </row>
    <row r="774" spans="1:31" hidden="1" x14ac:dyDescent="0.25">
      <c r="A774">
        <v>773</v>
      </c>
      <c r="B774">
        <v>2026</v>
      </c>
      <c r="C774">
        <v>2</v>
      </c>
      <c r="D774">
        <v>31</v>
      </c>
      <c r="E774">
        <v>13</v>
      </c>
      <c r="F774" t="str">
        <v>99FO779</v>
      </c>
      <c r="G774" s="61">
        <v>29</v>
      </c>
      <c r="H774" t="str">
        <v>single</v>
      </c>
      <c r="I774">
        <v>0</v>
      </c>
      <c r="J774">
        <v>101</v>
      </c>
      <c r="K774" s="61">
        <v>66.071428571428569</v>
      </c>
      <c r="L774" s="61">
        <v>1916.0714285714284</v>
      </c>
      <c r="AA774">
        <v>31</v>
      </c>
      <c r="AB774">
        <v>12</v>
      </c>
      <c r="AC774" t="str">
        <v>99FO779</v>
      </c>
      <c r="AD774">
        <v>86.999999999999986</v>
      </c>
      <c r="AE774" t="str">
        <v>hour</v>
      </c>
    </row>
    <row r="775" spans="1:31" hidden="1" x14ac:dyDescent="0.25">
      <c r="A775">
        <v>774</v>
      </c>
      <c r="B775">
        <v>2026</v>
      </c>
      <c r="C775">
        <v>2</v>
      </c>
      <c r="D775">
        <v>31</v>
      </c>
      <c r="E775">
        <v>13</v>
      </c>
      <c r="F775" t="str">
        <v>99GZ612</v>
      </c>
      <c r="G775" s="61">
        <v>30</v>
      </c>
      <c r="H775" t="str">
        <v>single</v>
      </c>
      <c r="I775">
        <v>0</v>
      </c>
      <c r="J775">
        <v>104</v>
      </c>
      <c r="K775" s="61">
        <v>62.5</v>
      </c>
      <c r="L775" s="61">
        <v>1875</v>
      </c>
      <c r="AA775">
        <v>31</v>
      </c>
      <c r="AB775">
        <v>12</v>
      </c>
      <c r="AC775" t="str">
        <v>99GZ612</v>
      </c>
      <c r="AD775">
        <v>4.4999999999999982</v>
      </c>
      <c r="AE775" t="str">
        <v>hour</v>
      </c>
    </row>
    <row r="776" spans="1:31" hidden="1" x14ac:dyDescent="0.25">
      <c r="A776">
        <v>775</v>
      </c>
      <c r="B776">
        <v>2026</v>
      </c>
      <c r="C776">
        <v>2</v>
      </c>
      <c r="D776">
        <v>31</v>
      </c>
      <c r="E776">
        <v>13</v>
      </c>
      <c r="F776" t="str">
        <v>99HZ395</v>
      </c>
      <c r="G776" s="61">
        <v>30</v>
      </c>
      <c r="H776" t="str">
        <v>single</v>
      </c>
      <c r="I776">
        <v>0</v>
      </c>
      <c r="J776">
        <v>3</v>
      </c>
      <c r="K776" s="61">
        <v>65</v>
      </c>
      <c r="L776" s="61">
        <v>1950</v>
      </c>
      <c r="AA776">
        <v>31</v>
      </c>
      <c r="AB776">
        <v>12</v>
      </c>
      <c r="AC776" t="str">
        <v>99HZ395</v>
      </c>
      <c r="AD776">
        <v>81.000000001571607</v>
      </c>
      <c r="AE776" t="str">
        <v>hour</v>
      </c>
    </row>
    <row r="777" spans="1:31" hidden="1" x14ac:dyDescent="0.25">
      <c r="A777">
        <v>776</v>
      </c>
      <c r="B777">
        <v>2026</v>
      </c>
      <c r="C777">
        <v>2</v>
      </c>
      <c r="D777">
        <v>31</v>
      </c>
      <c r="E777">
        <v>13</v>
      </c>
      <c r="F777" t="str">
        <v>99KL663</v>
      </c>
      <c r="G777" s="61">
        <v>30</v>
      </c>
      <c r="H777" t="str">
        <v>single</v>
      </c>
      <c r="I777">
        <v>0</v>
      </c>
      <c r="J777">
        <v>106</v>
      </c>
      <c r="K777" s="61">
        <v>55.36</v>
      </c>
      <c r="L777" s="61">
        <v>1660.8</v>
      </c>
      <c r="AA777">
        <v>31</v>
      </c>
      <c r="AB777">
        <v>12</v>
      </c>
      <c r="AC777" t="str">
        <v>99KL663</v>
      </c>
      <c r="AD777">
        <v>42.999999999999972</v>
      </c>
      <c r="AE777" t="str">
        <v>hour</v>
      </c>
    </row>
    <row r="778" spans="1:31" hidden="1" x14ac:dyDescent="0.25">
      <c r="A778">
        <v>777</v>
      </c>
      <c r="B778">
        <v>2026</v>
      </c>
      <c r="C778">
        <v>2</v>
      </c>
      <c r="D778">
        <v>31</v>
      </c>
      <c r="E778">
        <v>13</v>
      </c>
      <c r="F778" t="str">
        <v>99LM412</v>
      </c>
      <c r="G778" s="61">
        <v>30</v>
      </c>
      <c r="H778" t="str">
        <v>single</v>
      </c>
      <c r="I778">
        <v>0</v>
      </c>
      <c r="J778">
        <v>116</v>
      </c>
      <c r="K778" s="61">
        <v>55.357142857142854</v>
      </c>
      <c r="L778" s="61">
        <v>1660.7142857142856</v>
      </c>
      <c r="AA778">
        <v>31</v>
      </c>
      <c r="AB778">
        <v>12</v>
      </c>
      <c r="AC778" t="str">
        <v>99LM412</v>
      </c>
      <c r="AD778">
        <v>89.999999999999986</v>
      </c>
      <c r="AE778" t="str">
        <v>hour</v>
      </c>
    </row>
    <row r="779" spans="1:31" hidden="1" x14ac:dyDescent="0.25">
      <c r="A779">
        <v>778</v>
      </c>
      <c r="B779">
        <v>2026</v>
      </c>
      <c r="C779">
        <v>2</v>
      </c>
      <c r="D779">
        <v>31</v>
      </c>
      <c r="E779">
        <v>13</v>
      </c>
      <c r="F779" t="str">
        <v>99MN472</v>
      </c>
      <c r="G779" s="61">
        <v>30</v>
      </c>
      <c r="H779" t="str">
        <v>single</v>
      </c>
      <c r="I779">
        <v>0</v>
      </c>
      <c r="J779">
        <v>108</v>
      </c>
      <c r="K779" s="61">
        <v>55.36</v>
      </c>
      <c r="L779" s="61">
        <v>1660.8</v>
      </c>
      <c r="AA779">
        <v>31</v>
      </c>
      <c r="AB779">
        <v>12</v>
      </c>
      <c r="AC779" t="str">
        <v>99MN472</v>
      </c>
      <c r="AD779">
        <v>93.000000000000043</v>
      </c>
      <c r="AE779" t="str">
        <v>hour</v>
      </c>
    </row>
    <row r="780" spans="1:31" hidden="1" x14ac:dyDescent="0.25">
      <c r="A780">
        <v>779</v>
      </c>
      <c r="B780">
        <v>2026</v>
      </c>
      <c r="C780">
        <v>2</v>
      </c>
      <c r="D780">
        <v>31</v>
      </c>
      <c r="E780">
        <v>13</v>
      </c>
      <c r="F780" t="str">
        <v>99OR961</v>
      </c>
      <c r="G780" s="61">
        <v>29</v>
      </c>
      <c r="H780" t="str">
        <v>single</v>
      </c>
      <c r="I780">
        <v>0</v>
      </c>
      <c r="J780">
        <v>109</v>
      </c>
      <c r="K780" s="61">
        <v>55.36</v>
      </c>
      <c r="L780" s="61">
        <v>1605.44</v>
      </c>
      <c r="AA780">
        <v>31</v>
      </c>
      <c r="AB780">
        <v>12</v>
      </c>
      <c r="AC780" t="str">
        <v>99OR961</v>
      </c>
      <c r="AD780">
        <v>56.999999999999972</v>
      </c>
      <c r="AE780" t="str">
        <v>hour</v>
      </c>
    </row>
    <row r="781" spans="1:31" hidden="1" x14ac:dyDescent="0.25">
      <c r="A781">
        <v>780</v>
      </c>
      <c r="B781">
        <v>2026</v>
      </c>
      <c r="C781">
        <v>2</v>
      </c>
      <c r="D781">
        <v>31</v>
      </c>
      <c r="E781">
        <v>13</v>
      </c>
      <c r="F781" t="str">
        <v>99UK314</v>
      </c>
      <c r="G781" s="61">
        <v>30</v>
      </c>
      <c r="H781" t="str">
        <v>single</v>
      </c>
      <c r="I781">
        <v>0</v>
      </c>
      <c r="J781">
        <v>114</v>
      </c>
      <c r="K781" s="61">
        <v>58.93</v>
      </c>
      <c r="L781" s="61">
        <v>1767.9</v>
      </c>
      <c r="AA781">
        <v>31</v>
      </c>
      <c r="AB781">
        <v>12</v>
      </c>
      <c r="AC781" t="str">
        <v>99UK314</v>
      </c>
      <c r="AD781">
        <v>99</v>
      </c>
      <c r="AE781" t="str">
        <v>hour</v>
      </c>
    </row>
    <row r="782" spans="1:31" hidden="1" x14ac:dyDescent="0.25">
      <c r="A782">
        <v>781</v>
      </c>
      <c r="B782">
        <v>2026</v>
      </c>
      <c r="C782">
        <v>2</v>
      </c>
      <c r="D782">
        <v>31</v>
      </c>
      <c r="E782">
        <v>13</v>
      </c>
      <c r="F782" t="str">
        <v>10NG198</v>
      </c>
      <c r="G782" s="61">
        <v>29</v>
      </c>
      <c r="H782" t="str">
        <v>single</v>
      </c>
      <c r="I782">
        <v>0</v>
      </c>
      <c r="J782">
        <v>184</v>
      </c>
      <c r="K782" s="61">
        <v>62.5</v>
      </c>
      <c r="L782" s="61">
        <v>1812.5</v>
      </c>
      <c r="AA782">
        <v>31</v>
      </c>
      <c r="AB782">
        <v>12</v>
      </c>
      <c r="AC782" t="str">
        <v>10NG198</v>
      </c>
      <c r="AD782">
        <v>37.999999999999986</v>
      </c>
      <c r="AE782" t="str">
        <v>hour</v>
      </c>
    </row>
    <row r="783" spans="1:31" hidden="1" x14ac:dyDescent="0.25">
      <c r="A783">
        <v>782</v>
      </c>
      <c r="B783">
        <v>2026</v>
      </c>
      <c r="C783">
        <v>2</v>
      </c>
      <c r="D783">
        <v>31</v>
      </c>
      <c r="E783">
        <v>13</v>
      </c>
      <c r="F783" t="str">
        <v>10ON175</v>
      </c>
      <c r="G783" s="61">
        <v>30</v>
      </c>
      <c r="H783" t="str">
        <v>single</v>
      </c>
      <c r="I783">
        <v>0</v>
      </c>
      <c r="J783">
        <v>188</v>
      </c>
      <c r="K783" s="61">
        <v>62.5</v>
      </c>
      <c r="L783" s="61">
        <v>1875</v>
      </c>
      <c r="AA783">
        <v>31</v>
      </c>
      <c r="AB783">
        <v>12</v>
      </c>
      <c r="AC783" t="str">
        <v>10ON175</v>
      </c>
      <c r="AD783">
        <v>23.999999999999979</v>
      </c>
      <c r="AE783" t="str">
        <v>hour</v>
      </c>
    </row>
    <row r="784" spans="1:31" hidden="1" x14ac:dyDescent="0.25">
      <c r="A784">
        <v>783</v>
      </c>
      <c r="B784">
        <v>2026</v>
      </c>
      <c r="C784">
        <v>2</v>
      </c>
      <c r="D784">
        <v>31</v>
      </c>
      <c r="E784">
        <v>13</v>
      </c>
      <c r="F784" t="str">
        <v>27BZ361</v>
      </c>
      <c r="G784" s="61">
        <v>28</v>
      </c>
      <c r="H784" t="str">
        <v>single</v>
      </c>
      <c r="I784">
        <v>0</v>
      </c>
      <c r="J784">
        <v>190</v>
      </c>
      <c r="K784" s="61">
        <v>55.357142857142854</v>
      </c>
      <c r="L784" s="61">
        <v>1550</v>
      </c>
      <c r="AA784">
        <v>31</v>
      </c>
      <c r="AB784">
        <v>12</v>
      </c>
      <c r="AC784" t="str">
        <v>27BZ361</v>
      </c>
      <c r="AD784">
        <v>29.999999999999993</v>
      </c>
      <c r="AE784" t="str">
        <v>hour</v>
      </c>
    </row>
    <row r="785" spans="1:31" hidden="1" x14ac:dyDescent="0.25">
      <c r="A785">
        <v>784</v>
      </c>
      <c r="B785">
        <v>2026</v>
      </c>
      <c r="C785">
        <v>2</v>
      </c>
      <c r="D785">
        <v>31</v>
      </c>
      <c r="E785">
        <v>13</v>
      </c>
      <c r="F785" t="str">
        <v>10ZU722</v>
      </c>
      <c r="G785" s="61">
        <v>29</v>
      </c>
      <c r="H785" t="str">
        <v>single</v>
      </c>
      <c r="I785">
        <v>0</v>
      </c>
      <c r="J785">
        <v>192</v>
      </c>
      <c r="K785" s="61">
        <v>62.5</v>
      </c>
      <c r="L785" s="61">
        <v>1812.5</v>
      </c>
      <c r="AA785">
        <v>31</v>
      </c>
      <c r="AB785">
        <v>12</v>
      </c>
      <c r="AC785" t="str">
        <v>10ZU722</v>
      </c>
      <c r="AD785">
        <v>13.999999999999996</v>
      </c>
      <c r="AE785" t="str">
        <v>hour</v>
      </c>
    </row>
    <row r="786" spans="1:31" hidden="1" x14ac:dyDescent="0.25">
      <c r="A786">
        <v>785</v>
      </c>
      <c r="B786">
        <v>2026</v>
      </c>
      <c r="C786">
        <v>2</v>
      </c>
      <c r="D786">
        <v>31</v>
      </c>
      <c r="E786">
        <v>13</v>
      </c>
      <c r="F786" t="str">
        <v>77PV319</v>
      </c>
      <c r="G786" s="61">
        <v>30</v>
      </c>
      <c r="H786" t="str">
        <v>single</v>
      </c>
      <c r="I786">
        <v>0</v>
      </c>
      <c r="J786">
        <v>194</v>
      </c>
      <c r="K786" s="61">
        <v>50</v>
      </c>
      <c r="L786" s="61">
        <v>1500</v>
      </c>
      <c r="AA786">
        <v>85</v>
      </c>
      <c r="AB786">
        <v>9</v>
      </c>
      <c r="AC786" t="str">
        <v>77SN951</v>
      </c>
      <c r="AD786">
        <v>65</v>
      </c>
      <c r="AE786" t="str">
        <v>hour</v>
      </c>
    </row>
    <row r="787" spans="1:31" hidden="1" x14ac:dyDescent="0.25">
      <c r="A787">
        <v>786</v>
      </c>
      <c r="B787">
        <v>2026</v>
      </c>
      <c r="C787">
        <v>2</v>
      </c>
      <c r="D787">
        <v>31</v>
      </c>
      <c r="E787">
        <v>13</v>
      </c>
      <c r="F787" t="str">
        <v>38BG860</v>
      </c>
      <c r="G787" s="61">
        <v>30</v>
      </c>
      <c r="H787" t="str">
        <v>single</v>
      </c>
      <c r="I787">
        <v>0</v>
      </c>
      <c r="J787">
        <v>196</v>
      </c>
      <c r="K787" s="61">
        <v>55.357142857142854</v>
      </c>
      <c r="L787" s="61">
        <v>1660.7142857142856</v>
      </c>
      <c r="AA787">
        <v>141</v>
      </c>
      <c r="AB787">
        <v>4</v>
      </c>
      <c r="AC787" t="str">
        <v>10V288</v>
      </c>
      <c r="AD787">
        <v>31</v>
      </c>
      <c r="AE787" t="str">
        <v>hour</v>
      </c>
    </row>
    <row r="788" spans="1:31" hidden="1" x14ac:dyDescent="0.25">
      <c r="A788">
        <v>787</v>
      </c>
      <c r="B788">
        <v>2026</v>
      </c>
      <c r="C788">
        <v>2</v>
      </c>
      <c r="D788">
        <v>31</v>
      </c>
      <c r="E788">
        <v>13</v>
      </c>
      <c r="F788" t="str">
        <v>77PV659</v>
      </c>
      <c r="G788" s="61">
        <v>30</v>
      </c>
      <c r="H788" t="str">
        <v>single</v>
      </c>
      <c r="I788">
        <v>0</v>
      </c>
      <c r="J788">
        <v>198</v>
      </c>
      <c r="K788" s="61">
        <v>85</v>
      </c>
      <c r="L788" s="61">
        <v>2550</v>
      </c>
      <c r="AA788">
        <v>51</v>
      </c>
      <c r="AB788">
        <v>7</v>
      </c>
      <c r="AC788" t="str">
        <v>10AD071</v>
      </c>
      <c r="AD788">
        <v>4.0000000000000018</v>
      </c>
      <c r="AE788" t="str">
        <v>hour</v>
      </c>
    </row>
    <row r="789" spans="1:31" hidden="1" x14ac:dyDescent="0.25">
      <c r="A789">
        <v>788</v>
      </c>
      <c r="B789">
        <v>2026</v>
      </c>
      <c r="C789">
        <v>2</v>
      </c>
      <c r="D789">
        <v>31</v>
      </c>
      <c r="E789">
        <v>13</v>
      </c>
      <c r="F789" t="str">
        <v>90GG153</v>
      </c>
      <c r="G789" s="61">
        <v>29</v>
      </c>
      <c r="H789" t="str">
        <v>single</v>
      </c>
      <c r="I789">
        <v>0</v>
      </c>
      <c r="J789">
        <v>202</v>
      </c>
      <c r="K789" s="61">
        <v>160.71428571428572</v>
      </c>
      <c r="L789" s="61">
        <v>4660.7142857142862</v>
      </c>
      <c r="AA789">
        <v>102</v>
      </c>
      <c r="AB789">
        <v>7</v>
      </c>
      <c r="AC789" t="str">
        <v>10MF640</v>
      </c>
      <c r="AD789">
        <v>15</v>
      </c>
      <c r="AE789" t="str">
        <v>hour</v>
      </c>
    </row>
    <row r="790" spans="1:31" hidden="1" x14ac:dyDescent="0.25">
      <c r="A790">
        <v>789</v>
      </c>
      <c r="B790">
        <v>2026</v>
      </c>
      <c r="C790">
        <v>2</v>
      </c>
      <c r="D790">
        <v>31</v>
      </c>
      <c r="E790">
        <v>13</v>
      </c>
      <c r="F790" t="str">
        <v>53BD239</v>
      </c>
      <c r="G790" s="61">
        <v>20</v>
      </c>
      <c r="H790" t="str">
        <v>single</v>
      </c>
      <c r="I790">
        <v>0</v>
      </c>
      <c r="J790">
        <v>204</v>
      </c>
      <c r="K790" s="61">
        <v>62.5</v>
      </c>
      <c r="L790" s="61">
        <v>1250</v>
      </c>
      <c r="AA790">
        <v>31</v>
      </c>
      <c r="AB790">
        <v>13</v>
      </c>
      <c r="AC790" t="str">
        <v>10NS184</v>
      </c>
      <c r="AD790">
        <v>20.999999999999986</v>
      </c>
      <c r="AE790" t="str">
        <v>hour</v>
      </c>
    </row>
    <row r="791" spans="1:31" hidden="1" x14ac:dyDescent="0.25">
      <c r="A791">
        <v>790</v>
      </c>
      <c r="B791">
        <v>2026</v>
      </c>
      <c r="C791">
        <v>2</v>
      </c>
      <c r="D791">
        <v>31</v>
      </c>
      <c r="E791">
        <v>13</v>
      </c>
      <c r="F791" t="str">
        <v>99GN495</v>
      </c>
      <c r="G791" s="61">
        <v>14</v>
      </c>
      <c r="H791" t="str">
        <v>single</v>
      </c>
      <c r="I791">
        <v>0</v>
      </c>
      <c r="J791">
        <v>206</v>
      </c>
      <c r="K791" s="61">
        <v>62.5</v>
      </c>
      <c r="L791" s="61">
        <v>875</v>
      </c>
      <c r="AA791">
        <v>31</v>
      </c>
      <c r="AB791">
        <v>13</v>
      </c>
      <c r="AC791" t="str">
        <v>10RN527</v>
      </c>
      <c r="AD791">
        <v>84</v>
      </c>
      <c r="AE791" t="str">
        <v>hour</v>
      </c>
    </row>
    <row r="792" spans="1:31" hidden="1" x14ac:dyDescent="0.25">
      <c r="A792">
        <v>791</v>
      </c>
      <c r="B792">
        <v>2026</v>
      </c>
      <c r="C792">
        <v>2</v>
      </c>
      <c r="D792">
        <v>31</v>
      </c>
      <c r="E792">
        <v>13</v>
      </c>
      <c r="F792" t="str">
        <v>10OG142</v>
      </c>
      <c r="G792" s="61">
        <v>14</v>
      </c>
      <c r="H792" t="str">
        <v>single</v>
      </c>
      <c r="I792">
        <v>0</v>
      </c>
      <c r="J792">
        <v>208</v>
      </c>
      <c r="K792" s="61">
        <v>62.5</v>
      </c>
      <c r="L792" s="61">
        <v>875</v>
      </c>
      <c r="AA792">
        <v>31</v>
      </c>
      <c r="AB792">
        <v>13</v>
      </c>
      <c r="AC792" t="str">
        <v>17BE358</v>
      </c>
      <c r="AD792">
        <v>13.499999999999995</v>
      </c>
      <c r="AE792" t="str">
        <v>hour</v>
      </c>
    </row>
    <row r="793" spans="1:31" hidden="1" x14ac:dyDescent="0.25">
      <c r="A793">
        <v>792</v>
      </c>
      <c r="B793">
        <v>2026</v>
      </c>
      <c r="C793">
        <v>2</v>
      </c>
      <c r="D793">
        <v>31</v>
      </c>
      <c r="E793">
        <v>13</v>
      </c>
      <c r="F793" t="str">
        <v>77GR998</v>
      </c>
      <c r="G793" s="61">
        <v>28.000000000070862</v>
      </c>
      <c r="H793" t="str">
        <v>double</v>
      </c>
      <c r="I793">
        <v>0</v>
      </c>
      <c r="J793">
        <v>63</v>
      </c>
      <c r="K793" s="61">
        <v>99.642857142857139</v>
      </c>
      <c r="L793" s="61">
        <v>2790.0000000070609</v>
      </c>
      <c r="AA793">
        <v>31</v>
      </c>
      <c r="AB793">
        <v>13</v>
      </c>
      <c r="AC793" t="str">
        <v>21BF442</v>
      </c>
      <c r="AD793">
        <v>84</v>
      </c>
      <c r="AE793" t="str">
        <v>hour</v>
      </c>
    </row>
    <row r="794" spans="1:31" hidden="1" x14ac:dyDescent="0.25">
      <c r="A794">
        <v>793</v>
      </c>
      <c r="B794">
        <v>2026</v>
      </c>
      <c r="C794">
        <v>2</v>
      </c>
      <c r="D794">
        <v>31</v>
      </c>
      <c r="E794">
        <v>13</v>
      </c>
      <c r="F794" t="str">
        <v>10NS184</v>
      </c>
      <c r="G794" s="61">
        <v>20.999999999999986</v>
      </c>
      <c r="H794" t="str">
        <v>hour</v>
      </c>
      <c r="I794">
        <v>0</v>
      </c>
      <c r="J794">
        <v>27</v>
      </c>
      <c r="K794" s="61">
        <v>5.5359999999999996</v>
      </c>
      <c r="L794" s="61">
        <v>116.25599999999991</v>
      </c>
      <c r="AA794">
        <v>31</v>
      </c>
      <c r="AB794">
        <v>13</v>
      </c>
      <c r="AC794" t="str">
        <v>50DK730</v>
      </c>
      <c r="AD794">
        <v>81</v>
      </c>
      <c r="AE794" t="str">
        <v>hour</v>
      </c>
    </row>
    <row r="795" spans="1:31" hidden="1" x14ac:dyDescent="0.25">
      <c r="A795">
        <v>794</v>
      </c>
      <c r="B795">
        <v>2026</v>
      </c>
      <c r="C795">
        <v>2</v>
      </c>
      <c r="D795">
        <v>31</v>
      </c>
      <c r="E795">
        <v>13</v>
      </c>
      <c r="F795" t="str">
        <v>10RN527</v>
      </c>
      <c r="G795" s="61">
        <v>84</v>
      </c>
      <c r="H795" t="str">
        <v>hour</v>
      </c>
      <c r="I795">
        <v>0</v>
      </c>
      <c r="J795">
        <v>30</v>
      </c>
      <c r="K795" s="61">
        <v>6.25</v>
      </c>
      <c r="L795" s="61">
        <v>525</v>
      </c>
      <c r="AA795">
        <v>31</v>
      </c>
      <c r="AB795">
        <v>13</v>
      </c>
      <c r="AC795" t="str">
        <v>50EF902</v>
      </c>
      <c r="AD795">
        <v>19.999999999999986</v>
      </c>
      <c r="AE795" t="str">
        <v>hour</v>
      </c>
    </row>
    <row r="796" spans="1:31" hidden="1" x14ac:dyDescent="0.25">
      <c r="A796">
        <v>795</v>
      </c>
      <c r="B796">
        <v>2026</v>
      </c>
      <c r="C796">
        <v>2</v>
      </c>
      <c r="D796">
        <v>31</v>
      </c>
      <c r="E796">
        <v>13</v>
      </c>
      <c r="F796" t="str">
        <v>17BE358</v>
      </c>
      <c r="G796" s="61">
        <v>13.499999999999995</v>
      </c>
      <c r="H796" t="str">
        <v>hour</v>
      </c>
      <c r="I796">
        <v>0</v>
      </c>
      <c r="J796">
        <v>36</v>
      </c>
      <c r="K796" s="61">
        <v>5.5359999999999996</v>
      </c>
      <c r="L796" s="61">
        <v>74.735999999999962</v>
      </c>
      <c r="AA796">
        <v>31</v>
      </c>
      <c r="AB796">
        <v>13</v>
      </c>
      <c r="AC796" t="str">
        <v>50FB264</v>
      </c>
      <c r="AD796">
        <v>60.999999999999957</v>
      </c>
      <c r="AE796" t="str">
        <v>hour</v>
      </c>
    </row>
    <row r="797" spans="1:31" hidden="1" x14ac:dyDescent="0.25">
      <c r="A797">
        <v>796</v>
      </c>
      <c r="B797">
        <v>2026</v>
      </c>
      <c r="C797">
        <v>2</v>
      </c>
      <c r="D797">
        <v>31</v>
      </c>
      <c r="E797">
        <v>13</v>
      </c>
      <c r="F797" t="str">
        <v>21BF442</v>
      </c>
      <c r="G797" s="61">
        <v>84</v>
      </c>
      <c r="H797" t="str">
        <v>hour</v>
      </c>
      <c r="I797">
        <v>0</v>
      </c>
      <c r="J797">
        <v>38</v>
      </c>
      <c r="K797" s="61">
        <v>5.5359999999999996</v>
      </c>
      <c r="L797" s="61">
        <v>465.02399999999994</v>
      </c>
      <c r="AA797">
        <v>31</v>
      </c>
      <c r="AB797">
        <v>13</v>
      </c>
      <c r="AC797" t="str">
        <v>55CB633</v>
      </c>
      <c r="AD797">
        <v>50.999999999999986</v>
      </c>
      <c r="AE797" t="str">
        <v>hour</v>
      </c>
    </row>
    <row r="798" spans="1:31" hidden="1" x14ac:dyDescent="0.25">
      <c r="A798">
        <v>797</v>
      </c>
      <c r="B798">
        <v>2026</v>
      </c>
      <c r="C798">
        <v>2</v>
      </c>
      <c r="D798">
        <v>31</v>
      </c>
      <c r="E798">
        <v>13</v>
      </c>
      <c r="F798" t="str">
        <v>50DK730</v>
      </c>
      <c r="G798" s="61">
        <v>81</v>
      </c>
      <c r="H798" t="str">
        <v>hour</v>
      </c>
      <c r="I798">
        <v>0</v>
      </c>
      <c r="J798">
        <v>46</v>
      </c>
      <c r="K798" s="61">
        <v>5.5359999999999996</v>
      </c>
      <c r="L798" s="61">
        <v>448.41599999999994</v>
      </c>
      <c r="AA798">
        <v>31</v>
      </c>
      <c r="AB798">
        <v>13</v>
      </c>
      <c r="AC798" t="str">
        <v>57BV285</v>
      </c>
      <c r="AD798">
        <v>30.999999999999986</v>
      </c>
      <c r="AE798" t="str">
        <v>hour</v>
      </c>
    </row>
    <row r="799" spans="1:31" hidden="1" x14ac:dyDescent="0.25">
      <c r="A799">
        <v>798</v>
      </c>
      <c r="B799">
        <v>2026</v>
      </c>
      <c r="C799">
        <v>2</v>
      </c>
      <c r="D799">
        <v>31</v>
      </c>
      <c r="E799">
        <v>13</v>
      </c>
      <c r="F799" t="str">
        <v>50EF902</v>
      </c>
      <c r="G799" s="61">
        <v>19.999999999999986</v>
      </c>
      <c r="H799" t="str">
        <v>hour</v>
      </c>
      <c r="I799">
        <v>0</v>
      </c>
      <c r="J799">
        <v>48</v>
      </c>
      <c r="K799" s="61">
        <v>6.25</v>
      </c>
      <c r="L799" s="61">
        <v>124.99999999999991</v>
      </c>
      <c r="AA799">
        <v>31</v>
      </c>
      <c r="AB799">
        <v>13</v>
      </c>
      <c r="AC799" t="str">
        <v>77MU119</v>
      </c>
      <c r="AD799">
        <v>76.999999999999986</v>
      </c>
      <c r="AE799" t="str">
        <v>hour</v>
      </c>
    </row>
    <row r="800" spans="1:31" hidden="1" x14ac:dyDescent="0.25">
      <c r="A800">
        <v>799</v>
      </c>
      <c r="B800">
        <v>2026</v>
      </c>
      <c r="C800">
        <v>2</v>
      </c>
      <c r="D800">
        <v>31</v>
      </c>
      <c r="E800">
        <v>13</v>
      </c>
      <c r="F800" t="str">
        <v>50FB264</v>
      </c>
      <c r="G800" s="61">
        <v>60.999999999999957</v>
      </c>
      <c r="H800" t="str">
        <v>hour</v>
      </c>
      <c r="I800">
        <v>0</v>
      </c>
      <c r="J800">
        <v>24</v>
      </c>
      <c r="K800" s="61">
        <v>6.6070000000000002</v>
      </c>
      <c r="L800" s="61">
        <v>403.0269999999997</v>
      </c>
      <c r="AA800">
        <v>31</v>
      </c>
      <c r="AB800">
        <v>13</v>
      </c>
      <c r="AC800" t="str">
        <v>77UR032</v>
      </c>
      <c r="AD800">
        <v>42.999999999999986</v>
      </c>
      <c r="AE800" t="str">
        <v>hour</v>
      </c>
    </row>
    <row r="801" spans="1:31" hidden="1" x14ac:dyDescent="0.25">
      <c r="A801">
        <v>800</v>
      </c>
      <c r="B801">
        <v>2026</v>
      </c>
      <c r="C801">
        <v>2</v>
      </c>
      <c r="D801">
        <v>31</v>
      </c>
      <c r="E801">
        <v>13</v>
      </c>
      <c r="F801" t="str">
        <v>55CB633</v>
      </c>
      <c r="G801" s="61">
        <v>50.999999999999986</v>
      </c>
      <c r="H801" t="str">
        <v>hour</v>
      </c>
      <c r="I801">
        <v>0</v>
      </c>
      <c r="J801">
        <v>56</v>
      </c>
      <c r="K801" s="61">
        <v>5.5359999999999996</v>
      </c>
      <c r="L801" s="61">
        <v>282.3359999999999</v>
      </c>
      <c r="AA801">
        <v>31</v>
      </c>
      <c r="AB801">
        <v>13</v>
      </c>
      <c r="AC801" t="str">
        <v>90EC344</v>
      </c>
      <c r="AD801">
        <v>65</v>
      </c>
      <c r="AE801" t="str">
        <v>hour</v>
      </c>
    </row>
    <row r="802" spans="1:31" hidden="1" x14ac:dyDescent="0.25">
      <c r="A802">
        <v>801</v>
      </c>
      <c r="B802">
        <v>2026</v>
      </c>
      <c r="C802">
        <v>2</v>
      </c>
      <c r="D802">
        <v>31</v>
      </c>
      <c r="E802">
        <v>13</v>
      </c>
      <c r="F802" t="str">
        <v>57BV285</v>
      </c>
      <c r="G802" s="61">
        <v>30.999999999999986</v>
      </c>
      <c r="H802" t="str">
        <v>hour</v>
      </c>
      <c r="I802">
        <v>0</v>
      </c>
      <c r="J802">
        <v>120</v>
      </c>
      <c r="K802" s="61">
        <v>6.25</v>
      </c>
      <c r="L802" s="61">
        <v>193.74999999999991</v>
      </c>
      <c r="AA802">
        <v>31</v>
      </c>
      <c r="AB802">
        <v>13</v>
      </c>
      <c r="AC802" t="str">
        <v>90LS143</v>
      </c>
      <c r="AD802">
        <v>12.999999999999986</v>
      </c>
      <c r="AE802" t="str">
        <v>hour</v>
      </c>
    </row>
    <row r="803" spans="1:31" hidden="1" x14ac:dyDescent="0.25">
      <c r="A803">
        <v>802</v>
      </c>
      <c r="B803">
        <v>2026</v>
      </c>
      <c r="C803">
        <v>2</v>
      </c>
      <c r="D803">
        <v>31</v>
      </c>
      <c r="E803">
        <v>13</v>
      </c>
      <c r="F803" t="str">
        <v>77MU119</v>
      </c>
      <c r="G803" s="61">
        <v>76.999999999999986</v>
      </c>
      <c r="H803" t="str">
        <v>hour</v>
      </c>
      <c r="I803">
        <v>0</v>
      </c>
      <c r="J803">
        <v>181</v>
      </c>
      <c r="K803" s="61">
        <v>7.8571428571428568</v>
      </c>
      <c r="L803" s="61">
        <v>604.99999999999989</v>
      </c>
      <c r="AA803">
        <v>31</v>
      </c>
      <c r="AB803">
        <v>13</v>
      </c>
      <c r="AC803" t="str">
        <v>90OE402</v>
      </c>
      <c r="AD803">
        <v>74.999999999999972</v>
      </c>
      <c r="AE803" t="str">
        <v>hour</v>
      </c>
    </row>
    <row r="804" spans="1:31" hidden="1" x14ac:dyDescent="0.25">
      <c r="A804">
        <v>803</v>
      </c>
      <c r="B804">
        <v>2026</v>
      </c>
      <c r="C804">
        <v>2</v>
      </c>
      <c r="D804">
        <v>31</v>
      </c>
      <c r="E804">
        <v>13</v>
      </c>
      <c r="F804" t="str">
        <v>77UR032</v>
      </c>
      <c r="G804" s="61">
        <v>42.999999999999986</v>
      </c>
      <c r="H804" t="str">
        <v>hour</v>
      </c>
      <c r="I804">
        <v>0</v>
      </c>
      <c r="J804">
        <v>76</v>
      </c>
      <c r="K804" s="61">
        <v>5.5359999999999996</v>
      </c>
      <c r="L804" s="61">
        <v>238.04799999999992</v>
      </c>
      <c r="AA804">
        <v>31</v>
      </c>
      <c r="AB804">
        <v>13</v>
      </c>
      <c r="AC804" t="str">
        <v>90UX686</v>
      </c>
      <c r="AD804">
        <v>45</v>
      </c>
      <c r="AE804" t="str">
        <v>hour</v>
      </c>
    </row>
    <row r="805" spans="1:31" hidden="1" x14ac:dyDescent="0.25">
      <c r="A805">
        <v>804</v>
      </c>
      <c r="B805">
        <v>2026</v>
      </c>
      <c r="C805">
        <v>2</v>
      </c>
      <c r="D805">
        <v>31</v>
      </c>
      <c r="E805">
        <v>13</v>
      </c>
      <c r="F805" t="str">
        <v>90EC344</v>
      </c>
      <c r="G805" s="61">
        <v>65</v>
      </c>
      <c r="H805" t="str">
        <v>hour</v>
      </c>
      <c r="I805">
        <v>0</v>
      </c>
      <c r="J805">
        <v>78</v>
      </c>
      <c r="K805" s="61">
        <v>6.25</v>
      </c>
      <c r="L805" s="61">
        <v>406.25</v>
      </c>
      <c r="AA805">
        <v>31</v>
      </c>
      <c r="AB805">
        <v>13</v>
      </c>
      <c r="AC805" t="str">
        <v>99BT339</v>
      </c>
      <c r="AD805">
        <v>52.999999999999986</v>
      </c>
      <c r="AE805" t="str">
        <v>hour</v>
      </c>
    </row>
    <row r="806" spans="1:31" hidden="1" x14ac:dyDescent="0.25">
      <c r="A806">
        <v>805</v>
      </c>
      <c r="B806">
        <v>2026</v>
      </c>
      <c r="C806">
        <v>2</v>
      </c>
      <c r="D806">
        <v>31</v>
      </c>
      <c r="E806">
        <v>13</v>
      </c>
      <c r="F806" t="str">
        <v>90LS143</v>
      </c>
      <c r="G806" s="61">
        <v>12.999999999999986</v>
      </c>
      <c r="H806" t="str">
        <v>hour</v>
      </c>
      <c r="I806">
        <v>0</v>
      </c>
      <c r="J806">
        <v>80</v>
      </c>
      <c r="K806" s="61">
        <v>5.5359999999999996</v>
      </c>
      <c r="L806" s="61">
        <v>71.967999999999918</v>
      </c>
      <c r="AA806">
        <v>31</v>
      </c>
      <c r="AB806">
        <v>13</v>
      </c>
      <c r="AC806" t="str">
        <v>99CN447</v>
      </c>
      <c r="AD806">
        <v>31.999999999999972</v>
      </c>
      <c r="AE806" t="str">
        <v>hour</v>
      </c>
    </row>
    <row r="807" spans="1:31" hidden="1" x14ac:dyDescent="0.25">
      <c r="A807">
        <v>806</v>
      </c>
      <c r="B807">
        <v>2026</v>
      </c>
      <c r="C807">
        <v>2</v>
      </c>
      <c r="D807">
        <v>31</v>
      </c>
      <c r="E807">
        <v>13</v>
      </c>
      <c r="F807" t="str">
        <v>90OE402</v>
      </c>
      <c r="G807" s="61">
        <v>74.999999999999972</v>
      </c>
      <c r="H807" t="str">
        <v>hour</v>
      </c>
      <c r="I807">
        <v>0</v>
      </c>
      <c r="J807">
        <v>82</v>
      </c>
      <c r="K807" s="61">
        <v>7.333333333333333</v>
      </c>
      <c r="L807" s="61">
        <v>549.99999999999977</v>
      </c>
      <c r="AA807">
        <v>31</v>
      </c>
      <c r="AB807">
        <v>13</v>
      </c>
      <c r="AC807" t="str">
        <v>99DT131</v>
      </c>
      <c r="AD807">
        <v>25.999999999999986</v>
      </c>
      <c r="AE807" t="str">
        <v>hour</v>
      </c>
    </row>
    <row r="808" spans="1:31" hidden="1" x14ac:dyDescent="0.25">
      <c r="A808">
        <v>807</v>
      </c>
      <c r="B808">
        <v>2026</v>
      </c>
      <c r="C808">
        <v>2</v>
      </c>
      <c r="D808">
        <v>31</v>
      </c>
      <c r="E808">
        <v>13</v>
      </c>
      <c r="F808" t="str">
        <v>90UX686</v>
      </c>
      <c r="G808" s="61">
        <v>45</v>
      </c>
      <c r="H808" t="str">
        <v>hour</v>
      </c>
      <c r="I808">
        <v>0</v>
      </c>
      <c r="J808">
        <v>122</v>
      </c>
      <c r="K808" s="61">
        <v>6.25</v>
      </c>
      <c r="L808" s="61">
        <v>281.25</v>
      </c>
      <c r="AA808">
        <v>31</v>
      </c>
      <c r="AB808">
        <v>13</v>
      </c>
      <c r="AC808" t="str">
        <v>99EM163</v>
      </c>
      <c r="AD808">
        <v>26.999999999999961</v>
      </c>
      <c r="AE808" t="str">
        <v>hour</v>
      </c>
    </row>
    <row r="809" spans="1:31" hidden="1" x14ac:dyDescent="0.25">
      <c r="A809">
        <v>808</v>
      </c>
      <c r="B809">
        <v>2026</v>
      </c>
      <c r="C809">
        <v>2</v>
      </c>
      <c r="D809">
        <v>31</v>
      </c>
      <c r="E809">
        <v>13</v>
      </c>
      <c r="F809" t="str">
        <v>99BT339</v>
      </c>
      <c r="G809" s="61">
        <v>52.999999999999986</v>
      </c>
      <c r="H809" t="str">
        <v>hour</v>
      </c>
      <c r="I809">
        <v>0</v>
      </c>
      <c r="J809">
        <v>92</v>
      </c>
      <c r="K809" s="61">
        <v>5.5359999999999996</v>
      </c>
      <c r="L809" s="61">
        <v>293.4079999999999</v>
      </c>
      <c r="AA809">
        <v>31</v>
      </c>
      <c r="AB809">
        <v>13</v>
      </c>
      <c r="AC809" t="str">
        <v>99FO779</v>
      </c>
      <c r="AD809">
        <v>100</v>
      </c>
      <c r="AE809" t="str">
        <v>hour</v>
      </c>
    </row>
    <row r="810" spans="1:31" hidden="1" x14ac:dyDescent="0.25">
      <c r="A810">
        <v>809</v>
      </c>
      <c r="B810">
        <v>2026</v>
      </c>
      <c r="C810">
        <v>2</v>
      </c>
      <c r="D810">
        <v>31</v>
      </c>
      <c r="E810">
        <v>13</v>
      </c>
      <c r="F810" t="str">
        <v>99CN447</v>
      </c>
      <c r="G810" s="61">
        <v>31.999999999999972</v>
      </c>
      <c r="H810" t="str">
        <v>hour</v>
      </c>
      <c r="I810">
        <v>0</v>
      </c>
      <c r="J810">
        <v>95</v>
      </c>
      <c r="K810" s="61">
        <v>5.5359999999999996</v>
      </c>
      <c r="L810" s="61">
        <v>177.15199999999982</v>
      </c>
      <c r="AA810">
        <v>31</v>
      </c>
      <c r="AB810">
        <v>13</v>
      </c>
      <c r="AC810" t="str">
        <v>99HZ395</v>
      </c>
      <c r="AD810">
        <v>84</v>
      </c>
      <c r="AE810" t="str">
        <v>hour</v>
      </c>
    </row>
    <row r="811" spans="1:31" hidden="1" x14ac:dyDescent="0.25">
      <c r="A811">
        <v>810</v>
      </c>
      <c r="B811">
        <v>2026</v>
      </c>
      <c r="C811">
        <v>2</v>
      </c>
      <c r="D811">
        <v>31</v>
      </c>
      <c r="E811">
        <v>13</v>
      </c>
      <c r="F811" t="str">
        <v>99DT131</v>
      </c>
      <c r="G811" s="61">
        <v>25.999999999999986</v>
      </c>
      <c r="H811" t="str">
        <v>hour</v>
      </c>
      <c r="I811">
        <v>0</v>
      </c>
      <c r="J811">
        <v>124</v>
      </c>
      <c r="K811" s="61">
        <v>5.5359999999999996</v>
      </c>
      <c r="L811" s="61">
        <v>143.93599999999992</v>
      </c>
      <c r="AA811">
        <v>31</v>
      </c>
      <c r="AB811">
        <v>13</v>
      </c>
      <c r="AC811" t="str">
        <v>99KL663</v>
      </c>
      <c r="AD811">
        <v>42.999999999999972</v>
      </c>
      <c r="AE811" t="str">
        <v>hour</v>
      </c>
    </row>
    <row r="812" spans="1:31" x14ac:dyDescent="0.25">
      <c r="A812">
        <v>811</v>
      </c>
      <c r="B812">
        <v>2026</v>
      </c>
      <c r="C812">
        <v>2</v>
      </c>
      <c r="D812">
        <v>31</v>
      </c>
      <c r="E812">
        <v>13</v>
      </c>
      <c r="F812" t="str">
        <v>99EM163</v>
      </c>
      <c r="G812" s="61">
        <v>26.999999999999961</v>
      </c>
      <c r="H812" t="str">
        <v>hour</v>
      </c>
      <c r="I812">
        <v>0</v>
      </c>
      <c r="J812">
        <v>99</v>
      </c>
      <c r="K812" s="61">
        <v>5.5359999999999996</v>
      </c>
      <c r="L812" s="61">
        <v>149.47199999999978</v>
      </c>
      <c r="AA812">
        <v>31</v>
      </c>
      <c r="AB812">
        <v>13</v>
      </c>
      <c r="AC812" t="str">
        <v>99LM412</v>
      </c>
      <c r="AD812">
        <v>83.999999999999986</v>
      </c>
      <c r="AE812" t="str">
        <v>hour</v>
      </c>
    </row>
    <row r="813" spans="1:31" hidden="1" x14ac:dyDescent="0.25">
      <c r="A813">
        <v>812</v>
      </c>
      <c r="B813">
        <v>2026</v>
      </c>
      <c r="C813">
        <v>2</v>
      </c>
      <c r="D813">
        <v>31</v>
      </c>
      <c r="E813">
        <v>13</v>
      </c>
      <c r="F813" t="str">
        <v>99FO779</v>
      </c>
      <c r="G813" s="61">
        <v>100</v>
      </c>
      <c r="H813" t="str">
        <v>hour</v>
      </c>
      <c r="I813">
        <v>0</v>
      </c>
      <c r="J813">
        <v>102</v>
      </c>
      <c r="K813" s="61">
        <v>6.6071428571428568</v>
      </c>
      <c r="L813" s="61">
        <v>660.71428571428567</v>
      </c>
      <c r="AA813">
        <v>31</v>
      </c>
      <c r="AB813">
        <v>13</v>
      </c>
      <c r="AC813" t="str">
        <v>99MN472</v>
      </c>
      <c r="AD813">
        <v>84.000000000000043</v>
      </c>
      <c r="AE813" t="str">
        <v>hour</v>
      </c>
    </row>
    <row r="814" spans="1:31" hidden="1" x14ac:dyDescent="0.25">
      <c r="A814">
        <v>813</v>
      </c>
      <c r="B814">
        <v>2026</v>
      </c>
      <c r="C814">
        <v>2</v>
      </c>
      <c r="D814">
        <v>31</v>
      </c>
      <c r="E814">
        <v>13</v>
      </c>
      <c r="F814" t="str">
        <v>99HZ395</v>
      </c>
      <c r="G814" s="61">
        <v>84</v>
      </c>
      <c r="H814" t="str">
        <v>hour</v>
      </c>
      <c r="I814">
        <v>0</v>
      </c>
      <c r="J814">
        <v>4</v>
      </c>
      <c r="K814" s="61">
        <v>6.5</v>
      </c>
      <c r="L814" s="61">
        <v>546</v>
      </c>
      <c r="AA814">
        <v>31</v>
      </c>
      <c r="AB814">
        <v>13</v>
      </c>
      <c r="AC814" t="str">
        <v>99OR961</v>
      </c>
      <c r="AD814">
        <v>49.999999999999986</v>
      </c>
      <c r="AE814" t="str">
        <v>hour</v>
      </c>
    </row>
    <row r="815" spans="1:31" hidden="1" x14ac:dyDescent="0.25">
      <c r="A815">
        <v>814</v>
      </c>
      <c r="B815">
        <v>2026</v>
      </c>
      <c r="C815">
        <v>2</v>
      </c>
      <c r="D815">
        <v>31</v>
      </c>
      <c r="E815">
        <v>13</v>
      </c>
      <c r="F815" t="str">
        <v>99KL663</v>
      </c>
      <c r="G815" s="61">
        <v>42.999999999999972</v>
      </c>
      <c r="H815" t="str">
        <v>hour</v>
      </c>
      <c r="I815">
        <v>0</v>
      </c>
      <c r="J815">
        <v>105</v>
      </c>
      <c r="K815" s="61">
        <v>5.5359999999999996</v>
      </c>
      <c r="L815" s="61">
        <v>238.04799999999983</v>
      </c>
      <c r="AA815">
        <v>31</v>
      </c>
      <c r="AB815">
        <v>13</v>
      </c>
      <c r="AC815" t="str">
        <v>99UK314</v>
      </c>
      <c r="AD815">
        <v>108</v>
      </c>
      <c r="AE815" t="str">
        <v>hour</v>
      </c>
    </row>
    <row r="816" spans="1:31" hidden="1" x14ac:dyDescent="0.25">
      <c r="A816">
        <v>815</v>
      </c>
      <c r="B816">
        <v>2026</v>
      </c>
      <c r="C816">
        <v>2</v>
      </c>
      <c r="D816">
        <v>31</v>
      </c>
      <c r="E816">
        <v>13</v>
      </c>
      <c r="F816" t="str">
        <v>99LM412</v>
      </c>
      <c r="G816" s="61">
        <v>83.999999999999986</v>
      </c>
      <c r="H816" t="str">
        <v>hour</v>
      </c>
      <c r="I816">
        <v>0</v>
      </c>
      <c r="J816">
        <v>115</v>
      </c>
      <c r="K816" s="61">
        <v>5.5357142857142856</v>
      </c>
      <c r="L816" s="61">
        <v>464.99999999999989</v>
      </c>
      <c r="AA816">
        <v>31</v>
      </c>
      <c r="AB816">
        <v>13</v>
      </c>
      <c r="AC816" t="str">
        <v>10NG198</v>
      </c>
      <c r="AD816">
        <v>16.999999999999993</v>
      </c>
      <c r="AE816" t="str">
        <v>hour</v>
      </c>
    </row>
    <row r="817" spans="1:31" hidden="1" x14ac:dyDescent="0.25">
      <c r="A817">
        <v>816</v>
      </c>
      <c r="B817">
        <v>2026</v>
      </c>
      <c r="C817">
        <v>2</v>
      </c>
      <c r="D817">
        <v>31</v>
      </c>
      <c r="E817">
        <v>13</v>
      </c>
      <c r="F817" t="str">
        <v>99MN472</v>
      </c>
      <c r="G817" s="61">
        <v>84.000000000000043</v>
      </c>
      <c r="H817" t="str">
        <v>hour</v>
      </c>
      <c r="I817">
        <v>0</v>
      </c>
      <c r="J817">
        <v>107</v>
      </c>
      <c r="K817" s="61">
        <v>5.5359999999999996</v>
      </c>
      <c r="L817" s="61">
        <v>465.02400000000023</v>
      </c>
      <c r="AA817">
        <v>31</v>
      </c>
      <c r="AB817">
        <v>13</v>
      </c>
      <c r="AC817" t="str">
        <v>10ON175</v>
      </c>
      <c r="AD817">
        <v>15.999999999999972</v>
      </c>
      <c r="AE817" t="str">
        <v>hour</v>
      </c>
    </row>
    <row r="818" spans="1:31" hidden="1" x14ac:dyDescent="0.25">
      <c r="A818">
        <v>817</v>
      </c>
      <c r="B818">
        <v>2026</v>
      </c>
      <c r="C818">
        <v>2</v>
      </c>
      <c r="D818">
        <v>31</v>
      </c>
      <c r="E818">
        <v>13</v>
      </c>
      <c r="F818" t="str">
        <v>99OR961</v>
      </c>
      <c r="G818" s="61">
        <v>49.999999999999986</v>
      </c>
      <c r="H818" t="str">
        <v>hour</v>
      </c>
      <c r="I818">
        <v>0</v>
      </c>
      <c r="J818">
        <v>110</v>
      </c>
      <c r="K818" s="61">
        <v>5.5359999999999996</v>
      </c>
      <c r="L818" s="61">
        <v>276.7999999999999</v>
      </c>
      <c r="AA818">
        <v>31</v>
      </c>
      <c r="AB818">
        <v>13</v>
      </c>
      <c r="AC818" t="str">
        <v>27BZ361</v>
      </c>
      <c r="AD818">
        <v>19.999999999999975</v>
      </c>
      <c r="AE818" t="str">
        <v>hour</v>
      </c>
    </row>
    <row r="819" spans="1:31" hidden="1" x14ac:dyDescent="0.25">
      <c r="A819">
        <v>818</v>
      </c>
      <c r="B819">
        <v>2026</v>
      </c>
      <c r="C819">
        <v>2</v>
      </c>
      <c r="D819">
        <v>31</v>
      </c>
      <c r="E819">
        <v>13</v>
      </c>
      <c r="F819" t="str">
        <v>99UK314</v>
      </c>
      <c r="G819" s="61">
        <v>108</v>
      </c>
      <c r="H819" t="str">
        <v>hour</v>
      </c>
      <c r="I819">
        <v>0</v>
      </c>
      <c r="J819">
        <v>113</v>
      </c>
      <c r="K819" s="61">
        <v>5.8929999999999998</v>
      </c>
      <c r="L819" s="61">
        <v>636.44399999999996</v>
      </c>
      <c r="AA819">
        <v>31</v>
      </c>
      <c r="AB819">
        <v>13</v>
      </c>
      <c r="AC819" t="str">
        <v>10ZU722</v>
      </c>
      <c r="AD819">
        <v>49.999999999999986</v>
      </c>
      <c r="AE819" t="str">
        <v>hour</v>
      </c>
    </row>
    <row r="820" spans="1:31" hidden="1" x14ac:dyDescent="0.25">
      <c r="A820">
        <v>819</v>
      </c>
      <c r="B820">
        <v>2026</v>
      </c>
      <c r="C820">
        <v>2</v>
      </c>
      <c r="D820">
        <v>31</v>
      </c>
      <c r="E820">
        <v>13</v>
      </c>
      <c r="F820" t="str">
        <v>10NG198</v>
      </c>
      <c r="G820" s="61">
        <v>16.999999999999993</v>
      </c>
      <c r="H820" t="str">
        <v>hour</v>
      </c>
      <c r="I820">
        <v>0</v>
      </c>
      <c r="J820">
        <v>185</v>
      </c>
      <c r="K820" s="61">
        <v>6.25</v>
      </c>
      <c r="L820" s="61">
        <v>106.24999999999996</v>
      </c>
      <c r="AA820">
        <v>31</v>
      </c>
      <c r="AB820">
        <v>13</v>
      </c>
      <c r="AC820" t="str">
        <v>38BG860</v>
      </c>
      <c r="AD820">
        <v>19.999999999999979</v>
      </c>
      <c r="AE820" t="str">
        <v>hour</v>
      </c>
    </row>
    <row r="821" spans="1:31" hidden="1" x14ac:dyDescent="0.25">
      <c r="A821">
        <v>820</v>
      </c>
      <c r="B821">
        <v>2026</v>
      </c>
      <c r="C821">
        <v>2</v>
      </c>
      <c r="D821">
        <v>31</v>
      </c>
      <c r="E821">
        <v>13</v>
      </c>
      <c r="F821" t="str">
        <v>10ON175</v>
      </c>
      <c r="G821" s="61">
        <v>15.999999999999972</v>
      </c>
      <c r="H821" t="str">
        <v>hour</v>
      </c>
      <c r="I821">
        <v>0</v>
      </c>
      <c r="J821">
        <v>189</v>
      </c>
      <c r="K821" s="61">
        <v>6.25</v>
      </c>
      <c r="L821" s="61">
        <v>99.999999999999829</v>
      </c>
      <c r="AA821">
        <v>31</v>
      </c>
      <c r="AB821">
        <v>13</v>
      </c>
      <c r="AC821" t="str">
        <v>90GG153</v>
      </c>
      <c r="AD821">
        <v>3.0000000000000018</v>
      </c>
      <c r="AE821" t="str">
        <v>hour</v>
      </c>
    </row>
    <row r="822" spans="1:31" hidden="1" x14ac:dyDescent="0.25">
      <c r="A822">
        <v>821</v>
      </c>
      <c r="B822">
        <v>2026</v>
      </c>
      <c r="C822">
        <v>2</v>
      </c>
      <c r="D822">
        <v>31</v>
      </c>
      <c r="E822">
        <v>13</v>
      </c>
      <c r="F822" t="str">
        <v>27BZ361</v>
      </c>
      <c r="G822" s="61">
        <v>19.999999999999975</v>
      </c>
      <c r="H822" t="str">
        <v>hour</v>
      </c>
      <c r="I822">
        <v>0</v>
      </c>
      <c r="J822">
        <v>191</v>
      </c>
      <c r="K822" s="61">
        <v>5.5357142857142856</v>
      </c>
      <c r="L822" s="61">
        <v>110.71428571428558</v>
      </c>
      <c r="AA822">
        <v>31</v>
      </c>
      <c r="AB822">
        <v>13</v>
      </c>
      <c r="AC822" t="str">
        <v>53BD239</v>
      </c>
      <c r="AD822">
        <v>15.999999999999989</v>
      </c>
      <c r="AE822" t="str">
        <v>hour</v>
      </c>
    </row>
    <row r="823" spans="1:31" hidden="1" x14ac:dyDescent="0.25">
      <c r="A823">
        <v>822</v>
      </c>
      <c r="B823">
        <v>2026</v>
      </c>
      <c r="C823">
        <v>2</v>
      </c>
      <c r="D823">
        <v>31</v>
      </c>
      <c r="E823">
        <v>13</v>
      </c>
      <c r="F823" t="str">
        <v>10ZU722</v>
      </c>
      <c r="G823" s="61">
        <v>49.999999999999986</v>
      </c>
      <c r="H823" t="str">
        <v>hour</v>
      </c>
      <c r="I823">
        <v>0</v>
      </c>
      <c r="J823">
        <v>193</v>
      </c>
      <c r="K823" s="61">
        <v>6.25</v>
      </c>
      <c r="L823" s="61">
        <v>312.49999999999989</v>
      </c>
      <c r="AA823">
        <v>31</v>
      </c>
      <c r="AB823">
        <v>13</v>
      </c>
      <c r="AC823" t="str">
        <v>99GN495</v>
      </c>
      <c r="AD823">
        <v>2</v>
      </c>
      <c r="AE823" t="str">
        <v>hour</v>
      </c>
    </row>
    <row r="824" spans="1:31" hidden="1" x14ac:dyDescent="0.25">
      <c r="A824">
        <v>823</v>
      </c>
      <c r="B824">
        <v>2026</v>
      </c>
      <c r="C824">
        <v>2</v>
      </c>
      <c r="D824">
        <v>31</v>
      </c>
      <c r="E824">
        <v>13</v>
      </c>
      <c r="F824" t="str">
        <v>38BG860</v>
      </c>
      <c r="G824" s="61">
        <v>19.999999999999979</v>
      </c>
      <c r="H824" t="str">
        <v>hour</v>
      </c>
      <c r="I824">
        <v>0</v>
      </c>
      <c r="J824">
        <v>197</v>
      </c>
      <c r="K824" s="61">
        <v>5.5357142857142856</v>
      </c>
      <c r="L824" s="61">
        <v>110.71428571428559</v>
      </c>
      <c r="AA824">
        <v>31</v>
      </c>
      <c r="AB824">
        <v>14</v>
      </c>
      <c r="AC824" t="str">
        <v>90GG153</v>
      </c>
      <c r="AD824">
        <v>15</v>
      </c>
      <c r="AE824" t="str">
        <v>hour</v>
      </c>
    </row>
    <row r="825" spans="1:31" hidden="1" x14ac:dyDescent="0.25">
      <c r="A825">
        <v>824</v>
      </c>
      <c r="B825">
        <v>2026</v>
      </c>
      <c r="C825">
        <v>2</v>
      </c>
      <c r="D825">
        <v>31</v>
      </c>
      <c r="E825">
        <v>13</v>
      </c>
      <c r="F825" t="str">
        <v>90GG153</v>
      </c>
      <c r="G825" s="61">
        <v>3.0000000000000018</v>
      </c>
      <c r="H825" t="str">
        <v>hour</v>
      </c>
      <c r="I825">
        <v>0</v>
      </c>
      <c r="J825">
        <v>203</v>
      </c>
      <c r="K825" s="61">
        <v>16.071428571428573</v>
      </c>
      <c r="L825" s="61">
        <v>48.214285714285751</v>
      </c>
      <c r="AA825">
        <v>51</v>
      </c>
      <c r="AB825">
        <v>8</v>
      </c>
      <c r="AC825" t="str">
        <v>10AD071</v>
      </c>
      <c r="AD825">
        <v>3</v>
      </c>
      <c r="AE825" t="str">
        <v>hour</v>
      </c>
    </row>
    <row r="826" spans="1:31" hidden="1" x14ac:dyDescent="0.25">
      <c r="A826">
        <v>825</v>
      </c>
      <c r="B826">
        <v>2026</v>
      </c>
      <c r="C826">
        <v>2</v>
      </c>
      <c r="D826">
        <v>31</v>
      </c>
      <c r="E826">
        <v>13</v>
      </c>
      <c r="F826" t="str">
        <v>53BD239</v>
      </c>
      <c r="G826" s="61">
        <v>15.999999999999989</v>
      </c>
      <c r="H826" t="str">
        <v>hour</v>
      </c>
      <c r="I826">
        <v>0</v>
      </c>
      <c r="J826">
        <v>205</v>
      </c>
      <c r="K826" s="61">
        <v>6.25</v>
      </c>
      <c r="L826" s="61">
        <v>99.999999999999929</v>
      </c>
      <c r="AA826">
        <v>85</v>
      </c>
      <c r="AB826">
        <v>10</v>
      </c>
      <c r="AC826" t="str">
        <v>77SN951</v>
      </c>
      <c r="AD826">
        <v>47</v>
      </c>
      <c r="AE826" t="str">
        <v>hour</v>
      </c>
    </row>
    <row r="827" spans="1:31" hidden="1" x14ac:dyDescent="0.25">
      <c r="A827">
        <v>826</v>
      </c>
      <c r="B827">
        <v>2026</v>
      </c>
      <c r="C827">
        <v>2</v>
      </c>
      <c r="D827">
        <v>31</v>
      </c>
      <c r="E827">
        <v>13</v>
      </c>
      <c r="F827" t="str">
        <v>99GN495</v>
      </c>
      <c r="G827" s="61">
        <v>2</v>
      </c>
      <c r="H827" t="str">
        <v>hour</v>
      </c>
      <c r="I827">
        <v>0</v>
      </c>
      <c r="J827">
        <v>207</v>
      </c>
      <c r="K827" s="61">
        <v>6.25</v>
      </c>
      <c r="L827" s="61">
        <v>12.5</v>
      </c>
      <c r="AA827">
        <v>95</v>
      </c>
      <c r="AB827">
        <v>9</v>
      </c>
      <c r="AC827" t="str">
        <v>54BA209</v>
      </c>
      <c r="AD827">
        <v>3</v>
      </c>
      <c r="AE827" t="str">
        <v>hour</v>
      </c>
    </row>
    <row r="828" spans="1:31" hidden="1" x14ac:dyDescent="0.25">
      <c r="A828">
        <v>827</v>
      </c>
      <c r="B828">
        <v>2026</v>
      </c>
      <c r="C828">
        <v>3</v>
      </c>
      <c r="D828">
        <v>31</v>
      </c>
      <c r="E828">
        <v>14</v>
      </c>
      <c r="F828" t="str">
        <v>90GG153</v>
      </c>
      <c r="G828" s="61">
        <v>29</v>
      </c>
      <c r="H828" t="str">
        <v>single</v>
      </c>
      <c r="I828">
        <v>0</v>
      </c>
      <c r="J828">
        <v>202</v>
      </c>
      <c r="K828" s="61">
        <v>160.71428571428572</v>
      </c>
      <c r="L828" s="61">
        <v>4660.7142857142862</v>
      </c>
      <c r="AA828">
        <v>102</v>
      </c>
      <c r="AB828">
        <v>8</v>
      </c>
      <c r="AC828" t="str">
        <v>10MF640</v>
      </c>
      <c r="AD828">
        <v>26</v>
      </c>
      <c r="AE828" t="str">
        <v>hour</v>
      </c>
    </row>
    <row r="829" spans="1:31" hidden="1" x14ac:dyDescent="0.25">
      <c r="A829">
        <v>828</v>
      </c>
      <c r="B829">
        <v>2026</v>
      </c>
      <c r="C829">
        <v>3</v>
      </c>
      <c r="D829">
        <v>31</v>
      </c>
      <c r="E829">
        <v>14</v>
      </c>
      <c r="F829" t="str">
        <v>90GG153</v>
      </c>
      <c r="G829" s="61">
        <v>15</v>
      </c>
      <c r="H829" t="str">
        <v>hour</v>
      </c>
      <c r="I829">
        <v>0</v>
      </c>
      <c r="J829">
        <v>203</v>
      </c>
      <c r="K829" s="61">
        <v>16.071428571428573</v>
      </c>
      <c r="L829" s="61">
        <v>241.07142857142858</v>
      </c>
      <c r="AA829">
        <v>141</v>
      </c>
      <c r="AB829">
        <v>5</v>
      </c>
      <c r="AC829" t="str">
        <v>10V288</v>
      </c>
      <c r="AD829">
        <v>29</v>
      </c>
      <c r="AE829" t="str">
        <v>hour</v>
      </c>
    </row>
    <row r="830" spans="1:31" hidden="1" x14ac:dyDescent="0.25">
      <c r="A830">
        <v>829</v>
      </c>
      <c r="B830">
        <v>2024</v>
      </c>
      <c r="C830">
        <v>12</v>
      </c>
      <c r="D830">
        <v>11</v>
      </c>
      <c r="E830">
        <v>1</v>
      </c>
      <c r="F830">
        <v>0</v>
      </c>
      <c r="G830" s="61">
        <v>1</v>
      </c>
      <c r="H830">
        <v>0</v>
      </c>
      <c r="I830">
        <v>0</v>
      </c>
      <c r="J830">
        <v>1</v>
      </c>
      <c r="K830" s="61">
        <v>5500</v>
      </c>
      <c r="L830" s="61">
        <v>5500</v>
      </c>
      <c r="AA830">
        <v>182</v>
      </c>
      <c r="AB830">
        <v>2</v>
      </c>
      <c r="AC830" t="str">
        <v>77VS178</v>
      </c>
      <c r="AD830">
        <v>3</v>
      </c>
      <c r="AE830" t="str">
        <v>hour</v>
      </c>
    </row>
    <row r="831" spans="1:31" hidden="1" x14ac:dyDescent="0.25">
      <c r="A831">
        <v>830</v>
      </c>
      <c r="B831">
        <v>2024</v>
      </c>
      <c r="C831">
        <v>12</v>
      </c>
      <c r="D831">
        <v>11</v>
      </c>
      <c r="E831">
        <v>1</v>
      </c>
      <c r="F831">
        <v>0</v>
      </c>
      <c r="G831" s="61">
        <v>8</v>
      </c>
      <c r="H831">
        <v>0</v>
      </c>
      <c r="I831">
        <v>0</v>
      </c>
      <c r="J831">
        <v>2</v>
      </c>
      <c r="K831" s="61">
        <v>200</v>
      </c>
      <c r="L831" s="61">
        <v>1600</v>
      </c>
      <c r="AA831">
        <v>85</v>
      </c>
      <c r="AB831">
        <v>10</v>
      </c>
      <c r="AC831" t="str">
        <v>77SN951</v>
      </c>
      <c r="AD831">
        <v>7</v>
      </c>
      <c r="AE831" t="str">
        <v>hour</v>
      </c>
    </row>
    <row r="832" spans="1:31" hidden="1" x14ac:dyDescent="0.25">
      <c r="A832">
        <v>831</v>
      </c>
      <c r="B832">
        <v>2024</v>
      </c>
      <c r="C832">
        <v>12</v>
      </c>
      <c r="D832">
        <v>11</v>
      </c>
      <c r="E832">
        <v>1</v>
      </c>
      <c r="F832">
        <v>0</v>
      </c>
      <c r="G832" s="61">
        <v>12</v>
      </c>
      <c r="H832">
        <v>0</v>
      </c>
      <c r="I832">
        <v>0</v>
      </c>
      <c r="J832">
        <v>3</v>
      </c>
      <c r="K832" s="61">
        <v>100</v>
      </c>
      <c r="L832" s="61">
        <v>1200</v>
      </c>
      <c r="AA832">
        <v>31</v>
      </c>
      <c r="AB832">
        <v>2</v>
      </c>
      <c r="AC832" t="str">
        <v>99LT168</v>
      </c>
      <c r="AD832">
        <v>5286</v>
      </c>
      <c r="AE832" t="str">
        <v>dist</v>
      </c>
    </row>
    <row r="833" spans="1:31" hidden="1" x14ac:dyDescent="0.25">
      <c r="A833">
        <v>832</v>
      </c>
      <c r="B833">
        <v>2025</v>
      </c>
      <c r="C833">
        <v>2</v>
      </c>
      <c r="D833">
        <v>11</v>
      </c>
      <c r="E833">
        <v>2</v>
      </c>
      <c r="F833">
        <v>0</v>
      </c>
      <c r="G833" s="61">
        <v>1</v>
      </c>
      <c r="H833">
        <v>0</v>
      </c>
      <c r="I833">
        <v>0</v>
      </c>
      <c r="J833">
        <v>1</v>
      </c>
      <c r="K833" s="61">
        <v>5500</v>
      </c>
      <c r="L833" s="61">
        <v>5500</v>
      </c>
      <c r="AA833">
        <v>31</v>
      </c>
      <c r="AB833">
        <v>2</v>
      </c>
      <c r="AC833" t="str">
        <v>90OV187</v>
      </c>
      <c r="AD833">
        <v>5941</v>
      </c>
      <c r="AE833" t="str">
        <v>dist</v>
      </c>
    </row>
    <row r="834" spans="1:31" hidden="1" x14ac:dyDescent="0.25">
      <c r="A834">
        <v>833</v>
      </c>
      <c r="B834">
        <v>2025</v>
      </c>
      <c r="C834">
        <v>2</v>
      </c>
      <c r="D834">
        <v>11</v>
      </c>
      <c r="E834">
        <v>2</v>
      </c>
      <c r="F834">
        <v>0</v>
      </c>
      <c r="G834" s="61">
        <v>3.0999999999999996</v>
      </c>
      <c r="H834">
        <v>0</v>
      </c>
      <c r="I834">
        <v>0</v>
      </c>
      <c r="J834">
        <v>2</v>
      </c>
      <c r="K834" s="61">
        <v>200</v>
      </c>
      <c r="L834" s="61">
        <v>619.99999999999989</v>
      </c>
      <c r="AA834">
        <v>31</v>
      </c>
      <c r="AB834">
        <v>2</v>
      </c>
      <c r="AC834" t="str">
        <v>99HZ395</v>
      </c>
      <c r="AD834">
        <v>4300</v>
      </c>
      <c r="AE834" t="str">
        <v>dist</v>
      </c>
    </row>
    <row r="835" spans="1:31" hidden="1" x14ac:dyDescent="0.25">
      <c r="A835">
        <v>834</v>
      </c>
      <c r="B835">
        <v>2025</v>
      </c>
      <c r="C835">
        <v>2</v>
      </c>
      <c r="D835">
        <v>11</v>
      </c>
      <c r="E835">
        <v>2</v>
      </c>
      <c r="F835">
        <v>0</v>
      </c>
      <c r="G835" s="61">
        <v>18</v>
      </c>
      <c r="H835">
        <v>0</v>
      </c>
      <c r="I835">
        <v>0</v>
      </c>
      <c r="J835">
        <v>3</v>
      </c>
      <c r="K835" s="61">
        <v>100</v>
      </c>
      <c r="L835" s="61">
        <v>1800</v>
      </c>
      <c r="AA835">
        <v>31</v>
      </c>
      <c r="AB835">
        <v>2</v>
      </c>
      <c r="AC835" t="str">
        <v>90ZP408</v>
      </c>
      <c r="AD835">
        <v>2288</v>
      </c>
      <c r="AE835" t="str">
        <v>dist</v>
      </c>
    </row>
    <row r="836" spans="1:31" hidden="1" x14ac:dyDescent="0.25">
      <c r="A836">
        <v>835</v>
      </c>
      <c r="B836">
        <v>2025</v>
      </c>
      <c r="C836">
        <v>2</v>
      </c>
      <c r="D836">
        <v>11</v>
      </c>
      <c r="E836">
        <v>2</v>
      </c>
      <c r="F836">
        <v>0</v>
      </c>
      <c r="G836" s="61">
        <v>1</v>
      </c>
      <c r="H836">
        <v>0</v>
      </c>
      <c r="I836">
        <v>0</v>
      </c>
      <c r="J836">
        <v>4</v>
      </c>
      <c r="K836" s="61">
        <v>300</v>
      </c>
      <c r="L836" s="61">
        <v>300</v>
      </c>
      <c r="AA836">
        <v>31</v>
      </c>
      <c r="AB836">
        <v>2</v>
      </c>
      <c r="AC836" t="str">
        <v>66CC029</v>
      </c>
      <c r="AD836">
        <v>949</v>
      </c>
      <c r="AE836" t="str">
        <v>dist</v>
      </c>
    </row>
    <row r="837" spans="1:31" hidden="1" x14ac:dyDescent="0.25">
      <c r="A837">
        <v>836</v>
      </c>
      <c r="B837">
        <v>2025</v>
      </c>
      <c r="C837">
        <v>2</v>
      </c>
      <c r="D837">
        <v>11</v>
      </c>
      <c r="E837">
        <v>2</v>
      </c>
      <c r="F837">
        <v>0</v>
      </c>
      <c r="G837" s="61">
        <v>1</v>
      </c>
      <c r="H837">
        <v>0</v>
      </c>
      <c r="I837">
        <v>0</v>
      </c>
      <c r="J837">
        <v>5</v>
      </c>
      <c r="K837" s="61">
        <v>540</v>
      </c>
      <c r="L837" s="61">
        <v>540</v>
      </c>
      <c r="AA837">
        <v>31</v>
      </c>
      <c r="AB837">
        <v>2</v>
      </c>
      <c r="AC837" t="str">
        <v>90SL686</v>
      </c>
      <c r="AD837">
        <v>7084</v>
      </c>
      <c r="AE837" t="str">
        <v>dist</v>
      </c>
    </row>
    <row r="838" spans="1:31" hidden="1" x14ac:dyDescent="0.25">
      <c r="A838">
        <v>837</v>
      </c>
      <c r="B838">
        <v>2025</v>
      </c>
      <c r="C838">
        <v>3</v>
      </c>
      <c r="D838">
        <v>11</v>
      </c>
      <c r="E838">
        <v>3</v>
      </c>
      <c r="F838">
        <v>0</v>
      </c>
      <c r="G838" s="61">
        <v>1</v>
      </c>
      <c r="H838">
        <v>0</v>
      </c>
      <c r="I838">
        <v>0</v>
      </c>
      <c r="J838">
        <v>1</v>
      </c>
      <c r="K838" s="61">
        <v>5500</v>
      </c>
      <c r="L838" s="61">
        <v>5500</v>
      </c>
      <c r="AA838">
        <v>31</v>
      </c>
      <c r="AB838">
        <v>2</v>
      </c>
      <c r="AC838" t="str">
        <v>55CB633</v>
      </c>
      <c r="AD838">
        <v>2400</v>
      </c>
      <c r="AE838" t="str">
        <v>dist</v>
      </c>
    </row>
    <row r="839" spans="1:31" hidden="1" x14ac:dyDescent="0.25">
      <c r="A839">
        <v>838</v>
      </c>
      <c r="B839">
        <v>2025</v>
      </c>
      <c r="C839">
        <v>3</v>
      </c>
      <c r="D839">
        <v>11</v>
      </c>
      <c r="E839">
        <v>3</v>
      </c>
      <c r="F839">
        <v>0</v>
      </c>
      <c r="G839" s="61">
        <v>13</v>
      </c>
      <c r="H839">
        <v>0</v>
      </c>
      <c r="I839">
        <v>0</v>
      </c>
      <c r="J839">
        <v>2</v>
      </c>
      <c r="K839" s="61">
        <v>200</v>
      </c>
      <c r="L839" s="61">
        <v>2600</v>
      </c>
      <c r="AA839">
        <v>31</v>
      </c>
      <c r="AB839">
        <v>2</v>
      </c>
      <c r="AC839" t="str">
        <v>77GM723</v>
      </c>
      <c r="AD839">
        <v>7372</v>
      </c>
      <c r="AE839" t="str">
        <v>dist</v>
      </c>
    </row>
    <row r="840" spans="1:31" hidden="1" x14ac:dyDescent="0.25">
      <c r="A840">
        <v>839</v>
      </c>
      <c r="B840">
        <v>2025</v>
      </c>
      <c r="C840">
        <v>3</v>
      </c>
      <c r="D840">
        <v>11</v>
      </c>
      <c r="E840">
        <v>3</v>
      </c>
      <c r="F840">
        <v>0</v>
      </c>
      <c r="G840" s="61">
        <v>14</v>
      </c>
      <c r="H840">
        <v>0</v>
      </c>
      <c r="I840">
        <v>0</v>
      </c>
      <c r="J840">
        <v>3</v>
      </c>
      <c r="K840" s="61">
        <v>100</v>
      </c>
      <c r="L840" s="61">
        <v>1400</v>
      </c>
      <c r="AA840">
        <v>31</v>
      </c>
      <c r="AB840">
        <v>2</v>
      </c>
      <c r="AC840" t="str">
        <v>99DX531</v>
      </c>
      <c r="AD840">
        <v>3304</v>
      </c>
      <c r="AE840" t="str">
        <v>dist</v>
      </c>
    </row>
    <row r="841" spans="1:31" hidden="1" x14ac:dyDescent="0.25">
      <c r="A841">
        <v>840</v>
      </c>
      <c r="B841">
        <v>2025</v>
      </c>
      <c r="C841">
        <v>3</v>
      </c>
      <c r="D841">
        <v>11</v>
      </c>
      <c r="E841">
        <v>3</v>
      </c>
      <c r="F841">
        <v>0</v>
      </c>
      <c r="G841" s="61">
        <v>1</v>
      </c>
      <c r="H841">
        <v>0</v>
      </c>
      <c r="I841">
        <v>0</v>
      </c>
      <c r="J841">
        <v>6</v>
      </c>
      <c r="K841" s="61">
        <v>1000</v>
      </c>
      <c r="L841" s="61">
        <v>1000</v>
      </c>
      <c r="AA841">
        <v>31</v>
      </c>
      <c r="AB841">
        <v>2</v>
      </c>
      <c r="AC841" t="str">
        <v>15BZ942</v>
      </c>
      <c r="AD841">
        <v>3934</v>
      </c>
      <c r="AE841" t="str">
        <v>dist</v>
      </c>
    </row>
    <row r="842" spans="1:31" hidden="1" x14ac:dyDescent="0.25">
      <c r="A842">
        <v>841</v>
      </c>
      <c r="B842">
        <v>2025</v>
      </c>
      <c r="C842">
        <v>3</v>
      </c>
      <c r="D842">
        <v>11</v>
      </c>
      <c r="E842">
        <v>3</v>
      </c>
      <c r="F842">
        <v>0</v>
      </c>
      <c r="G842" s="61">
        <v>4</v>
      </c>
      <c r="H842">
        <v>0</v>
      </c>
      <c r="I842">
        <v>0</v>
      </c>
      <c r="J842">
        <v>7</v>
      </c>
      <c r="K842" s="61">
        <v>110</v>
      </c>
      <c r="L842" s="61">
        <v>440</v>
      </c>
      <c r="AA842">
        <v>31</v>
      </c>
      <c r="AB842">
        <v>2</v>
      </c>
      <c r="AC842" t="str">
        <v>99BT339</v>
      </c>
      <c r="AD842">
        <v>2558</v>
      </c>
      <c r="AE842" t="str">
        <v>dist</v>
      </c>
    </row>
    <row r="843" spans="1:31" hidden="1" x14ac:dyDescent="0.25">
      <c r="A843">
        <v>842</v>
      </c>
      <c r="B843">
        <v>2025</v>
      </c>
      <c r="C843">
        <v>4</v>
      </c>
      <c r="D843">
        <v>11</v>
      </c>
      <c r="E843">
        <v>4</v>
      </c>
      <c r="F843">
        <v>0</v>
      </c>
      <c r="G843" s="61">
        <v>1</v>
      </c>
      <c r="H843">
        <v>0</v>
      </c>
      <c r="I843">
        <v>0</v>
      </c>
      <c r="J843">
        <v>1</v>
      </c>
      <c r="K843" s="61">
        <v>5500</v>
      </c>
      <c r="L843" s="61">
        <v>5500</v>
      </c>
      <c r="AA843">
        <v>31</v>
      </c>
      <c r="AB843">
        <v>2</v>
      </c>
      <c r="AC843" t="str">
        <v>77ET143</v>
      </c>
      <c r="AD843">
        <v>1856</v>
      </c>
      <c r="AE843" t="str">
        <v>dist</v>
      </c>
    </row>
    <row r="844" spans="1:31" hidden="1" x14ac:dyDescent="0.25">
      <c r="A844">
        <v>843</v>
      </c>
      <c r="B844">
        <v>2025</v>
      </c>
      <c r="C844">
        <v>4</v>
      </c>
      <c r="D844">
        <v>11</v>
      </c>
      <c r="E844">
        <v>4</v>
      </c>
      <c r="F844">
        <v>0</v>
      </c>
      <c r="G844" s="61">
        <v>6</v>
      </c>
      <c r="H844">
        <v>0</v>
      </c>
      <c r="I844">
        <v>0</v>
      </c>
      <c r="J844">
        <v>2</v>
      </c>
      <c r="K844" s="61">
        <v>200</v>
      </c>
      <c r="L844" s="61">
        <v>1200</v>
      </c>
      <c r="AA844">
        <v>31</v>
      </c>
      <c r="AB844">
        <v>2</v>
      </c>
      <c r="AC844" t="str">
        <v>50DK730</v>
      </c>
      <c r="AD844">
        <v>7361</v>
      </c>
      <c r="AE844" t="str">
        <v>dist</v>
      </c>
    </row>
    <row r="845" spans="1:31" hidden="1" x14ac:dyDescent="0.25">
      <c r="A845">
        <v>844</v>
      </c>
      <c r="B845">
        <v>2025</v>
      </c>
      <c r="C845">
        <v>4</v>
      </c>
      <c r="D845">
        <v>11</v>
      </c>
      <c r="E845">
        <v>4</v>
      </c>
      <c r="F845">
        <v>0</v>
      </c>
      <c r="G845" s="61">
        <v>8</v>
      </c>
      <c r="H845">
        <v>0</v>
      </c>
      <c r="I845">
        <v>0</v>
      </c>
      <c r="J845">
        <v>3</v>
      </c>
      <c r="K845" s="61">
        <v>100</v>
      </c>
      <c r="L845" s="61">
        <v>800</v>
      </c>
      <c r="AA845">
        <v>31</v>
      </c>
      <c r="AB845">
        <v>2</v>
      </c>
      <c r="AC845" t="str">
        <v>99MN472</v>
      </c>
      <c r="AD845">
        <v>4310</v>
      </c>
      <c r="AE845" t="str">
        <v>dist</v>
      </c>
    </row>
    <row r="846" spans="1:31" hidden="1" x14ac:dyDescent="0.25">
      <c r="A846">
        <v>845</v>
      </c>
      <c r="B846">
        <v>2025</v>
      </c>
      <c r="C846">
        <v>5</v>
      </c>
      <c r="D846">
        <v>11</v>
      </c>
      <c r="E846">
        <v>5</v>
      </c>
      <c r="F846">
        <v>0</v>
      </c>
      <c r="G846" s="61">
        <v>1</v>
      </c>
      <c r="H846">
        <v>0</v>
      </c>
      <c r="I846">
        <v>0</v>
      </c>
      <c r="J846">
        <v>1</v>
      </c>
      <c r="K846" s="61">
        <v>5500</v>
      </c>
      <c r="L846" s="61">
        <v>5500</v>
      </c>
      <c r="AA846">
        <v>31</v>
      </c>
      <c r="AB846">
        <v>2</v>
      </c>
      <c r="AC846" t="str">
        <v>52BK688</v>
      </c>
      <c r="AD846">
        <v>5260</v>
      </c>
      <c r="AE846" t="str">
        <v>dist</v>
      </c>
    </row>
    <row r="847" spans="1:31" hidden="1" x14ac:dyDescent="0.25">
      <c r="A847">
        <v>846</v>
      </c>
      <c r="B847">
        <v>2025</v>
      </c>
      <c r="C847">
        <v>5</v>
      </c>
      <c r="D847">
        <v>11</v>
      </c>
      <c r="E847">
        <v>5</v>
      </c>
      <c r="F847">
        <v>0</v>
      </c>
      <c r="G847" s="61">
        <v>8</v>
      </c>
      <c r="H847">
        <v>0</v>
      </c>
      <c r="I847">
        <v>0</v>
      </c>
      <c r="J847">
        <v>2</v>
      </c>
      <c r="K847" s="61">
        <v>200</v>
      </c>
      <c r="L847" s="61">
        <v>1600</v>
      </c>
      <c r="AA847">
        <v>31</v>
      </c>
      <c r="AB847">
        <v>2</v>
      </c>
      <c r="AC847" t="str">
        <v>10RN527</v>
      </c>
      <c r="AD847">
        <v>2053</v>
      </c>
      <c r="AE847" t="str">
        <v>dist</v>
      </c>
    </row>
    <row r="848" spans="1:31" hidden="1" x14ac:dyDescent="0.25">
      <c r="A848">
        <v>847</v>
      </c>
      <c r="B848">
        <v>2025</v>
      </c>
      <c r="C848">
        <v>5</v>
      </c>
      <c r="D848">
        <v>11</v>
      </c>
      <c r="E848">
        <v>5</v>
      </c>
      <c r="F848">
        <v>0</v>
      </c>
      <c r="G848" s="61">
        <v>12</v>
      </c>
      <c r="H848">
        <v>0</v>
      </c>
      <c r="I848">
        <v>0</v>
      </c>
      <c r="J848">
        <v>3</v>
      </c>
      <c r="K848" s="61">
        <v>100</v>
      </c>
      <c r="L848" s="61">
        <v>1200</v>
      </c>
      <c r="AA848">
        <v>31</v>
      </c>
      <c r="AB848">
        <v>2</v>
      </c>
      <c r="AC848" t="str">
        <v>77RN868</v>
      </c>
      <c r="AD848">
        <v>1921</v>
      </c>
      <c r="AE848" t="str">
        <v>dist</v>
      </c>
    </row>
    <row r="849" spans="1:31" hidden="1" x14ac:dyDescent="0.25">
      <c r="A849">
        <v>848</v>
      </c>
      <c r="B849">
        <v>2025</v>
      </c>
      <c r="C849">
        <v>5</v>
      </c>
      <c r="D849">
        <v>11</v>
      </c>
      <c r="E849">
        <v>5</v>
      </c>
      <c r="F849">
        <v>0</v>
      </c>
      <c r="G849" s="61">
        <v>1</v>
      </c>
      <c r="H849">
        <v>0</v>
      </c>
      <c r="I849">
        <v>0</v>
      </c>
      <c r="J849">
        <v>6</v>
      </c>
      <c r="K849" s="61">
        <v>1000</v>
      </c>
      <c r="L849" s="61">
        <v>1000</v>
      </c>
      <c r="AA849">
        <v>31</v>
      </c>
      <c r="AB849">
        <v>2</v>
      </c>
      <c r="AC849" t="str">
        <v>99LM412</v>
      </c>
      <c r="AD849">
        <v>295</v>
      </c>
      <c r="AE849" t="str">
        <v>dist</v>
      </c>
    </row>
    <row r="850" spans="1:31" hidden="1" x14ac:dyDescent="0.25">
      <c r="A850">
        <v>849</v>
      </c>
      <c r="B850">
        <v>2025</v>
      </c>
      <c r="C850">
        <v>5</v>
      </c>
      <c r="D850">
        <v>11</v>
      </c>
      <c r="E850">
        <v>5</v>
      </c>
      <c r="F850">
        <v>0</v>
      </c>
      <c r="G850" s="61">
        <v>2</v>
      </c>
      <c r="H850">
        <v>0</v>
      </c>
      <c r="I850">
        <v>0</v>
      </c>
      <c r="J850">
        <v>8</v>
      </c>
      <c r="K850" s="61">
        <v>357</v>
      </c>
      <c r="L850" s="61">
        <v>714</v>
      </c>
      <c r="AA850">
        <v>31</v>
      </c>
      <c r="AB850">
        <v>2</v>
      </c>
      <c r="AC850" t="str">
        <v>99TV366</v>
      </c>
      <c r="AD850">
        <v>821</v>
      </c>
      <c r="AE850" t="str">
        <v>dist</v>
      </c>
    </row>
    <row r="851" spans="1:31" hidden="1" x14ac:dyDescent="0.25">
      <c r="A851">
        <v>850</v>
      </c>
      <c r="B851">
        <v>2025</v>
      </c>
      <c r="C851">
        <v>6</v>
      </c>
      <c r="D851">
        <v>11</v>
      </c>
      <c r="E851">
        <v>6</v>
      </c>
      <c r="F851">
        <v>0</v>
      </c>
      <c r="G851" s="61">
        <v>1</v>
      </c>
      <c r="H851">
        <v>0</v>
      </c>
      <c r="I851">
        <v>0</v>
      </c>
      <c r="J851">
        <v>1</v>
      </c>
      <c r="K851" s="61">
        <v>5500</v>
      </c>
      <c r="L851" s="61">
        <v>5500</v>
      </c>
      <c r="AA851">
        <v>31</v>
      </c>
      <c r="AB851">
        <v>3</v>
      </c>
      <c r="AC851" t="str">
        <v>99HZ395</v>
      </c>
      <c r="AD851">
        <v>4605</v>
      </c>
      <c r="AE851" t="str">
        <v>dist</v>
      </c>
    </row>
    <row r="852" spans="1:31" hidden="1" x14ac:dyDescent="0.25">
      <c r="A852">
        <v>851</v>
      </c>
      <c r="B852">
        <v>2025</v>
      </c>
      <c r="C852">
        <v>6</v>
      </c>
      <c r="D852">
        <v>11</v>
      </c>
      <c r="E852">
        <v>6</v>
      </c>
      <c r="F852">
        <v>0</v>
      </c>
      <c r="G852" s="61">
        <v>8</v>
      </c>
      <c r="H852">
        <v>0</v>
      </c>
      <c r="I852">
        <v>0</v>
      </c>
      <c r="J852">
        <v>2</v>
      </c>
      <c r="K852" s="61">
        <v>200</v>
      </c>
      <c r="L852" s="61">
        <v>1600</v>
      </c>
      <c r="AA852">
        <v>31</v>
      </c>
      <c r="AB852">
        <v>3</v>
      </c>
      <c r="AC852" t="str">
        <v>90ZP408</v>
      </c>
      <c r="AD852">
        <v>2803</v>
      </c>
      <c r="AE852" t="str">
        <v>dist</v>
      </c>
    </row>
    <row r="853" spans="1:31" hidden="1" x14ac:dyDescent="0.25">
      <c r="A853">
        <v>852</v>
      </c>
      <c r="B853">
        <v>2025</v>
      </c>
      <c r="C853">
        <v>6</v>
      </c>
      <c r="D853">
        <v>11</v>
      </c>
      <c r="E853">
        <v>6</v>
      </c>
      <c r="F853">
        <v>0</v>
      </c>
      <c r="G853" s="61">
        <v>12</v>
      </c>
      <c r="H853">
        <v>0</v>
      </c>
      <c r="I853">
        <v>0</v>
      </c>
      <c r="J853">
        <v>3</v>
      </c>
      <c r="K853" s="61">
        <v>100</v>
      </c>
      <c r="L853" s="61">
        <v>1200</v>
      </c>
      <c r="AA853">
        <v>31</v>
      </c>
      <c r="AB853">
        <v>3</v>
      </c>
      <c r="AC853" t="str">
        <v>66CC029</v>
      </c>
      <c r="AD853">
        <v>5354</v>
      </c>
      <c r="AE853" t="str">
        <v>dist</v>
      </c>
    </row>
    <row r="854" spans="1:31" hidden="1" x14ac:dyDescent="0.25">
      <c r="A854">
        <v>853</v>
      </c>
      <c r="B854">
        <v>2025</v>
      </c>
      <c r="C854">
        <v>6</v>
      </c>
      <c r="D854">
        <v>11</v>
      </c>
      <c r="E854">
        <v>6</v>
      </c>
      <c r="F854">
        <v>0</v>
      </c>
      <c r="G854" s="61">
        <v>1</v>
      </c>
      <c r="H854">
        <v>0</v>
      </c>
      <c r="I854">
        <v>0</v>
      </c>
      <c r="J854">
        <v>4</v>
      </c>
      <c r="K854" s="61">
        <v>300</v>
      </c>
      <c r="L854" s="61">
        <v>300</v>
      </c>
      <c r="AA854">
        <v>31</v>
      </c>
      <c r="AB854">
        <v>3</v>
      </c>
      <c r="AC854" t="str">
        <v>90SL686</v>
      </c>
      <c r="AD854">
        <v>6884</v>
      </c>
      <c r="AE854" t="str">
        <v>dist</v>
      </c>
    </row>
    <row r="855" spans="1:31" hidden="1" x14ac:dyDescent="0.25">
      <c r="A855">
        <v>854</v>
      </c>
      <c r="B855">
        <v>2025</v>
      </c>
      <c r="C855">
        <v>6</v>
      </c>
      <c r="D855">
        <v>11</v>
      </c>
      <c r="E855">
        <v>6</v>
      </c>
      <c r="F855">
        <v>0</v>
      </c>
      <c r="G855" s="61">
        <v>3</v>
      </c>
      <c r="H855">
        <v>0</v>
      </c>
      <c r="I855">
        <v>0</v>
      </c>
      <c r="J855">
        <v>9</v>
      </c>
      <c r="K855" s="61">
        <v>215</v>
      </c>
      <c r="L855" s="61">
        <v>645</v>
      </c>
      <c r="AA855">
        <v>31</v>
      </c>
      <c r="AB855">
        <v>3</v>
      </c>
      <c r="AC855" t="str">
        <v>55CB633</v>
      </c>
      <c r="AD855">
        <v>2918</v>
      </c>
      <c r="AE855" t="str">
        <v>dist</v>
      </c>
    </row>
    <row r="856" spans="1:31" hidden="1" x14ac:dyDescent="0.25">
      <c r="A856">
        <v>855</v>
      </c>
      <c r="B856">
        <v>2025</v>
      </c>
      <c r="C856">
        <v>7</v>
      </c>
      <c r="D856">
        <v>11</v>
      </c>
      <c r="E856">
        <v>7</v>
      </c>
      <c r="F856">
        <v>0</v>
      </c>
      <c r="G856" s="61">
        <v>2</v>
      </c>
      <c r="H856">
        <v>0</v>
      </c>
      <c r="I856">
        <v>0</v>
      </c>
      <c r="J856">
        <v>1</v>
      </c>
      <c r="K856" s="61">
        <v>5500</v>
      </c>
      <c r="L856" s="61">
        <v>11000</v>
      </c>
      <c r="AA856">
        <v>31</v>
      </c>
      <c r="AB856">
        <v>3</v>
      </c>
      <c r="AC856" t="str">
        <v>99BT339</v>
      </c>
      <c r="AD856">
        <v>3956</v>
      </c>
      <c r="AE856" t="str">
        <v>dist</v>
      </c>
    </row>
    <row r="857" spans="1:31" hidden="1" x14ac:dyDescent="0.25">
      <c r="A857">
        <v>856</v>
      </c>
      <c r="B857">
        <v>2025</v>
      </c>
      <c r="C857">
        <v>7</v>
      </c>
      <c r="D857">
        <v>11</v>
      </c>
      <c r="E857">
        <v>7</v>
      </c>
      <c r="F857">
        <v>0</v>
      </c>
      <c r="G857" s="61">
        <v>10</v>
      </c>
      <c r="H857">
        <v>0</v>
      </c>
      <c r="I857">
        <v>0</v>
      </c>
      <c r="J857">
        <v>2</v>
      </c>
      <c r="K857" s="61">
        <v>200</v>
      </c>
      <c r="L857" s="61">
        <v>2000</v>
      </c>
      <c r="AA857">
        <v>31</v>
      </c>
      <c r="AB857">
        <v>3</v>
      </c>
      <c r="AC857" t="str">
        <v>77ET143</v>
      </c>
      <c r="AD857">
        <v>2652</v>
      </c>
      <c r="AE857" t="str">
        <v>dist</v>
      </c>
    </row>
    <row r="858" spans="1:31" hidden="1" x14ac:dyDescent="0.25">
      <c r="A858">
        <v>857</v>
      </c>
      <c r="B858">
        <v>2025</v>
      </c>
      <c r="C858">
        <v>8</v>
      </c>
      <c r="D858">
        <v>11</v>
      </c>
      <c r="E858">
        <v>8</v>
      </c>
      <c r="F858">
        <v>0</v>
      </c>
      <c r="G858" s="61">
        <v>2</v>
      </c>
      <c r="H858">
        <v>0</v>
      </c>
      <c r="I858">
        <v>0</v>
      </c>
      <c r="J858">
        <v>1</v>
      </c>
      <c r="K858" s="61">
        <v>5500</v>
      </c>
      <c r="L858" s="61">
        <v>11000</v>
      </c>
      <c r="AA858">
        <v>31</v>
      </c>
      <c r="AB858">
        <v>3</v>
      </c>
      <c r="AC858" t="str">
        <v>50DK730</v>
      </c>
      <c r="AD858">
        <v>7737</v>
      </c>
      <c r="AE858" t="str">
        <v>dist</v>
      </c>
    </row>
    <row r="859" spans="1:31" hidden="1" x14ac:dyDescent="0.25">
      <c r="A859">
        <v>858</v>
      </c>
      <c r="B859">
        <v>2025</v>
      </c>
      <c r="C859">
        <v>8</v>
      </c>
      <c r="D859">
        <v>11</v>
      </c>
      <c r="E859">
        <v>8</v>
      </c>
      <c r="F859">
        <v>0</v>
      </c>
      <c r="G859" s="61">
        <v>14</v>
      </c>
      <c r="H859">
        <v>0</v>
      </c>
      <c r="I859">
        <v>0</v>
      </c>
      <c r="J859">
        <v>2</v>
      </c>
      <c r="K859" s="61">
        <v>200</v>
      </c>
      <c r="L859" s="61">
        <v>2800</v>
      </c>
      <c r="AA859">
        <v>31</v>
      </c>
      <c r="AB859">
        <v>3</v>
      </c>
      <c r="AC859" t="str">
        <v>99MN472</v>
      </c>
      <c r="AD859">
        <v>4458</v>
      </c>
      <c r="AE859" t="str">
        <v>dist</v>
      </c>
    </row>
    <row r="860" spans="1:31" hidden="1" x14ac:dyDescent="0.25">
      <c r="A860">
        <v>859</v>
      </c>
      <c r="B860">
        <v>2025</v>
      </c>
      <c r="C860">
        <v>8</v>
      </c>
      <c r="D860">
        <v>11</v>
      </c>
      <c r="E860">
        <v>8</v>
      </c>
      <c r="F860">
        <v>0</v>
      </c>
      <c r="G860" s="61">
        <v>12</v>
      </c>
      <c r="H860">
        <v>0</v>
      </c>
      <c r="I860">
        <v>0</v>
      </c>
      <c r="J860">
        <v>3</v>
      </c>
      <c r="K860" s="61">
        <v>100</v>
      </c>
      <c r="L860" s="61">
        <v>1200</v>
      </c>
      <c r="AA860">
        <v>31</v>
      </c>
      <c r="AB860">
        <v>3</v>
      </c>
      <c r="AC860" t="str">
        <v>52BK688</v>
      </c>
      <c r="AD860">
        <v>975</v>
      </c>
      <c r="AE860" t="str">
        <v>dist</v>
      </c>
    </row>
    <row r="861" spans="1:31" hidden="1" x14ac:dyDescent="0.25">
      <c r="A861">
        <v>860</v>
      </c>
      <c r="B861">
        <v>2025</v>
      </c>
      <c r="C861">
        <v>8</v>
      </c>
      <c r="D861">
        <v>11</v>
      </c>
      <c r="E861">
        <v>8</v>
      </c>
      <c r="F861">
        <v>0</v>
      </c>
      <c r="G861" s="61">
        <v>1</v>
      </c>
      <c r="H861">
        <v>0</v>
      </c>
      <c r="I861">
        <v>0</v>
      </c>
      <c r="J861">
        <v>6</v>
      </c>
      <c r="K861" s="61">
        <v>1000</v>
      </c>
      <c r="L861" s="61">
        <v>1000</v>
      </c>
      <c r="AA861">
        <v>31</v>
      </c>
      <c r="AB861">
        <v>3</v>
      </c>
      <c r="AC861" t="str">
        <v>77RN868</v>
      </c>
      <c r="AD861">
        <v>4040</v>
      </c>
      <c r="AE861" t="str">
        <v>dist</v>
      </c>
    </row>
    <row r="862" spans="1:31" hidden="1" x14ac:dyDescent="0.25">
      <c r="A862">
        <v>861</v>
      </c>
      <c r="B862">
        <v>2025</v>
      </c>
      <c r="C862">
        <v>9</v>
      </c>
      <c r="D862">
        <v>11</v>
      </c>
      <c r="E862">
        <v>9</v>
      </c>
      <c r="F862">
        <v>0</v>
      </c>
      <c r="G862" s="61">
        <v>2</v>
      </c>
      <c r="H862">
        <v>0</v>
      </c>
      <c r="I862">
        <v>0</v>
      </c>
      <c r="J862">
        <v>1</v>
      </c>
      <c r="K862" s="61">
        <v>5500</v>
      </c>
      <c r="L862" s="61">
        <v>11000</v>
      </c>
      <c r="AA862">
        <v>31</v>
      </c>
      <c r="AB862">
        <v>3</v>
      </c>
      <c r="AC862" t="str">
        <v>99LM412</v>
      </c>
      <c r="AD862">
        <v>1501</v>
      </c>
      <c r="AE862" t="str">
        <v>dist</v>
      </c>
    </row>
    <row r="863" spans="1:31" hidden="1" x14ac:dyDescent="0.25">
      <c r="A863">
        <v>862</v>
      </c>
      <c r="B863">
        <v>2025</v>
      </c>
      <c r="C863">
        <v>9</v>
      </c>
      <c r="D863">
        <v>11</v>
      </c>
      <c r="E863">
        <v>9</v>
      </c>
      <c r="F863">
        <v>0</v>
      </c>
      <c r="G863" s="61">
        <v>10</v>
      </c>
      <c r="H863">
        <v>0</v>
      </c>
      <c r="I863">
        <v>0</v>
      </c>
      <c r="J863">
        <v>2</v>
      </c>
      <c r="K863" s="61">
        <v>200</v>
      </c>
      <c r="L863" s="61">
        <v>2000</v>
      </c>
      <c r="AA863">
        <v>31</v>
      </c>
      <c r="AB863">
        <v>3</v>
      </c>
      <c r="AC863" t="str">
        <v>50BD165</v>
      </c>
      <c r="AD863">
        <v>966</v>
      </c>
      <c r="AE863" t="str">
        <v>dist</v>
      </c>
    </row>
    <row r="864" spans="1:31" hidden="1" x14ac:dyDescent="0.25">
      <c r="A864">
        <v>863</v>
      </c>
      <c r="B864">
        <v>2025</v>
      </c>
      <c r="C864">
        <v>10</v>
      </c>
      <c r="D864">
        <v>11</v>
      </c>
      <c r="E864">
        <v>10</v>
      </c>
      <c r="F864">
        <v>0</v>
      </c>
      <c r="G864" s="61">
        <v>2</v>
      </c>
      <c r="H864">
        <v>0</v>
      </c>
      <c r="I864">
        <v>0</v>
      </c>
      <c r="J864">
        <v>1</v>
      </c>
      <c r="K864" s="61">
        <v>5500</v>
      </c>
      <c r="L864" s="61">
        <v>11000</v>
      </c>
      <c r="AA864">
        <v>31</v>
      </c>
      <c r="AB864">
        <v>3</v>
      </c>
      <c r="AC864" t="str">
        <v>77QE133</v>
      </c>
      <c r="AD864">
        <v>1592</v>
      </c>
      <c r="AE864" t="str">
        <v>dist</v>
      </c>
    </row>
    <row r="865" spans="1:31" hidden="1" x14ac:dyDescent="0.25">
      <c r="A865">
        <v>864</v>
      </c>
      <c r="B865">
        <v>2025</v>
      </c>
      <c r="C865">
        <v>10</v>
      </c>
      <c r="D865">
        <v>11</v>
      </c>
      <c r="E865">
        <v>10</v>
      </c>
      <c r="F865">
        <v>0</v>
      </c>
      <c r="G865" s="61">
        <v>12</v>
      </c>
      <c r="H865">
        <v>0</v>
      </c>
      <c r="I865">
        <v>0</v>
      </c>
      <c r="J865">
        <v>2</v>
      </c>
      <c r="K865" s="61">
        <v>200</v>
      </c>
      <c r="L865" s="61">
        <v>2400</v>
      </c>
      <c r="AA865">
        <v>31</v>
      </c>
      <c r="AB865">
        <v>4</v>
      </c>
      <c r="AC865" t="str">
        <v>99HZ395</v>
      </c>
      <c r="AD865">
        <v>5134</v>
      </c>
      <c r="AE865" t="str">
        <v>dist</v>
      </c>
    </row>
    <row r="866" spans="1:31" hidden="1" x14ac:dyDescent="0.25">
      <c r="A866">
        <v>865</v>
      </c>
      <c r="B866">
        <v>2025</v>
      </c>
      <c r="C866">
        <v>10</v>
      </c>
      <c r="D866">
        <v>11</v>
      </c>
      <c r="E866">
        <v>10</v>
      </c>
      <c r="F866">
        <v>0</v>
      </c>
      <c r="G866" s="61">
        <v>24</v>
      </c>
      <c r="H866">
        <v>0</v>
      </c>
      <c r="I866">
        <v>0</v>
      </c>
      <c r="J866">
        <v>3</v>
      </c>
      <c r="K866" s="61">
        <v>100</v>
      </c>
      <c r="L866" s="61">
        <v>2400</v>
      </c>
      <c r="AA866">
        <v>31</v>
      </c>
      <c r="AB866">
        <v>4</v>
      </c>
      <c r="AC866" t="str">
        <v>90ZP408</v>
      </c>
      <c r="AD866">
        <v>896</v>
      </c>
      <c r="AE866" t="str">
        <v>dist</v>
      </c>
    </row>
    <row r="867" spans="1:31" hidden="1" x14ac:dyDescent="0.25">
      <c r="A867">
        <v>866</v>
      </c>
      <c r="B867">
        <v>2025</v>
      </c>
      <c r="C867">
        <v>11</v>
      </c>
      <c r="D867">
        <v>11</v>
      </c>
      <c r="E867">
        <v>11</v>
      </c>
      <c r="F867">
        <v>0</v>
      </c>
      <c r="G867" s="61">
        <v>1</v>
      </c>
      <c r="H867">
        <v>0</v>
      </c>
      <c r="I867">
        <v>0</v>
      </c>
      <c r="J867">
        <v>1</v>
      </c>
      <c r="K867" s="61">
        <v>5500</v>
      </c>
      <c r="L867" s="61">
        <v>5500</v>
      </c>
      <c r="AA867">
        <v>31</v>
      </c>
      <c r="AB867">
        <v>4</v>
      </c>
      <c r="AC867" t="str">
        <v>66CC029</v>
      </c>
      <c r="AD867">
        <v>5403</v>
      </c>
      <c r="AE867" t="str">
        <v>dist</v>
      </c>
    </row>
    <row r="868" spans="1:31" hidden="1" x14ac:dyDescent="0.25">
      <c r="A868">
        <v>867</v>
      </c>
      <c r="B868">
        <v>2025</v>
      </c>
      <c r="C868">
        <v>11</v>
      </c>
      <c r="D868">
        <v>11</v>
      </c>
      <c r="E868">
        <v>11</v>
      </c>
      <c r="F868">
        <v>0</v>
      </c>
      <c r="G868" s="61">
        <v>15.363636363636401</v>
      </c>
      <c r="H868">
        <v>0</v>
      </c>
      <c r="I868">
        <v>0</v>
      </c>
      <c r="J868">
        <v>2</v>
      </c>
      <c r="K868" s="61">
        <v>200</v>
      </c>
      <c r="L868" s="61">
        <v>3072.7272727272803</v>
      </c>
      <c r="AA868">
        <v>31</v>
      </c>
      <c r="AB868">
        <v>4</v>
      </c>
      <c r="AC868" t="str">
        <v>90SL686</v>
      </c>
      <c r="AD868">
        <v>7774</v>
      </c>
      <c r="AE868" t="str">
        <v>dist</v>
      </c>
    </row>
    <row r="869" spans="1:31" hidden="1" x14ac:dyDescent="0.25">
      <c r="A869">
        <v>868</v>
      </c>
      <c r="B869">
        <v>2025</v>
      </c>
      <c r="C869">
        <v>11</v>
      </c>
      <c r="D869">
        <v>11</v>
      </c>
      <c r="E869">
        <v>11</v>
      </c>
      <c r="F869">
        <v>0</v>
      </c>
      <c r="G869" s="61">
        <v>2</v>
      </c>
      <c r="H869">
        <v>0</v>
      </c>
      <c r="I869">
        <v>0</v>
      </c>
      <c r="J869">
        <v>8</v>
      </c>
      <c r="K869" s="61">
        <v>357</v>
      </c>
      <c r="L869" s="61">
        <v>714</v>
      </c>
      <c r="AA869">
        <v>31</v>
      </c>
      <c r="AB869">
        <v>4</v>
      </c>
      <c r="AC869" t="str">
        <v>55CB633</v>
      </c>
      <c r="AD869">
        <v>2647</v>
      </c>
      <c r="AE869" t="str">
        <v>dist</v>
      </c>
    </row>
    <row r="870" spans="1:31" hidden="1" x14ac:dyDescent="0.25">
      <c r="A870">
        <v>869</v>
      </c>
      <c r="B870">
        <v>2024</v>
      </c>
      <c r="C870">
        <v>12</v>
      </c>
      <c r="D870">
        <v>14</v>
      </c>
      <c r="E870">
        <v>1</v>
      </c>
      <c r="F870">
        <v>0</v>
      </c>
      <c r="G870" s="61">
        <v>1.1666666666666667</v>
      </c>
      <c r="H870">
        <v>0</v>
      </c>
      <c r="I870">
        <v>0</v>
      </c>
      <c r="J870">
        <v>1</v>
      </c>
      <c r="K870" s="61">
        <v>730</v>
      </c>
      <c r="L870" s="61">
        <v>851.66666666666674</v>
      </c>
      <c r="AA870">
        <v>31</v>
      </c>
      <c r="AB870">
        <v>4</v>
      </c>
      <c r="AC870" t="str">
        <v>99BT339</v>
      </c>
      <c r="AD870">
        <v>4054</v>
      </c>
      <c r="AE870" t="str">
        <v>dist</v>
      </c>
    </row>
    <row r="871" spans="1:31" hidden="1" x14ac:dyDescent="0.25">
      <c r="A871">
        <v>870</v>
      </c>
      <c r="B871">
        <v>2024</v>
      </c>
      <c r="C871">
        <v>12</v>
      </c>
      <c r="D871">
        <v>14</v>
      </c>
      <c r="E871">
        <v>1</v>
      </c>
      <c r="F871">
        <v>0</v>
      </c>
      <c r="G871" s="61">
        <v>1.1666666666666667</v>
      </c>
      <c r="H871">
        <v>0</v>
      </c>
      <c r="I871">
        <v>0</v>
      </c>
      <c r="J871">
        <v>2</v>
      </c>
      <c r="K871" s="61">
        <v>1100</v>
      </c>
      <c r="L871" s="61">
        <v>1283.3333333333335</v>
      </c>
      <c r="AA871">
        <v>31</v>
      </c>
      <c r="AB871">
        <v>4</v>
      </c>
      <c r="AC871" t="str">
        <v>77ET143</v>
      </c>
      <c r="AD871">
        <v>2575</v>
      </c>
      <c r="AE871" t="str">
        <v>dist</v>
      </c>
    </row>
    <row r="872" spans="1:31" hidden="1" x14ac:dyDescent="0.25">
      <c r="A872">
        <v>871</v>
      </c>
      <c r="B872">
        <v>2024</v>
      </c>
      <c r="C872">
        <v>12</v>
      </c>
      <c r="D872">
        <v>14</v>
      </c>
      <c r="E872">
        <v>1</v>
      </c>
      <c r="F872">
        <v>0</v>
      </c>
      <c r="G872" s="61">
        <v>1.1666666666666667</v>
      </c>
      <c r="H872">
        <v>0</v>
      </c>
      <c r="I872">
        <v>0</v>
      </c>
      <c r="J872">
        <v>3</v>
      </c>
      <c r="K872" s="61">
        <v>900</v>
      </c>
      <c r="L872" s="61">
        <v>1050</v>
      </c>
      <c r="AA872">
        <v>31</v>
      </c>
      <c r="AB872">
        <v>4</v>
      </c>
      <c r="AC872" t="str">
        <v>50DK730</v>
      </c>
      <c r="AD872">
        <v>7598</v>
      </c>
      <c r="AE872" t="str">
        <v>dist</v>
      </c>
    </row>
    <row r="873" spans="1:31" hidden="1" x14ac:dyDescent="0.25">
      <c r="A873">
        <v>872</v>
      </c>
      <c r="B873">
        <v>2024</v>
      </c>
      <c r="C873">
        <v>12</v>
      </c>
      <c r="D873">
        <v>14</v>
      </c>
      <c r="E873">
        <v>1</v>
      </c>
      <c r="F873">
        <v>0</v>
      </c>
      <c r="G873" s="61">
        <v>1.1666666666666667</v>
      </c>
      <c r="H873">
        <v>0</v>
      </c>
      <c r="I873">
        <v>0</v>
      </c>
      <c r="J873">
        <v>4</v>
      </c>
      <c r="K873" s="61">
        <v>800</v>
      </c>
      <c r="L873" s="61">
        <v>933.33333333333337</v>
      </c>
      <c r="AA873">
        <v>31</v>
      </c>
      <c r="AB873">
        <v>4</v>
      </c>
      <c r="AC873" t="str">
        <v>99MN472</v>
      </c>
      <c r="AD873">
        <v>4659</v>
      </c>
      <c r="AE873" t="str">
        <v>dist</v>
      </c>
    </row>
    <row r="874" spans="1:31" hidden="1" x14ac:dyDescent="0.25">
      <c r="A874">
        <v>873</v>
      </c>
      <c r="B874">
        <v>2024</v>
      </c>
      <c r="C874">
        <v>12</v>
      </c>
      <c r="D874">
        <v>14</v>
      </c>
      <c r="E874">
        <v>1</v>
      </c>
      <c r="F874">
        <v>0</v>
      </c>
      <c r="G874" s="61">
        <v>1.1666666666666667</v>
      </c>
      <c r="H874">
        <v>0</v>
      </c>
      <c r="I874">
        <v>0</v>
      </c>
      <c r="J874">
        <v>5</v>
      </c>
      <c r="K874" s="61">
        <v>900</v>
      </c>
      <c r="L874" s="61">
        <v>1050</v>
      </c>
      <c r="AA874">
        <v>31</v>
      </c>
      <c r="AB874">
        <v>4</v>
      </c>
      <c r="AC874" t="str">
        <v>99LM412</v>
      </c>
      <c r="AD874">
        <v>870</v>
      </c>
      <c r="AE874" t="str">
        <v>dist</v>
      </c>
    </row>
    <row r="875" spans="1:31" hidden="1" x14ac:dyDescent="0.25">
      <c r="A875">
        <v>874</v>
      </c>
      <c r="B875">
        <v>2024</v>
      </c>
      <c r="C875">
        <v>12</v>
      </c>
      <c r="D875">
        <v>14</v>
      </c>
      <c r="E875">
        <v>1</v>
      </c>
      <c r="F875">
        <v>0</v>
      </c>
      <c r="G875" s="61">
        <v>144</v>
      </c>
      <c r="H875">
        <v>0</v>
      </c>
      <c r="I875">
        <v>0</v>
      </c>
      <c r="J875">
        <v>8</v>
      </c>
      <c r="K875" s="61">
        <v>2</v>
      </c>
      <c r="L875" s="61">
        <v>288</v>
      </c>
      <c r="AA875">
        <v>31</v>
      </c>
      <c r="AB875">
        <v>4</v>
      </c>
      <c r="AC875" t="str">
        <v>50BD165</v>
      </c>
      <c r="AD875">
        <v>918</v>
      </c>
      <c r="AE875" t="str">
        <v>dist</v>
      </c>
    </row>
    <row r="876" spans="1:31" hidden="1" x14ac:dyDescent="0.25">
      <c r="A876">
        <v>875</v>
      </c>
      <c r="B876">
        <v>2024</v>
      </c>
      <c r="C876">
        <v>12</v>
      </c>
      <c r="D876">
        <v>14</v>
      </c>
      <c r="E876">
        <v>1</v>
      </c>
      <c r="F876">
        <v>0</v>
      </c>
      <c r="G876" s="61">
        <v>297</v>
      </c>
      <c r="H876">
        <v>0</v>
      </c>
      <c r="I876">
        <v>0</v>
      </c>
      <c r="J876">
        <v>9</v>
      </c>
      <c r="K876" s="61">
        <v>2.5</v>
      </c>
      <c r="L876" s="61">
        <v>742.5</v>
      </c>
      <c r="AA876">
        <v>31</v>
      </c>
      <c r="AB876">
        <v>4</v>
      </c>
      <c r="AC876" t="str">
        <v>77QE133</v>
      </c>
      <c r="AD876">
        <v>5675</v>
      </c>
      <c r="AE876" t="str">
        <v>dist</v>
      </c>
    </row>
    <row r="877" spans="1:31" hidden="1" x14ac:dyDescent="0.25">
      <c r="A877">
        <v>876</v>
      </c>
      <c r="B877">
        <v>2024</v>
      </c>
      <c r="C877">
        <v>12</v>
      </c>
      <c r="D877">
        <v>14</v>
      </c>
      <c r="E877">
        <v>1</v>
      </c>
      <c r="F877">
        <v>0</v>
      </c>
      <c r="G877" s="61">
        <v>105</v>
      </c>
      <c r="H877">
        <v>0</v>
      </c>
      <c r="I877">
        <v>0</v>
      </c>
      <c r="J877">
        <v>10</v>
      </c>
      <c r="K877" s="61">
        <v>2</v>
      </c>
      <c r="L877" s="61">
        <v>210</v>
      </c>
      <c r="AA877">
        <v>31</v>
      </c>
      <c r="AB877">
        <v>4</v>
      </c>
      <c r="AC877" t="str">
        <v>90VS316</v>
      </c>
      <c r="AD877">
        <v>2079</v>
      </c>
      <c r="AE877" t="str">
        <v>dist</v>
      </c>
    </row>
    <row r="878" spans="1:31" hidden="1" x14ac:dyDescent="0.25">
      <c r="A878">
        <v>877</v>
      </c>
      <c r="B878">
        <v>2024</v>
      </c>
      <c r="C878">
        <v>12</v>
      </c>
      <c r="D878">
        <v>14</v>
      </c>
      <c r="E878">
        <v>1</v>
      </c>
      <c r="F878">
        <v>0</v>
      </c>
      <c r="G878" s="61">
        <v>125</v>
      </c>
      <c r="H878">
        <v>0</v>
      </c>
      <c r="I878">
        <v>0</v>
      </c>
      <c r="J878">
        <v>12</v>
      </c>
      <c r="K878" s="61">
        <v>2</v>
      </c>
      <c r="L878" s="61">
        <v>250</v>
      </c>
      <c r="AA878">
        <v>31</v>
      </c>
      <c r="AB878">
        <v>4</v>
      </c>
      <c r="AC878" t="str">
        <v>99EM163</v>
      </c>
      <c r="AD878">
        <v>158</v>
      </c>
      <c r="AE878" t="str">
        <v>dist</v>
      </c>
    </row>
    <row r="879" spans="1:31" hidden="1" x14ac:dyDescent="0.25">
      <c r="A879">
        <v>878</v>
      </c>
      <c r="B879">
        <v>2025</v>
      </c>
      <c r="C879">
        <v>2</v>
      </c>
      <c r="D879">
        <v>14</v>
      </c>
      <c r="E879">
        <v>2</v>
      </c>
      <c r="F879">
        <v>0</v>
      </c>
      <c r="G879" s="61">
        <v>1.0000000000000002</v>
      </c>
      <c r="H879">
        <v>0</v>
      </c>
      <c r="I879">
        <v>0</v>
      </c>
      <c r="J879">
        <v>1</v>
      </c>
      <c r="K879" s="61">
        <v>730</v>
      </c>
      <c r="L879" s="61">
        <v>730.00000000000011</v>
      </c>
      <c r="AA879">
        <v>31</v>
      </c>
      <c r="AB879">
        <v>4</v>
      </c>
      <c r="AC879" t="str">
        <v>53BB774</v>
      </c>
      <c r="AD879">
        <v>296</v>
      </c>
      <c r="AE879" t="str">
        <v>dist</v>
      </c>
    </row>
    <row r="880" spans="1:31" hidden="1" x14ac:dyDescent="0.25">
      <c r="A880">
        <v>879</v>
      </c>
      <c r="B880">
        <v>2025</v>
      </c>
      <c r="C880">
        <v>2</v>
      </c>
      <c r="D880">
        <v>14</v>
      </c>
      <c r="E880">
        <v>2</v>
      </c>
      <c r="F880">
        <v>0</v>
      </c>
      <c r="G880" s="61">
        <v>1.0000000000000002</v>
      </c>
      <c r="H880">
        <v>0</v>
      </c>
      <c r="I880">
        <v>0</v>
      </c>
      <c r="J880">
        <v>2</v>
      </c>
      <c r="K880" s="61">
        <v>1100</v>
      </c>
      <c r="L880" s="61">
        <v>1100.0000000000002</v>
      </c>
      <c r="AA880">
        <v>31</v>
      </c>
      <c r="AB880">
        <v>5</v>
      </c>
      <c r="AC880" t="str">
        <v>01CC689</v>
      </c>
      <c r="AD880">
        <v>2925</v>
      </c>
      <c r="AE880" t="str">
        <v>dist</v>
      </c>
    </row>
    <row r="881" spans="1:31" hidden="1" x14ac:dyDescent="0.25">
      <c r="A881">
        <v>880</v>
      </c>
      <c r="B881">
        <v>2025</v>
      </c>
      <c r="C881">
        <v>2</v>
      </c>
      <c r="D881">
        <v>14</v>
      </c>
      <c r="E881">
        <v>2</v>
      </c>
      <c r="F881">
        <v>0</v>
      </c>
      <c r="G881" s="61">
        <v>1.0000000000000002</v>
      </c>
      <c r="H881">
        <v>0</v>
      </c>
      <c r="I881">
        <v>0</v>
      </c>
      <c r="J881">
        <v>3</v>
      </c>
      <c r="K881" s="61">
        <v>900</v>
      </c>
      <c r="L881" s="61">
        <v>900.00000000000023</v>
      </c>
      <c r="AA881">
        <v>31</v>
      </c>
      <c r="AB881">
        <v>5</v>
      </c>
      <c r="AC881" t="str">
        <v>50BD165</v>
      </c>
      <c r="AD881">
        <v>1001</v>
      </c>
      <c r="AE881" t="str">
        <v>dist</v>
      </c>
    </row>
    <row r="882" spans="1:31" hidden="1" x14ac:dyDescent="0.25">
      <c r="A882">
        <v>881</v>
      </c>
      <c r="B882">
        <v>2025</v>
      </c>
      <c r="C882">
        <v>2</v>
      </c>
      <c r="D882">
        <v>14</v>
      </c>
      <c r="E882">
        <v>2</v>
      </c>
      <c r="F882">
        <v>0</v>
      </c>
      <c r="G882" s="61">
        <v>1.0000000000000002</v>
      </c>
      <c r="H882">
        <v>0</v>
      </c>
      <c r="I882">
        <v>0</v>
      </c>
      <c r="J882">
        <v>4</v>
      </c>
      <c r="K882" s="61">
        <v>800</v>
      </c>
      <c r="L882" s="61">
        <v>800.00000000000023</v>
      </c>
      <c r="AA882">
        <v>31</v>
      </c>
      <c r="AB882">
        <v>5</v>
      </c>
      <c r="AC882" t="str">
        <v>50DK730</v>
      </c>
      <c r="AD882">
        <v>6965</v>
      </c>
      <c r="AE882" t="str">
        <v>dist</v>
      </c>
    </row>
    <row r="883" spans="1:31" hidden="1" x14ac:dyDescent="0.25">
      <c r="A883">
        <v>882</v>
      </c>
      <c r="B883">
        <v>2025</v>
      </c>
      <c r="C883">
        <v>2</v>
      </c>
      <c r="D883">
        <v>14</v>
      </c>
      <c r="E883">
        <v>2</v>
      </c>
      <c r="F883">
        <v>0</v>
      </c>
      <c r="G883" s="61">
        <v>1.0000000000000002</v>
      </c>
      <c r="H883">
        <v>0</v>
      </c>
      <c r="I883">
        <v>0</v>
      </c>
      <c r="J883">
        <v>5</v>
      </c>
      <c r="K883" s="61">
        <v>900</v>
      </c>
      <c r="L883" s="61">
        <v>900.00000000000023</v>
      </c>
      <c r="AA883">
        <v>31</v>
      </c>
      <c r="AB883">
        <v>5</v>
      </c>
      <c r="AC883" t="str">
        <v>53BB774</v>
      </c>
      <c r="AD883">
        <v>3614</v>
      </c>
      <c r="AE883" t="str">
        <v>dist</v>
      </c>
    </row>
    <row r="884" spans="1:31" hidden="1" x14ac:dyDescent="0.25">
      <c r="A884">
        <v>883</v>
      </c>
      <c r="B884">
        <v>2025</v>
      </c>
      <c r="C884">
        <v>2</v>
      </c>
      <c r="D884">
        <v>14</v>
      </c>
      <c r="E884">
        <v>2</v>
      </c>
      <c r="F884">
        <v>0</v>
      </c>
      <c r="G884" s="61">
        <v>234</v>
      </c>
      <c r="H884">
        <v>0</v>
      </c>
      <c r="I884">
        <v>0</v>
      </c>
      <c r="J884">
        <v>8</v>
      </c>
      <c r="K884" s="61">
        <v>2</v>
      </c>
      <c r="L884" s="61">
        <v>468</v>
      </c>
      <c r="AA884">
        <v>31</v>
      </c>
      <c r="AB884">
        <v>5</v>
      </c>
      <c r="AC884" t="str">
        <v>55CB633</v>
      </c>
      <c r="AD884">
        <v>2348</v>
      </c>
      <c r="AE884" t="str">
        <v>dist</v>
      </c>
    </row>
    <row r="885" spans="1:31" hidden="1" x14ac:dyDescent="0.25">
      <c r="A885">
        <v>884</v>
      </c>
      <c r="B885">
        <v>2025</v>
      </c>
      <c r="C885">
        <v>2</v>
      </c>
      <c r="D885">
        <v>14</v>
      </c>
      <c r="E885">
        <v>2</v>
      </c>
      <c r="F885">
        <v>0</v>
      </c>
      <c r="G885" s="61">
        <v>604</v>
      </c>
      <c r="H885">
        <v>0</v>
      </c>
      <c r="I885">
        <v>0</v>
      </c>
      <c r="J885">
        <v>10</v>
      </c>
      <c r="K885" s="61">
        <v>2</v>
      </c>
      <c r="L885" s="61">
        <v>1208</v>
      </c>
      <c r="AA885">
        <v>31</v>
      </c>
      <c r="AB885">
        <v>5</v>
      </c>
      <c r="AC885" t="str">
        <v>77GR998</v>
      </c>
      <c r="AD885">
        <v>1490</v>
      </c>
      <c r="AE885" t="str">
        <v>dist</v>
      </c>
    </row>
    <row r="886" spans="1:31" hidden="1" x14ac:dyDescent="0.25">
      <c r="A886">
        <v>885</v>
      </c>
      <c r="B886">
        <v>2025</v>
      </c>
      <c r="C886">
        <v>3</v>
      </c>
      <c r="D886">
        <v>14</v>
      </c>
      <c r="E886">
        <v>3</v>
      </c>
      <c r="F886">
        <v>0</v>
      </c>
      <c r="G886" s="61">
        <v>1</v>
      </c>
      <c r="H886">
        <v>0</v>
      </c>
      <c r="I886">
        <v>0</v>
      </c>
      <c r="J886">
        <v>1</v>
      </c>
      <c r="K886" s="61">
        <v>730</v>
      </c>
      <c r="L886" s="61">
        <v>730</v>
      </c>
      <c r="AA886">
        <v>31</v>
      </c>
      <c r="AB886">
        <v>5</v>
      </c>
      <c r="AC886" t="str">
        <v>77QE133</v>
      </c>
      <c r="AD886">
        <v>6096</v>
      </c>
      <c r="AE886" t="str">
        <v>dist</v>
      </c>
    </row>
    <row r="887" spans="1:31" hidden="1" x14ac:dyDescent="0.25">
      <c r="A887">
        <v>886</v>
      </c>
      <c r="B887">
        <v>2025</v>
      </c>
      <c r="C887">
        <v>3</v>
      </c>
      <c r="D887">
        <v>14</v>
      </c>
      <c r="E887">
        <v>3</v>
      </c>
      <c r="F887">
        <v>0</v>
      </c>
      <c r="G887" s="61">
        <v>1</v>
      </c>
      <c r="H887">
        <v>0</v>
      </c>
      <c r="I887">
        <v>0</v>
      </c>
      <c r="J887">
        <v>2</v>
      </c>
      <c r="K887" s="61">
        <v>1100</v>
      </c>
      <c r="L887" s="61">
        <v>1100</v>
      </c>
      <c r="AA887">
        <v>31</v>
      </c>
      <c r="AB887">
        <v>5</v>
      </c>
      <c r="AC887" t="str">
        <v>77UR032</v>
      </c>
      <c r="AD887">
        <v>2416</v>
      </c>
      <c r="AE887" t="str">
        <v>dist</v>
      </c>
    </row>
    <row r="888" spans="1:31" hidden="1" x14ac:dyDescent="0.25">
      <c r="A888">
        <v>887</v>
      </c>
      <c r="B888">
        <v>2025</v>
      </c>
      <c r="C888">
        <v>3</v>
      </c>
      <c r="D888">
        <v>14</v>
      </c>
      <c r="E888">
        <v>3</v>
      </c>
      <c r="F888">
        <v>0</v>
      </c>
      <c r="G888" s="61">
        <v>1</v>
      </c>
      <c r="H888">
        <v>0</v>
      </c>
      <c r="I888">
        <v>0</v>
      </c>
      <c r="J888">
        <v>3</v>
      </c>
      <c r="K888" s="61">
        <v>900</v>
      </c>
      <c r="L888" s="61">
        <v>900</v>
      </c>
      <c r="AA888">
        <v>31</v>
      </c>
      <c r="AB888">
        <v>5</v>
      </c>
      <c r="AC888" t="str">
        <v>90SL686</v>
      </c>
      <c r="AD888">
        <v>8439</v>
      </c>
      <c r="AE888" t="str">
        <v>dist</v>
      </c>
    </row>
    <row r="889" spans="1:31" hidden="1" x14ac:dyDescent="0.25">
      <c r="A889">
        <v>888</v>
      </c>
      <c r="B889">
        <v>2025</v>
      </c>
      <c r="C889">
        <v>3</v>
      </c>
      <c r="D889">
        <v>14</v>
      </c>
      <c r="E889">
        <v>3</v>
      </c>
      <c r="F889">
        <v>0</v>
      </c>
      <c r="G889" s="61">
        <v>1</v>
      </c>
      <c r="H889">
        <v>0</v>
      </c>
      <c r="I889">
        <v>0</v>
      </c>
      <c r="J889">
        <v>4</v>
      </c>
      <c r="K889" s="61">
        <v>800</v>
      </c>
      <c r="L889" s="61">
        <v>800</v>
      </c>
      <c r="AA889">
        <v>31</v>
      </c>
      <c r="AB889">
        <v>5</v>
      </c>
      <c r="AC889" t="str">
        <v>90VS316</v>
      </c>
      <c r="AD889">
        <v>1664</v>
      </c>
      <c r="AE889" t="str">
        <v>dist</v>
      </c>
    </row>
    <row r="890" spans="1:31" hidden="1" x14ac:dyDescent="0.25">
      <c r="A890">
        <v>889</v>
      </c>
      <c r="B890">
        <v>2025</v>
      </c>
      <c r="C890">
        <v>3</v>
      </c>
      <c r="D890">
        <v>14</v>
      </c>
      <c r="E890">
        <v>3</v>
      </c>
      <c r="F890">
        <v>0</v>
      </c>
      <c r="G890" s="61">
        <v>0.61</v>
      </c>
      <c r="H890">
        <v>0</v>
      </c>
      <c r="I890">
        <v>0</v>
      </c>
      <c r="J890">
        <v>6</v>
      </c>
      <c r="K890" s="61">
        <v>4000</v>
      </c>
      <c r="L890" s="61">
        <v>2440</v>
      </c>
      <c r="AA890">
        <v>31</v>
      </c>
      <c r="AB890">
        <v>5</v>
      </c>
      <c r="AC890" t="str">
        <v>99BT339</v>
      </c>
      <c r="AD890">
        <v>2847</v>
      </c>
      <c r="AE890" t="str">
        <v>dist</v>
      </c>
    </row>
    <row r="891" spans="1:31" hidden="1" x14ac:dyDescent="0.25">
      <c r="A891">
        <v>890</v>
      </c>
      <c r="B891">
        <v>2025</v>
      </c>
      <c r="C891">
        <v>3</v>
      </c>
      <c r="D891">
        <v>14</v>
      </c>
      <c r="E891">
        <v>3</v>
      </c>
      <c r="F891">
        <v>0</v>
      </c>
      <c r="G891" s="61">
        <v>1</v>
      </c>
      <c r="H891">
        <v>0</v>
      </c>
      <c r="I891">
        <v>0</v>
      </c>
      <c r="J891">
        <v>7</v>
      </c>
      <c r="K891" s="61">
        <v>900</v>
      </c>
      <c r="L891" s="61">
        <v>900</v>
      </c>
      <c r="AA891">
        <v>31</v>
      </c>
      <c r="AB891">
        <v>5</v>
      </c>
      <c r="AC891" t="str">
        <v>99EM163</v>
      </c>
      <c r="AD891">
        <v>1396</v>
      </c>
      <c r="AE891" t="str">
        <v>dist</v>
      </c>
    </row>
    <row r="892" spans="1:31" hidden="1" x14ac:dyDescent="0.25">
      <c r="A892">
        <v>891</v>
      </c>
      <c r="B892">
        <v>2025</v>
      </c>
      <c r="C892">
        <v>3</v>
      </c>
      <c r="D892">
        <v>14</v>
      </c>
      <c r="E892">
        <v>3</v>
      </c>
      <c r="F892">
        <v>0</v>
      </c>
      <c r="G892" s="61">
        <v>228</v>
      </c>
      <c r="H892">
        <v>0</v>
      </c>
      <c r="I892">
        <v>0</v>
      </c>
      <c r="J892">
        <v>8</v>
      </c>
      <c r="K892" s="61">
        <v>2</v>
      </c>
      <c r="L892" s="61">
        <v>456</v>
      </c>
      <c r="AA892">
        <v>31</v>
      </c>
      <c r="AB892">
        <v>5</v>
      </c>
      <c r="AC892" t="str">
        <v>99HZ395</v>
      </c>
      <c r="AD892">
        <v>4381</v>
      </c>
      <c r="AE892" t="str">
        <v>dist</v>
      </c>
    </row>
    <row r="893" spans="1:31" hidden="1" x14ac:dyDescent="0.25">
      <c r="A893">
        <v>892</v>
      </c>
      <c r="B893">
        <v>2025</v>
      </c>
      <c r="C893">
        <v>3</v>
      </c>
      <c r="D893">
        <v>14</v>
      </c>
      <c r="E893">
        <v>3</v>
      </c>
      <c r="F893">
        <v>0</v>
      </c>
      <c r="G893" s="61">
        <v>263</v>
      </c>
      <c r="H893">
        <v>0</v>
      </c>
      <c r="I893">
        <v>0</v>
      </c>
      <c r="J893">
        <v>9</v>
      </c>
      <c r="K893" s="61">
        <v>2.5</v>
      </c>
      <c r="L893" s="61">
        <v>657.5</v>
      </c>
      <c r="AA893">
        <v>31</v>
      </c>
      <c r="AB893">
        <v>5</v>
      </c>
      <c r="AC893" t="str">
        <v>99LM412</v>
      </c>
      <c r="AD893">
        <v>1130</v>
      </c>
      <c r="AE893" t="str">
        <v>dist</v>
      </c>
    </row>
    <row r="894" spans="1:31" hidden="1" x14ac:dyDescent="0.25">
      <c r="A894">
        <v>893</v>
      </c>
      <c r="B894">
        <v>2025</v>
      </c>
      <c r="C894">
        <v>3</v>
      </c>
      <c r="D894">
        <v>14</v>
      </c>
      <c r="E894">
        <v>3</v>
      </c>
      <c r="F894">
        <v>0</v>
      </c>
      <c r="G894" s="61">
        <v>233</v>
      </c>
      <c r="H894">
        <v>0</v>
      </c>
      <c r="I894">
        <v>0</v>
      </c>
      <c r="J894">
        <v>10</v>
      </c>
      <c r="K894" s="61">
        <v>2</v>
      </c>
      <c r="L894" s="61">
        <v>466</v>
      </c>
      <c r="AA894">
        <v>31</v>
      </c>
      <c r="AB894">
        <v>5</v>
      </c>
      <c r="AC894" t="str">
        <v>99MN472</v>
      </c>
      <c r="AD894">
        <v>5163</v>
      </c>
      <c r="AE894" t="str">
        <v>dist</v>
      </c>
    </row>
    <row r="895" spans="1:31" hidden="1" x14ac:dyDescent="0.25">
      <c r="A895">
        <v>894</v>
      </c>
      <c r="B895">
        <v>2025</v>
      </c>
      <c r="C895">
        <v>3</v>
      </c>
      <c r="D895">
        <v>14</v>
      </c>
      <c r="E895">
        <v>3</v>
      </c>
      <c r="F895">
        <v>0</v>
      </c>
      <c r="G895" s="61">
        <v>205</v>
      </c>
      <c r="H895">
        <v>0</v>
      </c>
      <c r="I895">
        <v>0</v>
      </c>
      <c r="J895">
        <v>11</v>
      </c>
      <c r="K895" s="61">
        <v>2</v>
      </c>
      <c r="L895" s="61">
        <v>410</v>
      </c>
      <c r="AA895">
        <v>31</v>
      </c>
      <c r="AB895">
        <v>6</v>
      </c>
      <c r="AC895" t="str">
        <v>01CC689</v>
      </c>
      <c r="AD895">
        <v>2120</v>
      </c>
      <c r="AE895" t="str">
        <v>dist</v>
      </c>
    </row>
    <row r="896" spans="1:31" hidden="1" x14ac:dyDescent="0.25">
      <c r="A896">
        <v>895</v>
      </c>
      <c r="B896">
        <v>2025</v>
      </c>
      <c r="C896">
        <v>3</v>
      </c>
      <c r="D896">
        <v>14</v>
      </c>
      <c r="E896">
        <v>3</v>
      </c>
      <c r="F896">
        <v>0</v>
      </c>
      <c r="G896" s="61">
        <v>216</v>
      </c>
      <c r="H896">
        <v>0</v>
      </c>
      <c r="I896">
        <v>0</v>
      </c>
      <c r="J896">
        <v>13</v>
      </c>
      <c r="K896" s="61">
        <v>4</v>
      </c>
      <c r="L896" s="61">
        <v>864</v>
      </c>
      <c r="AA896">
        <v>31</v>
      </c>
      <c r="AB896">
        <v>6</v>
      </c>
      <c r="AC896" t="str">
        <v>50BD165</v>
      </c>
      <c r="AD896">
        <v>805</v>
      </c>
      <c r="AE896" t="str">
        <v>dist</v>
      </c>
    </row>
    <row r="897" spans="1:31" hidden="1" x14ac:dyDescent="0.25">
      <c r="A897">
        <v>896</v>
      </c>
      <c r="B897">
        <v>2025</v>
      </c>
      <c r="C897">
        <v>3</v>
      </c>
      <c r="D897">
        <v>14</v>
      </c>
      <c r="E897">
        <v>3</v>
      </c>
      <c r="F897">
        <v>0</v>
      </c>
      <c r="G897" s="61">
        <v>250</v>
      </c>
      <c r="H897">
        <v>0</v>
      </c>
      <c r="I897">
        <v>0</v>
      </c>
      <c r="J897">
        <v>14</v>
      </c>
      <c r="K897" s="61">
        <v>2</v>
      </c>
      <c r="L897" s="61">
        <v>500</v>
      </c>
      <c r="AA897">
        <v>31</v>
      </c>
      <c r="AB897">
        <v>6</v>
      </c>
      <c r="AC897" t="str">
        <v>50BN724</v>
      </c>
      <c r="AD897">
        <v>1011</v>
      </c>
      <c r="AE897" t="str">
        <v>dist</v>
      </c>
    </row>
    <row r="898" spans="1:31" hidden="1" x14ac:dyDescent="0.25">
      <c r="A898">
        <v>897</v>
      </c>
      <c r="B898">
        <v>2025</v>
      </c>
      <c r="C898">
        <v>4</v>
      </c>
      <c r="D898">
        <v>14</v>
      </c>
      <c r="E898">
        <v>4</v>
      </c>
      <c r="F898">
        <v>0</v>
      </c>
      <c r="G898" s="61">
        <v>1</v>
      </c>
      <c r="H898">
        <v>0</v>
      </c>
      <c r="I898">
        <v>0</v>
      </c>
      <c r="J898">
        <v>1</v>
      </c>
      <c r="K898" s="61">
        <v>730</v>
      </c>
      <c r="L898" s="61">
        <v>730</v>
      </c>
      <c r="AA898">
        <v>31</v>
      </c>
      <c r="AB898">
        <v>6</v>
      </c>
      <c r="AC898" t="str">
        <v>50DK730</v>
      </c>
      <c r="AD898">
        <v>5666</v>
      </c>
      <c r="AE898" t="str">
        <v>dist</v>
      </c>
    </row>
    <row r="899" spans="1:31" hidden="1" x14ac:dyDescent="0.25">
      <c r="A899">
        <v>898</v>
      </c>
      <c r="B899">
        <v>2025</v>
      </c>
      <c r="C899">
        <v>4</v>
      </c>
      <c r="D899">
        <v>14</v>
      </c>
      <c r="E899">
        <v>4</v>
      </c>
      <c r="F899">
        <v>0</v>
      </c>
      <c r="G899" s="61">
        <v>1</v>
      </c>
      <c r="H899">
        <v>0</v>
      </c>
      <c r="I899">
        <v>0</v>
      </c>
      <c r="J899">
        <v>2</v>
      </c>
      <c r="K899" s="61">
        <v>1100</v>
      </c>
      <c r="L899" s="61">
        <v>1100</v>
      </c>
      <c r="AA899">
        <v>31</v>
      </c>
      <c r="AB899">
        <v>6</v>
      </c>
      <c r="AC899" t="str">
        <v>53BB774</v>
      </c>
      <c r="AD899">
        <v>6647</v>
      </c>
      <c r="AE899" t="str">
        <v>dist</v>
      </c>
    </row>
    <row r="900" spans="1:31" hidden="1" x14ac:dyDescent="0.25">
      <c r="A900">
        <v>899</v>
      </c>
      <c r="B900">
        <v>2025</v>
      </c>
      <c r="C900">
        <v>4</v>
      </c>
      <c r="D900">
        <v>14</v>
      </c>
      <c r="E900">
        <v>4</v>
      </c>
      <c r="F900">
        <v>0</v>
      </c>
      <c r="G900" s="61">
        <v>1</v>
      </c>
      <c r="H900">
        <v>0</v>
      </c>
      <c r="I900">
        <v>0</v>
      </c>
      <c r="J900">
        <v>3</v>
      </c>
      <c r="K900" s="61">
        <v>900</v>
      </c>
      <c r="L900" s="61">
        <v>900</v>
      </c>
      <c r="AA900">
        <v>31</v>
      </c>
      <c r="AB900">
        <v>6</v>
      </c>
      <c r="AC900" t="str">
        <v>55CB633</v>
      </c>
      <c r="AD900">
        <v>2115</v>
      </c>
      <c r="AE900" t="str">
        <v>dist</v>
      </c>
    </row>
    <row r="901" spans="1:31" hidden="1" x14ac:dyDescent="0.25">
      <c r="A901">
        <v>900</v>
      </c>
      <c r="B901">
        <v>2025</v>
      </c>
      <c r="C901">
        <v>4</v>
      </c>
      <c r="D901">
        <v>14</v>
      </c>
      <c r="E901">
        <v>4</v>
      </c>
      <c r="F901">
        <v>0</v>
      </c>
      <c r="G901" s="61">
        <v>1</v>
      </c>
      <c r="H901">
        <v>0</v>
      </c>
      <c r="I901">
        <v>0</v>
      </c>
      <c r="J901">
        <v>4</v>
      </c>
      <c r="K901" s="61">
        <v>800</v>
      </c>
      <c r="L901" s="61">
        <v>800</v>
      </c>
      <c r="AA901">
        <v>31</v>
      </c>
      <c r="AB901">
        <v>6</v>
      </c>
      <c r="AC901" t="str">
        <v>77QE133</v>
      </c>
      <c r="AD901">
        <v>5983</v>
      </c>
      <c r="AE901" t="str">
        <v>dist</v>
      </c>
    </row>
    <row r="902" spans="1:31" hidden="1" x14ac:dyDescent="0.25">
      <c r="A902">
        <v>901</v>
      </c>
      <c r="B902">
        <v>2025</v>
      </c>
      <c r="C902">
        <v>4</v>
      </c>
      <c r="D902">
        <v>14</v>
      </c>
      <c r="E902">
        <v>4</v>
      </c>
      <c r="F902">
        <v>0</v>
      </c>
      <c r="G902" s="61">
        <v>0.99999999999999989</v>
      </c>
      <c r="H902">
        <v>0</v>
      </c>
      <c r="I902">
        <v>0</v>
      </c>
      <c r="J902">
        <v>6</v>
      </c>
      <c r="K902" s="61">
        <v>4000</v>
      </c>
      <c r="L902" s="61">
        <v>3999.9999999999995</v>
      </c>
      <c r="AA902">
        <v>31</v>
      </c>
      <c r="AB902">
        <v>6</v>
      </c>
      <c r="AC902" t="str">
        <v>77UR032</v>
      </c>
      <c r="AD902">
        <v>2809</v>
      </c>
      <c r="AE902" t="str">
        <v>dist</v>
      </c>
    </row>
    <row r="903" spans="1:31" hidden="1" x14ac:dyDescent="0.25">
      <c r="A903">
        <v>902</v>
      </c>
      <c r="B903">
        <v>2025</v>
      </c>
      <c r="C903">
        <v>4</v>
      </c>
      <c r="D903">
        <v>14</v>
      </c>
      <c r="E903">
        <v>4</v>
      </c>
      <c r="F903">
        <v>0</v>
      </c>
      <c r="G903" s="61">
        <v>1</v>
      </c>
      <c r="H903">
        <v>0</v>
      </c>
      <c r="I903">
        <v>0</v>
      </c>
      <c r="J903">
        <v>7</v>
      </c>
      <c r="K903" s="61">
        <v>900</v>
      </c>
      <c r="L903" s="61">
        <v>900</v>
      </c>
      <c r="AA903">
        <v>31</v>
      </c>
      <c r="AB903">
        <v>6</v>
      </c>
      <c r="AC903" t="str">
        <v>90LS143</v>
      </c>
      <c r="AD903">
        <v>1179</v>
      </c>
      <c r="AE903" t="str">
        <v>dist</v>
      </c>
    </row>
    <row r="904" spans="1:31" hidden="1" x14ac:dyDescent="0.25">
      <c r="A904">
        <v>903</v>
      </c>
      <c r="B904">
        <v>2025</v>
      </c>
      <c r="C904">
        <v>4</v>
      </c>
      <c r="D904">
        <v>14</v>
      </c>
      <c r="E904">
        <v>4</v>
      </c>
      <c r="F904">
        <v>0</v>
      </c>
      <c r="G904" s="61">
        <v>167</v>
      </c>
      <c r="H904">
        <v>0</v>
      </c>
      <c r="I904">
        <v>0</v>
      </c>
      <c r="J904">
        <v>8</v>
      </c>
      <c r="K904" s="61">
        <v>2</v>
      </c>
      <c r="L904" s="61">
        <v>334</v>
      </c>
      <c r="AA904">
        <v>31</v>
      </c>
      <c r="AB904">
        <v>6</v>
      </c>
      <c r="AC904" t="str">
        <v>90SL686</v>
      </c>
      <c r="AD904">
        <v>6939</v>
      </c>
      <c r="AE904" t="str">
        <v>dist</v>
      </c>
    </row>
    <row r="905" spans="1:31" hidden="1" x14ac:dyDescent="0.25">
      <c r="A905">
        <v>904</v>
      </c>
      <c r="B905">
        <v>2025</v>
      </c>
      <c r="C905">
        <v>4</v>
      </c>
      <c r="D905">
        <v>14</v>
      </c>
      <c r="E905">
        <v>4</v>
      </c>
      <c r="F905">
        <v>0</v>
      </c>
      <c r="G905" s="61">
        <v>208</v>
      </c>
      <c r="H905">
        <v>0</v>
      </c>
      <c r="I905">
        <v>0</v>
      </c>
      <c r="J905">
        <v>9</v>
      </c>
      <c r="K905" s="61">
        <v>2.5</v>
      </c>
      <c r="L905" s="61">
        <v>520</v>
      </c>
      <c r="AA905">
        <v>31</v>
      </c>
      <c r="AB905">
        <v>6</v>
      </c>
      <c r="AC905" t="str">
        <v>90VS316</v>
      </c>
      <c r="AD905">
        <v>2040</v>
      </c>
      <c r="AE905" t="str">
        <v>dist</v>
      </c>
    </row>
    <row r="906" spans="1:31" hidden="1" x14ac:dyDescent="0.25">
      <c r="A906">
        <v>905</v>
      </c>
      <c r="B906">
        <v>2025</v>
      </c>
      <c r="C906">
        <v>4</v>
      </c>
      <c r="D906">
        <v>14</v>
      </c>
      <c r="E906">
        <v>4</v>
      </c>
      <c r="F906">
        <v>0</v>
      </c>
      <c r="G906" s="61">
        <v>450</v>
      </c>
      <c r="H906">
        <v>0</v>
      </c>
      <c r="I906">
        <v>0</v>
      </c>
      <c r="J906">
        <v>10</v>
      </c>
      <c r="K906" s="61">
        <v>2</v>
      </c>
      <c r="L906" s="61">
        <v>900</v>
      </c>
      <c r="AA906">
        <v>31</v>
      </c>
      <c r="AB906">
        <v>6</v>
      </c>
      <c r="AC906" t="str">
        <v>99BT339</v>
      </c>
      <c r="AD906">
        <v>3841</v>
      </c>
      <c r="AE906" t="str">
        <v>dist</v>
      </c>
    </row>
    <row r="907" spans="1:31" hidden="1" x14ac:dyDescent="0.25">
      <c r="A907">
        <v>906</v>
      </c>
      <c r="B907">
        <v>2025</v>
      </c>
      <c r="C907">
        <v>4</v>
      </c>
      <c r="D907">
        <v>14</v>
      </c>
      <c r="E907">
        <v>4</v>
      </c>
      <c r="F907">
        <v>0</v>
      </c>
      <c r="G907" s="61">
        <v>481</v>
      </c>
      <c r="H907">
        <v>0</v>
      </c>
      <c r="I907">
        <v>0</v>
      </c>
      <c r="J907">
        <v>11</v>
      </c>
      <c r="K907" s="61">
        <v>2</v>
      </c>
      <c r="L907" s="61">
        <v>962</v>
      </c>
      <c r="AA907">
        <v>31</v>
      </c>
      <c r="AB907">
        <v>6</v>
      </c>
      <c r="AC907" t="str">
        <v>99EM163</v>
      </c>
      <c r="AD907">
        <v>2016</v>
      </c>
      <c r="AE907" t="str">
        <v>dist</v>
      </c>
    </row>
    <row r="908" spans="1:31" hidden="1" x14ac:dyDescent="0.25">
      <c r="A908">
        <v>907</v>
      </c>
      <c r="B908">
        <v>2025</v>
      </c>
      <c r="C908">
        <v>4</v>
      </c>
      <c r="D908">
        <v>14</v>
      </c>
      <c r="E908">
        <v>4</v>
      </c>
      <c r="F908">
        <v>0</v>
      </c>
      <c r="G908" s="61">
        <v>711</v>
      </c>
      <c r="H908">
        <v>0</v>
      </c>
      <c r="I908">
        <v>0</v>
      </c>
      <c r="J908">
        <v>13</v>
      </c>
      <c r="K908" s="61">
        <v>4</v>
      </c>
      <c r="L908" s="61">
        <v>2844</v>
      </c>
      <c r="AA908">
        <v>31</v>
      </c>
      <c r="AB908">
        <v>6</v>
      </c>
      <c r="AC908" t="str">
        <v>99HZ395</v>
      </c>
      <c r="AD908">
        <v>4570</v>
      </c>
      <c r="AE908" t="str">
        <v>dist</v>
      </c>
    </row>
    <row r="909" spans="1:31" hidden="1" x14ac:dyDescent="0.25">
      <c r="A909">
        <v>908</v>
      </c>
      <c r="B909">
        <v>2025</v>
      </c>
      <c r="C909">
        <v>4</v>
      </c>
      <c r="D909">
        <v>14</v>
      </c>
      <c r="E909">
        <v>4</v>
      </c>
      <c r="F909">
        <v>0</v>
      </c>
      <c r="G909" s="61">
        <v>173</v>
      </c>
      <c r="H909">
        <v>0</v>
      </c>
      <c r="I909">
        <v>0</v>
      </c>
      <c r="J909">
        <v>14</v>
      </c>
      <c r="K909" s="61">
        <v>2</v>
      </c>
      <c r="L909" s="61">
        <v>346</v>
      </c>
      <c r="AA909">
        <v>31</v>
      </c>
      <c r="AB909">
        <v>6</v>
      </c>
      <c r="AC909" t="str">
        <v>99KL663</v>
      </c>
      <c r="AD909">
        <v>2092</v>
      </c>
      <c r="AE909" t="str">
        <v>dist</v>
      </c>
    </row>
    <row r="910" spans="1:31" hidden="1" x14ac:dyDescent="0.25">
      <c r="A910">
        <v>909</v>
      </c>
      <c r="B910">
        <v>2025</v>
      </c>
      <c r="C910">
        <v>8</v>
      </c>
      <c r="D910">
        <v>14</v>
      </c>
      <c r="E910">
        <v>5</v>
      </c>
      <c r="F910">
        <v>0</v>
      </c>
      <c r="G910" s="61">
        <v>0.68</v>
      </c>
      <c r="H910">
        <v>0</v>
      </c>
      <c r="I910">
        <v>0</v>
      </c>
      <c r="J910">
        <v>15</v>
      </c>
      <c r="K910" s="61">
        <v>4000</v>
      </c>
      <c r="L910" s="61">
        <v>2720</v>
      </c>
      <c r="AA910">
        <v>31</v>
      </c>
      <c r="AB910">
        <v>6</v>
      </c>
      <c r="AC910" t="str">
        <v>99LM412</v>
      </c>
      <c r="AD910">
        <v>1146</v>
      </c>
      <c r="AE910" t="str">
        <v>dist</v>
      </c>
    </row>
    <row r="911" spans="1:31" hidden="1" x14ac:dyDescent="0.25">
      <c r="A911">
        <v>910</v>
      </c>
      <c r="B911">
        <v>2025</v>
      </c>
      <c r="C911">
        <v>8</v>
      </c>
      <c r="D911">
        <v>14</v>
      </c>
      <c r="E911">
        <v>5</v>
      </c>
      <c r="F911">
        <v>0</v>
      </c>
      <c r="G911" s="61">
        <v>54</v>
      </c>
      <c r="H911">
        <v>0</v>
      </c>
      <c r="I911">
        <v>0</v>
      </c>
      <c r="J911">
        <v>16</v>
      </c>
      <c r="K911" s="61">
        <v>3.5</v>
      </c>
      <c r="L911" s="61">
        <v>189</v>
      </c>
      <c r="AA911">
        <v>31</v>
      </c>
      <c r="AB911">
        <v>6</v>
      </c>
      <c r="AC911" t="str">
        <v>99MN472</v>
      </c>
      <c r="AD911">
        <v>5457</v>
      </c>
      <c r="AE911" t="str">
        <v>dist</v>
      </c>
    </row>
    <row r="912" spans="1:31" hidden="1" x14ac:dyDescent="0.25">
      <c r="A912">
        <v>911</v>
      </c>
      <c r="B912">
        <v>2025</v>
      </c>
      <c r="C912">
        <v>9</v>
      </c>
      <c r="D912">
        <v>14</v>
      </c>
      <c r="E912">
        <v>6</v>
      </c>
      <c r="F912">
        <v>0</v>
      </c>
      <c r="G912" s="61">
        <v>1</v>
      </c>
      <c r="H912">
        <v>0</v>
      </c>
      <c r="I912">
        <v>0</v>
      </c>
      <c r="J912">
        <v>15</v>
      </c>
      <c r="K912" s="61">
        <v>4000</v>
      </c>
      <c r="L912" s="61">
        <v>4000</v>
      </c>
      <c r="AA912">
        <v>31</v>
      </c>
      <c r="AB912">
        <v>6</v>
      </c>
      <c r="AC912" t="str">
        <v>77GR998</v>
      </c>
      <c r="AD912">
        <v>3092</v>
      </c>
      <c r="AE912" t="str">
        <v>dist</v>
      </c>
    </row>
    <row r="913" spans="1:31" hidden="1" x14ac:dyDescent="0.25">
      <c r="A913">
        <v>912</v>
      </c>
      <c r="B913">
        <v>2025</v>
      </c>
      <c r="C913">
        <v>9</v>
      </c>
      <c r="D913">
        <v>14</v>
      </c>
      <c r="E913">
        <v>6</v>
      </c>
      <c r="F913">
        <v>0</v>
      </c>
      <c r="G913" s="61">
        <v>177</v>
      </c>
      <c r="H913">
        <v>0</v>
      </c>
      <c r="I913">
        <v>0</v>
      </c>
      <c r="J913">
        <v>16</v>
      </c>
      <c r="K913" s="61">
        <v>3.5</v>
      </c>
      <c r="L913" s="61">
        <v>619.5</v>
      </c>
      <c r="AA913">
        <v>31</v>
      </c>
      <c r="AB913">
        <v>7</v>
      </c>
      <c r="AC913" t="str">
        <v>01CC689</v>
      </c>
      <c r="AD913">
        <v>423</v>
      </c>
      <c r="AE913" t="str">
        <v>dist</v>
      </c>
    </row>
    <row r="914" spans="1:31" hidden="1" x14ac:dyDescent="0.25">
      <c r="A914">
        <v>913</v>
      </c>
      <c r="B914">
        <v>2025</v>
      </c>
      <c r="C914">
        <v>10</v>
      </c>
      <c r="D914">
        <v>14</v>
      </c>
      <c r="E914">
        <v>7</v>
      </c>
      <c r="F914">
        <v>0</v>
      </c>
      <c r="G914" s="61">
        <v>1</v>
      </c>
      <c r="H914">
        <v>0</v>
      </c>
      <c r="I914">
        <v>0</v>
      </c>
      <c r="J914">
        <v>15</v>
      </c>
      <c r="K914" s="61">
        <v>4000</v>
      </c>
      <c r="L914" s="61">
        <v>4000</v>
      </c>
      <c r="AA914">
        <v>31</v>
      </c>
      <c r="AB914">
        <v>7</v>
      </c>
      <c r="AC914" t="str">
        <v>10RN527</v>
      </c>
      <c r="AD914">
        <v>3236</v>
      </c>
      <c r="AE914" t="str">
        <v>dist</v>
      </c>
    </row>
    <row r="915" spans="1:31" hidden="1" x14ac:dyDescent="0.25">
      <c r="A915">
        <v>914</v>
      </c>
      <c r="B915">
        <v>2025</v>
      </c>
      <c r="C915">
        <v>11</v>
      </c>
      <c r="D915">
        <v>14</v>
      </c>
      <c r="E915">
        <v>8</v>
      </c>
      <c r="F915">
        <v>0</v>
      </c>
      <c r="G915" s="61">
        <v>1</v>
      </c>
      <c r="H915">
        <v>0</v>
      </c>
      <c r="I915">
        <v>0</v>
      </c>
      <c r="J915">
        <v>15</v>
      </c>
      <c r="K915" s="61">
        <v>4000</v>
      </c>
      <c r="L915" s="61">
        <v>4000</v>
      </c>
      <c r="AA915">
        <v>31</v>
      </c>
      <c r="AB915">
        <v>7</v>
      </c>
      <c r="AC915" t="str">
        <v>50BD165</v>
      </c>
      <c r="AD915">
        <v>800</v>
      </c>
      <c r="AE915" t="str">
        <v>dist</v>
      </c>
    </row>
    <row r="916" spans="1:31" hidden="1" x14ac:dyDescent="0.25">
      <c r="A916">
        <v>915</v>
      </c>
      <c r="B916">
        <v>2025</v>
      </c>
      <c r="C916">
        <v>11</v>
      </c>
      <c r="D916">
        <v>14</v>
      </c>
      <c r="E916">
        <v>8</v>
      </c>
      <c r="F916">
        <v>0</v>
      </c>
      <c r="G916" s="61">
        <v>198</v>
      </c>
      <c r="H916">
        <v>0</v>
      </c>
      <c r="I916">
        <v>0</v>
      </c>
      <c r="J916">
        <v>16</v>
      </c>
      <c r="K916" s="61">
        <v>3.5</v>
      </c>
      <c r="L916" s="61">
        <v>693</v>
      </c>
      <c r="AA916">
        <v>31</v>
      </c>
      <c r="AB916">
        <v>7</v>
      </c>
      <c r="AC916" t="str">
        <v>50BN724</v>
      </c>
      <c r="AD916">
        <v>3851</v>
      </c>
      <c r="AE916" t="str">
        <v>dist</v>
      </c>
    </row>
    <row r="917" spans="1:31" hidden="1" x14ac:dyDescent="0.25">
      <c r="A917">
        <v>916</v>
      </c>
      <c r="B917">
        <v>2025</v>
      </c>
      <c r="C917">
        <v>3</v>
      </c>
      <c r="D917">
        <v>30</v>
      </c>
      <c r="E917">
        <v>3</v>
      </c>
      <c r="F917">
        <v>0</v>
      </c>
      <c r="G917" s="61">
        <v>1</v>
      </c>
      <c r="H917">
        <v>0</v>
      </c>
      <c r="I917">
        <v>0</v>
      </c>
      <c r="J917">
        <v>3</v>
      </c>
      <c r="K917" s="61">
        <v>5500</v>
      </c>
      <c r="L917" s="61">
        <v>5500</v>
      </c>
      <c r="AA917">
        <v>31</v>
      </c>
      <c r="AB917">
        <v>7</v>
      </c>
      <c r="AC917" t="str">
        <v>50CN929</v>
      </c>
      <c r="AD917">
        <v>976</v>
      </c>
      <c r="AE917" t="str">
        <v>dist</v>
      </c>
    </row>
    <row r="918" spans="1:31" hidden="1" x14ac:dyDescent="0.25">
      <c r="A918">
        <v>917</v>
      </c>
      <c r="B918">
        <v>2025</v>
      </c>
      <c r="C918">
        <v>3</v>
      </c>
      <c r="D918">
        <v>30</v>
      </c>
      <c r="E918">
        <v>3</v>
      </c>
      <c r="F918">
        <v>0</v>
      </c>
      <c r="G918" s="61">
        <v>1</v>
      </c>
      <c r="H918">
        <v>0</v>
      </c>
      <c r="I918">
        <v>0</v>
      </c>
      <c r="J918">
        <v>4</v>
      </c>
      <c r="K918" s="61">
        <v>5500</v>
      </c>
      <c r="L918" s="61">
        <v>5500</v>
      </c>
      <c r="AA918">
        <v>31</v>
      </c>
      <c r="AB918">
        <v>7</v>
      </c>
      <c r="AC918" t="str">
        <v>50DK730</v>
      </c>
      <c r="AD918">
        <v>5571</v>
      </c>
      <c r="AE918" t="str">
        <v>dist</v>
      </c>
    </row>
    <row r="919" spans="1:31" hidden="1" x14ac:dyDescent="0.25">
      <c r="A919">
        <v>918</v>
      </c>
      <c r="B919">
        <v>2025</v>
      </c>
      <c r="C919">
        <v>4</v>
      </c>
      <c r="D919">
        <v>30</v>
      </c>
      <c r="E919">
        <v>4</v>
      </c>
      <c r="F919">
        <v>0</v>
      </c>
      <c r="G919" s="61">
        <v>1</v>
      </c>
      <c r="H919">
        <v>0</v>
      </c>
      <c r="I919">
        <v>0</v>
      </c>
      <c r="J919">
        <v>3</v>
      </c>
      <c r="K919" s="61">
        <v>5500</v>
      </c>
      <c r="L919" s="61">
        <v>5500</v>
      </c>
      <c r="AA919">
        <v>31</v>
      </c>
      <c r="AB919">
        <v>7</v>
      </c>
      <c r="AC919" t="str">
        <v>50EF902</v>
      </c>
      <c r="AD919">
        <v>1837</v>
      </c>
      <c r="AE919" t="str">
        <v>dist</v>
      </c>
    </row>
    <row r="920" spans="1:31" hidden="1" x14ac:dyDescent="0.25">
      <c r="A920">
        <v>919</v>
      </c>
      <c r="B920">
        <v>2025</v>
      </c>
      <c r="C920">
        <v>4</v>
      </c>
      <c r="D920">
        <v>30</v>
      </c>
      <c r="E920">
        <v>4</v>
      </c>
      <c r="F920">
        <v>0</v>
      </c>
      <c r="G920" s="61">
        <v>1</v>
      </c>
      <c r="H920">
        <v>0</v>
      </c>
      <c r="I920">
        <v>0</v>
      </c>
      <c r="J920">
        <v>4</v>
      </c>
      <c r="K920" s="61">
        <v>5500</v>
      </c>
      <c r="L920" s="61">
        <v>5500</v>
      </c>
      <c r="AA920">
        <v>31</v>
      </c>
      <c r="AB920">
        <v>7</v>
      </c>
      <c r="AC920" t="str">
        <v>53BB774</v>
      </c>
      <c r="AD920">
        <v>1478</v>
      </c>
      <c r="AE920" t="str">
        <v>dist</v>
      </c>
    </row>
    <row r="921" spans="1:31" hidden="1" x14ac:dyDescent="0.25">
      <c r="A921">
        <v>920</v>
      </c>
      <c r="B921">
        <v>2025</v>
      </c>
      <c r="C921">
        <v>5</v>
      </c>
      <c r="D921">
        <v>30</v>
      </c>
      <c r="E921">
        <v>5</v>
      </c>
      <c r="F921">
        <v>0</v>
      </c>
      <c r="G921" s="61">
        <v>1</v>
      </c>
      <c r="H921">
        <v>0</v>
      </c>
      <c r="I921">
        <v>0</v>
      </c>
      <c r="J921">
        <v>4</v>
      </c>
      <c r="K921" s="61">
        <v>5500</v>
      </c>
      <c r="L921" s="61">
        <v>5500</v>
      </c>
      <c r="AA921">
        <v>31</v>
      </c>
      <c r="AB921">
        <v>7</v>
      </c>
      <c r="AC921" t="str">
        <v>55CB633</v>
      </c>
      <c r="AD921">
        <v>2051</v>
      </c>
      <c r="AE921" t="str">
        <v>dist</v>
      </c>
    </row>
    <row r="922" spans="1:31" hidden="1" x14ac:dyDescent="0.25">
      <c r="A922">
        <v>921</v>
      </c>
      <c r="B922">
        <v>2025</v>
      </c>
      <c r="C922">
        <v>6</v>
      </c>
      <c r="D922">
        <v>30</v>
      </c>
      <c r="E922">
        <v>6</v>
      </c>
      <c r="F922">
        <v>0</v>
      </c>
      <c r="G922" s="61">
        <v>1</v>
      </c>
      <c r="H922">
        <v>0</v>
      </c>
      <c r="I922">
        <v>0</v>
      </c>
      <c r="J922">
        <v>4</v>
      </c>
      <c r="K922" s="61">
        <v>5500</v>
      </c>
      <c r="L922" s="61">
        <v>5500</v>
      </c>
      <c r="AA922">
        <v>31</v>
      </c>
      <c r="AB922">
        <v>7</v>
      </c>
      <c r="AC922" t="str">
        <v>77AT386</v>
      </c>
      <c r="AD922" t="str">
        <v/>
      </c>
      <c r="AE922" t="str">
        <v>dist</v>
      </c>
    </row>
    <row r="923" spans="1:31" hidden="1" x14ac:dyDescent="0.25">
      <c r="A923">
        <v>922</v>
      </c>
      <c r="B923">
        <v>2025</v>
      </c>
      <c r="C923">
        <v>7</v>
      </c>
      <c r="D923">
        <v>30</v>
      </c>
      <c r="E923">
        <v>7</v>
      </c>
      <c r="F923">
        <v>0</v>
      </c>
      <c r="G923" s="61">
        <v>1</v>
      </c>
      <c r="H923">
        <v>0</v>
      </c>
      <c r="I923">
        <v>0</v>
      </c>
      <c r="J923">
        <v>4</v>
      </c>
      <c r="K923" s="61">
        <v>5500</v>
      </c>
      <c r="L923" s="61">
        <v>5500</v>
      </c>
      <c r="AA923">
        <v>31</v>
      </c>
      <c r="AB923">
        <v>7</v>
      </c>
      <c r="AC923" t="str">
        <v>77GR998</v>
      </c>
      <c r="AD923">
        <v>3530</v>
      </c>
      <c r="AE923" t="str">
        <v>dist</v>
      </c>
    </row>
    <row r="924" spans="1:31" hidden="1" x14ac:dyDescent="0.25">
      <c r="A924">
        <v>923</v>
      </c>
      <c r="B924">
        <v>2025</v>
      </c>
      <c r="C924">
        <v>8</v>
      </c>
      <c r="D924">
        <v>30</v>
      </c>
      <c r="E924">
        <v>8</v>
      </c>
      <c r="F924">
        <v>0</v>
      </c>
      <c r="G924" s="61">
        <v>1</v>
      </c>
      <c r="H924">
        <v>0</v>
      </c>
      <c r="I924">
        <v>0</v>
      </c>
      <c r="J924">
        <v>4</v>
      </c>
      <c r="K924" s="61">
        <v>5500</v>
      </c>
      <c r="L924" s="61">
        <v>5500</v>
      </c>
      <c r="AA924">
        <v>31</v>
      </c>
      <c r="AB924">
        <v>7</v>
      </c>
      <c r="AC924" t="str">
        <v>77QE133</v>
      </c>
      <c r="AD924">
        <v>5845</v>
      </c>
      <c r="AE924" t="str">
        <v>dist</v>
      </c>
    </row>
    <row r="925" spans="1:31" hidden="1" x14ac:dyDescent="0.25">
      <c r="A925">
        <v>924</v>
      </c>
      <c r="B925">
        <v>2025</v>
      </c>
      <c r="C925">
        <v>9</v>
      </c>
      <c r="D925">
        <v>30</v>
      </c>
      <c r="E925">
        <v>9</v>
      </c>
      <c r="F925">
        <v>0</v>
      </c>
      <c r="G925" s="61">
        <v>1</v>
      </c>
      <c r="H925">
        <v>0</v>
      </c>
      <c r="I925">
        <v>0</v>
      </c>
      <c r="J925">
        <v>4</v>
      </c>
      <c r="K925" s="61">
        <v>5500</v>
      </c>
      <c r="L925" s="61">
        <v>5500</v>
      </c>
      <c r="AA925">
        <v>31</v>
      </c>
      <c r="AB925">
        <v>7</v>
      </c>
      <c r="AC925" t="str">
        <v>77TG971</v>
      </c>
      <c r="AD925">
        <v>1485</v>
      </c>
      <c r="AE925" t="str">
        <v>dist</v>
      </c>
    </row>
    <row r="926" spans="1:31" hidden="1" x14ac:dyDescent="0.25">
      <c r="A926">
        <v>925</v>
      </c>
      <c r="B926">
        <v>2025</v>
      </c>
      <c r="C926">
        <v>10</v>
      </c>
      <c r="D926">
        <v>30</v>
      </c>
      <c r="E926">
        <v>10</v>
      </c>
      <c r="F926">
        <v>0</v>
      </c>
      <c r="G926" s="61">
        <v>1</v>
      </c>
      <c r="H926">
        <v>0</v>
      </c>
      <c r="I926">
        <v>0</v>
      </c>
      <c r="J926">
        <v>4</v>
      </c>
      <c r="K926" s="61">
        <v>5500</v>
      </c>
      <c r="L926" s="61">
        <v>5500</v>
      </c>
      <c r="AA926">
        <v>31</v>
      </c>
      <c r="AB926">
        <v>7</v>
      </c>
      <c r="AC926" t="str">
        <v>77UR032</v>
      </c>
      <c r="AD926">
        <v>2293</v>
      </c>
      <c r="AE926" t="str">
        <v>dist</v>
      </c>
    </row>
    <row r="927" spans="1:31" hidden="1" x14ac:dyDescent="0.25">
      <c r="A927">
        <v>926</v>
      </c>
      <c r="B927">
        <v>2025</v>
      </c>
      <c r="C927">
        <v>11</v>
      </c>
      <c r="D927">
        <v>30</v>
      </c>
      <c r="E927">
        <v>11</v>
      </c>
      <c r="F927">
        <v>0</v>
      </c>
      <c r="G927" s="61">
        <v>1</v>
      </c>
      <c r="H927">
        <v>0</v>
      </c>
      <c r="I927">
        <v>0</v>
      </c>
      <c r="J927">
        <v>4</v>
      </c>
      <c r="K927" s="61">
        <v>5500</v>
      </c>
      <c r="L927" s="61">
        <v>5500</v>
      </c>
      <c r="AA927">
        <v>31</v>
      </c>
      <c r="AB927">
        <v>7</v>
      </c>
      <c r="AC927" t="str">
        <v>90LS143</v>
      </c>
      <c r="AD927">
        <v>2327</v>
      </c>
      <c r="AE927" t="str">
        <v>dist</v>
      </c>
    </row>
    <row r="928" spans="1:31" hidden="1" x14ac:dyDescent="0.25">
      <c r="A928">
        <v>927</v>
      </c>
      <c r="B928">
        <v>2025</v>
      </c>
      <c r="C928">
        <v>2</v>
      </c>
      <c r="D928">
        <v>31</v>
      </c>
      <c r="E928">
        <v>1</v>
      </c>
      <c r="F928">
        <v>0</v>
      </c>
      <c r="G928" s="61">
        <v>2956</v>
      </c>
      <c r="H928">
        <v>0</v>
      </c>
      <c r="I928">
        <v>0</v>
      </c>
      <c r="J928" t="str">
        <v>M-1</v>
      </c>
      <c r="K928" s="61">
        <v>1</v>
      </c>
      <c r="L928" s="61">
        <v>2956</v>
      </c>
      <c r="AA928">
        <v>31</v>
      </c>
      <c r="AB928">
        <v>7</v>
      </c>
      <c r="AC928" t="str">
        <v>90OE402</v>
      </c>
      <c r="AD928">
        <v>1719</v>
      </c>
      <c r="AE928" t="str">
        <v>dist</v>
      </c>
    </row>
    <row r="929" spans="1:31" hidden="1" x14ac:dyDescent="0.25">
      <c r="A929">
        <v>928</v>
      </c>
      <c r="B929">
        <v>2025</v>
      </c>
      <c r="C929">
        <v>2</v>
      </c>
      <c r="D929">
        <v>31</v>
      </c>
      <c r="E929">
        <v>1</v>
      </c>
      <c r="F929">
        <v>0</v>
      </c>
      <c r="G929" s="61">
        <v>2956</v>
      </c>
      <c r="H929">
        <v>0</v>
      </c>
      <c r="I929">
        <v>0</v>
      </c>
      <c r="J929" t="str">
        <v>R-1</v>
      </c>
      <c r="K929" s="61">
        <v>-1</v>
      </c>
      <c r="L929" s="61">
        <v>-2956</v>
      </c>
      <c r="AA929">
        <v>31</v>
      </c>
      <c r="AB929">
        <v>7</v>
      </c>
      <c r="AC929" t="str">
        <v>90SL686</v>
      </c>
      <c r="AD929">
        <v>9102</v>
      </c>
      <c r="AE929" t="str">
        <v>dist</v>
      </c>
    </row>
    <row r="930" spans="1:31" hidden="1" x14ac:dyDescent="0.25">
      <c r="A930">
        <v>929</v>
      </c>
      <c r="B930">
        <v>2025</v>
      </c>
      <c r="C930">
        <v>3</v>
      </c>
      <c r="D930">
        <v>31</v>
      </c>
      <c r="E930">
        <v>2</v>
      </c>
      <c r="F930">
        <v>0</v>
      </c>
      <c r="G930" s="61">
        <v>11129.910000000002</v>
      </c>
      <c r="H930">
        <v>0</v>
      </c>
      <c r="I930">
        <v>0</v>
      </c>
      <c r="J930" t="str">
        <v>M-1</v>
      </c>
      <c r="K930" s="61">
        <v>1</v>
      </c>
      <c r="L930" s="61">
        <v>11129.910000000002</v>
      </c>
      <c r="AA930">
        <v>31</v>
      </c>
      <c r="AB930">
        <v>7</v>
      </c>
      <c r="AC930" t="str">
        <v>90VS316</v>
      </c>
      <c r="AD930">
        <v>2571</v>
      </c>
      <c r="AE930" t="str">
        <v>dist</v>
      </c>
    </row>
    <row r="931" spans="1:31" hidden="1" x14ac:dyDescent="0.25">
      <c r="A931">
        <v>930</v>
      </c>
      <c r="B931">
        <v>2025</v>
      </c>
      <c r="C931">
        <v>3</v>
      </c>
      <c r="D931">
        <v>31</v>
      </c>
      <c r="E931">
        <v>2</v>
      </c>
      <c r="F931">
        <v>0</v>
      </c>
      <c r="G931" s="61">
        <v>9319</v>
      </c>
      <c r="H931">
        <v>0</v>
      </c>
      <c r="I931">
        <v>0</v>
      </c>
      <c r="J931" t="str">
        <v>R-1</v>
      </c>
      <c r="K931" s="61">
        <v>-1</v>
      </c>
      <c r="L931" s="61">
        <v>-9319</v>
      </c>
      <c r="AA931">
        <v>31</v>
      </c>
      <c r="AB931">
        <v>7</v>
      </c>
      <c r="AC931" t="str">
        <v>99BT339</v>
      </c>
      <c r="AD931">
        <v>4429</v>
      </c>
      <c r="AE931" t="str">
        <v>dist</v>
      </c>
    </row>
    <row r="932" spans="1:31" hidden="1" x14ac:dyDescent="0.25">
      <c r="A932">
        <v>931</v>
      </c>
      <c r="B932">
        <v>2025</v>
      </c>
      <c r="C932">
        <v>3</v>
      </c>
      <c r="D932">
        <v>31</v>
      </c>
      <c r="E932">
        <v>2</v>
      </c>
      <c r="F932">
        <v>0</v>
      </c>
      <c r="G932" s="61">
        <v>100</v>
      </c>
      <c r="H932">
        <v>0</v>
      </c>
      <c r="I932">
        <v>0</v>
      </c>
      <c r="J932" t="str">
        <v>R-2</v>
      </c>
      <c r="K932" s="61">
        <v>-1</v>
      </c>
      <c r="L932" s="61">
        <v>-100</v>
      </c>
      <c r="AA932">
        <v>31</v>
      </c>
      <c r="AB932">
        <v>7</v>
      </c>
      <c r="AC932" t="str">
        <v>99EM163</v>
      </c>
      <c r="AD932">
        <v>1926</v>
      </c>
      <c r="AE932" t="str">
        <v>dist</v>
      </c>
    </row>
    <row r="933" spans="1:31" hidden="1" x14ac:dyDescent="0.25">
      <c r="A933">
        <v>932</v>
      </c>
      <c r="B933">
        <v>2025</v>
      </c>
      <c r="C933">
        <v>4</v>
      </c>
      <c r="D933">
        <v>31</v>
      </c>
      <c r="E933">
        <v>3</v>
      </c>
      <c r="F933">
        <v>0</v>
      </c>
      <c r="G933" s="61">
        <v>7666.7399999999989</v>
      </c>
      <c r="H933">
        <v>0</v>
      </c>
      <c r="I933">
        <v>0</v>
      </c>
      <c r="J933" t="str">
        <v>M-1</v>
      </c>
      <c r="K933" s="61">
        <v>1</v>
      </c>
      <c r="L933" s="61">
        <v>7666.7399999999989</v>
      </c>
      <c r="AA933">
        <v>31</v>
      </c>
      <c r="AB933">
        <v>7</v>
      </c>
      <c r="AC933" t="str">
        <v>99HZ395</v>
      </c>
      <c r="AD933">
        <v>5269</v>
      </c>
      <c r="AE933" t="str">
        <v>dist</v>
      </c>
    </row>
    <row r="934" spans="1:31" hidden="1" x14ac:dyDescent="0.25">
      <c r="A934">
        <v>933</v>
      </c>
      <c r="B934">
        <v>2025</v>
      </c>
      <c r="C934">
        <v>4</v>
      </c>
      <c r="D934">
        <v>31</v>
      </c>
      <c r="E934">
        <v>3</v>
      </c>
      <c r="F934">
        <v>0</v>
      </c>
      <c r="G934" s="61">
        <v>6009</v>
      </c>
      <c r="H934">
        <v>0</v>
      </c>
      <c r="I934">
        <v>0</v>
      </c>
      <c r="J934" t="str">
        <v>R-1</v>
      </c>
      <c r="K934" s="61">
        <v>-1</v>
      </c>
      <c r="L934" s="61">
        <v>-6009</v>
      </c>
      <c r="AA934">
        <v>31</v>
      </c>
      <c r="AB934">
        <v>7</v>
      </c>
      <c r="AC934" t="str">
        <v>99KL663</v>
      </c>
      <c r="AD934">
        <v>2375</v>
      </c>
      <c r="AE934" t="str">
        <v>dist</v>
      </c>
    </row>
    <row r="935" spans="1:31" hidden="1" x14ac:dyDescent="0.25">
      <c r="A935">
        <v>934</v>
      </c>
      <c r="B935">
        <v>2025</v>
      </c>
      <c r="C935">
        <v>5</v>
      </c>
      <c r="D935">
        <v>31</v>
      </c>
      <c r="E935">
        <v>4</v>
      </c>
      <c r="F935">
        <v>0</v>
      </c>
      <c r="G935" s="61">
        <v>7701.45</v>
      </c>
      <c r="H935">
        <v>0</v>
      </c>
      <c r="I935">
        <v>0</v>
      </c>
      <c r="J935" t="str">
        <v>M-1</v>
      </c>
      <c r="K935" s="61">
        <v>1</v>
      </c>
      <c r="L935" s="61">
        <v>7701.45</v>
      </c>
      <c r="AA935">
        <v>31</v>
      </c>
      <c r="AB935">
        <v>7</v>
      </c>
      <c r="AC935" t="str">
        <v>99LM412</v>
      </c>
      <c r="AD935">
        <v>522</v>
      </c>
      <c r="AE935" t="str">
        <v>dist</v>
      </c>
    </row>
    <row r="936" spans="1:31" hidden="1" x14ac:dyDescent="0.25">
      <c r="A936">
        <v>935</v>
      </c>
      <c r="B936">
        <v>2025</v>
      </c>
      <c r="C936">
        <v>5</v>
      </c>
      <c r="D936">
        <v>31</v>
      </c>
      <c r="E936">
        <v>4</v>
      </c>
      <c r="F936">
        <v>0</v>
      </c>
      <c r="G936" s="61">
        <v>6357</v>
      </c>
      <c r="H936">
        <v>0</v>
      </c>
      <c r="I936">
        <v>0</v>
      </c>
      <c r="J936" t="str">
        <v>R-1</v>
      </c>
      <c r="K936" s="61">
        <v>-1</v>
      </c>
      <c r="L936" s="61">
        <v>-6357</v>
      </c>
      <c r="AA936">
        <v>31</v>
      </c>
      <c r="AB936">
        <v>7</v>
      </c>
      <c r="AC936" t="str">
        <v>99MN472</v>
      </c>
      <c r="AD936">
        <v>5842</v>
      </c>
      <c r="AE936" t="str">
        <v>dist</v>
      </c>
    </row>
    <row r="937" spans="1:31" hidden="1" x14ac:dyDescent="0.25">
      <c r="A937">
        <v>936</v>
      </c>
      <c r="B937">
        <v>2025</v>
      </c>
      <c r="C937">
        <v>6</v>
      </c>
      <c r="D937">
        <v>31</v>
      </c>
      <c r="E937">
        <v>5</v>
      </c>
      <c r="F937">
        <v>0</v>
      </c>
      <c r="G937" s="61">
        <v>8670.24</v>
      </c>
      <c r="H937">
        <v>0</v>
      </c>
      <c r="I937">
        <v>0</v>
      </c>
      <c r="J937" t="str">
        <v>M-1</v>
      </c>
      <c r="K937" s="61">
        <v>1</v>
      </c>
      <c r="L937" s="61">
        <v>8670.24</v>
      </c>
      <c r="AA937">
        <v>31</v>
      </c>
      <c r="AB937">
        <v>8</v>
      </c>
      <c r="AC937" t="str">
        <v>10RN527</v>
      </c>
      <c r="AD937">
        <v>3670</v>
      </c>
      <c r="AE937" t="str">
        <v>dist</v>
      </c>
    </row>
    <row r="938" spans="1:31" hidden="1" x14ac:dyDescent="0.25">
      <c r="A938">
        <v>937</v>
      </c>
      <c r="B938">
        <v>2025</v>
      </c>
      <c r="C938">
        <v>6</v>
      </c>
      <c r="D938">
        <v>31</v>
      </c>
      <c r="E938">
        <v>5</v>
      </c>
      <c r="F938">
        <v>0</v>
      </c>
      <c r="G938" s="61">
        <v>6873.2350000000006</v>
      </c>
      <c r="H938">
        <v>0</v>
      </c>
      <c r="I938">
        <v>0</v>
      </c>
      <c r="J938" t="str">
        <v>R-1</v>
      </c>
      <c r="K938" s="61">
        <v>-1</v>
      </c>
      <c r="L938" s="61">
        <v>-6873.2350000000006</v>
      </c>
      <c r="AA938">
        <v>31</v>
      </c>
      <c r="AB938">
        <v>8</v>
      </c>
      <c r="AC938" t="str">
        <v>50BD165</v>
      </c>
      <c r="AD938">
        <v>632</v>
      </c>
      <c r="AE938" t="str">
        <v>dist</v>
      </c>
    </row>
    <row r="939" spans="1:31" hidden="1" x14ac:dyDescent="0.25">
      <c r="A939">
        <v>938</v>
      </c>
      <c r="B939">
        <v>2025</v>
      </c>
      <c r="C939">
        <v>7</v>
      </c>
      <c r="D939">
        <v>31</v>
      </c>
      <c r="E939">
        <v>6</v>
      </c>
      <c r="F939">
        <v>0</v>
      </c>
      <c r="G939" s="61">
        <v>7430.7399999999989</v>
      </c>
      <c r="H939">
        <v>0</v>
      </c>
      <c r="I939" t="str">
        <v>added 751.5 from June 2025</v>
      </c>
      <c r="J939" t="str">
        <v>M-1</v>
      </c>
      <c r="K939" s="61">
        <v>1</v>
      </c>
      <c r="L939" s="61">
        <v>7430.7399999999989</v>
      </c>
      <c r="AA939">
        <v>31</v>
      </c>
      <c r="AB939">
        <v>8</v>
      </c>
      <c r="AC939" t="str">
        <v>50BN724</v>
      </c>
      <c r="AD939">
        <v>3689</v>
      </c>
      <c r="AE939" t="str">
        <v>dist</v>
      </c>
    </row>
    <row r="940" spans="1:31" hidden="1" x14ac:dyDescent="0.25">
      <c r="A940">
        <v>939</v>
      </c>
      <c r="B940">
        <v>2025</v>
      </c>
      <c r="C940">
        <v>7</v>
      </c>
      <c r="D940">
        <v>31</v>
      </c>
      <c r="E940">
        <v>6</v>
      </c>
      <c r="F940">
        <v>0</v>
      </c>
      <c r="G940" s="61">
        <v>7221</v>
      </c>
      <c r="H940">
        <v>0</v>
      </c>
      <c r="I940">
        <v>0</v>
      </c>
      <c r="J940" t="str">
        <v>R-1</v>
      </c>
      <c r="K940" s="61">
        <v>-1</v>
      </c>
      <c r="L940" s="61">
        <v>-7221</v>
      </c>
      <c r="AA940">
        <v>31</v>
      </c>
      <c r="AB940">
        <v>8</v>
      </c>
      <c r="AC940" t="str">
        <v>50CN929</v>
      </c>
      <c r="AD940">
        <v>1642</v>
      </c>
      <c r="AE940" t="str">
        <v>dist</v>
      </c>
    </row>
    <row r="941" spans="1:31" hidden="1" x14ac:dyDescent="0.25">
      <c r="A941">
        <v>940</v>
      </c>
      <c r="B941">
        <v>2025</v>
      </c>
      <c r="C941">
        <v>8</v>
      </c>
      <c r="D941">
        <v>31</v>
      </c>
      <c r="E941">
        <v>7</v>
      </c>
      <c r="F941" t="str">
        <v>10RN527</v>
      </c>
      <c r="G941" s="61">
        <v>27</v>
      </c>
      <c r="H941">
        <v>0</v>
      </c>
      <c r="I941">
        <v>0</v>
      </c>
      <c r="J941">
        <v>31</v>
      </c>
      <c r="K941" s="61">
        <v>55.36</v>
      </c>
      <c r="L941" s="61">
        <v>1494.72</v>
      </c>
      <c r="AA941">
        <v>31</v>
      </c>
      <c r="AB941">
        <v>8</v>
      </c>
      <c r="AC941" t="str">
        <v>50DK730</v>
      </c>
      <c r="AD941">
        <v>5623</v>
      </c>
      <c r="AE941" t="str">
        <v>dist</v>
      </c>
    </row>
    <row r="942" spans="1:31" hidden="1" x14ac:dyDescent="0.25">
      <c r="A942">
        <v>941</v>
      </c>
      <c r="B942">
        <v>2025</v>
      </c>
      <c r="C942">
        <v>8</v>
      </c>
      <c r="D942">
        <v>31</v>
      </c>
      <c r="E942">
        <v>7</v>
      </c>
      <c r="F942" t="str">
        <v>10RN527</v>
      </c>
      <c r="G942" s="61">
        <v>64</v>
      </c>
      <c r="H942">
        <v>0</v>
      </c>
      <c r="I942">
        <v>0</v>
      </c>
      <c r="J942">
        <v>29</v>
      </c>
      <c r="K942" s="61">
        <v>5.5359999999999996</v>
      </c>
      <c r="L942" s="61">
        <v>354.30399999999997</v>
      </c>
      <c r="AA942">
        <v>31</v>
      </c>
      <c r="AB942">
        <v>8</v>
      </c>
      <c r="AC942" t="str">
        <v>50EF902</v>
      </c>
      <c r="AD942">
        <v>1166</v>
      </c>
      <c r="AE942" t="str">
        <v>dist</v>
      </c>
    </row>
    <row r="943" spans="1:31" hidden="1" x14ac:dyDescent="0.25">
      <c r="A943">
        <v>942</v>
      </c>
      <c r="B943">
        <v>2025</v>
      </c>
      <c r="C943">
        <v>8</v>
      </c>
      <c r="D943">
        <v>31</v>
      </c>
      <c r="E943">
        <v>7</v>
      </c>
      <c r="F943">
        <v>0</v>
      </c>
      <c r="G943" s="61">
        <v>10262.759999999998</v>
      </c>
      <c r="H943">
        <v>0</v>
      </c>
      <c r="I943" t="str">
        <v>added 140 from July 2025</v>
      </c>
      <c r="J943" t="str">
        <v>M-1</v>
      </c>
      <c r="K943" s="61">
        <v>1</v>
      </c>
      <c r="L943" s="61">
        <v>10262.759999999998</v>
      </c>
      <c r="AA943">
        <v>31</v>
      </c>
      <c r="AB943">
        <v>8</v>
      </c>
      <c r="AC943" t="str">
        <v>55CB633</v>
      </c>
      <c r="AD943">
        <v>2343</v>
      </c>
      <c r="AE943" t="str">
        <v>dist</v>
      </c>
    </row>
    <row r="944" spans="1:31" hidden="1" x14ac:dyDescent="0.25">
      <c r="A944">
        <v>943</v>
      </c>
      <c r="B944">
        <v>2025</v>
      </c>
      <c r="C944">
        <v>8</v>
      </c>
      <c r="D944">
        <v>31</v>
      </c>
      <c r="E944">
        <v>7</v>
      </c>
      <c r="F944">
        <v>0</v>
      </c>
      <c r="G944" s="61">
        <v>8379.42</v>
      </c>
      <c r="H944">
        <v>0</v>
      </c>
      <c r="I944">
        <v>0</v>
      </c>
      <c r="J944" t="str">
        <v>R-1</v>
      </c>
      <c r="K944" s="61">
        <v>-1</v>
      </c>
      <c r="L944" s="61">
        <v>-8379.42</v>
      </c>
      <c r="AA944">
        <v>31</v>
      </c>
      <c r="AB944">
        <v>8</v>
      </c>
      <c r="AC944" t="str">
        <v>77GR998</v>
      </c>
      <c r="AD944">
        <v>3659</v>
      </c>
      <c r="AE944" t="str">
        <v>dist</v>
      </c>
    </row>
    <row r="945" spans="1:31" hidden="1" x14ac:dyDescent="0.25">
      <c r="A945">
        <v>944</v>
      </c>
      <c r="B945">
        <v>2025</v>
      </c>
      <c r="C945">
        <v>9</v>
      </c>
      <c r="D945">
        <v>31</v>
      </c>
      <c r="E945">
        <v>8</v>
      </c>
      <c r="F945" t="str">
        <v>10RN527</v>
      </c>
      <c r="G945" s="61">
        <v>30</v>
      </c>
      <c r="H945" t="str">
        <v>single</v>
      </c>
      <c r="I945">
        <v>0</v>
      </c>
      <c r="J945">
        <v>31</v>
      </c>
      <c r="K945" s="61">
        <v>55.36</v>
      </c>
      <c r="L945" s="61">
        <v>1660.8</v>
      </c>
      <c r="AA945">
        <v>31</v>
      </c>
      <c r="AB945">
        <v>8</v>
      </c>
      <c r="AC945" t="str">
        <v>77QE133</v>
      </c>
      <c r="AD945">
        <v>1373</v>
      </c>
      <c r="AE945" t="str">
        <v>dist</v>
      </c>
    </row>
    <row r="946" spans="1:31" hidden="1" x14ac:dyDescent="0.25">
      <c r="A946">
        <v>945</v>
      </c>
      <c r="B946">
        <v>2025</v>
      </c>
      <c r="C946">
        <v>9</v>
      </c>
      <c r="D946">
        <v>31</v>
      </c>
      <c r="E946">
        <v>8</v>
      </c>
      <c r="F946" t="str">
        <v>10RN527</v>
      </c>
      <c r="G946" s="61">
        <v>67</v>
      </c>
      <c r="H946" t="str">
        <v>hour</v>
      </c>
      <c r="I946">
        <v>0</v>
      </c>
      <c r="J946">
        <v>29</v>
      </c>
      <c r="K946" s="61">
        <v>5.5359999999999996</v>
      </c>
      <c r="L946" s="61">
        <v>370.91199999999998</v>
      </c>
      <c r="AA946">
        <v>31</v>
      </c>
      <c r="AB946">
        <v>8</v>
      </c>
      <c r="AC946" t="str">
        <v>77SR538</v>
      </c>
      <c r="AD946">
        <v>5926</v>
      </c>
      <c r="AE946" t="str">
        <v>dist</v>
      </c>
    </row>
    <row r="947" spans="1:31" hidden="1" x14ac:dyDescent="0.25">
      <c r="A947">
        <v>946</v>
      </c>
      <c r="B947">
        <v>2025</v>
      </c>
      <c r="C947">
        <v>9</v>
      </c>
      <c r="D947">
        <v>31</v>
      </c>
      <c r="E947">
        <v>8</v>
      </c>
      <c r="F947">
        <v>0</v>
      </c>
      <c r="G947" s="61">
        <v>11888.04</v>
      </c>
      <c r="H947">
        <v>0</v>
      </c>
      <c r="I947">
        <v>0</v>
      </c>
      <c r="J947" t="str">
        <v>M-1</v>
      </c>
      <c r="K947" s="61">
        <v>1</v>
      </c>
      <c r="L947" s="61">
        <v>11888.04</v>
      </c>
      <c r="AA947">
        <v>31</v>
      </c>
      <c r="AB947">
        <v>8</v>
      </c>
      <c r="AC947" t="str">
        <v>77TG971</v>
      </c>
      <c r="AD947">
        <v>1628</v>
      </c>
      <c r="AE947" t="str">
        <v>dist</v>
      </c>
    </row>
    <row r="948" spans="1:31" hidden="1" x14ac:dyDescent="0.25">
      <c r="A948">
        <v>947</v>
      </c>
      <c r="B948">
        <v>2025</v>
      </c>
      <c r="C948">
        <v>9</v>
      </c>
      <c r="D948">
        <v>31</v>
      </c>
      <c r="E948">
        <v>8</v>
      </c>
      <c r="F948">
        <v>0</v>
      </c>
      <c r="G948" s="61">
        <v>9645</v>
      </c>
      <c r="H948">
        <v>0</v>
      </c>
      <c r="I948">
        <v>0</v>
      </c>
      <c r="J948" t="str">
        <v>R-1</v>
      </c>
      <c r="K948" s="61">
        <v>-1</v>
      </c>
      <c r="L948" s="61">
        <v>-9645</v>
      </c>
      <c r="AA948">
        <v>31</v>
      </c>
      <c r="AB948">
        <v>8</v>
      </c>
      <c r="AC948" t="str">
        <v>77UR032</v>
      </c>
      <c r="AD948">
        <v>2273</v>
      </c>
      <c r="AE948" t="str">
        <v>dist</v>
      </c>
    </row>
    <row r="949" spans="1:31" hidden="1" x14ac:dyDescent="0.25">
      <c r="A949">
        <v>948</v>
      </c>
      <c r="B949">
        <v>2025</v>
      </c>
      <c r="C949">
        <v>10</v>
      </c>
      <c r="D949">
        <v>31</v>
      </c>
      <c r="E949">
        <v>9</v>
      </c>
      <c r="F949" t="str">
        <v>10RN527</v>
      </c>
      <c r="G949" s="61">
        <v>1</v>
      </c>
      <c r="H949" t="str">
        <v>single</v>
      </c>
      <c r="I949">
        <v>0</v>
      </c>
      <c r="J949">
        <v>31</v>
      </c>
      <c r="K949" s="61">
        <v>55.36</v>
      </c>
      <c r="L949" s="61">
        <v>55.36</v>
      </c>
      <c r="AA949">
        <v>31</v>
      </c>
      <c r="AB949">
        <v>8</v>
      </c>
      <c r="AC949" t="str">
        <v>90LS143</v>
      </c>
      <c r="AD949">
        <v>3012</v>
      </c>
      <c r="AE949" t="str">
        <v>dist</v>
      </c>
    </row>
    <row r="950" spans="1:31" hidden="1" x14ac:dyDescent="0.25">
      <c r="A950">
        <v>949</v>
      </c>
      <c r="B950">
        <v>2025</v>
      </c>
      <c r="C950">
        <v>10</v>
      </c>
      <c r="D950">
        <v>31</v>
      </c>
      <c r="E950">
        <v>9</v>
      </c>
      <c r="F950" t="str">
        <v>10RN527</v>
      </c>
      <c r="G950" s="61">
        <v>20</v>
      </c>
      <c r="H950" t="str">
        <v>hour</v>
      </c>
      <c r="I950" t="str">
        <v>mistakenly calculated</v>
      </c>
      <c r="J950">
        <v>29</v>
      </c>
      <c r="K950" s="61">
        <v>5.5359999999999996</v>
      </c>
      <c r="L950" s="61">
        <v>110.72</v>
      </c>
      <c r="AA950">
        <v>31</v>
      </c>
      <c r="AB950">
        <v>8</v>
      </c>
      <c r="AC950" t="str">
        <v>90OE402</v>
      </c>
      <c r="AD950">
        <v>5604</v>
      </c>
      <c r="AE950" t="str">
        <v>dist</v>
      </c>
    </row>
    <row r="951" spans="1:31" hidden="1" x14ac:dyDescent="0.25">
      <c r="A951">
        <v>950</v>
      </c>
      <c r="B951">
        <v>2025</v>
      </c>
      <c r="C951">
        <v>10</v>
      </c>
      <c r="D951">
        <v>31</v>
      </c>
      <c r="E951">
        <v>9</v>
      </c>
      <c r="F951">
        <v>0</v>
      </c>
      <c r="G951" s="61">
        <v>12646.799928500002</v>
      </c>
      <c r="H951">
        <v>0</v>
      </c>
      <c r="I951">
        <v>0</v>
      </c>
      <c r="J951" t="str">
        <v>M-1</v>
      </c>
      <c r="K951" s="61">
        <v>1</v>
      </c>
      <c r="L951" s="61">
        <v>12646.799928500002</v>
      </c>
      <c r="AA951">
        <v>31</v>
      </c>
      <c r="AB951">
        <v>8</v>
      </c>
      <c r="AC951" t="str">
        <v>90SL686</v>
      </c>
      <c r="AD951">
        <v>4072</v>
      </c>
      <c r="AE951" t="str">
        <v>dist</v>
      </c>
    </row>
    <row r="952" spans="1:31" hidden="1" x14ac:dyDescent="0.25">
      <c r="A952">
        <v>951</v>
      </c>
      <c r="B952">
        <v>2025</v>
      </c>
      <c r="C952">
        <v>10</v>
      </c>
      <c r="D952">
        <v>31</v>
      </c>
      <c r="E952">
        <v>9</v>
      </c>
      <c r="F952">
        <v>0</v>
      </c>
      <c r="G952" s="61">
        <v>10987</v>
      </c>
      <c r="H952">
        <v>0</v>
      </c>
      <c r="I952">
        <v>0</v>
      </c>
      <c r="J952" t="str">
        <v>R-1</v>
      </c>
      <c r="K952" s="61">
        <v>-1</v>
      </c>
      <c r="L952" s="61">
        <v>-10987</v>
      </c>
      <c r="AA952">
        <v>31</v>
      </c>
      <c r="AB952">
        <v>8</v>
      </c>
      <c r="AC952" t="str">
        <v>90VS316</v>
      </c>
      <c r="AD952">
        <v>2507</v>
      </c>
      <c r="AE952" t="str">
        <v>dist</v>
      </c>
    </row>
    <row r="953" spans="1:31" hidden="1" x14ac:dyDescent="0.25">
      <c r="A953">
        <v>952</v>
      </c>
      <c r="B953">
        <v>2025</v>
      </c>
      <c r="C953">
        <v>11</v>
      </c>
      <c r="D953">
        <v>31</v>
      </c>
      <c r="E953">
        <v>10</v>
      </c>
      <c r="F953">
        <v>0</v>
      </c>
      <c r="G953" s="61">
        <v>12886.4409977</v>
      </c>
      <c r="H953">
        <v>0</v>
      </c>
      <c r="I953">
        <v>0</v>
      </c>
      <c r="J953" t="str">
        <v>M-1</v>
      </c>
      <c r="K953" s="61">
        <v>1</v>
      </c>
      <c r="L953" s="61">
        <v>12886.4409977</v>
      </c>
      <c r="AA953">
        <v>31</v>
      </c>
      <c r="AB953">
        <v>8</v>
      </c>
      <c r="AC953" t="str">
        <v>99BT339</v>
      </c>
      <c r="AD953">
        <v>4049</v>
      </c>
      <c r="AE953" t="str">
        <v>dist</v>
      </c>
    </row>
    <row r="954" spans="1:31" hidden="1" x14ac:dyDescent="0.25">
      <c r="A954">
        <v>953</v>
      </c>
      <c r="B954">
        <v>2025</v>
      </c>
      <c r="C954">
        <v>11</v>
      </c>
      <c r="D954">
        <v>31</v>
      </c>
      <c r="E954">
        <v>10</v>
      </c>
      <c r="F954">
        <v>0</v>
      </c>
      <c r="G954" s="61">
        <v>11358</v>
      </c>
      <c r="H954">
        <v>0</v>
      </c>
      <c r="I954">
        <v>0</v>
      </c>
      <c r="J954" t="str">
        <v>R-1</v>
      </c>
      <c r="K954" s="61">
        <v>-1</v>
      </c>
      <c r="L954" s="61">
        <v>-11358</v>
      </c>
      <c r="AA954">
        <v>31</v>
      </c>
      <c r="AB954">
        <v>8</v>
      </c>
      <c r="AC954" t="str">
        <v>99CN447</v>
      </c>
      <c r="AD954">
        <v>1221</v>
      </c>
      <c r="AE954" t="str">
        <v>dist</v>
      </c>
    </row>
    <row r="955" spans="1:31" hidden="1" x14ac:dyDescent="0.25">
      <c r="A955">
        <v>954</v>
      </c>
      <c r="B955">
        <v>2025</v>
      </c>
      <c r="C955">
        <v>11</v>
      </c>
      <c r="D955">
        <v>31</v>
      </c>
      <c r="E955">
        <v>10</v>
      </c>
      <c r="F955">
        <v>0</v>
      </c>
      <c r="G955" s="61">
        <v>58</v>
      </c>
      <c r="H955">
        <v>0</v>
      </c>
      <c r="I955">
        <v>0</v>
      </c>
      <c r="J955" t="str">
        <v>R-3</v>
      </c>
      <c r="K955" s="61">
        <v>-55.36</v>
      </c>
      <c r="L955" s="61">
        <v>-3210.88</v>
      </c>
      <c r="AA955">
        <v>31</v>
      </c>
      <c r="AB955">
        <v>8</v>
      </c>
      <c r="AC955" t="str">
        <v>99EM163</v>
      </c>
      <c r="AD955">
        <v>1252</v>
      </c>
      <c r="AE955" t="str">
        <v>dist</v>
      </c>
    </row>
    <row r="956" spans="1:31" hidden="1" x14ac:dyDescent="0.25">
      <c r="A956">
        <v>955</v>
      </c>
      <c r="B956">
        <v>2025</v>
      </c>
      <c r="C956">
        <v>11</v>
      </c>
      <c r="D956">
        <v>31</v>
      </c>
      <c r="E956">
        <v>10</v>
      </c>
      <c r="F956">
        <v>0</v>
      </c>
      <c r="G956" s="61">
        <v>150.999</v>
      </c>
      <c r="H956">
        <v>0</v>
      </c>
      <c r="I956">
        <v>0</v>
      </c>
      <c r="J956" t="str">
        <v>R-4</v>
      </c>
      <c r="K956" s="61">
        <v>-5.5359999999999996</v>
      </c>
      <c r="L956" s="61">
        <v>-835.93046399999992</v>
      </c>
      <c r="AA956">
        <v>31</v>
      </c>
      <c r="AB956">
        <v>8</v>
      </c>
      <c r="AC956" t="str">
        <v>99FO779</v>
      </c>
      <c r="AD956">
        <v>1006</v>
      </c>
      <c r="AE956" t="str">
        <v>dist</v>
      </c>
    </row>
    <row r="957" spans="1:31" hidden="1" x14ac:dyDescent="0.25">
      <c r="A957">
        <v>956</v>
      </c>
      <c r="B957">
        <v>2024</v>
      </c>
      <c r="C957">
        <v>9</v>
      </c>
      <c r="D957">
        <v>33</v>
      </c>
      <c r="E957">
        <v>4</v>
      </c>
      <c r="F957">
        <v>0</v>
      </c>
      <c r="G957" s="61">
        <v>19225</v>
      </c>
      <c r="H957">
        <v>0</v>
      </c>
      <c r="I957">
        <v>0</v>
      </c>
      <c r="J957">
        <v>1</v>
      </c>
      <c r="K957" s="61">
        <v>1.5</v>
      </c>
      <c r="L957" s="61">
        <v>28837.5</v>
      </c>
      <c r="AA957">
        <v>31</v>
      </c>
      <c r="AB957">
        <v>8</v>
      </c>
      <c r="AC957" t="str">
        <v>99HZ395</v>
      </c>
      <c r="AD957">
        <v>5003</v>
      </c>
      <c r="AE957" t="str">
        <v>dist</v>
      </c>
    </row>
    <row r="958" spans="1:31" hidden="1" x14ac:dyDescent="0.25">
      <c r="A958">
        <v>957</v>
      </c>
      <c r="B958">
        <v>2024</v>
      </c>
      <c r="C958">
        <v>9</v>
      </c>
      <c r="D958">
        <v>33</v>
      </c>
      <c r="E958">
        <v>4</v>
      </c>
      <c r="F958">
        <v>0</v>
      </c>
      <c r="G958" s="61">
        <v>25773</v>
      </c>
      <c r="H958">
        <v>0</v>
      </c>
      <c r="I958">
        <v>0</v>
      </c>
      <c r="J958">
        <v>2</v>
      </c>
      <c r="K958" s="61">
        <v>4.7</v>
      </c>
      <c r="L958" s="61">
        <v>121133.1</v>
      </c>
      <c r="AA958">
        <v>31</v>
      </c>
      <c r="AB958">
        <v>8</v>
      </c>
      <c r="AC958" t="str">
        <v>99KL663</v>
      </c>
      <c r="AD958">
        <v>1963</v>
      </c>
      <c r="AE958" t="str">
        <v>dist</v>
      </c>
    </row>
    <row r="959" spans="1:31" hidden="1" x14ac:dyDescent="0.25">
      <c r="A959">
        <v>958</v>
      </c>
      <c r="B959">
        <v>2024</v>
      </c>
      <c r="C959">
        <v>9</v>
      </c>
      <c r="D959">
        <v>33</v>
      </c>
      <c r="E959">
        <v>4</v>
      </c>
      <c r="F959">
        <v>0</v>
      </c>
      <c r="G959" s="61">
        <v>21414</v>
      </c>
      <c r="H959">
        <v>0</v>
      </c>
      <c r="I959">
        <v>0</v>
      </c>
      <c r="J959">
        <v>3</v>
      </c>
      <c r="K959" s="61">
        <v>4.7</v>
      </c>
      <c r="L959" s="61">
        <v>100645.8</v>
      </c>
      <c r="AA959">
        <v>31</v>
      </c>
      <c r="AB959">
        <v>8</v>
      </c>
      <c r="AC959" t="str">
        <v>99LM412</v>
      </c>
      <c r="AD959">
        <v>883</v>
      </c>
      <c r="AE959" t="str">
        <v>dist</v>
      </c>
    </row>
    <row r="960" spans="1:31" hidden="1" x14ac:dyDescent="0.25">
      <c r="A960">
        <v>959</v>
      </c>
      <c r="B960">
        <v>2024</v>
      </c>
      <c r="C960">
        <v>9</v>
      </c>
      <c r="D960">
        <v>33</v>
      </c>
      <c r="E960">
        <v>4</v>
      </c>
      <c r="F960">
        <v>0</v>
      </c>
      <c r="G960" s="61">
        <v>3363</v>
      </c>
      <c r="H960">
        <v>0</v>
      </c>
      <c r="I960">
        <v>0</v>
      </c>
      <c r="J960">
        <v>5</v>
      </c>
      <c r="K960" s="61">
        <v>3.85</v>
      </c>
      <c r="L960" s="61">
        <v>12947.550000000001</v>
      </c>
      <c r="AA960">
        <v>31</v>
      </c>
      <c r="AB960">
        <v>8</v>
      </c>
      <c r="AC960" t="str">
        <v>99MN472</v>
      </c>
      <c r="AD960">
        <v>6127</v>
      </c>
      <c r="AE960" t="str">
        <v>dist</v>
      </c>
    </row>
    <row r="961" spans="1:31" hidden="1" x14ac:dyDescent="0.25">
      <c r="A961">
        <v>960</v>
      </c>
      <c r="B961">
        <v>2025</v>
      </c>
      <c r="C961">
        <v>1</v>
      </c>
      <c r="D961">
        <v>33</v>
      </c>
      <c r="E961">
        <v>5</v>
      </c>
      <c r="F961">
        <v>0</v>
      </c>
      <c r="G961" s="61">
        <v>13344</v>
      </c>
      <c r="H961">
        <v>0</v>
      </c>
      <c r="I961">
        <v>0</v>
      </c>
      <c r="J961">
        <v>1</v>
      </c>
      <c r="K961" s="61">
        <v>1.5</v>
      </c>
      <c r="L961" s="61">
        <v>20016</v>
      </c>
      <c r="AA961">
        <v>31</v>
      </c>
      <c r="AB961">
        <v>8</v>
      </c>
      <c r="AC961" t="str">
        <v>99OR961</v>
      </c>
      <c r="AD961">
        <v>755</v>
      </c>
      <c r="AE961" t="str">
        <v>dist</v>
      </c>
    </row>
    <row r="962" spans="1:31" hidden="1" x14ac:dyDescent="0.25">
      <c r="A962">
        <v>961</v>
      </c>
      <c r="B962">
        <v>2025</v>
      </c>
      <c r="C962">
        <v>1</v>
      </c>
      <c r="D962">
        <v>33</v>
      </c>
      <c r="E962">
        <v>5</v>
      </c>
      <c r="F962">
        <v>0</v>
      </c>
      <c r="G962" s="61">
        <v>18963</v>
      </c>
      <c r="H962">
        <v>0</v>
      </c>
      <c r="I962">
        <v>0</v>
      </c>
      <c r="J962">
        <v>2</v>
      </c>
      <c r="K962" s="61">
        <v>4.7</v>
      </c>
      <c r="L962" s="61">
        <v>89126.1</v>
      </c>
      <c r="AA962">
        <v>31</v>
      </c>
      <c r="AB962">
        <v>8</v>
      </c>
      <c r="AC962" t="str">
        <v>99UK314</v>
      </c>
      <c r="AD962">
        <v>7971</v>
      </c>
      <c r="AE962" t="str">
        <v>dist</v>
      </c>
    </row>
    <row r="963" spans="1:31" hidden="1" x14ac:dyDescent="0.25">
      <c r="A963">
        <v>962</v>
      </c>
      <c r="B963">
        <v>2025</v>
      </c>
      <c r="C963">
        <v>1</v>
      </c>
      <c r="D963">
        <v>33</v>
      </c>
      <c r="E963">
        <v>5</v>
      </c>
      <c r="F963">
        <v>0</v>
      </c>
      <c r="G963" s="61">
        <v>15716</v>
      </c>
      <c r="H963">
        <v>0</v>
      </c>
      <c r="I963">
        <v>0</v>
      </c>
      <c r="J963">
        <v>3</v>
      </c>
      <c r="K963" s="61">
        <v>4.7</v>
      </c>
      <c r="L963" s="61">
        <v>73865.2</v>
      </c>
      <c r="AA963">
        <v>31</v>
      </c>
      <c r="AB963">
        <v>9</v>
      </c>
      <c r="AC963" t="str">
        <v>10RN527</v>
      </c>
      <c r="AD963">
        <v>4081</v>
      </c>
      <c r="AE963" t="str">
        <v>dist</v>
      </c>
    </row>
    <row r="964" spans="1:31" hidden="1" x14ac:dyDescent="0.25">
      <c r="A964">
        <v>963</v>
      </c>
      <c r="B964">
        <v>2025</v>
      </c>
      <c r="C964">
        <v>1</v>
      </c>
      <c r="D964">
        <v>33</v>
      </c>
      <c r="E964">
        <v>5</v>
      </c>
      <c r="F964">
        <v>0</v>
      </c>
      <c r="G964" s="61">
        <v>1736</v>
      </c>
      <c r="H964">
        <v>0</v>
      </c>
      <c r="I964">
        <v>0</v>
      </c>
      <c r="J964">
        <v>5</v>
      </c>
      <c r="K964" s="61">
        <v>3.85</v>
      </c>
      <c r="L964" s="61">
        <v>6683.6</v>
      </c>
      <c r="AA964">
        <v>31</v>
      </c>
      <c r="AB964">
        <v>9</v>
      </c>
      <c r="AC964" t="str">
        <v>17BE358</v>
      </c>
      <c r="AD964">
        <v>5</v>
      </c>
      <c r="AE964" t="str">
        <v>dist</v>
      </c>
    </row>
    <row r="965" spans="1:31" hidden="1" x14ac:dyDescent="0.25">
      <c r="A965">
        <v>964</v>
      </c>
      <c r="B965">
        <v>2025</v>
      </c>
      <c r="C965">
        <v>2</v>
      </c>
      <c r="D965">
        <v>33</v>
      </c>
      <c r="E965">
        <v>6</v>
      </c>
      <c r="F965">
        <v>0</v>
      </c>
      <c r="G965" s="61">
        <v>-13344</v>
      </c>
      <c r="H965">
        <v>0</v>
      </c>
      <c r="I965">
        <v>0</v>
      </c>
      <c r="J965">
        <v>1</v>
      </c>
      <c r="K965" s="61">
        <v>1.5</v>
      </c>
      <c r="L965" s="61">
        <v>-20016</v>
      </c>
      <c r="AA965">
        <v>31</v>
      </c>
      <c r="AB965">
        <v>9</v>
      </c>
      <c r="AC965" t="str">
        <v>21BF442</v>
      </c>
      <c r="AD965">
        <v>5394</v>
      </c>
      <c r="AE965" t="str">
        <v>dist</v>
      </c>
    </row>
    <row r="966" spans="1:31" hidden="1" x14ac:dyDescent="0.25">
      <c r="A966">
        <v>965</v>
      </c>
      <c r="B966">
        <v>2025</v>
      </c>
      <c r="C966">
        <v>2</v>
      </c>
      <c r="D966">
        <v>33</v>
      </c>
      <c r="E966">
        <v>6</v>
      </c>
      <c r="F966">
        <v>0</v>
      </c>
      <c r="G966" s="61">
        <v>-18963</v>
      </c>
      <c r="H966">
        <v>0</v>
      </c>
      <c r="I966">
        <v>0</v>
      </c>
      <c r="J966">
        <v>2</v>
      </c>
      <c r="K966" s="61">
        <v>4.7</v>
      </c>
      <c r="L966" s="61">
        <v>-89126.1</v>
      </c>
      <c r="AA966">
        <v>31</v>
      </c>
      <c r="AB966">
        <v>9</v>
      </c>
      <c r="AC966" t="str">
        <v>50BD165</v>
      </c>
      <c r="AD966">
        <v>903</v>
      </c>
      <c r="AE966" t="str">
        <v>dist</v>
      </c>
    </row>
    <row r="967" spans="1:31" hidden="1" x14ac:dyDescent="0.25">
      <c r="A967">
        <v>966</v>
      </c>
      <c r="B967">
        <v>2025</v>
      </c>
      <c r="C967">
        <v>2</v>
      </c>
      <c r="D967">
        <v>33</v>
      </c>
      <c r="E967">
        <v>6</v>
      </c>
      <c r="F967">
        <v>0</v>
      </c>
      <c r="G967" s="61">
        <v>-15716</v>
      </c>
      <c r="H967">
        <v>0</v>
      </c>
      <c r="I967">
        <v>0</v>
      </c>
      <c r="J967">
        <v>3</v>
      </c>
      <c r="K967" s="61">
        <v>4.7</v>
      </c>
      <c r="L967" s="61">
        <v>-73865.2</v>
      </c>
      <c r="AA967">
        <v>31</v>
      </c>
      <c r="AB967">
        <v>9</v>
      </c>
      <c r="AC967" t="str">
        <v>50BN724</v>
      </c>
      <c r="AD967">
        <v>1896</v>
      </c>
      <c r="AE967" t="str">
        <v>dist</v>
      </c>
    </row>
    <row r="968" spans="1:31" hidden="1" x14ac:dyDescent="0.25">
      <c r="A968">
        <v>967</v>
      </c>
      <c r="B968">
        <v>2025</v>
      </c>
      <c r="C968">
        <v>2</v>
      </c>
      <c r="D968">
        <v>33</v>
      </c>
      <c r="E968">
        <v>6</v>
      </c>
      <c r="F968">
        <v>0</v>
      </c>
      <c r="G968" s="61">
        <v>-1736</v>
      </c>
      <c r="H968">
        <v>0</v>
      </c>
      <c r="I968">
        <v>0</v>
      </c>
      <c r="J968">
        <v>5</v>
      </c>
      <c r="K968" s="61">
        <v>3.85</v>
      </c>
      <c r="L968" s="61">
        <v>-6683.6</v>
      </c>
      <c r="AA968">
        <v>31</v>
      </c>
      <c r="AB968">
        <v>9</v>
      </c>
      <c r="AC968" t="str">
        <v>50CN929</v>
      </c>
      <c r="AD968">
        <v>2073</v>
      </c>
      <c r="AE968" t="str">
        <v>dist</v>
      </c>
    </row>
    <row r="969" spans="1:31" hidden="1" x14ac:dyDescent="0.25">
      <c r="A969">
        <v>968</v>
      </c>
      <c r="B969">
        <v>2025</v>
      </c>
      <c r="C969">
        <v>2</v>
      </c>
      <c r="D969">
        <v>33</v>
      </c>
      <c r="E969">
        <v>6</v>
      </c>
      <c r="F969">
        <v>0</v>
      </c>
      <c r="G969" s="61">
        <v>31353</v>
      </c>
      <c r="H969">
        <v>0</v>
      </c>
      <c r="I969">
        <v>0</v>
      </c>
      <c r="J969">
        <v>7</v>
      </c>
      <c r="K969" s="61">
        <v>1.45</v>
      </c>
      <c r="L969" s="61">
        <v>45461.85</v>
      </c>
      <c r="AA969">
        <v>31</v>
      </c>
      <c r="AB969">
        <v>9</v>
      </c>
      <c r="AC969" t="str">
        <v>50DK730</v>
      </c>
      <c r="AD969">
        <v>5921</v>
      </c>
      <c r="AE969" t="str">
        <v>dist</v>
      </c>
    </row>
    <row r="970" spans="1:31" hidden="1" x14ac:dyDescent="0.25">
      <c r="A970">
        <v>969</v>
      </c>
      <c r="B970">
        <v>2025</v>
      </c>
      <c r="C970">
        <v>2</v>
      </c>
      <c r="D970">
        <v>33</v>
      </c>
      <c r="E970">
        <v>6</v>
      </c>
      <c r="F970">
        <v>0</v>
      </c>
      <c r="G970" s="61">
        <v>42009</v>
      </c>
      <c r="H970">
        <v>0</v>
      </c>
      <c r="I970">
        <v>0</v>
      </c>
      <c r="J970">
        <v>8</v>
      </c>
      <c r="K970" s="61">
        <v>4.2</v>
      </c>
      <c r="L970" s="61">
        <v>176437.80000000002</v>
      </c>
      <c r="AA970">
        <v>31</v>
      </c>
      <c r="AB970">
        <v>9</v>
      </c>
      <c r="AC970" t="str">
        <v>50EF902</v>
      </c>
      <c r="AD970">
        <v>1129</v>
      </c>
      <c r="AE970" t="str">
        <v>dist</v>
      </c>
    </row>
    <row r="971" spans="1:31" hidden="1" x14ac:dyDescent="0.25">
      <c r="A971">
        <v>970</v>
      </c>
      <c r="B971">
        <v>2025</v>
      </c>
      <c r="C971">
        <v>2</v>
      </c>
      <c r="D971">
        <v>33</v>
      </c>
      <c r="E971">
        <v>6</v>
      </c>
      <c r="F971">
        <v>0</v>
      </c>
      <c r="G971" s="61">
        <v>34740</v>
      </c>
      <c r="H971">
        <v>0</v>
      </c>
      <c r="I971">
        <v>0</v>
      </c>
      <c r="J971">
        <v>9</v>
      </c>
      <c r="K971" s="61">
        <v>4.2</v>
      </c>
      <c r="L971" s="61">
        <v>145908</v>
      </c>
      <c r="AA971">
        <v>31</v>
      </c>
      <c r="AB971">
        <v>9</v>
      </c>
      <c r="AC971" t="str">
        <v>50FB264</v>
      </c>
      <c r="AD971">
        <v>763</v>
      </c>
      <c r="AE971" t="str">
        <v>dist</v>
      </c>
    </row>
    <row r="972" spans="1:31" hidden="1" x14ac:dyDescent="0.25">
      <c r="A972">
        <v>971</v>
      </c>
      <c r="B972">
        <v>2025</v>
      </c>
      <c r="C972">
        <v>2</v>
      </c>
      <c r="D972">
        <v>33</v>
      </c>
      <c r="E972">
        <v>6</v>
      </c>
      <c r="F972">
        <v>0</v>
      </c>
      <c r="G972" s="61">
        <v>3252</v>
      </c>
      <c r="H972">
        <v>0</v>
      </c>
      <c r="I972">
        <v>0</v>
      </c>
      <c r="J972">
        <v>11</v>
      </c>
      <c r="K972" s="61">
        <v>3.5</v>
      </c>
      <c r="L972" s="61">
        <v>11382</v>
      </c>
      <c r="AA972">
        <v>31</v>
      </c>
      <c r="AB972">
        <v>9</v>
      </c>
      <c r="AC972" t="str">
        <v>53BD338</v>
      </c>
      <c r="AD972">
        <v>180</v>
      </c>
      <c r="AE972" t="str">
        <v>dist</v>
      </c>
    </row>
    <row r="973" spans="1:31" hidden="1" x14ac:dyDescent="0.25">
      <c r="A973">
        <v>972</v>
      </c>
      <c r="B973">
        <v>2025</v>
      </c>
      <c r="C973">
        <v>3</v>
      </c>
      <c r="D973">
        <v>33</v>
      </c>
      <c r="E973">
        <v>7</v>
      </c>
      <c r="F973">
        <v>0</v>
      </c>
      <c r="G973" s="61">
        <v>17722</v>
      </c>
      <c r="H973">
        <v>0</v>
      </c>
      <c r="I973">
        <v>0</v>
      </c>
      <c r="J973">
        <v>7</v>
      </c>
      <c r="K973" s="61">
        <v>1.45</v>
      </c>
      <c r="L973" s="61">
        <v>25696.899999999998</v>
      </c>
      <c r="AA973">
        <v>31</v>
      </c>
      <c r="AB973">
        <v>9</v>
      </c>
      <c r="AC973" t="str">
        <v>55CB633</v>
      </c>
      <c r="AD973">
        <v>3062</v>
      </c>
      <c r="AE973" t="str">
        <v>dist</v>
      </c>
    </row>
    <row r="974" spans="1:31" hidden="1" x14ac:dyDescent="0.25">
      <c r="A974">
        <v>973</v>
      </c>
      <c r="B974">
        <v>2025</v>
      </c>
      <c r="C974">
        <v>3</v>
      </c>
      <c r="D974">
        <v>33</v>
      </c>
      <c r="E974">
        <v>7</v>
      </c>
      <c r="F974">
        <v>0</v>
      </c>
      <c r="G974" s="61">
        <v>27701</v>
      </c>
      <c r="H974">
        <v>0</v>
      </c>
      <c r="I974">
        <v>0</v>
      </c>
      <c r="J974">
        <v>8</v>
      </c>
      <c r="K974" s="61">
        <v>4.2</v>
      </c>
      <c r="L974" s="61">
        <v>116344.20000000001</v>
      </c>
      <c r="AA974">
        <v>31</v>
      </c>
      <c r="AB974">
        <v>9</v>
      </c>
      <c r="AC974" t="str">
        <v>77GR998</v>
      </c>
      <c r="AD974">
        <v>3034</v>
      </c>
      <c r="AE974" t="str">
        <v>dist</v>
      </c>
    </row>
    <row r="975" spans="1:31" hidden="1" x14ac:dyDescent="0.25">
      <c r="A975">
        <v>974</v>
      </c>
      <c r="B975">
        <v>2025</v>
      </c>
      <c r="C975">
        <v>3</v>
      </c>
      <c r="D975">
        <v>33</v>
      </c>
      <c r="E975">
        <v>7</v>
      </c>
      <c r="F975">
        <v>0</v>
      </c>
      <c r="G975" s="61">
        <v>22028</v>
      </c>
      <c r="H975">
        <v>0</v>
      </c>
      <c r="I975">
        <v>0</v>
      </c>
      <c r="J975">
        <v>9</v>
      </c>
      <c r="K975" s="61">
        <v>4.2</v>
      </c>
      <c r="L975" s="61">
        <v>92517.6</v>
      </c>
      <c r="AA975">
        <v>31</v>
      </c>
      <c r="AB975">
        <v>9</v>
      </c>
      <c r="AC975" t="str">
        <v>77SR538</v>
      </c>
      <c r="AD975">
        <v>6312</v>
      </c>
      <c r="AE975" t="str">
        <v>dist</v>
      </c>
    </row>
    <row r="976" spans="1:31" hidden="1" x14ac:dyDescent="0.25">
      <c r="A976">
        <v>975</v>
      </c>
      <c r="B976">
        <v>2025</v>
      </c>
      <c r="C976">
        <v>3</v>
      </c>
      <c r="D976">
        <v>33</v>
      </c>
      <c r="E976">
        <v>7</v>
      </c>
      <c r="F976">
        <v>0</v>
      </c>
      <c r="G976" s="61">
        <v>2671</v>
      </c>
      <c r="H976">
        <v>0</v>
      </c>
      <c r="I976">
        <v>0</v>
      </c>
      <c r="J976">
        <v>11</v>
      </c>
      <c r="K976" s="61">
        <v>3.5</v>
      </c>
      <c r="L976" s="61">
        <v>9348.5</v>
      </c>
      <c r="AA976">
        <v>31</v>
      </c>
      <c r="AB976">
        <v>9</v>
      </c>
      <c r="AC976" t="str">
        <v>77TG971</v>
      </c>
      <c r="AD976">
        <v>1903</v>
      </c>
      <c r="AE976" t="str">
        <v>dist</v>
      </c>
    </row>
    <row r="977" spans="1:31" hidden="1" x14ac:dyDescent="0.25">
      <c r="A977">
        <v>976</v>
      </c>
      <c r="B977">
        <v>2025</v>
      </c>
      <c r="C977">
        <v>4</v>
      </c>
      <c r="D977">
        <v>33</v>
      </c>
      <c r="E977">
        <v>8</v>
      </c>
      <c r="F977">
        <v>0</v>
      </c>
      <c r="G977" s="61">
        <v>22797</v>
      </c>
      <c r="H977">
        <v>0</v>
      </c>
      <c r="I977">
        <v>0</v>
      </c>
      <c r="J977">
        <v>7</v>
      </c>
      <c r="K977" s="61">
        <v>1.45</v>
      </c>
      <c r="L977" s="61">
        <v>33055.65</v>
      </c>
      <c r="AA977">
        <v>31</v>
      </c>
      <c r="AB977">
        <v>9</v>
      </c>
      <c r="AC977" t="str">
        <v>77UR032</v>
      </c>
      <c r="AD977">
        <v>2534</v>
      </c>
      <c r="AE977" t="str">
        <v>dist</v>
      </c>
    </row>
    <row r="978" spans="1:31" hidden="1" x14ac:dyDescent="0.25">
      <c r="A978">
        <v>977</v>
      </c>
      <c r="B978">
        <v>2025</v>
      </c>
      <c r="C978">
        <v>4</v>
      </c>
      <c r="D978">
        <v>33</v>
      </c>
      <c r="E978">
        <v>8</v>
      </c>
      <c r="F978">
        <v>0</v>
      </c>
      <c r="G978" s="61">
        <v>32920</v>
      </c>
      <c r="H978">
        <v>0</v>
      </c>
      <c r="I978">
        <v>0</v>
      </c>
      <c r="J978">
        <v>8</v>
      </c>
      <c r="K978" s="61">
        <v>4.2</v>
      </c>
      <c r="L978" s="61">
        <v>138264</v>
      </c>
      <c r="AA978">
        <v>31</v>
      </c>
      <c r="AB978">
        <v>9</v>
      </c>
      <c r="AC978" t="str">
        <v>90EC344</v>
      </c>
      <c r="AD978">
        <v>1819</v>
      </c>
      <c r="AE978" t="str">
        <v>dist</v>
      </c>
    </row>
    <row r="979" spans="1:31" hidden="1" x14ac:dyDescent="0.25">
      <c r="A979">
        <v>978</v>
      </c>
      <c r="B979">
        <v>2025</v>
      </c>
      <c r="C979">
        <v>4</v>
      </c>
      <c r="D979">
        <v>33</v>
      </c>
      <c r="E979">
        <v>8</v>
      </c>
      <c r="F979">
        <v>0</v>
      </c>
      <c r="G979" s="61">
        <v>33855</v>
      </c>
      <c r="H979">
        <v>0</v>
      </c>
      <c r="I979">
        <v>0</v>
      </c>
      <c r="J979">
        <v>9</v>
      </c>
      <c r="K979" s="61">
        <v>4.2</v>
      </c>
      <c r="L979" s="61">
        <v>142191</v>
      </c>
      <c r="AA979">
        <v>31</v>
      </c>
      <c r="AB979">
        <v>9</v>
      </c>
      <c r="AC979" t="str">
        <v>90LS143</v>
      </c>
      <c r="AD979">
        <v>2953</v>
      </c>
      <c r="AE979" t="str">
        <v>dist</v>
      </c>
    </row>
    <row r="980" spans="1:31" hidden="1" x14ac:dyDescent="0.25">
      <c r="A980">
        <v>979</v>
      </c>
      <c r="B980">
        <v>2025</v>
      </c>
      <c r="C980">
        <v>4</v>
      </c>
      <c r="D980">
        <v>33</v>
      </c>
      <c r="E980">
        <v>8</v>
      </c>
      <c r="F980">
        <v>0</v>
      </c>
      <c r="G980" s="61">
        <v>5637</v>
      </c>
      <c r="H980">
        <v>0</v>
      </c>
      <c r="I980">
        <v>0</v>
      </c>
      <c r="J980">
        <v>11</v>
      </c>
      <c r="K980" s="61">
        <v>3.5</v>
      </c>
      <c r="L980" s="61">
        <v>19729.5</v>
      </c>
      <c r="AA980">
        <v>31</v>
      </c>
      <c r="AB980">
        <v>9</v>
      </c>
      <c r="AC980" t="str">
        <v>90OE402</v>
      </c>
      <c r="AD980">
        <v>4412</v>
      </c>
      <c r="AE980" t="str">
        <v>dist</v>
      </c>
    </row>
    <row r="981" spans="1:31" hidden="1" x14ac:dyDescent="0.25">
      <c r="A981">
        <v>980</v>
      </c>
      <c r="B981">
        <v>2025</v>
      </c>
      <c r="C981">
        <v>4</v>
      </c>
      <c r="D981">
        <v>33</v>
      </c>
      <c r="E981">
        <v>8</v>
      </c>
      <c r="F981">
        <v>0</v>
      </c>
      <c r="G981" s="61">
        <v>4</v>
      </c>
      <c r="H981">
        <v>0</v>
      </c>
      <c r="I981">
        <v>0</v>
      </c>
      <c r="J981" t="str">
        <v>R-1</v>
      </c>
      <c r="K981" s="61">
        <v>-80</v>
      </c>
      <c r="L981" s="61">
        <v>-320</v>
      </c>
      <c r="AA981">
        <v>31</v>
      </c>
      <c r="AB981">
        <v>9</v>
      </c>
      <c r="AC981" t="str">
        <v>90VS316</v>
      </c>
      <c r="AD981">
        <v>2664</v>
      </c>
      <c r="AE981" t="str">
        <v>dist</v>
      </c>
    </row>
    <row r="982" spans="1:31" hidden="1" x14ac:dyDescent="0.25">
      <c r="A982">
        <v>981</v>
      </c>
      <c r="B982">
        <v>2025</v>
      </c>
      <c r="C982">
        <v>4</v>
      </c>
      <c r="D982">
        <v>33</v>
      </c>
      <c r="E982">
        <v>8</v>
      </c>
      <c r="F982">
        <v>0</v>
      </c>
      <c r="G982" s="61">
        <v>4</v>
      </c>
      <c r="H982">
        <v>0</v>
      </c>
      <c r="I982">
        <v>0</v>
      </c>
      <c r="J982" t="str">
        <v>R-2</v>
      </c>
      <c r="K982" s="61">
        <v>-80</v>
      </c>
      <c r="L982" s="61">
        <v>-320</v>
      </c>
      <c r="AA982">
        <v>31</v>
      </c>
      <c r="AB982">
        <v>9</v>
      </c>
      <c r="AC982" t="str">
        <v>99BT339</v>
      </c>
      <c r="AD982">
        <v>3685</v>
      </c>
      <c r="AE982" t="str">
        <v>dist</v>
      </c>
    </row>
    <row r="983" spans="1:31" hidden="1" x14ac:dyDescent="0.25">
      <c r="A983">
        <v>982</v>
      </c>
      <c r="B983">
        <v>2025</v>
      </c>
      <c r="C983">
        <v>5</v>
      </c>
      <c r="D983">
        <v>33</v>
      </c>
      <c r="E983">
        <v>9</v>
      </c>
      <c r="F983">
        <v>0</v>
      </c>
      <c r="G983" s="61">
        <v>-71872</v>
      </c>
      <c r="H983">
        <v>0</v>
      </c>
      <c r="I983">
        <v>0</v>
      </c>
      <c r="J983">
        <v>7</v>
      </c>
      <c r="K983" s="61">
        <v>1.45</v>
      </c>
      <c r="L983" s="61">
        <v>-104214.39999999999</v>
      </c>
      <c r="AA983">
        <v>31</v>
      </c>
      <c r="AB983">
        <v>9</v>
      </c>
      <c r="AC983" t="str">
        <v>99CN447</v>
      </c>
      <c r="AD983">
        <v>2094</v>
      </c>
      <c r="AE983" t="str">
        <v>dist</v>
      </c>
    </row>
    <row r="984" spans="1:31" hidden="1" x14ac:dyDescent="0.25">
      <c r="A984">
        <v>983</v>
      </c>
      <c r="B984">
        <v>2025</v>
      </c>
      <c r="C984">
        <v>5</v>
      </c>
      <c r="D984">
        <v>33</v>
      </c>
      <c r="E984">
        <v>9</v>
      </c>
      <c r="F984">
        <v>0</v>
      </c>
      <c r="G984" s="61">
        <v>-102630</v>
      </c>
      <c r="H984">
        <v>0</v>
      </c>
      <c r="I984">
        <v>0</v>
      </c>
      <c r="J984">
        <v>8</v>
      </c>
      <c r="K984" s="61">
        <v>4.2</v>
      </c>
      <c r="L984" s="61">
        <v>-431046</v>
      </c>
      <c r="AA984">
        <v>31</v>
      </c>
      <c r="AB984">
        <v>9</v>
      </c>
      <c r="AC984" t="str">
        <v>99EM163</v>
      </c>
      <c r="AD984">
        <v>1558</v>
      </c>
      <c r="AE984" t="str">
        <v>dist</v>
      </c>
    </row>
    <row r="985" spans="1:31" hidden="1" x14ac:dyDescent="0.25">
      <c r="A985">
        <v>984</v>
      </c>
      <c r="B985">
        <v>2025</v>
      </c>
      <c r="C985">
        <v>5</v>
      </c>
      <c r="D985">
        <v>33</v>
      </c>
      <c r="E985">
        <v>9</v>
      </c>
      <c r="F985">
        <v>0</v>
      </c>
      <c r="G985" s="61">
        <v>-90623</v>
      </c>
      <c r="H985">
        <v>0</v>
      </c>
      <c r="I985">
        <v>0</v>
      </c>
      <c r="J985">
        <v>9</v>
      </c>
      <c r="K985" s="61">
        <v>4.2</v>
      </c>
      <c r="L985" s="61">
        <v>-380616.60000000003</v>
      </c>
      <c r="AA985">
        <v>31</v>
      </c>
      <c r="AB985">
        <v>9</v>
      </c>
      <c r="AC985" t="str">
        <v>99FO779</v>
      </c>
      <c r="AD985">
        <v>1517</v>
      </c>
      <c r="AE985" t="str">
        <v>dist</v>
      </c>
    </row>
    <row r="986" spans="1:31" hidden="1" x14ac:dyDescent="0.25">
      <c r="A986">
        <v>985</v>
      </c>
      <c r="B986">
        <v>2025</v>
      </c>
      <c r="C986">
        <v>5</v>
      </c>
      <c r="D986">
        <v>33</v>
      </c>
      <c r="E986">
        <v>9</v>
      </c>
      <c r="F986">
        <v>0</v>
      </c>
      <c r="G986" s="61">
        <v>-11560</v>
      </c>
      <c r="H986">
        <v>0</v>
      </c>
      <c r="I986">
        <v>0</v>
      </c>
      <c r="J986">
        <v>11</v>
      </c>
      <c r="K986" s="61">
        <v>3.5</v>
      </c>
      <c r="L986" s="61">
        <v>-40460</v>
      </c>
      <c r="AA986">
        <v>31</v>
      </c>
      <c r="AB986">
        <v>9</v>
      </c>
      <c r="AC986" t="str">
        <v>99GZ612</v>
      </c>
      <c r="AD986">
        <v>455</v>
      </c>
      <c r="AE986" t="str">
        <v>dist</v>
      </c>
    </row>
    <row r="987" spans="1:31" hidden="1" x14ac:dyDescent="0.25">
      <c r="A987">
        <v>986</v>
      </c>
      <c r="B987">
        <v>2025</v>
      </c>
      <c r="C987">
        <v>5</v>
      </c>
      <c r="D987">
        <v>33</v>
      </c>
      <c r="E987">
        <v>9</v>
      </c>
      <c r="F987">
        <v>0</v>
      </c>
      <c r="G987" s="61">
        <v>101270</v>
      </c>
      <c r="H987">
        <v>0</v>
      </c>
      <c r="I987">
        <v>0</v>
      </c>
      <c r="J987">
        <v>12</v>
      </c>
      <c r="K987" s="61">
        <v>1.56</v>
      </c>
      <c r="L987" s="61">
        <v>157981.20000000001</v>
      </c>
      <c r="AA987">
        <v>31</v>
      </c>
      <c r="AB987">
        <v>9</v>
      </c>
      <c r="AC987" t="str">
        <v>99HZ395</v>
      </c>
      <c r="AD987">
        <v>4700</v>
      </c>
      <c r="AE987" t="str">
        <v>dist</v>
      </c>
    </row>
    <row r="988" spans="1:31" hidden="1" x14ac:dyDescent="0.25">
      <c r="A988">
        <v>987</v>
      </c>
      <c r="B988">
        <v>2025</v>
      </c>
      <c r="C988">
        <v>5</v>
      </c>
      <c r="D988">
        <v>33</v>
      </c>
      <c r="E988">
        <v>9</v>
      </c>
      <c r="F988">
        <v>0</v>
      </c>
      <c r="G988" s="61">
        <v>137486</v>
      </c>
      <c r="H988">
        <v>0</v>
      </c>
      <c r="I988">
        <v>0</v>
      </c>
      <c r="J988">
        <v>13</v>
      </c>
      <c r="K988" s="61">
        <v>4.53</v>
      </c>
      <c r="L988" s="61">
        <v>622811.58000000007</v>
      </c>
      <c r="AA988">
        <v>31</v>
      </c>
      <c r="AB988">
        <v>9</v>
      </c>
      <c r="AC988" t="str">
        <v>99KL663</v>
      </c>
      <c r="AD988">
        <v>2124</v>
      </c>
      <c r="AE988" t="str">
        <v>dist</v>
      </c>
    </row>
    <row r="989" spans="1:31" hidden="1" x14ac:dyDescent="0.25">
      <c r="A989">
        <v>988</v>
      </c>
      <c r="B989">
        <v>2025</v>
      </c>
      <c r="C989">
        <v>5</v>
      </c>
      <c r="D989">
        <v>33</v>
      </c>
      <c r="E989">
        <v>9</v>
      </c>
      <c r="F989">
        <v>0</v>
      </c>
      <c r="G989" s="61">
        <v>118849</v>
      </c>
      <c r="H989">
        <v>0</v>
      </c>
      <c r="I989">
        <v>0</v>
      </c>
      <c r="J989">
        <v>14</v>
      </c>
      <c r="K989" s="61">
        <v>4.53</v>
      </c>
      <c r="L989" s="61">
        <v>538385.97</v>
      </c>
      <c r="AA989">
        <v>31</v>
      </c>
      <c r="AB989">
        <v>9</v>
      </c>
      <c r="AC989" t="str">
        <v>99LM412</v>
      </c>
      <c r="AD989">
        <v>1613</v>
      </c>
      <c r="AE989" t="str">
        <v>dist</v>
      </c>
    </row>
    <row r="990" spans="1:31" hidden="1" x14ac:dyDescent="0.25">
      <c r="A990">
        <v>989</v>
      </c>
      <c r="B990">
        <v>2025</v>
      </c>
      <c r="C990">
        <v>5</v>
      </c>
      <c r="D990">
        <v>33</v>
      </c>
      <c r="E990">
        <v>9</v>
      </c>
      <c r="F990">
        <v>0</v>
      </c>
      <c r="G990" s="61">
        <v>3311</v>
      </c>
      <c r="H990">
        <v>0</v>
      </c>
      <c r="I990">
        <v>0</v>
      </c>
      <c r="J990">
        <v>15</v>
      </c>
      <c r="K990" s="61">
        <v>4.53</v>
      </c>
      <c r="L990" s="61">
        <v>14998.83</v>
      </c>
      <c r="AA990">
        <v>31</v>
      </c>
      <c r="AB990">
        <v>9</v>
      </c>
      <c r="AC990" t="str">
        <v>99MN472</v>
      </c>
      <c r="AD990">
        <v>5720</v>
      </c>
      <c r="AE990" t="str">
        <v>dist</v>
      </c>
    </row>
    <row r="991" spans="1:31" hidden="1" x14ac:dyDescent="0.25">
      <c r="A991">
        <v>990</v>
      </c>
      <c r="B991">
        <v>2025</v>
      </c>
      <c r="C991">
        <v>5</v>
      </c>
      <c r="D991">
        <v>33</v>
      </c>
      <c r="E991">
        <v>9</v>
      </c>
      <c r="F991">
        <v>0</v>
      </c>
      <c r="G991" s="61">
        <v>13886</v>
      </c>
      <c r="H991">
        <v>0</v>
      </c>
      <c r="I991">
        <v>0</v>
      </c>
      <c r="J991">
        <v>16</v>
      </c>
      <c r="K991" s="61">
        <v>3.77</v>
      </c>
      <c r="L991" s="61">
        <v>52350.22</v>
      </c>
      <c r="AA991">
        <v>31</v>
      </c>
      <c r="AB991">
        <v>9</v>
      </c>
      <c r="AC991" t="str">
        <v>99OR961</v>
      </c>
      <c r="AD991">
        <v>1509</v>
      </c>
      <c r="AE991" t="str">
        <v>dist</v>
      </c>
    </row>
    <row r="992" spans="1:31" hidden="1" x14ac:dyDescent="0.25">
      <c r="A992">
        <v>991</v>
      </c>
      <c r="B992">
        <v>2025</v>
      </c>
      <c r="C992">
        <v>5</v>
      </c>
      <c r="D992">
        <v>33</v>
      </c>
      <c r="E992">
        <v>9</v>
      </c>
      <c r="F992">
        <v>0</v>
      </c>
      <c r="G992" s="61">
        <v>1</v>
      </c>
      <c r="H992">
        <v>0</v>
      </c>
      <c r="I992">
        <v>0</v>
      </c>
      <c r="J992" t="str">
        <v>R-3</v>
      </c>
      <c r="K992" s="61">
        <v>-680</v>
      </c>
      <c r="L992" s="61">
        <v>-680</v>
      </c>
      <c r="AA992">
        <v>31</v>
      </c>
      <c r="AB992">
        <v>9</v>
      </c>
      <c r="AC992" t="str">
        <v>99UK314</v>
      </c>
      <c r="AD992">
        <v>10485</v>
      </c>
      <c r="AE992" t="str">
        <v>dist</v>
      </c>
    </row>
    <row r="993" spans="1:31" hidden="1" x14ac:dyDescent="0.25">
      <c r="A993">
        <v>992</v>
      </c>
      <c r="B993">
        <v>2025</v>
      </c>
      <c r="C993">
        <v>6</v>
      </c>
      <c r="D993">
        <v>33</v>
      </c>
      <c r="E993">
        <v>10</v>
      </c>
      <c r="F993">
        <v>0</v>
      </c>
      <c r="G993" s="61">
        <v>28551</v>
      </c>
      <c r="H993">
        <v>0</v>
      </c>
      <c r="I993">
        <v>0</v>
      </c>
      <c r="J993">
        <v>12</v>
      </c>
      <c r="K993" s="61">
        <v>1.56</v>
      </c>
      <c r="L993" s="61">
        <v>44539.560000000005</v>
      </c>
      <c r="AA993">
        <v>31</v>
      </c>
      <c r="AB993">
        <v>10</v>
      </c>
      <c r="AC993" t="str">
        <v>10NS184</v>
      </c>
      <c r="AD993">
        <v>856</v>
      </c>
      <c r="AE993" t="str">
        <v>dist</v>
      </c>
    </row>
    <row r="994" spans="1:31" hidden="1" x14ac:dyDescent="0.25">
      <c r="A994">
        <v>993</v>
      </c>
      <c r="B994">
        <v>2025</v>
      </c>
      <c r="C994">
        <v>6</v>
      </c>
      <c r="D994">
        <v>33</v>
      </c>
      <c r="E994">
        <v>10</v>
      </c>
      <c r="F994">
        <v>0</v>
      </c>
      <c r="G994" s="61">
        <v>33698</v>
      </c>
      <c r="H994">
        <v>0</v>
      </c>
      <c r="I994">
        <v>0</v>
      </c>
      <c r="J994">
        <v>13</v>
      </c>
      <c r="K994" s="61">
        <v>4.53</v>
      </c>
      <c r="L994" s="61">
        <v>152651.94</v>
      </c>
      <c r="AA994">
        <v>31</v>
      </c>
      <c r="AB994">
        <v>10</v>
      </c>
      <c r="AC994" t="str">
        <v>10RN527</v>
      </c>
      <c r="AD994">
        <v>4421</v>
      </c>
      <c r="AE994" t="str">
        <v>dist</v>
      </c>
    </row>
    <row r="995" spans="1:31" hidden="1" x14ac:dyDescent="0.25">
      <c r="A995">
        <v>994</v>
      </c>
      <c r="B995">
        <v>2025</v>
      </c>
      <c r="C995">
        <v>6</v>
      </c>
      <c r="D995">
        <v>33</v>
      </c>
      <c r="E995">
        <v>10</v>
      </c>
      <c r="F995">
        <v>0</v>
      </c>
      <c r="G995" s="61">
        <v>30708</v>
      </c>
      <c r="H995">
        <v>0</v>
      </c>
      <c r="I995">
        <v>0</v>
      </c>
      <c r="J995">
        <v>14</v>
      </c>
      <c r="K995" s="61">
        <v>4.53</v>
      </c>
      <c r="L995" s="61">
        <v>139107.24000000002</v>
      </c>
      <c r="AA995">
        <v>31</v>
      </c>
      <c r="AB995">
        <v>10</v>
      </c>
      <c r="AC995" t="str">
        <v>10ZS260</v>
      </c>
      <c r="AD995">
        <v>130</v>
      </c>
      <c r="AE995" t="str">
        <v>dist</v>
      </c>
    </row>
    <row r="996" spans="1:31" hidden="1" x14ac:dyDescent="0.25">
      <c r="A996">
        <v>995</v>
      </c>
      <c r="B996">
        <v>2025</v>
      </c>
      <c r="C996">
        <v>6</v>
      </c>
      <c r="D996">
        <v>33</v>
      </c>
      <c r="E996">
        <v>10</v>
      </c>
      <c r="F996">
        <v>0</v>
      </c>
      <c r="G996" s="61">
        <v>3422</v>
      </c>
      <c r="H996">
        <v>0</v>
      </c>
      <c r="I996">
        <v>0</v>
      </c>
      <c r="J996">
        <v>15</v>
      </c>
      <c r="K996" s="61">
        <v>4.53</v>
      </c>
      <c r="L996" s="61">
        <v>15501.660000000002</v>
      </c>
      <c r="AA996">
        <v>31</v>
      </c>
      <c r="AB996">
        <v>10</v>
      </c>
      <c r="AC996" t="str">
        <v>17BE358</v>
      </c>
      <c r="AD996">
        <v>996</v>
      </c>
      <c r="AE996" t="str">
        <v>dist</v>
      </c>
    </row>
    <row r="997" spans="1:31" hidden="1" x14ac:dyDescent="0.25">
      <c r="A997">
        <v>996</v>
      </c>
      <c r="B997">
        <v>2025</v>
      </c>
      <c r="C997">
        <v>6</v>
      </c>
      <c r="D997">
        <v>33</v>
      </c>
      <c r="E997">
        <v>10</v>
      </c>
      <c r="F997">
        <v>0</v>
      </c>
      <c r="G997" s="61">
        <v>1781</v>
      </c>
      <c r="H997">
        <v>0</v>
      </c>
      <c r="I997">
        <v>0</v>
      </c>
      <c r="J997">
        <v>16</v>
      </c>
      <c r="K997" s="61">
        <v>3.77</v>
      </c>
      <c r="L997" s="61">
        <v>6714.37</v>
      </c>
      <c r="AA997">
        <v>31</v>
      </c>
      <c r="AB997">
        <v>10</v>
      </c>
      <c r="AC997" t="str">
        <v>21BF442</v>
      </c>
      <c r="AD997">
        <v>4403</v>
      </c>
      <c r="AE997" t="str">
        <v>dist</v>
      </c>
    </row>
    <row r="998" spans="1:31" hidden="1" x14ac:dyDescent="0.25">
      <c r="A998">
        <v>997</v>
      </c>
      <c r="B998">
        <v>2025</v>
      </c>
      <c r="C998">
        <v>7</v>
      </c>
      <c r="D998">
        <v>33</v>
      </c>
      <c r="E998">
        <v>11</v>
      </c>
      <c r="F998">
        <v>0</v>
      </c>
      <c r="G998" s="61">
        <v>35230</v>
      </c>
      <c r="H998">
        <v>0</v>
      </c>
      <c r="I998">
        <v>0</v>
      </c>
      <c r="J998">
        <v>12</v>
      </c>
      <c r="K998" s="61">
        <v>1.56</v>
      </c>
      <c r="L998" s="61">
        <v>54958.8</v>
      </c>
      <c r="AA998">
        <v>31</v>
      </c>
      <c r="AB998">
        <v>10</v>
      </c>
      <c r="AC998" t="str">
        <v>50BD165</v>
      </c>
      <c r="AD998">
        <v>665</v>
      </c>
      <c r="AE998" t="str">
        <v>dist</v>
      </c>
    </row>
    <row r="999" spans="1:31" hidden="1" x14ac:dyDescent="0.25">
      <c r="A999">
        <v>998</v>
      </c>
      <c r="B999">
        <v>2025</v>
      </c>
      <c r="C999">
        <v>7</v>
      </c>
      <c r="D999">
        <v>33</v>
      </c>
      <c r="E999">
        <v>11</v>
      </c>
      <c r="F999">
        <v>0</v>
      </c>
      <c r="G999" s="61">
        <v>40659</v>
      </c>
      <c r="H999">
        <v>0</v>
      </c>
      <c r="I999">
        <v>0</v>
      </c>
      <c r="J999">
        <v>13</v>
      </c>
      <c r="K999" s="61">
        <v>4.53</v>
      </c>
      <c r="L999" s="61">
        <v>184185.27000000002</v>
      </c>
      <c r="AA999">
        <v>31</v>
      </c>
      <c r="AB999">
        <v>10</v>
      </c>
      <c r="AC999" t="str">
        <v>50DK730</v>
      </c>
      <c r="AD999">
        <v>6111</v>
      </c>
      <c r="AE999" t="str">
        <v>dist</v>
      </c>
    </row>
    <row r="1000" spans="1:31" hidden="1" x14ac:dyDescent="0.25">
      <c r="A1000">
        <v>999</v>
      </c>
      <c r="B1000">
        <v>2025</v>
      </c>
      <c r="C1000">
        <v>7</v>
      </c>
      <c r="D1000">
        <v>33</v>
      </c>
      <c r="E1000">
        <v>11</v>
      </c>
      <c r="F1000">
        <v>0</v>
      </c>
      <c r="G1000" s="61">
        <v>37822</v>
      </c>
      <c r="H1000">
        <v>0</v>
      </c>
      <c r="I1000">
        <v>0</v>
      </c>
      <c r="J1000">
        <v>14</v>
      </c>
      <c r="K1000" s="61">
        <v>4.53</v>
      </c>
      <c r="L1000" s="61">
        <v>171333.66</v>
      </c>
      <c r="AA1000">
        <v>31</v>
      </c>
      <c r="AB1000">
        <v>10</v>
      </c>
      <c r="AC1000" t="str">
        <v>50EF902</v>
      </c>
      <c r="AD1000">
        <v>1070</v>
      </c>
      <c r="AE1000" t="str">
        <v>dist</v>
      </c>
    </row>
    <row r="1001" spans="1:31" hidden="1" x14ac:dyDescent="0.25">
      <c r="A1001">
        <v>1000</v>
      </c>
      <c r="B1001">
        <v>2025</v>
      </c>
      <c r="C1001">
        <v>7</v>
      </c>
      <c r="D1001">
        <v>33</v>
      </c>
      <c r="E1001">
        <v>11</v>
      </c>
      <c r="F1001">
        <v>0</v>
      </c>
      <c r="G1001" s="61">
        <v>3943</v>
      </c>
      <c r="H1001">
        <v>0</v>
      </c>
      <c r="I1001">
        <v>0</v>
      </c>
      <c r="J1001">
        <v>15</v>
      </c>
      <c r="K1001" s="61">
        <v>4.53</v>
      </c>
      <c r="L1001" s="61">
        <v>17861.79</v>
      </c>
      <c r="AA1001">
        <v>31</v>
      </c>
      <c r="AB1001">
        <v>10</v>
      </c>
      <c r="AC1001" t="str">
        <v>50FB264</v>
      </c>
      <c r="AD1001">
        <v>1408</v>
      </c>
      <c r="AE1001" t="str">
        <v>dist</v>
      </c>
    </row>
    <row r="1002" spans="1:31" hidden="1" x14ac:dyDescent="0.25">
      <c r="A1002">
        <v>1001</v>
      </c>
      <c r="B1002">
        <v>2025</v>
      </c>
      <c r="C1002">
        <v>7</v>
      </c>
      <c r="D1002">
        <v>33</v>
      </c>
      <c r="E1002">
        <v>11</v>
      </c>
      <c r="F1002">
        <v>0</v>
      </c>
      <c r="G1002" s="61">
        <v>2485</v>
      </c>
      <c r="H1002">
        <v>0</v>
      </c>
      <c r="I1002">
        <v>0</v>
      </c>
      <c r="J1002">
        <v>16</v>
      </c>
      <c r="K1002" s="61">
        <v>3.77</v>
      </c>
      <c r="L1002" s="61">
        <v>9368.4500000000007</v>
      </c>
      <c r="AA1002">
        <v>31</v>
      </c>
      <c r="AB1002">
        <v>10</v>
      </c>
      <c r="AC1002" t="str">
        <v>53BD338</v>
      </c>
      <c r="AD1002">
        <v>1847</v>
      </c>
      <c r="AE1002" t="str">
        <v>dist</v>
      </c>
    </row>
    <row r="1003" spans="1:31" hidden="1" x14ac:dyDescent="0.25">
      <c r="A1003">
        <v>1002</v>
      </c>
      <c r="B1003">
        <v>2025</v>
      </c>
      <c r="C1003">
        <v>8</v>
      </c>
      <c r="D1003">
        <v>33</v>
      </c>
      <c r="E1003">
        <v>12</v>
      </c>
      <c r="F1003">
        <v>0</v>
      </c>
      <c r="G1003" s="61">
        <v>43128</v>
      </c>
      <c r="H1003">
        <v>0</v>
      </c>
      <c r="I1003">
        <v>0</v>
      </c>
      <c r="J1003">
        <v>12</v>
      </c>
      <c r="K1003" s="61">
        <v>1.56</v>
      </c>
      <c r="L1003" s="61">
        <v>67279.680000000008</v>
      </c>
      <c r="AA1003">
        <v>31</v>
      </c>
      <c r="AB1003">
        <v>10</v>
      </c>
      <c r="AC1003" t="str">
        <v>55CB633</v>
      </c>
      <c r="AD1003">
        <v>2663</v>
      </c>
      <c r="AE1003" t="str">
        <v>dist</v>
      </c>
    </row>
    <row r="1004" spans="1:31" hidden="1" x14ac:dyDescent="0.25">
      <c r="A1004">
        <v>1003</v>
      </c>
      <c r="B1004">
        <v>2025</v>
      </c>
      <c r="C1004">
        <v>8</v>
      </c>
      <c r="D1004">
        <v>33</v>
      </c>
      <c r="E1004">
        <v>12</v>
      </c>
      <c r="F1004">
        <v>0</v>
      </c>
      <c r="G1004" s="61">
        <v>46474</v>
      </c>
      <c r="H1004">
        <v>0</v>
      </c>
      <c r="I1004">
        <v>0</v>
      </c>
      <c r="J1004">
        <v>13</v>
      </c>
      <c r="K1004" s="61">
        <v>4.53</v>
      </c>
      <c r="L1004" s="61">
        <v>210527.22</v>
      </c>
      <c r="AA1004">
        <v>31</v>
      </c>
      <c r="AB1004">
        <v>10</v>
      </c>
      <c r="AC1004" t="str">
        <v>57BV285</v>
      </c>
      <c r="AD1004">
        <v>1108</v>
      </c>
      <c r="AE1004" t="str">
        <v>dist</v>
      </c>
    </row>
    <row r="1005" spans="1:31" hidden="1" x14ac:dyDescent="0.25">
      <c r="A1005">
        <v>1004</v>
      </c>
      <c r="B1005">
        <v>2025</v>
      </c>
      <c r="C1005">
        <v>8</v>
      </c>
      <c r="D1005">
        <v>33</v>
      </c>
      <c r="E1005">
        <v>12</v>
      </c>
      <c r="F1005">
        <v>0</v>
      </c>
      <c r="G1005" s="61">
        <v>44377</v>
      </c>
      <c r="H1005">
        <v>0</v>
      </c>
      <c r="I1005">
        <v>0</v>
      </c>
      <c r="J1005">
        <v>14</v>
      </c>
      <c r="K1005" s="61">
        <v>4.53</v>
      </c>
      <c r="L1005" s="61">
        <v>201027.81</v>
      </c>
      <c r="AA1005">
        <v>31</v>
      </c>
      <c r="AB1005">
        <v>10</v>
      </c>
      <c r="AC1005" t="str">
        <v>77GR998</v>
      </c>
      <c r="AD1005">
        <v>1858</v>
      </c>
      <c r="AE1005" t="str">
        <v>dist</v>
      </c>
    </row>
    <row r="1006" spans="1:31" hidden="1" x14ac:dyDescent="0.25">
      <c r="A1006">
        <v>1005</v>
      </c>
      <c r="B1006">
        <v>2025</v>
      </c>
      <c r="C1006">
        <v>8</v>
      </c>
      <c r="D1006">
        <v>33</v>
      </c>
      <c r="E1006">
        <v>12</v>
      </c>
      <c r="F1006">
        <v>0</v>
      </c>
      <c r="G1006" s="61">
        <v>4173</v>
      </c>
      <c r="H1006">
        <v>0</v>
      </c>
      <c r="I1006">
        <v>0</v>
      </c>
      <c r="J1006">
        <v>15</v>
      </c>
      <c r="K1006" s="61">
        <v>4.53</v>
      </c>
      <c r="L1006" s="61">
        <v>18903.690000000002</v>
      </c>
      <c r="AA1006">
        <v>31</v>
      </c>
      <c r="AB1006">
        <v>10</v>
      </c>
      <c r="AC1006" t="str">
        <v>77SR538</v>
      </c>
      <c r="AD1006">
        <v>5618</v>
      </c>
      <c r="AE1006" t="str">
        <v>dist</v>
      </c>
    </row>
    <row r="1007" spans="1:31" hidden="1" x14ac:dyDescent="0.25">
      <c r="A1007">
        <v>1006</v>
      </c>
      <c r="B1007">
        <v>2025</v>
      </c>
      <c r="C1007">
        <v>8</v>
      </c>
      <c r="D1007">
        <v>33</v>
      </c>
      <c r="E1007">
        <v>12</v>
      </c>
      <c r="F1007">
        <v>0</v>
      </c>
      <c r="G1007" s="61">
        <v>4475</v>
      </c>
      <c r="H1007">
        <v>0</v>
      </c>
      <c r="I1007">
        <v>0</v>
      </c>
      <c r="J1007">
        <v>16</v>
      </c>
      <c r="K1007" s="61">
        <v>3.77</v>
      </c>
      <c r="L1007" s="61">
        <v>16870.75</v>
      </c>
      <c r="AA1007">
        <v>31</v>
      </c>
      <c r="AB1007">
        <v>10</v>
      </c>
      <c r="AC1007" t="str">
        <v>77TG971</v>
      </c>
      <c r="AD1007">
        <v>2098</v>
      </c>
      <c r="AE1007" t="str">
        <v>dist</v>
      </c>
    </row>
    <row r="1008" spans="1:31" hidden="1" x14ac:dyDescent="0.25">
      <c r="A1008">
        <v>1007</v>
      </c>
      <c r="B1008">
        <v>2025</v>
      </c>
      <c r="C1008">
        <v>9</v>
      </c>
      <c r="D1008">
        <v>33</v>
      </c>
      <c r="E1008">
        <v>13</v>
      </c>
      <c r="F1008">
        <v>0</v>
      </c>
      <c r="G1008" s="61">
        <v>48388</v>
      </c>
      <c r="H1008">
        <v>0</v>
      </c>
      <c r="I1008">
        <v>0</v>
      </c>
      <c r="J1008">
        <v>12</v>
      </c>
      <c r="K1008" s="61">
        <v>1.56</v>
      </c>
      <c r="L1008" s="61">
        <v>75485.279999999999</v>
      </c>
      <c r="AA1008">
        <v>31</v>
      </c>
      <c r="AB1008">
        <v>10</v>
      </c>
      <c r="AC1008" t="str">
        <v>77UR032</v>
      </c>
      <c r="AD1008">
        <v>2635</v>
      </c>
      <c r="AE1008" t="str">
        <v>dist</v>
      </c>
    </row>
    <row r="1009" spans="1:31" hidden="1" x14ac:dyDescent="0.25">
      <c r="A1009">
        <v>1008</v>
      </c>
      <c r="B1009">
        <v>2025</v>
      </c>
      <c r="C1009">
        <v>9</v>
      </c>
      <c r="D1009">
        <v>33</v>
      </c>
      <c r="E1009">
        <v>13</v>
      </c>
      <c r="F1009">
        <v>0</v>
      </c>
      <c r="G1009" s="61">
        <v>52355</v>
      </c>
      <c r="H1009">
        <v>0</v>
      </c>
      <c r="I1009">
        <v>0</v>
      </c>
      <c r="J1009">
        <v>13</v>
      </c>
      <c r="K1009" s="61">
        <v>4.53</v>
      </c>
      <c r="L1009" s="61">
        <v>237168.15000000002</v>
      </c>
      <c r="AA1009">
        <v>31</v>
      </c>
      <c r="AB1009">
        <v>10</v>
      </c>
      <c r="AC1009" t="str">
        <v>90EC344</v>
      </c>
      <c r="AD1009">
        <v>2503</v>
      </c>
      <c r="AE1009" t="str">
        <v>dist</v>
      </c>
    </row>
    <row r="1010" spans="1:31" hidden="1" x14ac:dyDescent="0.25">
      <c r="A1010">
        <v>1009</v>
      </c>
      <c r="B1010">
        <v>2025</v>
      </c>
      <c r="C1010">
        <v>9</v>
      </c>
      <c r="D1010">
        <v>33</v>
      </c>
      <c r="E1010">
        <v>13</v>
      </c>
      <c r="F1010">
        <v>0</v>
      </c>
      <c r="G1010" s="61">
        <v>49596</v>
      </c>
      <c r="H1010">
        <v>0</v>
      </c>
      <c r="I1010">
        <v>0</v>
      </c>
      <c r="J1010">
        <v>14</v>
      </c>
      <c r="K1010" s="61">
        <v>4.53</v>
      </c>
      <c r="L1010" s="61">
        <v>224669.88</v>
      </c>
      <c r="AA1010">
        <v>31</v>
      </c>
      <c r="AB1010">
        <v>10</v>
      </c>
      <c r="AC1010" t="str">
        <v>90LS143</v>
      </c>
      <c r="AD1010">
        <v>2964</v>
      </c>
      <c r="AE1010" t="str">
        <v>dist</v>
      </c>
    </row>
    <row r="1011" spans="1:31" hidden="1" x14ac:dyDescent="0.25">
      <c r="A1011">
        <v>1010</v>
      </c>
      <c r="B1011">
        <v>2025</v>
      </c>
      <c r="C1011">
        <v>9</v>
      </c>
      <c r="D1011">
        <v>33</v>
      </c>
      <c r="E1011">
        <v>13</v>
      </c>
      <c r="F1011">
        <v>0</v>
      </c>
      <c r="G1011" s="61">
        <v>3873</v>
      </c>
      <c r="H1011">
        <v>0</v>
      </c>
      <c r="I1011">
        <v>0</v>
      </c>
      <c r="J1011">
        <v>15</v>
      </c>
      <c r="K1011" s="61">
        <v>4.53</v>
      </c>
      <c r="L1011" s="61">
        <v>17544.690000000002</v>
      </c>
      <c r="AA1011">
        <v>31</v>
      </c>
      <c r="AB1011">
        <v>10</v>
      </c>
      <c r="AC1011" t="str">
        <v>90OE402</v>
      </c>
      <c r="AD1011">
        <v>4070</v>
      </c>
      <c r="AE1011" t="str">
        <v>dist</v>
      </c>
    </row>
    <row r="1012" spans="1:31" hidden="1" x14ac:dyDescent="0.25">
      <c r="A1012">
        <v>1011</v>
      </c>
      <c r="B1012">
        <v>2025</v>
      </c>
      <c r="C1012">
        <v>9</v>
      </c>
      <c r="D1012">
        <v>33</v>
      </c>
      <c r="E1012">
        <v>13</v>
      </c>
      <c r="F1012">
        <v>0</v>
      </c>
      <c r="G1012" s="61">
        <v>4971</v>
      </c>
      <c r="H1012">
        <v>0</v>
      </c>
      <c r="I1012">
        <v>0</v>
      </c>
      <c r="J1012">
        <v>16</v>
      </c>
      <c r="K1012" s="61">
        <v>3.77</v>
      </c>
      <c r="L1012" s="61">
        <v>18740.670000000002</v>
      </c>
      <c r="AA1012">
        <v>31</v>
      </c>
      <c r="AB1012">
        <v>10</v>
      </c>
      <c r="AC1012" t="str">
        <v>90RC631</v>
      </c>
      <c r="AD1012">
        <v>113</v>
      </c>
      <c r="AE1012" t="str">
        <v>dist</v>
      </c>
    </row>
    <row r="1013" spans="1:31" hidden="1" x14ac:dyDescent="0.25">
      <c r="A1013">
        <v>1012</v>
      </c>
      <c r="B1013">
        <v>2025</v>
      </c>
      <c r="C1013">
        <v>9</v>
      </c>
      <c r="D1013">
        <v>33</v>
      </c>
      <c r="E1013">
        <v>13</v>
      </c>
      <c r="F1013">
        <v>0</v>
      </c>
      <c r="G1013" s="61">
        <v>5.15</v>
      </c>
      <c r="H1013">
        <v>0</v>
      </c>
      <c r="I1013">
        <v>0</v>
      </c>
      <c r="J1013" t="str">
        <v>R-4</v>
      </c>
      <c r="K1013" s="61">
        <v>-1</v>
      </c>
      <c r="L1013" s="61">
        <v>-5.15</v>
      </c>
      <c r="AA1013">
        <v>31</v>
      </c>
      <c r="AB1013">
        <v>10</v>
      </c>
      <c r="AC1013" t="str">
        <v>90UX686</v>
      </c>
      <c r="AD1013">
        <v>1308</v>
      </c>
      <c r="AE1013" t="str">
        <v>dist</v>
      </c>
    </row>
    <row r="1014" spans="1:31" hidden="1" x14ac:dyDescent="0.25">
      <c r="A1014">
        <v>1013</v>
      </c>
      <c r="B1014">
        <v>2025</v>
      </c>
      <c r="C1014">
        <v>10</v>
      </c>
      <c r="D1014">
        <v>33</v>
      </c>
      <c r="E1014">
        <v>14</v>
      </c>
      <c r="F1014">
        <v>0</v>
      </c>
      <c r="G1014" s="61">
        <v>51154</v>
      </c>
      <c r="H1014">
        <v>0</v>
      </c>
      <c r="I1014">
        <v>0</v>
      </c>
      <c r="J1014">
        <v>12</v>
      </c>
      <c r="K1014" s="61">
        <v>1.56</v>
      </c>
      <c r="L1014" s="61">
        <v>79800.240000000005</v>
      </c>
      <c r="AA1014">
        <v>31</v>
      </c>
      <c r="AB1014">
        <v>10</v>
      </c>
      <c r="AC1014" t="str">
        <v>90VS316</v>
      </c>
      <c r="AD1014">
        <v>1339</v>
      </c>
      <c r="AE1014" t="str">
        <v>dist</v>
      </c>
    </row>
    <row r="1015" spans="1:31" hidden="1" x14ac:dyDescent="0.25">
      <c r="A1015">
        <v>1014</v>
      </c>
      <c r="B1015">
        <v>2025</v>
      </c>
      <c r="C1015">
        <v>10</v>
      </c>
      <c r="D1015">
        <v>33</v>
      </c>
      <c r="E1015">
        <v>14</v>
      </c>
      <c r="F1015">
        <v>0</v>
      </c>
      <c r="G1015" s="61">
        <v>56012</v>
      </c>
      <c r="H1015">
        <v>0</v>
      </c>
      <c r="I1015">
        <v>0</v>
      </c>
      <c r="J1015">
        <v>13</v>
      </c>
      <c r="K1015" s="61">
        <v>4.53</v>
      </c>
      <c r="L1015" s="61">
        <v>253734.36000000002</v>
      </c>
      <c r="AA1015">
        <v>31</v>
      </c>
      <c r="AB1015">
        <v>10</v>
      </c>
      <c r="AC1015" t="str">
        <v>99BT339</v>
      </c>
      <c r="AD1015">
        <v>2661</v>
      </c>
      <c r="AE1015" t="str">
        <v>dist</v>
      </c>
    </row>
    <row r="1016" spans="1:31" hidden="1" x14ac:dyDescent="0.25">
      <c r="A1016">
        <v>1015</v>
      </c>
      <c r="B1016">
        <v>2025</v>
      </c>
      <c r="C1016">
        <v>10</v>
      </c>
      <c r="D1016">
        <v>33</v>
      </c>
      <c r="E1016">
        <v>14</v>
      </c>
      <c r="F1016">
        <v>0</v>
      </c>
      <c r="G1016" s="61">
        <v>52993</v>
      </c>
      <c r="H1016">
        <v>0</v>
      </c>
      <c r="I1016">
        <v>0</v>
      </c>
      <c r="J1016">
        <v>14</v>
      </c>
      <c r="K1016" s="61">
        <v>4.53</v>
      </c>
      <c r="L1016" s="61">
        <v>240058.29</v>
      </c>
      <c r="AA1016">
        <v>31</v>
      </c>
      <c r="AB1016">
        <v>10</v>
      </c>
      <c r="AC1016" t="str">
        <v>99CN447</v>
      </c>
      <c r="AD1016">
        <v>1639</v>
      </c>
      <c r="AE1016" t="str">
        <v>dist</v>
      </c>
    </row>
    <row r="1017" spans="1:31" hidden="1" x14ac:dyDescent="0.25">
      <c r="A1017">
        <v>1016</v>
      </c>
      <c r="B1017">
        <v>2025</v>
      </c>
      <c r="C1017">
        <v>10</v>
      </c>
      <c r="D1017">
        <v>33</v>
      </c>
      <c r="E1017">
        <v>14</v>
      </c>
      <c r="F1017">
        <v>0</v>
      </c>
      <c r="G1017" s="61">
        <v>3837</v>
      </c>
      <c r="H1017">
        <v>0</v>
      </c>
      <c r="I1017">
        <v>0</v>
      </c>
      <c r="J1017">
        <v>15</v>
      </c>
      <c r="K1017" s="61">
        <v>4.53</v>
      </c>
      <c r="L1017" s="61">
        <v>17381.61</v>
      </c>
      <c r="AA1017">
        <v>31</v>
      </c>
      <c r="AB1017">
        <v>10</v>
      </c>
      <c r="AC1017" t="str">
        <v>99DT131</v>
      </c>
      <c r="AD1017">
        <v>715</v>
      </c>
      <c r="AE1017" t="str">
        <v>dist</v>
      </c>
    </row>
    <row r="1018" spans="1:31" hidden="1" x14ac:dyDescent="0.25">
      <c r="A1018">
        <v>1017</v>
      </c>
      <c r="B1018">
        <v>2025</v>
      </c>
      <c r="C1018">
        <v>10</v>
      </c>
      <c r="D1018">
        <v>33</v>
      </c>
      <c r="E1018">
        <v>14</v>
      </c>
      <c r="F1018">
        <v>0</v>
      </c>
      <c r="G1018" s="61">
        <v>4454</v>
      </c>
      <c r="H1018">
        <v>0</v>
      </c>
      <c r="I1018">
        <v>0</v>
      </c>
      <c r="J1018">
        <v>16</v>
      </c>
      <c r="K1018" s="61">
        <v>3.77</v>
      </c>
      <c r="L1018" s="61">
        <v>16791.580000000002</v>
      </c>
      <c r="AA1018">
        <v>31</v>
      </c>
      <c r="AB1018">
        <v>10</v>
      </c>
      <c r="AC1018" t="str">
        <v>99EM163</v>
      </c>
      <c r="AD1018">
        <v>1164</v>
      </c>
      <c r="AE1018" t="str">
        <v>dist</v>
      </c>
    </row>
    <row r="1019" spans="1:31" hidden="1" x14ac:dyDescent="0.25">
      <c r="A1019">
        <v>1018</v>
      </c>
      <c r="B1019">
        <v>2025</v>
      </c>
      <c r="C1019">
        <v>11</v>
      </c>
      <c r="D1019">
        <v>33</v>
      </c>
      <c r="E1019">
        <v>15</v>
      </c>
      <c r="F1019">
        <v>0</v>
      </c>
      <c r="G1019" s="61">
        <v>49730</v>
      </c>
      <c r="H1019">
        <v>0</v>
      </c>
      <c r="I1019">
        <v>0</v>
      </c>
      <c r="J1019">
        <v>12</v>
      </c>
      <c r="K1019" s="61">
        <v>1.56</v>
      </c>
      <c r="L1019" s="61">
        <v>77578.8</v>
      </c>
      <c r="AA1019">
        <v>31</v>
      </c>
      <c r="AB1019">
        <v>10</v>
      </c>
      <c r="AC1019" t="str">
        <v>99FO779</v>
      </c>
      <c r="AD1019">
        <v>1574</v>
      </c>
      <c r="AE1019" t="str">
        <v>dist</v>
      </c>
    </row>
    <row r="1020" spans="1:31" hidden="1" x14ac:dyDescent="0.25">
      <c r="A1020">
        <v>1019</v>
      </c>
      <c r="B1020">
        <v>2025</v>
      </c>
      <c r="C1020">
        <v>11</v>
      </c>
      <c r="D1020">
        <v>33</v>
      </c>
      <c r="E1020">
        <v>15</v>
      </c>
      <c r="F1020">
        <v>0</v>
      </c>
      <c r="G1020" s="61">
        <v>56306</v>
      </c>
      <c r="H1020">
        <v>0</v>
      </c>
      <c r="I1020">
        <v>0</v>
      </c>
      <c r="J1020">
        <v>13</v>
      </c>
      <c r="K1020" s="61">
        <v>4.53</v>
      </c>
      <c r="L1020" s="61">
        <v>255066.18000000002</v>
      </c>
      <c r="AA1020">
        <v>31</v>
      </c>
      <c r="AB1020">
        <v>10</v>
      </c>
      <c r="AC1020" t="str">
        <v>99GZ612</v>
      </c>
      <c r="AD1020">
        <v>2540</v>
      </c>
      <c r="AE1020" t="str">
        <v>dist</v>
      </c>
    </row>
    <row r="1021" spans="1:31" hidden="1" x14ac:dyDescent="0.25">
      <c r="A1021">
        <v>1020</v>
      </c>
      <c r="B1021">
        <v>2025</v>
      </c>
      <c r="C1021">
        <v>11</v>
      </c>
      <c r="D1021">
        <v>33</v>
      </c>
      <c r="E1021">
        <v>15</v>
      </c>
      <c r="F1021">
        <v>0</v>
      </c>
      <c r="G1021" s="61">
        <v>52246</v>
      </c>
      <c r="H1021">
        <v>0</v>
      </c>
      <c r="I1021">
        <v>0</v>
      </c>
      <c r="J1021">
        <v>14</v>
      </c>
      <c r="K1021" s="61">
        <v>4.53</v>
      </c>
      <c r="L1021" s="61">
        <v>236674.38</v>
      </c>
      <c r="AA1021">
        <v>31</v>
      </c>
      <c r="AB1021">
        <v>10</v>
      </c>
      <c r="AC1021" t="str">
        <v>99HZ395</v>
      </c>
      <c r="AD1021">
        <v>4474</v>
      </c>
      <c r="AE1021" t="str">
        <v>dist</v>
      </c>
    </row>
    <row r="1022" spans="1:31" hidden="1" x14ac:dyDescent="0.25">
      <c r="A1022">
        <v>1021</v>
      </c>
      <c r="B1022">
        <v>2025</v>
      </c>
      <c r="C1022">
        <v>11</v>
      </c>
      <c r="D1022">
        <v>33</v>
      </c>
      <c r="E1022">
        <v>15</v>
      </c>
      <c r="F1022">
        <v>0</v>
      </c>
      <c r="G1022" s="61">
        <v>3707</v>
      </c>
      <c r="H1022">
        <v>0</v>
      </c>
      <c r="I1022">
        <v>0</v>
      </c>
      <c r="J1022">
        <v>15</v>
      </c>
      <c r="K1022" s="61">
        <v>4.53</v>
      </c>
      <c r="L1022" s="61">
        <v>16792.71</v>
      </c>
      <c r="AA1022">
        <v>31</v>
      </c>
      <c r="AB1022">
        <v>10</v>
      </c>
      <c r="AC1022" t="str">
        <v>99KL663</v>
      </c>
      <c r="AD1022">
        <v>1877</v>
      </c>
      <c r="AE1022" t="str">
        <v>dist</v>
      </c>
    </row>
    <row r="1023" spans="1:31" hidden="1" x14ac:dyDescent="0.25">
      <c r="A1023">
        <v>1022</v>
      </c>
      <c r="B1023">
        <v>2025</v>
      </c>
      <c r="C1023">
        <v>11</v>
      </c>
      <c r="D1023">
        <v>33</v>
      </c>
      <c r="E1023">
        <v>15</v>
      </c>
      <c r="F1023">
        <v>0</v>
      </c>
      <c r="G1023" s="61">
        <v>3149</v>
      </c>
      <c r="H1023">
        <v>0</v>
      </c>
      <c r="I1023">
        <v>0</v>
      </c>
      <c r="J1023">
        <v>16</v>
      </c>
      <c r="K1023" s="61">
        <v>3.77</v>
      </c>
      <c r="L1023" s="61">
        <v>11871.73</v>
      </c>
      <c r="AA1023">
        <v>31</v>
      </c>
      <c r="AB1023">
        <v>10</v>
      </c>
      <c r="AC1023" t="str">
        <v>99LM412</v>
      </c>
      <c r="AD1023">
        <v>1195</v>
      </c>
      <c r="AE1023" t="str">
        <v>dist</v>
      </c>
    </row>
    <row r="1024" spans="1:31" hidden="1" x14ac:dyDescent="0.25">
      <c r="A1024">
        <v>1023</v>
      </c>
      <c r="B1024">
        <v>2025</v>
      </c>
      <c r="C1024">
        <v>6</v>
      </c>
      <c r="D1024">
        <v>91</v>
      </c>
      <c r="E1024">
        <v>1</v>
      </c>
      <c r="F1024" t="str">
        <v>90VJ454</v>
      </c>
      <c r="G1024" s="61">
        <v>1.1666666666666667</v>
      </c>
      <c r="H1024">
        <v>0</v>
      </c>
      <c r="I1024" t="str">
        <v>6&amp;7 2025</v>
      </c>
      <c r="J1024">
        <v>1</v>
      </c>
      <c r="K1024" s="61">
        <v>3500</v>
      </c>
      <c r="L1024" s="61">
        <v>4083.3333333333335</v>
      </c>
      <c r="AA1024">
        <v>31</v>
      </c>
      <c r="AB1024">
        <v>10</v>
      </c>
      <c r="AC1024" t="str">
        <v>99MN472</v>
      </c>
      <c r="AD1024">
        <v>6645</v>
      </c>
      <c r="AE1024" t="str">
        <v>dist</v>
      </c>
    </row>
    <row r="1025" spans="1:31" hidden="1" x14ac:dyDescent="0.25">
      <c r="A1025">
        <v>1024</v>
      </c>
      <c r="B1025">
        <v>2025</v>
      </c>
      <c r="C1025">
        <v>8</v>
      </c>
      <c r="D1025">
        <v>91</v>
      </c>
      <c r="E1025">
        <v>2</v>
      </c>
      <c r="F1025" t="str">
        <v>90VJ454</v>
      </c>
      <c r="G1025" s="61">
        <v>1</v>
      </c>
      <c r="H1025">
        <v>0</v>
      </c>
      <c r="I1025">
        <v>0</v>
      </c>
      <c r="J1025">
        <v>1</v>
      </c>
      <c r="K1025" s="61">
        <v>3500</v>
      </c>
      <c r="L1025" s="61">
        <v>3500</v>
      </c>
      <c r="AA1025">
        <v>31</v>
      </c>
      <c r="AB1025">
        <v>10</v>
      </c>
      <c r="AC1025" t="str">
        <v>99OR961</v>
      </c>
      <c r="AD1025">
        <v>1262</v>
      </c>
      <c r="AE1025" t="str">
        <v>dist</v>
      </c>
    </row>
    <row r="1026" spans="1:31" hidden="1" x14ac:dyDescent="0.25">
      <c r="A1026">
        <v>1025</v>
      </c>
      <c r="B1026">
        <v>2025</v>
      </c>
      <c r="C1026">
        <v>9</v>
      </c>
      <c r="D1026">
        <v>91</v>
      </c>
      <c r="E1026">
        <v>3</v>
      </c>
      <c r="F1026" t="str">
        <v>90VJ454</v>
      </c>
      <c r="G1026" s="61">
        <v>1</v>
      </c>
      <c r="H1026">
        <v>0</v>
      </c>
      <c r="I1026">
        <v>0</v>
      </c>
      <c r="J1026">
        <v>1</v>
      </c>
      <c r="K1026" s="61">
        <v>3500</v>
      </c>
      <c r="L1026" s="61">
        <v>3500</v>
      </c>
      <c r="AA1026">
        <v>31</v>
      </c>
      <c r="AB1026">
        <v>10</v>
      </c>
      <c r="AC1026" t="str">
        <v>99UK314</v>
      </c>
      <c r="AD1026">
        <v>10617</v>
      </c>
      <c r="AE1026" t="str">
        <v>dist</v>
      </c>
    </row>
    <row r="1027" spans="1:31" hidden="1" x14ac:dyDescent="0.25">
      <c r="A1027">
        <v>1026</v>
      </c>
      <c r="B1027">
        <v>2025</v>
      </c>
      <c r="C1027">
        <v>10</v>
      </c>
      <c r="D1027">
        <v>91</v>
      </c>
      <c r="E1027">
        <v>4</v>
      </c>
      <c r="F1027" t="str">
        <v>90VJ454</v>
      </c>
      <c r="G1027" s="61">
        <v>1</v>
      </c>
      <c r="H1027">
        <v>0</v>
      </c>
      <c r="I1027">
        <v>0</v>
      </c>
      <c r="J1027">
        <v>1</v>
      </c>
      <c r="K1027" s="61">
        <v>3500</v>
      </c>
      <c r="L1027" s="61">
        <v>3500</v>
      </c>
      <c r="AA1027">
        <v>31</v>
      </c>
      <c r="AB1027">
        <v>10</v>
      </c>
      <c r="AC1027" t="str">
        <v>77GR998</v>
      </c>
      <c r="AD1027">
        <v>1357</v>
      </c>
      <c r="AE1027" t="str">
        <v>dist</v>
      </c>
    </row>
    <row r="1028" spans="1:31" hidden="1" x14ac:dyDescent="0.25">
      <c r="A1028">
        <v>1027</v>
      </c>
      <c r="B1028">
        <v>2025</v>
      </c>
      <c r="C1028">
        <v>11</v>
      </c>
      <c r="D1028">
        <v>91</v>
      </c>
      <c r="E1028">
        <v>5</v>
      </c>
      <c r="F1028" t="str">
        <v>90VJ454</v>
      </c>
      <c r="G1028" s="61">
        <v>1</v>
      </c>
      <c r="H1028">
        <v>0</v>
      </c>
      <c r="I1028">
        <v>0</v>
      </c>
      <c r="J1028">
        <v>1</v>
      </c>
      <c r="K1028" s="61">
        <v>3500</v>
      </c>
      <c r="L1028" s="61">
        <v>3500</v>
      </c>
      <c r="AA1028">
        <v>31</v>
      </c>
      <c r="AB1028">
        <v>11</v>
      </c>
      <c r="AC1028" t="str">
        <v>77GR998</v>
      </c>
      <c r="AD1028">
        <v>2162</v>
      </c>
      <c r="AE1028" t="str">
        <v>dist</v>
      </c>
    </row>
    <row r="1029" spans="1:31" hidden="1" x14ac:dyDescent="0.25">
      <c r="A1029">
        <v>1028</v>
      </c>
      <c r="B1029">
        <v>2025</v>
      </c>
      <c r="C1029">
        <v>9</v>
      </c>
      <c r="D1029">
        <v>98</v>
      </c>
      <c r="E1029">
        <v>3</v>
      </c>
      <c r="F1029" t="str">
        <v>50BD416</v>
      </c>
      <c r="G1029" s="61">
        <v>250</v>
      </c>
      <c r="H1029">
        <v>0</v>
      </c>
      <c r="I1029">
        <v>0</v>
      </c>
      <c r="J1029" t="str">
        <v>R-1</v>
      </c>
      <c r="K1029" s="61">
        <v>-1</v>
      </c>
      <c r="L1029" s="61">
        <v>-250</v>
      </c>
      <c r="AA1029">
        <v>31</v>
      </c>
      <c r="AB1029">
        <v>11</v>
      </c>
      <c r="AC1029" t="str">
        <v>77GR998</v>
      </c>
      <c r="AD1029">
        <v>1912</v>
      </c>
      <c r="AE1029" t="str">
        <v>dist</v>
      </c>
    </row>
    <row r="1030" spans="1:31" hidden="1" x14ac:dyDescent="0.25">
      <c r="A1030">
        <v>1029</v>
      </c>
      <c r="B1030">
        <v>2025</v>
      </c>
      <c r="C1030">
        <v>10</v>
      </c>
      <c r="D1030">
        <v>98</v>
      </c>
      <c r="E1030">
        <v>4</v>
      </c>
      <c r="F1030" t="str">
        <v>50BD416</v>
      </c>
      <c r="G1030" s="61">
        <v>-250</v>
      </c>
      <c r="H1030">
        <v>0</v>
      </c>
      <c r="I1030">
        <v>0</v>
      </c>
      <c r="J1030" t="str">
        <v>R-2</v>
      </c>
      <c r="K1030" s="61">
        <v>-1</v>
      </c>
      <c r="L1030" s="61">
        <v>250</v>
      </c>
      <c r="AA1030">
        <v>31</v>
      </c>
      <c r="AB1030">
        <v>11</v>
      </c>
      <c r="AC1030" t="str">
        <v>10NS184</v>
      </c>
      <c r="AD1030">
        <v>1688</v>
      </c>
      <c r="AE1030" t="str">
        <v>dist</v>
      </c>
    </row>
    <row r="1031" spans="1:31" hidden="1" x14ac:dyDescent="0.25">
      <c r="A1031">
        <v>1030</v>
      </c>
      <c r="B1031">
        <v>2025</v>
      </c>
      <c r="C1031">
        <v>8</v>
      </c>
      <c r="D1031">
        <v>103</v>
      </c>
      <c r="E1031">
        <v>1</v>
      </c>
      <c r="F1031">
        <v>0</v>
      </c>
      <c r="G1031" s="61">
        <v>1</v>
      </c>
      <c r="H1031">
        <v>0</v>
      </c>
      <c r="I1031">
        <v>0</v>
      </c>
      <c r="J1031">
        <v>1</v>
      </c>
      <c r="K1031" s="61">
        <v>3400</v>
      </c>
      <c r="L1031" s="61">
        <v>3400</v>
      </c>
      <c r="AA1031">
        <v>31</v>
      </c>
      <c r="AB1031">
        <v>11</v>
      </c>
      <c r="AC1031" t="str">
        <v>10RN527</v>
      </c>
      <c r="AD1031">
        <v>4791</v>
      </c>
      <c r="AE1031" t="str">
        <v>dist</v>
      </c>
    </row>
    <row r="1032" spans="1:31" hidden="1" x14ac:dyDescent="0.25">
      <c r="A1032">
        <v>1031</v>
      </c>
      <c r="B1032">
        <v>2025</v>
      </c>
      <c r="C1032">
        <v>7</v>
      </c>
      <c r="D1032">
        <v>107</v>
      </c>
      <c r="E1032">
        <v>1</v>
      </c>
      <c r="F1032">
        <v>0</v>
      </c>
      <c r="G1032" s="61">
        <v>1</v>
      </c>
      <c r="H1032">
        <v>0</v>
      </c>
      <c r="I1032">
        <v>0</v>
      </c>
      <c r="J1032">
        <v>1</v>
      </c>
      <c r="K1032" s="61">
        <v>3300</v>
      </c>
      <c r="L1032" s="61">
        <v>3300</v>
      </c>
      <c r="AA1032">
        <v>31</v>
      </c>
      <c r="AB1032">
        <v>11</v>
      </c>
      <c r="AC1032" t="str">
        <v>17BE358</v>
      </c>
      <c r="AD1032">
        <v>1428</v>
      </c>
      <c r="AE1032" t="str">
        <v>dist</v>
      </c>
    </row>
    <row r="1033" spans="1:31" hidden="1" x14ac:dyDescent="0.25">
      <c r="A1033">
        <v>1032</v>
      </c>
      <c r="B1033">
        <v>2025</v>
      </c>
      <c r="C1033">
        <v>7</v>
      </c>
      <c r="D1033">
        <v>107</v>
      </c>
      <c r="E1033">
        <v>1</v>
      </c>
      <c r="F1033">
        <v>0</v>
      </c>
      <c r="G1033" s="61">
        <v>1</v>
      </c>
      <c r="H1033">
        <v>0</v>
      </c>
      <c r="I1033">
        <v>0</v>
      </c>
      <c r="J1033">
        <v>2</v>
      </c>
      <c r="K1033" s="61">
        <v>3300</v>
      </c>
      <c r="L1033" s="61">
        <v>3300</v>
      </c>
      <c r="AA1033">
        <v>31</v>
      </c>
      <c r="AB1033">
        <v>11</v>
      </c>
      <c r="AC1033" t="str">
        <v>21BF442</v>
      </c>
      <c r="AD1033">
        <v>5812</v>
      </c>
      <c r="AE1033" t="str">
        <v>dist</v>
      </c>
    </row>
    <row r="1034" spans="1:31" hidden="1" x14ac:dyDescent="0.25">
      <c r="A1034">
        <v>1033</v>
      </c>
      <c r="B1034">
        <v>2025</v>
      </c>
      <c r="C1034">
        <v>7</v>
      </c>
      <c r="D1034">
        <v>107</v>
      </c>
      <c r="E1034">
        <v>1</v>
      </c>
      <c r="F1034">
        <v>0</v>
      </c>
      <c r="G1034" s="61">
        <v>1</v>
      </c>
      <c r="H1034">
        <v>0</v>
      </c>
      <c r="I1034">
        <v>0</v>
      </c>
      <c r="J1034">
        <v>3</v>
      </c>
      <c r="K1034" s="61">
        <v>3300</v>
      </c>
      <c r="L1034" s="61">
        <v>3300</v>
      </c>
      <c r="AA1034">
        <v>31</v>
      </c>
      <c r="AB1034">
        <v>11</v>
      </c>
      <c r="AC1034" t="str">
        <v>50DK730</v>
      </c>
      <c r="AD1034">
        <v>6153</v>
      </c>
      <c r="AE1034" t="str">
        <v>dist</v>
      </c>
    </row>
    <row r="1035" spans="1:31" hidden="1" x14ac:dyDescent="0.25">
      <c r="A1035">
        <v>1034</v>
      </c>
      <c r="B1035">
        <v>2025</v>
      </c>
      <c r="C1035">
        <v>10</v>
      </c>
      <c r="D1035">
        <v>107</v>
      </c>
      <c r="E1035">
        <v>2</v>
      </c>
      <c r="F1035">
        <v>0</v>
      </c>
      <c r="G1035" s="61">
        <v>1</v>
      </c>
      <c r="H1035">
        <v>0</v>
      </c>
      <c r="I1035">
        <v>0</v>
      </c>
      <c r="J1035">
        <v>4</v>
      </c>
      <c r="K1035" s="61">
        <v>3750</v>
      </c>
      <c r="L1035" s="61">
        <v>3750</v>
      </c>
      <c r="AA1035">
        <v>31</v>
      </c>
      <c r="AB1035">
        <v>11</v>
      </c>
      <c r="AC1035" t="str">
        <v>50EF902</v>
      </c>
      <c r="AD1035">
        <v>1640</v>
      </c>
      <c r="AE1035" t="str">
        <v>dist</v>
      </c>
    </row>
    <row r="1036" spans="1:31" hidden="1" x14ac:dyDescent="0.25">
      <c r="A1036">
        <v>1035</v>
      </c>
      <c r="B1036">
        <v>2025</v>
      </c>
      <c r="C1036">
        <v>10</v>
      </c>
      <c r="D1036">
        <v>107</v>
      </c>
      <c r="E1036">
        <v>2</v>
      </c>
      <c r="F1036">
        <v>0</v>
      </c>
      <c r="G1036" s="61">
        <v>1</v>
      </c>
      <c r="H1036">
        <v>0</v>
      </c>
      <c r="I1036">
        <v>0</v>
      </c>
      <c r="J1036">
        <v>5</v>
      </c>
      <c r="K1036" s="61">
        <v>3750</v>
      </c>
      <c r="L1036" s="61">
        <v>3750</v>
      </c>
      <c r="AA1036">
        <v>31</v>
      </c>
      <c r="AB1036">
        <v>11</v>
      </c>
      <c r="AC1036" t="str">
        <v>50EL608</v>
      </c>
      <c r="AD1036">
        <v>735</v>
      </c>
      <c r="AE1036" t="str">
        <v>dist</v>
      </c>
    </row>
    <row r="1037" spans="1:31" hidden="1" x14ac:dyDescent="0.25">
      <c r="A1037">
        <v>1036</v>
      </c>
      <c r="B1037">
        <v>2025</v>
      </c>
      <c r="C1037">
        <v>10</v>
      </c>
      <c r="D1037">
        <v>107</v>
      </c>
      <c r="E1037">
        <v>2</v>
      </c>
      <c r="F1037">
        <v>0</v>
      </c>
      <c r="G1037" s="61">
        <v>4</v>
      </c>
      <c r="H1037">
        <v>0</v>
      </c>
      <c r="I1037">
        <v>0</v>
      </c>
      <c r="J1037">
        <v>6</v>
      </c>
      <c r="K1037" s="61">
        <v>350</v>
      </c>
      <c r="L1037" s="61">
        <v>1400</v>
      </c>
      <c r="AA1037">
        <v>31</v>
      </c>
      <c r="AB1037">
        <v>11</v>
      </c>
      <c r="AC1037" t="str">
        <v>50FB264</v>
      </c>
      <c r="AD1037">
        <v>1382</v>
      </c>
      <c r="AE1037" t="str">
        <v>dist</v>
      </c>
    </row>
    <row r="1038" spans="1:31" hidden="1" x14ac:dyDescent="0.25">
      <c r="A1038">
        <v>1037</v>
      </c>
      <c r="B1038">
        <v>2025</v>
      </c>
      <c r="C1038">
        <v>10</v>
      </c>
      <c r="D1038">
        <v>107</v>
      </c>
      <c r="E1038">
        <v>2</v>
      </c>
      <c r="F1038">
        <v>0</v>
      </c>
      <c r="G1038" s="61">
        <v>3</v>
      </c>
      <c r="H1038">
        <v>0</v>
      </c>
      <c r="I1038">
        <v>0</v>
      </c>
      <c r="J1038">
        <v>7</v>
      </c>
      <c r="K1038" s="61">
        <v>350</v>
      </c>
      <c r="L1038" s="61">
        <v>1050</v>
      </c>
      <c r="AA1038">
        <v>31</v>
      </c>
      <c r="AB1038">
        <v>11</v>
      </c>
      <c r="AC1038" t="str">
        <v>53BD338</v>
      </c>
      <c r="AD1038">
        <v>2398</v>
      </c>
      <c r="AE1038" t="str">
        <v>dist</v>
      </c>
    </row>
    <row r="1039" spans="1:31" hidden="1" x14ac:dyDescent="0.25">
      <c r="A1039">
        <v>1038</v>
      </c>
      <c r="B1039">
        <v>2025</v>
      </c>
      <c r="C1039">
        <v>10</v>
      </c>
      <c r="D1039">
        <v>107</v>
      </c>
      <c r="E1039">
        <v>2</v>
      </c>
      <c r="F1039">
        <v>0</v>
      </c>
      <c r="G1039" s="61">
        <v>7</v>
      </c>
      <c r="H1039">
        <v>0</v>
      </c>
      <c r="I1039">
        <v>0</v>
      </c>
      <c r="J1039">
        <v>8</v>
      </c>
      <c r="K1039" s="61">
        <v>500</v>
      </c>
      <c r="L1039" s="61">
        <v>3500</v>
      </c>
      <c r="AA1039">
        <v>31</v>
      </c>
      <c r="AB1039">
        <v>11</v>
      </c>
      <c r="AC1039" t="str">
        <v>55CB633</v>
      </c>
      <c r="AD1039">
        <v>2924</v>
      </c>
      <c r="AE1039" t="str">
        <v>dist</v>
      </c>
    </row>
    <row r="1040" spans="1:31" hidden="1" x14ac:dyDescent="0.25">
      <c r="A1040">
        <v>1039</v>
      </c>
      <c r="B1040">
        <v>2025</v>
      </c>
      <c r="C1040">
        <v>11</v>
      </c>
      <c r="D1040">
        <v>150</v>
      </c>
      <c r="E1040">
        <v>1</v>
      </c>
      <c r="F1040">
        <v>0</v>
      </c>
      <c r="G1040" s="61">
        <v>10</v>
      </c>
      <c r="H1040">
        <v>0</v>
      </c>
      <c r="I1040">
        <v>0</v>
      </c>
      <c r="J1040">
        <v>1</v>
      </c>
      <c r="K1040" s="61">
        <v>220</v>
      </c>
      <c r="L1040" s="61">
        <v>2200</v>
      </c>
      <c r="AA1040">
        <v>31</v>
      </c>
      <c r="AB1040">
        <v>11</v>
      </c>
      <c r="AC1040" t="str">
        <v>57BV285</v>
      </c>
      <c r="AD1040">
        <v>3423</v>
      </c>
      <c r="AE1040" t="str">
        <v>dist</v>
      </c>
    </row>
    <row r="1041" spans="1:31" hidden="1" x14ac:dyDescent="0.25">
      <c r="A1041">
        <v>1040</v>
      </c>
      <c r="B1041">
        <v>2025</v>
      </c>
      <c r="C1041">
        <v>12</v>
      </c>
      <c r="D1041">
        <v>98</v>
      </c>
      <c r="E1041">
        <v>6</v>
      </c>
      <c r="F1041" t="str">
        <v>50BD416</v>
      </c>
      <c r="G1041" s="61">
        <v>75</v>
      </c>
      <c r="H1041">
        <v>0</v>
      </c>
      <c r="I1041">
        <v>0</v>
      </c>
      <c r="J1041" t="str">
        <v>R-3</v>
      </c>
      <c r="K1041" s="61">
        <v>-1</v>
      </c>
      <c r="L1041" s="61">
        <v>-75</v>
      </c>
      <c r="AA1041">
        <v>31</v>
      </c>
      <c r="AB1041">
        <v>11</v>
      </c>
      <c r="AC1041" t="str">
        <v>77DK884</v>
      </c>
      <c r="AD1041" t="str">
        <v/>
      </c>
      <c r="AE1041" t="str">
        <v>dist</v>
      </c>
    </row>
    <row r="1042" spans="1:31" hidden="1" x14ac:dyDescent="0.25">
      <c r="A1042">
        <v>1041</v>
      </c>
      <c r="B1042">
        <v>2025</v>
      </c>
      <c r="C1042">
        <v>12</v>
      </c>
      <c r="D1042">
        <v>11</v>
      </c>
      <c r="E1042">
        <v>12</v>
      </c>
      <c r="F1042">
        <v>0</v>
      </c>
      <c r="G1042" s="61">
        <v>1</v>
      </c>
      <c r="H1042">
        <v>0</v>
      </c>
      <c r="I1042">
        <v>0</v>
      </c>
      <c r="J1042">
        <v>1</v>
      </c>
      <c r="K1042" s="61">
        <v>5500</v>
      </c>
      <c r="L1042" s="61">
        <v>5500</v>
      </c>
      <c r="AA1042">
        <v>31</v>
      </c>
      <c r="AB1042">
        <v>11</v>
      </c>
      <c r="AC1042" t="str">
        <v>77MU119</v>
      </c>
      <c r="AD1042">
        <v>2035</v>
      </c>
      <c r="AE1042" t="str">
        <v>dist</v>
      </c>
    </row>
    <row r="1043" spans="1:31" hidden="1" x14ac:dyDescent="0.25">
      <c r="A1043">
        <v>1042</v>
      </c>
      <c r="B1043">
        <v>2025</v>
      </c>
      <c r="C1043">
        <v>12</v>
      </c>
      <c r="D1043">
        <v>11</v>
      </c>
      <c r="E1043">
        <v>12</v>
      </c>
      <c r="F1043">
        <v>0</v>
      </c>
      <c r="G1043" s="61">
        <v>10</v>
      </c>
      <c r="H1043">
        <v>0</v>
      </c>
      <c r="I1043">
        <v>0</v>
      </c>
      <c r="J1043">
        <v>2</v>
      </c>
      <c r="K1043" s="61">
        <v>200</v>
      </c>
      <c r="L1043" s="61">
        <v>2000</v>
      </c>
      <c r="AA1043">
        <v>31</v>
      </c>
      <c r="AB1043">
        <v>11</v>
      </c>
      <c r="AC1043" t="str">
        <v>77SR538</v>
      </c>
      <c r="AD1043">
        <v>5007</v>
      </c>
      <c r="AE1043" t="str">
        <v>dist</v>
      </c>
    </row>
    <row r="1044" spans="1:31" hidden="1" x14ac:dyDescent="0.25">
      <c r="A1044">
        <v>1043</v>
      </c>
      <c r="B1044">
        <v>2025</v>
      </c>
      <c r="C1044">
        <v>12</v>
      </c>
      <c r="D1044">
        <v>11</v>
      </c>
      <c r="E1044">
        <v>12</v>
      </c>
      <c r="F1044">
        <v>0</v>
      </c>
      <c r="G1044" s="61">
        <v>7</v>
      </c>
      <c r="H1044">
        <v>0</v>
      </c>
      <c r="I1044">
        <v>0</v>
      </c>
      <c r="J1044">
        <v>3</v>
      </c>
      <c r="K1044" s="61">
        <v>100</v>
      </c>
      <c r="L1044" s="61">
        <v>700</v>
      </c>
      <c r="AA1044">
        <v>31</v>
      </c>
      <c r="AB1044">
        <v>11</v>
      </c>
      <c r="AC1044" t="str">
        <v>77TG971</v>
      </c>
      <c r="AD1044">
        <v>1840</v>
      </c>
      <c r="AE1044" t="str">
        <v>dist</v>
      </c>
    </row>
    <row r="1045" spans="1:31" hidden="1" x14ac:dyDescent="0.25">
      <c r="A1045">
        <v>1044</v>
      </c>
      <c r="B1045">
        <v>2025</v>
      </c>
      <c r="C1045">
        <v>12</v>
      </c>
      <c r="D1045">
        <v>14</v>
      </c>
      <c r="E1045">
        <v>9</v>
      </c>
      <c r="F1045">
        <v>0</v>
      </c>
      <c r="G1045" s="61">
        <v>1</v>
      </c>
      <c r="H1045">
        <v>0</v>
      </c>
      <c r="I1045">
        <v>0</v>
      </c>
      <c r="J1045">
        <v>15</v>
      </c>
      <c r="K1045" s="61">
        <v>4000</v>
      </c>
      <c r="L1045" s="61">
        <v>4000</v>
      </c>
      <c r="AA1045">
        <v>31</v>
      </c>
      <c r="AB1045">
        <v>11</v>
      </c>
      <c r="AC1045" t="str">
        <v>77UR032</v>
      </c>
      <c r="AD1045">
        <v>2292</v>
      </c>
      <c r="AE1045" t="str">
        <v>dist</v>
      </c>
    </row>
    <row r="1046" spans="1:31" hidden="1" x14ac:dyDescent="0.25">
      <c r="A1046">
        <v>1045</v>
      </c>
      <c r="B1046">
        <v>2025</v>
      </c>
      <c r="C1046">
        <v>12</v>
      </c>
      <c r="D1046">
        <v>30</v>
      </c>
      <c r="E1046">
        <v>12</v>
      </c>
      <c r="F1046">
        <v>0</v>
      </c>
      <c r="G1046" s="61">
        <v>1</v>
      </c>
      <c r="H1046">
        <v>0</v>
      </c>
      <c r="I1046">
        <v>0</v>
      </c>
      <c r="J1046">
        <v>4</v>
      </c>
      <c r="K1046" s="61">
        <v>5500</v>
      </c>
      <c r="L1046" s="61">
        <v>5500</v>
      </c>
      <c r="AA1046">
        <v>31</v>
      </c>
      <c r="AB1046">
        <v>11</v>
      </c>
      <c r="AC1046" t="str">
        <v>90EC344</v>
      </c>
      <c r="AD1046">
        <v>2625</v>
      </c>
      <c r="AE1046" t="str">
        <v>dist</v>
      </c>
    </row>
    <row r="1047" spans="1:31" hidden="1" x14ac:dyDescent="0.25">
      <c r="A1047">
        <v>1046</v>
      </c>
      <c r="B1047">
        <v>2025</v>
      </c>
      <c r="C1047">
        <v>12</v>
      </c>
      <c r="D1047">
        <v>33</v>
      </c>
      <c r="E1047">
        <v>16</v>
      </c>
      <c r="F1047">
        <v>0</v>
      </c>
      <c r="G1047" s="61">
        <v>55775</v>
      </c>
      <c r="H1047">
        <v>0</v>
      </c>
      <c r="I1047">
        <v>0</v>
      </c>
      <c r="J1047">
        <v>12</v>
      </c>
      <c r="K1047" s="61">
        <v>1.56</v>
      </c>
      <c r="L1047" s="61">
        <v>87009</v>
      </c>
      <c r="AA1047">
        <v>31</v>
      </c>
      <c r="AB1047">
        <v>11</v>
      </c>
      <c r="AC1047" t="str">
        <v>90LS143</v>
      </c>
      <c r="AD1047">
        <v>3253</v>
      </c>
      <c r="AE1047" t="str">
        <v>dist</v>
      </c>
    </row>
    <row r="1048" spans="1:31" hidden="1" x14ac:dyDescent="0.25">
      <c r="A1048">
        <v>1047</v>
      </c>
      <c r="B1048">
        <v>2025</v>
      </c>
      <c r="C1048">
        <v>12</v>
      </c>
      <c r="D1048">
        <v>33</v>
      </c>
      <c r="E1048">
        <v>16</v>
      </c>
      <c r="F1048">
        <v>0</v>
      </c>
      <c r="G1048" s="61">
        <v>61064</v>
      </c>
      <c r="H1048">
        <v>0</v>
      </c>
      <c r="I1048">
        <v>0</v>
      </c>
      <c r="J1048">
        <v>13</v>
      </c>
      <c r="K1048" s="61">
        <v>4.53</v>
      </c>
      <c r="L1048" s="61">
        <v>276619.92000000004</v>
      </c>
      <c r="AA1048">
        <v>31</v>
      </c>
      <c r="AB1048">
        <v>11</v>
      </c>
      <c r="AC1048" t="str">
        <v>90OE402</v>
      </c>
      <c r="AD1048">
        <v>5405</v>
      </c>
      <c r="AE1048" t="str">
        <v>dist</v>
      </c>
    </row>
    <row r="1049" spans="1:31" hidden="1" x14ac:dyDescent="0.25">
      <c r="A1049">
        <v>1048</v>
      </c>
      <c r="B1049">
        <v>2025</v>
      </c>
      <c r="C1049">
        <v>12</v>
      </c>
      <c r="D1049">
        <v>33</v>
      </c>
      <c r="E1049">
        <v>16</v>
      </c>
      <c r="F1049">
        <v>0</v>
      </c>
      <c r="G1049" s="61">
        <v>55562</v>
      </c>
      <c r="H1049">
        <v>0</v>
      </c>
      <c r="I1049">
        <v>0</v>
      </c>
      <c r="J1049">
        <v>14</v>
      </c>
      <c r="K1049" s="61">
        <v>4.53</v>
      </c>
      <c r="L1049" s="61">
        <v>251695.86000000002</v>
      </c>
      <c r="AA1049">
        <v>31</v>
      </c>
      <c r="AB1049">
        <v>11</v>
      </c>
      <c r="AC1049" t="str">
        <v>90RC631</v>
      </c>
      <c r="AD1049">
        <v>1035</v>
      </c>
      <c r="AE1049" t="str">
        <v>dist</v>
      </c>
    </row>
    <row r="1050" spans="1:31" hidden="1" x14ac:dyDescent="0.25">
      <c r="A1050">
        <v>1049</v>
      </c>
      <c r="B1050">
        <v>2025</v>
      </c>
      <c r="C1050">
        <v>12</v>
      </c>
      <c r="D1050">
        <v>33</v>
      </c>
      <c r="E1050">
        <v>16</v>
      </c>
      <c r="F1050">
        <v>0</v>
      </c>
      <c r="G1050" s="61">
        <v>5444</v>
      </c>
      <c r="H1050">
        <v>0</v>
      </c>
      <c r="I1050">
        <v>0</v>
      </c>
      <c r="J1050">
        <v>15</v>
      </c>
      <c r="K1050" s="61">
        <v>4.53</v>
      </c>
      <c r="L1050" s="61">
        <v>24661.32</v>
      </c>
      <c r="AA1050">
        <v>31</v>
      </c>
      <c r="AB1050">
        <v>11</v>
      </c>
      <c r="AC1050" t="str">
        <v>90UX686</v>
      </c>
      <c r="AD1050">
        <v>2820</v>
      </c>
      <c r="AE1050" t="str">
        <v>dist</v>
      </c>
    </row>
    <row r="1051" spans="1:31" hidden="1" x14ac:dyDescent="0.25">
      <c r="A1051">
        <v>1050</v>
      </c>
      <c r="B1051">
        <v>2025</v>
      </c>
      <c r="C1051">
        <v>12</v>
      </c>
      <c r="D1051">
        <v>33</v>
      </c>
      <c r="E1051">
        <v>16</v>
      </c>
      <c r="F1051">
        <v>0</v>
      </c>
      <c r="G1051" s="61">
        <v>2806</v>
      </c>
      <c r="H1051">
        <v>0</v>
      </c>
      <c r="I1051">
        <v>0</v>
      </c>
      <c r="J1051">
        <v>16</v>
      </c>
      <c r="K1051" s="61">
        <v>3.77</v>
      </c>
      <c r="L1051" s="61">
        <v>10578.62</v>
      </c>
      <c r="AA1051">
        <v>31</v>
      </c>
      <c r="AB1051">
        <v>11</v>
      </c>
      <c r="AC1051" t="str">
        <v>99BT339</v>
      </c>
      <c r="AD1051">
        <v>3949</v>
      </c>
      <c r="AE1051" t="str">
        <v>dist</v>
      </c>
    </row>
    <row r="1052" spans="1:31" hidden="1" x14ac:dyDescent="0.25">
      <c r="A1052">
        <v>1051</v>
      </c>
      <c r="B1052">
        <v>2025</v>
      </c>
      <c r="C1052">
        <v>12</v>
      </c>
      <c r="D1052">
        <v>107</v>
      </c>
      <c r="E1052">
        <v>3</v>
      </c>
      <c r="F1052">
        <v>0</v>
      </c>
      <c r="G1052" s="61">
        <v>22</v>
      </c>
      <c r="H1052">
        <v>0</v>
      </c>
      <c r="I1052">
        <v>0</v>
      </c>
      <c r="J1052">
        <v>6</v>
      </c>
      <c r="K1052" s="61">
        <v>350</v>
      </c>
      <c r="L1052" s="61">
        <v>7700</v>
      </c>
      <c r="AA1052">
        <v>31</v>
      </c>
      <c r="AB1052">
        <v>11</v>
      </c>
      <c r="AC1052" t="str">
        <v>99CN447</v>
      </c>
      <c r="AD1052">
        <v>1932</v>
      </c>
      <c r="AE1052" t="str">
        <v>dist</v>
      </c>
    </row>
    <row r="1053" spans="1:31" hidden="1" x14ac:dyDescent="0.25">
      <c r="A1053">
        <v>1052</v>
      </c>
      <c r="B1053">
        <v>2025</v>
      </c>
      <c r="C1053">
        <v>12</v>
      </c>
      <c r="D1053">
        <v>91</v>
      </c>
      <c r="E1053">
        <v>6</v>
      </c>
      <c r="F1053" t="str">
        <v>90VJ454</v>
      </c>
      <c r="G1053" s="61">
        <v>1</v>
      </c>
      <c r="H1053">
        <v>0</v>
      </c>
      <c r="I1053">
        <v>0</v>
      </c>
      <c r="J1053">
        <v>1</v>
      </c>
      <c r="K1053" s="61">
        <v>3500</v>
      </c>
      <c r="L1053" s="61">
        <v>3500</v>
      </c>
      <c r="AA1053">
        <v>31</v>
      </c>
      <c r="AB1053">
        <v>11</v>
      </c>
      <c r="AC1053" t="str">
        <v>99DT131</v>
      </c>
      <c r="AD1053">
        <v>1239</v>
      </c>
      <c r="AE1053" t="str">
        <v>dist</v>
      </c>
    </row>
    <row r="1054" spans="1:31" hidden="1" x14ac:dyDescent="0.25">
      <c r="A1054">
        <v>1053</v>
      </c>
      <c r="B1054">
        <v>2025</v>
      </c>
      <c r="C1054">
        <v>12</v>
      </c>
      <c r="D1054">
        <v>91</v>
      </c>
      <c r="E1054">
        <v>6</v>
      </c>
      <c r="F1054" t="str">
        <v>90VJ454</v>
      </c>
      <c r="G1054" s="61">
        <v>200</v>
      </c>
      <c r="H1054">
        <v>0</v>
      </c>
      <c r="I1054">
        <v>0</v>
      </c>
      <c r="J1054" t="str">
        <v>R-1</v>
      </c>
      <c r="K1054" s="61">
        <v>-1</v>
      </c>
      <c r="L1054" s="61">
        <v>-200</v>
      </c>
      <c r="AA1054">
        <v>31</v>
      </c>
      <c r="AB1054">
        <v>11</v>
      </c>
      <c r="AC1054" t="str">
        <v>99EM163</v>
      </c>
      <c r="AD1054">
        <v>1122</v>
      </c>
      <c r="AE1054" t="str">
        <v>dist</v>
      </c>
    </row>
    <row r="1055" spans="1:31" hidden="1" x14ac:dyDescent="0.25">
      <c r="A1055">
        <v>1054</v>
      </c>
      <c r="B1055">
        <v>2025</v>
      </c>
      <c r="C1055">
        <v>12</v>
      </c>
      <c r="D1055">
        <v>14</v>
      </c>
      <c r="E1055">
        <v>9</v>
      </c>
      <c r="F1055">
        <v>0</v>
      </c>
      <c r="G1055" s="61">
        <v>0.5</v>
      </c>
      <c r="H1055">
        <v>0</v>
      </c>
      <c r="I1055">
        <v>0</v>
      </c>
      <c r="J1055">
        <v>17</v>
      </c>
      <c r="K1055" s="61">
        <v>1000</v>
      </c>
      <c r="L1055" s="61">
        <v>500</v>
      </c>
      <c r="AA1055">
        <v>31</v>
      </c>
      <c r="AB1055">
        <v>11</v>
      </c>
      <c r="AC1055" t="str">
        <v>99FO779</v>
      </c>
      <c r="AD1055">
        <v>2367</v>
      </c>
      <c r="AE1055" t="str">
        <v>dist</v>
      </c>
    </row>
    <row r="1056" spans="1:31" hidden="1" x14ac:dyDescent="0.25">
      <c r="A1056">
        <v>1055</v>
      </c>
      <c r="B1056">
        <v>2025</v>
      </c>
      <c r="C1056">
        <v>12</v>
      </c>
      <c r="D1056">
        <v>14</v>
      </c>
      <c r="E1056">
        <v>9</v>
      </c>
      <c r="F1056">
        <v>0</v>
      </c>
      <c r="G1056" s="61">
        <v>0.5</v>
      </c>
      <c r="H1056">
        <v>0</v>
      </c>
      <c r="I1056">
        <v>0</v>
      </c>
      <c r="J1056">
        <v>18</v>
      </c>
      <c r="K1056" s="61">
        <v>1000</v>
      </c>
      <c r="L1056" s="61">
        <v>500</v>
      </c>
      <c r="AA1056">
        <v>31</v>
      </c>
      <c r="AB1056">
        <v>11</v>
      </c>
      <c r="AC1056" t="str">
        <v>99GZ612</v>
      </c>
      <c r="AD1056">
        <v>2560</v>
      </c>
      <c r="AE1056" t="str">
        <v>dist</v>
      </c>
    </row>
    <row r="1057" spans="1:31" hidden="1" x14ac:dyDescent="0.25">
      <c r="A1057">
        <v>1056</v>
      </c>
      <c r="B1057">
        <v>2025</v>
      </c>
      <c r="C1057">
        <v>12</v>
      </c>
      <c r="D1057">
        <v>14</v>
      </c>
      <c r="E1057">
        <v>9</v>
      </c>
      <c r="F1057">
        <v>0</v>
      </c>
      <c r="G1057" s="61">
        <v>0.5</v>
      </c>
      <c r="H1057">
        <v>0</v>
      </c>
      <c r="I1057">
        <v>0</v>
      </c>
      <c r="J1057">
        <v>19</v>
      </c>
      <c r="K1057" s="61">
        <v>600</v>
      </c>
      <c r="L1057" s="61">
        <v>300</v>
      </c>
      <c r="AA1057">
        <v>31</v>
      </c>
      <c r="AB1057">
        <v>11</v>
      </c>
      <c r="AC1057" t="str">
        <v>99HZ395</v>
      </c>
      <c r="AD1057">
        <v>4163</v>
      </c>
      <c r="AE1057" t="str">
        <v>dist</v>
      </c>
    </row>
    <row r="1058" spans="1:31" hidden="1" x14ac:dyDescent="0.25">
      <c r="A1058">
        <v>1057</v>
      </c>
      <c r="B1058">
        <v>2025</v>
      </c>
      <c r="C1058">
        <v>12</v>
      </c>
      <c r="D1058">
        <v>31</v>
      </c>
      <c r="E1058">
        <v>11</v>
      </c>
      <c r="F1058">
        <v>0</v>
      </c>
      <c r="G1058" s="61">
        <v>15693.779999999999</v>
      </c>
      <c r="H1058">
        <v>0</v>
      </c>
      <c r="I1058">
        <v>0</v>
      </c>
      <c r="J1058" t="str">
        <v>M-1</v>
      </c>
      <c r="K1058" s="61">
        <v>1</v>
      </c>
      <c r="L1058" s="61">
        <v>15693.779999999999</v>
      </c>
      <c r="AA1058">
        <v>31</v>
      </c>
      <c r="AB1058">
        <v>11</v>
      </c>
      <c r="AC1058" t="str">
        <v>99KL663</v>
      </c>
      <c r="AD1058">
        <v>1545</v>
      </c>
      <c r="AE1058" t="str">
        <v>dist</v>
      </c>
    </row>
    <row r="1059" spans="1:31" hidden="1" x14ac:dyDescent="0.25">
      <c r="A1059">
        <v>1058</v>
      </c>
      <c r="B1059">
        <v>2025</v>
      </c>
      <c r="C1059">
        <v>12</v>
      </c>
      <c r="D1059">
        <v>31</v>
      </c>
      <c r="E1059">
        <v>11</v>
      </c>
      <c r="F1059">
        <v>0</v>
      </c>
      <c r="G1059" s="61">
        <v>13674.9</v>
      </c>
      <c r="H1059">
        <v>0</v>
      </c>
      <c r="I1059">
        <v>0</v>
      </c>
      <c r="J1059" t="str">
        <v>R-1</v>
      </c>
      <c r="K1059" s="61">
        <v>-1</v>
      </c>
      <c r="L1059" s="61">
        <v>-13674.9</v>
      </c>
      <c r="AA1059">
        <v>31</v>
      </c>
      <c r="AB1059">
        <v>11</v>
      </c>
      <c r="AC1059" t="str">
        <v>99LM412</v>
      </c>
      <c r="AD1059">
        <v>2498</v>
      </c>
      <c r="AE1059" t="str">
        <v>dist</v>
      </c>
    </row>
    <row r="1060" spans="1:31" hidden="1" x14ac:dyDescent="0.25">
      <c r="A1060">
        <v>1059</v>
      </c>
      <c r="B1060">
        <v>2025</v>
      </c>
      <c r="C1060">
        <v>12</v>
      </c>
      <c r="D1060">
        <v>14</v>
      </c>
      <c r="E1060">
        <v>9</v>
      </c>
      <c r="F1060">
        <v>0</v>
      </c>
      <c r="G1060" s="61">
        <v>163</v>
      </c>
      <c r="H1060">
        <v>0</v>
      </c>
      <c r="I1060">
        <v>0</v>
      </c>
      <c r="J1060">
        <v>16</v>
      </c>
      <c r="K1060" s="61">
        <v>3.5</v>
      </c>
      <c r="L1060" s="61">
        <v>570.5</v>
      </c>
      <c r="AA1060">
        <v>31</v>
      </c>
      <c r="AB1060">
        <v>11</v>
      </c>
      <c r="AC1060" t="str">
        <v>99MN472</v>
      </c>
      <c r="AD1060">
        <v>6791</v>
      </c>
      <c r="AE1060" t="str">
        <v>dist</v>
      </c>
    </row>
    <row r="1061" spans="1:31" hidden="1" x14ac:dyDescent="0.25">
      <c r="A1061">
        <v>1060</v>
      </c>
      <c r="B1061">
        <v>2026</v>
      </c>
      <c r="C1061">
        <v>1</v>
      </c>
      <c r="D1061">
        <v>98</v>
      </c>
      <c r="E1061">
        <v>7</v>
      </c>
      <c r="F1061" t="str">
        <v>50BD416</v>
      </c>
      <c r="G1061" s="61">
        <v>75</v>
      </c>
      <c r="H1061">
        <v>0</v>
      </c>
      <c r="I1061">
        <v>0</v>
      </c>
      <c r="J1061" t="str">
        <v>R-3</v>
      </c>
      <c r="K1061" s="61">
        <v>-1</v>
      </c>
      <c r="L1061" s="61">
        <v>-75</v>
      </c>
      <c r="AA1061">
        <v>31</v>
      </c>
      <c r="AB1061">
        <v>11</v>
      </c>
      <c r="AC1061" t="str">
        <v>99OR961</v>
      </c>
      <c r="AD1061">
        <v>1494</v>
      </c>
      <c r="AE1061" t="str">
        <v>dist</v>
      </c>
    </row>
    <row r="1062" spans="1:31" hidden="1" x14ac:dyDescent="0.25">
      <c r="A1062">
        <v>1061</v>
      </c>
      <c r="B1062">
        <v>2026</v>
      </c>
      <c r="C1062">
        <v>1</v>
      </c>
      <c r="D1062">
        <v>11</v>
      </c>
      <c r="E1062">
        <v>13</v>
      </c>
      <c r="F1062">
        <v>0</v>
      </c>
      <c r="G1062" s="61">
        <v>1</v>
      </c>
      <c r="H1062">
        <v>0</v>
      </c>
      <c r="I1062">
        <v>0</v>
      </c>
      <c r="J1062">
        <v>1</v>
      </c>
      <c r="K1062" s="61">
        <v>5500</v>
      </c>
      <c r="L1062" s="61">
        <v>5500</v>
      </c>
      <c r="AA1062">
        <v>31</v>
      </c>
      <c r="AB1062">
        <v>11</v>
      </c>
      <c r="AC1062" t="str">
        <v>99UK314</v>
      </c>
      <c r="AD1062">
        <v>11104</v>
      </c>
      <c r="AE1062" t="str">
        <v>dist</v>
      </c>
    </row>
    <row r="1063" spans="1:31" hidden="1" x14ac:dyDescent="0.25">
      <c r="A1063">
        <v>1062</v>
      </c>
      <c r="B1063">
        <v>2026</v>
      </c>
      <c r="C1063">
        <v>1</v>
      </c>
      <c r="D1063">
        <v>11</v>
      </c>
      <c r="E1063">
        <v>13</v>
      </c>
      <c r="F1063">
        <v>0</v>
      </c>
      <c r="G1063" s="61">
        <v>12.545454545454545</v>
      </c>
      <c r="H1063">
        <v>0</v>
      </c>
      <c r="I1063">
        <v>0</v>
      </c>
      <c r="J1063">
        <v>2</v>
      </c>
      <c r="K1063" s="61">
        <v>200</v>
      </c>
      <c r="L1063" s="61">
        <v>2509.090909090909</v>
      </c>
      <c r="AA1063">
        <v>31</v>
      </c>
      <c r="AB1063">
        <v>12</v>
      </c>
      <c r="AC1063" t="str">
        <v>77GR998</v>
      </c>
      <c r="AD1063">
        <v>1908</v>
      </c>
      <c r="AE1063" t="str">
        <v>dist</v>
      </c>
    </row>
    <row r="1064" spans="1:31" hidden="1" x14ac:dyDescent="0.25">
      <c r="A1064">
        <v>1063</v>
      </c>
      <c r="B1064">
        <v>2026</v>
      </c>
      <c r="C1064">
        <v>1</v>
      </c>
      <c r="D1064">
        <v>11</v>
      </c>
      <c r="E1064">
        <v>13</v>
      </c>
      <c r="F1064">
        <v>0</v>
      </c>
      <c r="G1064" s="61">
        <v>1</v>
      </c>
      <c r="H1064">
        <v>0</v>
      </c>
      <c r="I1064">
        <v>0</v>
      </c>
      <c r="J1064">
        <v>6</v>
      </c>
      <c r="K1064" s="61">
        <v>1000</v>
      </c>
      <c r="L1064" s="61">
        <v>1000</v>
      </c>
      <c r="AA1064">
        <v>31</v>
      </c>
      <c r="AB1064">
        <v>12</v>
      </c>
      <c r="AC1064" t="str">
        <v>77GR998</v>
      </c>
      <c r="AD1064">
        <v>1554</v>
      </c>
      <c r="AE1064" t="str">
        <v>dist</v>
      </c>
    </row>
    <row r="1065" spans="1:31" hidden="1" x14ac:dyDescent="0.25">
      <c r="A1065">
        <v>1064</v>
      </c>
      <c r="B1065">
        <v>2026</v>
      </c>
      <c r="C1065">
        <v>1</v>
      </c>
      <c r="D1065">
        <v>91</v>
      </c>
      <c r="E1065">
        <v>7</v>
      </c>
      <c r="F1065" t="str">
        <v>90VJ454</v>
      </c>
      <c r="G1065" s="61">
        <v>1</v>
      </c>
      <c r="H1065">
        <v>0</v>
      </c>
      <c r="I1065">
        <v>0</v>
      </c>
      <c r="J1065">
        <v>1</v>
      </c>
      <c r="K1065" s="61">
        <v>3500</v>
      </c>
      <c r="L1065" s="61">
        <v>3500</v>
      </c>
      <c r="AA1065">
        <v>31</v>
      </c>
      <c r="AB1065">
        <v>12</v>
      </c>
      <c r="AC1065" t="str">
        <v>10NS184</v>
      </c>
      <c r="AD1065">
        <v>1402</v>
      </c>
      <c r="AE1065" t="str">
        <v>dist</v>
      </c>
    </row>
    <row r="1066" spans="1:31" hidden="1" x14ac:dyDescent="0.25">
      <c r="A1066">
        <v>1065</v>
      </c>
      <c r="B1066">
        <v>2026</v>
      </c>
      <c r="C1066">
        <v>1</v>
      </c>
      <c r="D1066">
        <v>33</v>
      </c>
      <c r="E1066">
        <v>17</v>
      </c>
      <c r="F1066">
        <v>0</v>
      </c>
      <c r="G1066" s="61">
        <v>55542</v>
      </c>
      <c r="H1066">
        <v>0</v>
      </c>
      <c r="I1066">
        <v>0</v>
      </c>
      <c r="J1066">
        <v>12</v>
      </c>
      <c r="K1066" s="61">
        <v>1.56</v>
      </c>
      <c r="L1066" s="61">
        <v>86645.52</v>
      </c>
      <c r="AA1066">
        <v>31</v>
      </c>
      <c r="AB1066">
        <v>12</v>
      </c>
      <c r="AC1066" t="str">
        <v>10RN527</v>
      </c>
      <c r="AD1066">
        <v>4372</v>
      </c>
      <c r="AE1066" t="str">
        <v>dist</v>
      </c>
    </row>
    <row r="1067" spans="1:31" hidden="1" x14ac:dyDescent="0.25">
      <c r="A1067">
        <v>1066</v>
      </c>
      <c r="B1067">
        <v>2026</v>
      </c>
      <c r="C1067">
        <v>1</v>
      </c>
      <c r="D1067">
        <v>33</v>
      </c>
      <c r="E1067">
        <v>17</v>
      </c>
      <c r="F1067">
        <v>0</v>
      </c>
      <c r="G1067" s="61">
        <v>63434</v>
      </c>
      <c r="H1067">
        <v>0</v>
      </c>
      <c r="I1067">
        <v>0</v>
      </c>
      <c r="J1067">
        <v>13</v>
      </c>
      <c r="K1067" s="61">
        <v>4.53</v>
      </c>
      <c r="L1067" s="61">
        <v>287356.02</v>
      </c>
      <c r="AA1067">
        <v>31</v>
      </c>
      <c r="AB1067">
        <v>12</v>
      </c>
      <c r="AC1067" t="str">
        <v>17BE358</v>
      </c>
      <c r="AD1067">
        <v>1830</v>
      </c>
      <c r="AE1067" t="str">
        <v>dist</v>
      </c>
    </row>
    <row r="1068" spans="1:31" hidden="1" x14ac:dyDescent="0.25">
      <c r="A1068">
        <v>1067</v>
      </c>
      <c r="B1068">
        <v>2026</v>
      </c>
      <c r="C1068">
        <v>1</v>
      </c>
      <c r="D1068">
        <v>33</v>
      </c>
      <c r="E1068">
        <v>17</v>
      </c>
      <c r="F1068">
        <v>0</v>
      </c>
      <c r="G1068" s="61">
        <v>57986</v>
      </c>
      <c r="H1068">
        <v>0</v>
      </c>
      <c r="I1068">
        <v>0</v>
      </c>
      <c r="J1068">
        <v>14</v>
      </c>
      <c r="K1068" s="61">
        <v>4.53</v>
      </c>
      <c r="L1068" s="61">
        <v>262676.58</v>
      </c>
      <c r="AA1068">
        <v>31</v>
      </c>
      <c r="AB1068">
        <v>12</v>
      </c>
      <c r="AC1068" t="str">
        <v>21BF442</v>
      </c>
      <c r="AD1068">
        <v>5624</v>
      </c>
      <c r="AE1068" t="str">
        <v>dist</v>
      </c>
    </row>
    <row r="1069" spans="1:31" hidden="1" x14ac:dyDescent="0.25">
      <c r="A1069">
        <v>1068</v>
      </c>
      <c r="B1069">
        <v>2026</v>
      </c>
      <c r="C1069">
        <v>1</v>
      </c>
      <c r="D1069">
        <v>33</v>
      </c>
      <c r="E1069">
        <v>17</v>
      </c>
      <c r="F1069">
        <v>0</v>
      </c>
      <c r="G1069" s="61">
        <v>5751</v>
      </c>
      <c r="H1069">
        <v>0</v>
      </c>
      <c r="I1069">
        <v>0</v>
      </c>
      <c r="J1069">
        <v>15</v>
      </c>
      <c r="K1069" s="61">
        <v>4.53</v>
      </c>
      <c r="L1069" s="61">
        <v>26052.030000000002</v>
      </c>
      <c r="AA1069">
        <v>31</v>
      </c>
      <c r="AB1069">
        <v>12</v>
      </c>
      <c r="AC1069" t="str">
        <v>50DK730</v>
      </c>
      <c r="AD1069">
        <v>6413</v>
      </c>
      <c r="AE1069" t="str">
        <v>dist</v>
      </c>
    </row>
    <row r="1070" spans="1:31" hidden="1" x14ac:dyDescent="0.25">
      <c r="A1070">
        <v>1069</v>
      </c>
      <c r="B1070">
        <v>2026</v>
      </c>
      <c r="C1070">
        <v>1</v>
      </c>
      <c r="D1070">
        <v>33</v>
      </c>
      <c r="E1070">
        <v>17</v>
      </c>
      <c r="F1070">
        <v>0</v>
      </c>
      <c r="G1070" s="61">
        <v>3325</v>
      </c>
      <c r="H1070">
        <v>0</v>
      </c>
      <c r="I1070">
        <v>0</v>
      </c>
      <c r="J1070">
        <v>16</v>
      </c>
      <c r="K1070" s="61">
        <v>3.77</v>
      </c>
      <c r="L1070" s="61">
        <v>12535.25</v>
      </c>
      <c r="AA1070">
        <v>31</v>
      </c>
      <c r="AB1070">
        <v>12</v>
      </c>
      <c r="AC1070" t="str">
        <v>50EF902</v>
      </c>
      <c r="AD1070">
        <v>1345</v>
      </c>
      <c r="AE1070" t="str">
        <v>dist</v>
      </c>
    </row>
    <row r="1071" spans="1:31" hidden="1" x14ac:dyDescent="0.25">
      <c r="A1071">
        <v>1070</v>
      </c>
      <c r="B1071">
        <v>2026</v>
      </c>
      <c r="C1071">
        <v>1</v>
      </c>
      <c r="D1071">
        <v>30</v>
      </c>
      <c r="E1071">
        <v>13</v>
      </c>
      <c r="F1071">
        <v>0</v>
      </c>
      <c r="G1071" s="61">
        <v>1</v>
      </c>
      <c r="H1071">
        <v>0</v>
      </c>
      <c r="I1071">
        <v>0</v>
      </c>
      <c r="J1071">
        <v>4</v>
      </c>
      <c r="K1071" s="61">
        <v>5500</v>
      </c>
      <c r="L1071" s="61">
        <v>5500</v>
      </c>
      <c r="AA1071">
        <v>31</v>
      </c>
      <c r="AB1071">
        <v>12</v>
      </c>
      <c r="AC1071" t="str">
        <v>50FB264</v>
      </c>
      <c r="AD1071">
        <v>864</v>
      </c>
      <c r="AE1071" t="str">
        <v>dist</v>
      </c>
    </row>
    <row r="1072" spans="1:31" hidden="1" x14ac:dyDescent="0.25">
      <c r="A1072">
        <v>1071</v>
      </c>
      <c r="B1072">
        <v>2026</v>
      </c>
      <c r="C1072">
        <v>1</v>
      </c>
      <c r="D1072">
        <v>31</v>
      </c>
      <c r="E1072">
        <v>12</v>
      </c>
      <c r="F1072">
        <v>0</v>
      </c>
      <c r="G1072" s="61">
        <v>16631.703000000001</v>
      </c>
      <c r="H1072">
        <v>0</v>
      </c>
      <c r="I1072">
        <v>0</v>
      </c>
      <c r="J1072" t="str">
        <v>M-1</v>
      </c>
      <c r="K1072" s="61">
        <v>1</v>
      </c>
      <c r="L1072" s="61">
        <v>16631.703000000001</v>
      </c>
      <c r="AA1072">
        <v>31</v>
      </c>
      <c r="AB1072">
        <v>12</v>
      </c>
      <c r="AC1072" t="str">
        <v>55CB633</v>
      </c>
      <c r="AD1072">
        <v>2951</v>
      </c>
      <c r="AE1072" t="str">
        <v>dist</v>
      </c>
    </row>
    <row r="1073" spans="1:31" hidden="1" x14ac:dyDescent="0.25">
      <c r="A1073">
        <v>1072</v>
      </c>
      <c r="B1073">
        <v>2026</v>
      </c>
      <c r="C1073">
        <v>1</v>
      </c>
      <c r="D1073">
        <v>31</v>
      </c>
      <c r="E1073">
        <v>12</v>
      </c>
      <c r="F1073">
        <v>0</v>
      </c>
      <c r="G1073" s="61">
        <v>14029.1</v>
      </c>
      <c r="H1073">
        <v>0</v>
      </c>
      <c r="I1073">
        <v>0</v>
      </c>
      <c r="J1073" t="str">
        <v>R-1</v>
      </c>
      <c r="K1073" s="61">
        <v>-1</v>
      </c>
      <c r="L1073" s="61">
        <v>-14029.1</v>
      </c>
      <c r="AA1073">
        <v>31</v>
      </c>
      <c r="AB1073">
        <v>12</v>
      </c>
      <c r="AC1073" t="str">
        <v>57BV285</v>
      </c>
      <c r="AD1073">
        <v>2728</v>
      </c>
      <c r="AE1073" t="str">
        <v>dist</v>
      </c>
    </row>
    <row r="1074" spans="1:31" hidden="1" x14ac:dyDescent="0.25">
      <c r="A1074">
        <v>1073</v>
      </c>
      <c r="B1074">
        <v>2026</v>
      </c>
      <c r="C1074">
        <v>1</v>
      </c>
      <c r="D1074">
        <v>14</v>
      </c>
      <c r="E1074">
        <v>10</v>
      </c>
      <c r="F1074">
        <v>0</v>
      </c>
      <c r="G1074" s="61">
        <v>1</v>
      </c>
      <c r="H1074">
        <v>0</v>
      </c>
      <c r="I1074">
        <v>0</v>
      </c>
      <c r="J1074">
        <v>15</v>
      </c>
      <c r="K1074" s="61">
        <v>4000</v>
      </c>
      <c r="L1074" s="61">
        <v>4000</v>
      </c>
      <c r="AA1074">
        <v>31</v>
      </c>
      <c r="AB1074">
        <v>12</v>
      </c>
      <c r="AC1074" t="str">
        <v>77MU119</v>
      </c>
      <c r="AD1074">
        <v>5616</v>
      </c>
      <c r="AE1074" t="str">
        <v>dist</v>
      </c>
    </row>
    <row r="1075" spans="1:31" hidden="1" x14ac:dyDescent="0.25">
      <c r="A1075">
        <v>1074</v>
      </c>
      <c r="B1075">
        <v>2026</v>
      </c>
      <c r="C1075">
        <v>1</v>
      </c>
      <c r="D1075">
        <v>14</v>
      </c>
      <c r="E1075">
        <v>10</v>
      </c>
      <c r="F1075">
        <v>0</v>
      </c>
      <c r="G1075" s="61">
        <v>1</v>
      </c>
      <c r="H1075">
        <v>0</v>
      </c>
      <c r="I1075">
        <v>0</v>
      </c>
      <c r="J1075">
        <v>17</v>
      </c>
      <c r="K1075" s="61">
        <v>1000</v>
      </c>
      <c r="L1075" s="61">
        <v>1000</v>
      </c>
      <c r="AA1075">
        <v>31</v>
      </c>
      <c r="AB1075">
        <v>12</v>
      </c>
      <c r="AC1075" t="str">
        <v>77TG971</v>
      </c>
      <c r="AD1075">
        <v>1655</v>
      </c>
      <c r="AE1075" t="str">
        <v>dist</v>
      </c>
    </row>
    <row r="1076" spans="1:31" hidden="1" x14ac:dyDescent="0.25">
      <c r="A1076">
        <v>1075</v>
      </c>
      <c r="B1076">
        <v>2026</v>
      </c>
      <c r="C1076">
        <v>1</v>
      </c>
      <c r="D1076">
        <v>14</v>
      </c>
      <c r="E1076">
        <v>10</v>
      </c>
      <c r="F1076">
        <v>0</v>
      </c>
      <c r="G1076" s="61">
        <v>1</v>
      </c>
      <c r="H1076">
        <v>0</v>
      </c>
      <c r="I1076">
        <v>0</v>
      </c>
      <c r="J1076">
        <v>18</v>
      </c>
      <c r="K1076" s="61">
        <v>1000</v>
      </c>
      <c r="L1076" s="61">
        <v>1000</v>
      </c>
      <c r="AA1076">
        <v>31</v>
      </c>
      <c r="AB1076">
        <v>12</v>
      </c>
      <c r="AC1076" t="str">
        <v>77UR032</v>
      </c>
      <c r="AD1076">
        <v>2248</v>
      </c>
      <c r="AE1076" t="str">
        <v>dist</v>
      </c>
    </row>
    <row r="1077" spans="1:31" hidden="1" x14ac:dyDescent="0.25">
      <c r="A1077">
        <v>1076</v>
      </c>
      <c r="B1077">
        <v>2026</v>
      </c>
      <c r="C1077">
        <v>1</v>
      </c>
      <c r="D1077">
        <v>14</v>
      </c>
      <c r="E1077">
        <v>10</v>
      </c>
      <c r="F1077">
        <v>0</v>
      </c>
      <c r="G1077" s="61">
        <v>1</v>
      </c>
      <c r="H1077">
        <v>0</v>
      </c>
      <c r="I1077">
        <v>0</v>
      </c>
      <c r="J1077">
        <v>19</v>
      </c>
      <c r="K1077" s="61">
        <v>600</v>
      </c>
      <c r="L1077" s="61">
        <v>600</v>
      </c>
      <c r="AA1077">
        <v>31</v>
      </c>
      <c r="AB1077">
        <v>12</v>
      </c>
      <c r="AC1077" t="str">
        <v>90EC344</v>
      </c>
      <c r="AD1077">
        <v>2630</v>
      </c>
      <c r="AE1077" t="str">
        <v>dist</v>
      </c>
    </row>
    <row r="1078" spans="1:31" hidden="1" x14ac:dyDescent="0.25">
      <c r="A1078">
        <v>1077</v>
      </c>
      <c r="B1078">
        <v>2026</v>
      </c>
      <c r="C1078">
        <v>1</v>
      </c>
      <c r="D1078">
        <v>14</v>
      </c>
      <c r="E1078">
        <v>10</v>
      </c>
      <c r="F1078">
        <v>0</v>
      </c>
      <c r="G1078" s="61">
        <v>169</v>
      </c>
      <c r="H1078">
        <v>0</v>
      </c>
      <c r="I1078">
        <v>0</v>
      </c>
      <c r="J1078">
        <v>16</v>
      </c>
      <c r="K1078" s="61">
        <v>3.5</v>
      </c>
      <c r="L1078" s="61">
        <v>591.5</v>
      </c>
      <c r="AA1078">
        <v>31</v>
      </c>
      <c r="AB1078">
        <v>12</v>
      </c>
      <c r="AC1078" t="str">
        <v>90LS143</v>
      </c>
      <c r="AD1078">
        <v>2039</v>
      </c>
      <c r="AE1078" t="str">
        <v>dist</v>
      </c>
    </row>
    <row r="1079" spans="1:31" hidden="1" x14ac:dyDescent="0.25">
      <c r="A1079">
        <v>1078</v>
      </c>
      <c r="B1079">
        <v>2026</v>
      </c>
      <c r="C1079">
        <v>2</v>
      </c>
      <c r="D1079">
        <v>98</v>
      </c>
      <c r="E1079">
        <v>8</v>
      </c>
      <c r="F1079" t="str">
        <v>50BD416</v>
      </c>
      <c r="G1079" s="61">
        <v>50</v>
      </c>
      <c r="H1079">
        <v>0</v>
      </c>
      <c r="I1079">
        <v>0</v>
      </c>
      <c r="J1079" t="str">
        <v>R-3</v>
      </c>
      <c r="K1079" s="61">
        <v>-1</v>
      </c>
      <c r="L1079" s="61">
        <v>-50</v>
      </c>
      <c r="AA1079">
        <v>31</v>
      </c>
      <c r="AB1079">
        <v>12</v>
      </c>
      <c r="AC1079" t="str">
        <v>90OE402</v>
      </c>
      <c r="AD1079">
        <v>5024</v>
      </c>
      <c r="AE1079" t="str">
        <v>dist</v>
      </c>
    </row>
    <row r="1080" spans="1:31" hidden="1" x14ac:dyDescent="0.25">
      <c r="A1080">
        <v>1079</v>
      </c>
      <c r="B1080">
        <v>2026</v>
      </c>
      <c r="C1080">
        <v>2</v>
      </c>
      <c r="D1080">
        <v>11</v>
      </c>
      <c r="E1080">
        <v>14</v>
      </c>
      <c r="F1080">
        <v>0</v>
      </c>
      <c r="G1080" s="61">
        <v>1</v>
      </c>
      <c r="H1080">
        <v>0</v>
      </c>
      <c r="I1080">
        <v>0</v>
      </c>
      <c r="J1080">
        <v>1</v>
      </c>
      <c r="K1080" s="61">
        <v>5500</v>
      </c>
      <c r="L1080" s="61">
        <v>5500</v>
      </c>
      <c r="AA1080">
        <v>31</v>
      </c>
      <c r="AB1080">
        <v>12</v>
      </c>
      <c r="AC1080" t="str">
        <v>90UX686</v>
      </c>
      <c r="AD1080">
        <v>3263</v>
      </c>
      <c r="AE1080" t="str">
        <v>dist</v>
      </c>
    </row>
    <row r="1081" spans="1:31" hidden="1" x14ac:dyDescent="0.25">
      <c r="A1081">
        <v>1080</v>
      </c>
      <c r="B1081">
        <v>2026</v>
      </c>
      <c r="C1081">
        <v>2</v>
      </c>
      <c r="D1081">
        <v>11</v>
      </c>
      <c r="E1081">
        <v>14</v>
      </c>
      <c r="F1081">
        <v>0</v>
      </c>
      <c r="G1081" s="61">
        <v>7</v>
      </c>
      <c r="H1081">
        <v>0</v>
      </c>
      <c r="I1081">
        <v>0</v>
      </c>
      <c r="J1081">
        <v>2</v>
      </c>
      <c r="K1081" s="61">
        <v>200</v>
      </c>
      <c r="L1081" s="61">
        <v>1400</v>
      </c>
      <c r="AA1081">
        <v>31</v>
      </c>
      <c r="AB1081">
        <v>12</v>
      </c>
      <c r="AC1081" t="str">
        <v>99BT339</v>
      </c>
      <c r="AD1081">
        <v>3494</v>
      </c>
      <c r="AE1081" t="str">
        <v>dist</v>
      </c>
    </row>
    <row r="1082" spans="1:31" hidden="1" x14ac:dyDescent="0.25">
      <c r="A1082">
        <v>1081</v>
      </c>
      <c r="B1082">
        <v>2026</v>
      </c>
      <c r="C1082">
        <v>2</v>
      </c>
      <c r="D1082">
        <v>91</v>
      </c>
      <c r="E1082">
        <v>8</v>
      </c>
      <c r="F1082" t="str">
        <v>90VJ454</v>
      </c>
      <c r="G1082" s="61">
        <v>1</v>
      </c>
      <c r="H1082">
        <v>0</v>
      </c>
      <c r="I1082">
        <v>0</v>
      </c>
      <c r="J1082">
        <v>1</v>
      </c>
      <c r="K1082" s="61">
        <v>3500</v>
      </c>
      <c r="L1082" s="61">
        <v>3500</v>
      </c>
      <c r="AA1082">
        <v>31</v>
      </c>
      <c r="AB1082">
        <v>12</v>
      </c>
      <c r="AC1082" t="str">
        <v>99CN447</v>
      </c>
      <c r="AD1082">
        <v>1968</v>
      </c>
      <c r="AE1082" t="str">
        <v>dist</v>
      </c>
    </row>
    <row r="1083" spans="1:31" hidden="1" x14ac:dyDescent="0.25">
      <c r="A1083">
        <v>1082</v>
      </c>
      <c r="B1083">
        <v>2026</v>
      </c>
      <c r="C1083">
        <v>2</v>
      </c>
      <c r="D1083">
        <v>33</v>
      </c>
      <c r="E1083">
        <v>18</v>
      </c>
      <c r="F1083">
        <v>0</v>
      </c>
      <c r="G1083" s="61">
        <v>53328</v>
      </c>
      <c r="H1083">
        <v>0</v>
      </c>
      <c r="I1083">
        <v>0</v>
      </c>
      <c r="J1083">
        <v>12</v>
      </c>
      <c r="K1083" s="61">
        <v>1.56</v>
      </c>
      <c r="L1083" s="61">
        <v>83191.680000000008</v>
      </c>
      <c r="AA1083">
        <v>31</v>
      </c>
      <c r="AB1083">
        <v>12</v>
      </c>
      <c r="AC1083" t="str">
        <v>99DT131</v>
      </c>
      <c r="AD1083">
        <v>1051</v>
      </c>
      <c r="AE1083" t="str">
        <v>dist</v>
      </c>
    </row>
    <row r="1084" spans="1:31" hidden="1" x14ac:dyDescent="0.25">
      <c r="A1084">
        <v>1083</v>
      </c>
      <c r="B1084">
        <v>2026</v>
      </c>
      <c r="C1084">
        <v>2</v>
      </c>
      <c r="D1084">
        <v>33</v>
      </c>
      <c r="E1084">
        <v>18</v>
      </c>
      <c r="F1084">
        <v>0</v>
      </c>
      <c r="G1084" s="61">
        <v>63158</v>
      </c>
      <c r="H1084">
        <v>0</v>
      </c>
      <c r="I1084">
        <v>0</v>
      </c>
      <c r="J1084">
        <v>13</v>
      </c>
      <c r="K1084" s="61">
        <v>4.53</v>
      </c>
      <c r="L1084" s="61">
        <v>286105.74</v>
      </c>
      <c r="AA1084">
        <v>31</v>
      </c>
      <c r="AB1084">
        <v>12</v>
      </c>
      <c r="AC1084" t="str">
        <v>99EM163</v>
      </c>
      <c r="AD1084">
        <v>1211</v>
      </c>
      <c r="AE1084" t="str">
        <v>dist</v>
      </c>
    </row>
    <row r="1085" spans="1:31" hidden="1" x14ac:dyDescent="0.25">
      <c r="A1085">
        <v>1084</v>
      </c>
      <c r="B1085">
        <v>2026</v>
      </c>
      <c r="C1085">
        <v>2</v>
      </c>
      <c r="D1085">
        <v>33</v>
      </c>
      <c r="E1085">
        <v>18</v>
      </c>
      <c r="F1085">
        <v>0</v>
      </c>
      <c r="G1085" s="61">
        <v>58608</v>
      </c>
      <c r="H1085">
        <v>0</v>
      </c>
      <c r="I1085">
        <v>0</v>
      </c>
      <c r="J1085">
        <v>14</v>
      </c>
      <c r="K1085" s="61">
        <v>4.53</v>
      </c>
      <c r="L1085" s="61">
        <v>265494.24</v>
      </c>
      <c r="AA1085">
        <v>31</v>
      </c>
      <c r="AB1085">
        <v>12</v>
      </c>
      <c r="AC1085" t="str">
        <v>99FO779</v>
      </c>
      <c r="AD1085">
        <v>3135</v>
      </c>
      <c r="AE1085" t="str">
        <v>dist</v>
      </c>
    </row>
    <row r="1086" spans="1:31" hidden="1" x14ac:dyDescent="0.25">
      <c r="A1086">
        <v>1085</v>
      </c>
      <c r="B1086">
        <v>2026</v>
      </c>
      <c r="C1086">
        <v>2</v>
      </c>
      <c r="D1086">
        <v>33</v>
      </c>
      <c r="E1086">
        <v>18</v>
      </c>
      <c r="F1086">
        <v>0</v>
      </c>
      <c r="G1086" s="61">
        <v>4948</v>
      </c>
      <c r="H1086">
        <v>0</v>
      </c>
      <c r="I1086">
        <v>0</v>
      </c>
      <c r="J1086">
        <v>15</v>
      </c>
      <c r="K1086" s="61">
        <v>4.53</v>
      </c>
      <c r="L1086" s="61">
        <v>22414.440000000002</v>
      </c>
      <c r="AA1086">
        <v>31</v>
      </c>
      <c r="AB1086">
        <v>12</v>
      </c>
      <c r="AC1086" t="str">
        <v>99GZ612</v>
      </c>
      <c r="AD1086">
        <v>2104</v>
      </c>
      <c r="AE1086" t="str">
        <v>dist</v>
      </c>
    </row>
    <row r="1087" spans="1:31" hidden="1" x14ac:dyDescent="0.25">
      <c r="A1087">
        <v>1086</v>
      </c>
      <c r="B1087">
        <v>2026</v>
      </c>
      <c r="C1087">
        <v>2</v>
      </c>
      <c r="D1087">
        <v>33</v>
      </c>
      <c r="E1087">
        <v>18</v>
      </c>
      <c r="F1087">
        <v>0</v>
      </c>
      <c r="G1087" s="61">
        <v>3137</v>
      </c>
      <c r="H1087">
        <v>0</v>
      </c>
      <c r="I1087">
        <v>0</v>
      </c>
      <c r="J1087">
        <v>16</v>
      </c>
      <c r="K1087" s="61">
        <v>3.77</v>
      </c>
      <c r="L1087" s="61">
        <v>11826.49</v>
      </c>
      <c r="AA1087">
        <v>31</v>
      </c>
      <c r="AB1087">
        <v>12</v>
      </c>
      <c r="AC1087" t="str">
        <v>99HZ395</v>
      </c>
      <c r="AD1087">
        <v>4111</v>
      </c>
      <c r="AE1087" t="str">
        <v>dist</v>
      </c>
    </row>
    <row r="1088" spans="1:31" hidden="1" x14ac:dyDescent="0.25">
      <c r="A1088">
        <v>1087</v>
      </c>
      <c r="B1088">
        <v>2026</v>
      </c>
      <c r="C1088">
        <v>2</v>
      </c>
      <c r="D1088">
        <v>30</v>
      </c>
      <c r="E1088">
        <v>14</v>
      </c>
      <c r="F1088">
        <v>0</v>
      </c>
      <c r="G1088" s="61">
        <v>1</v>
      </c>
      <c r="H1088">
        <v>0</v>
      </c>
      <c r="I1088">
        <v>0</v>
      </c>
      <c r="J1088">
        <v>4</v>
      </c>
      <c r="K1088" s="61">
        <v>5500</v>
      </c>
      <c r="L1088" s="61">
        <v>5500</v>
      </c>
      <c r="AA1088">
        <v>31</v>
      </c>
      <c r="AB1088">
        <v>12</v>
      </c>
      <c r="AC1088" t="str">
        <v>99KL663</v>
      </c>
      <c r="AD1088">
        <v>1756</v>
      </c>
      <c r="AE1088" t="str">
        <v>dist</v>
      </c>
    </row>
    <row r="1089" spans="1:31" hidden="1" x14ac:dyDescent="0.25">
      <c r="A1089">
        <v>1088</v>
      </c>
      <c r="B1089">
        <v>2026</v>
      </c>
      <c r="C1089">
        <v>2</v>
      </c>
      <c r="D1089">
        <v>31</v>
      </c>
      <c r="E1089">
        <v>13</v>
      </c>
      <c r="F1089">
        <v>0</v>
      </c>
      <c r="G1089" s="61">
        <v>16841.285999999996</v>
      </c>
      <c r="H1089">
        <v>0</v>
      </c>
      <c r="I1089">
        <v>0</v>
      </c>
      <c r="J1089" t="str">
        <v>M-1</v>
      </c>
      <c r="K1089" s="61">
        <v>1</v>
      </c>
      <c r="L1089" s="61">
        <v>16841.285999999996</v>
      </c>
      <c r="AA1089">
        <v>31</v>
      </c>
      <c r="AB1089">
        <v>12</v>
      </c>
      <c r="AC1089" t="str">
        <v>99LM412</v>
      </c>
      <c r="AD1089">
        <v>2653</v>
      </c>
      <c r="AE1089" t="str">
        <v>dist</v>
      </c>
    </row>
    <row r="1090" spans="1:31" hidden="1" x14ac:dyDescent="0.25">
      <c r="A1090">
        <v>1089</v>
      </c>
      <c r="B1090">
        <v>2026</v>
      </c>
      <c r="C1090">
        <v>2</v>
      </c>
      <c r="D1090">
        <v>31</v>
      </c>
      <c r="E1090">
        <v>13</v>
      </c>
      <c r="F1090">
        <v>0</v>
      </c>
      <c r="G1090" s="61">
        <v>13470.9</v>
      </c>
      <c r="H1090">
        <v>0</v>
      </c>
      <c r="I1090">
        <v>0</v>
      </c>
      <c r="J1090" t="str">
        <v>R-1</v>
      </c>
      <c r="K1090" s="61">
        <v>-1</v>
      </c>
      <c r="L1090" s="61">
        <v>-13470.9</v>
      </c>
      <c r="AA1090">
        <v>31</v>
      </c>
      <c r="AB1090">
        <v>12</v>
      </c>
      <c r="AC1090" t="str">
        <v>99MN472</v>
      </c>
      <c r="AD1090">
        <v>5917</v>
      </c>
      <c r="AE1090" t="str">
        <v>dist</v>
      </c>
    </row>
    <row r="1091" spans="1:31" hidden="1" x14ac:dyDescent="0.25">
      <c r="A1091">
        <v>1090</v>
      </c>
      <c r="B1091">
        <v>2026</v>
      </c>
      <c r="C1091">
        <v>2</v>
      </c>
      <c r="D1091">
        <v>14</v>
      </c>
      <c r="E1091">
        <v>11</v>
      </c>
      <c r="F1091">
        <v>0</v>
      </c>
      <c r="G1091" s="61">
        <v>1</v>
      </c>
      <c r="H1091">
        <v>0</v>
      </c>
      <c r="I1091">
        <v>0</v>
      </c>
      <c r="J1091">
        <v>15</v>
      </c>
      <c r="K1091" s="61">
        <v>4000</v>
      </c>
      <c r="L1091" s="61">
        <v>4000</v>
      </c>
      <c r="AA1091">
        <v>31</v>
      </c>
      <c r="AB1091">
        <v>12</v>
      </c>
      <c r="AC1091" t="str">
        <v>99OR961</v>
      </c>
      <c r="AD1091">
        <v>1900</v>
      </c>
      <c r="AE1091" t="str">
        <v>dist</v>
      </c>
    </row>
    <row r="1092" spans="1:31" hidden="1" x14ac:dyDescent="0.25">
      <c r="A1092">
        <v>1091</v>
      </c>
      <c r="B1092">
        <v>2026</v>
      </c>
      <c r="C1092">
        <v>2</v>
      </c>
      <c r="D1092">
        <v>14</v>
      </c>
      <c r="E1092">
        <v>11</v>
      </c>
      <c r="F1092">
        <v>0</v>
      </c>
      <c r="G1092" s="61">
        <v>1</v>
      </c>
      <c r="H1092">
        <v>0</v>
      </c>
      <c r="I1092">
        <v>0</v>
      </c>
      <c r="J1092">
        <v>17</v>
      </c>
      <c r="K1092" s="61">
        <v>1000</v>
      </c>
      <c r="L1092" s="61">
        <v>1000</v>
      </c>
      <c r="AA1092">
        <v>31</v>
      </c>
      <c r="AB1092">
        <v>12</v>
      </c>
      <c r="AC1092" t="str">
        <v>99UK314</v>
      </c>
      <c r="AD1092">
        <v>12060</v>
      </c>
      <c r="AE1092" t="str">
        <v>dist</v>
      </c>
    </row>
    <row r="1093" spans="1:31" hidden="1" x14ac:dyDescent="0.25">
      <c r="A1093">
        <v>1092</v>
      </c>
      <c r="B1093">
        <v>2026</v>
      </c>
      <c r="C1093">
        <v>2</v>
      </c>
      <c r="D1093">
        <v>14</v>
      </c>
      <c r="E1093">
        <v>11</v>
      </c>
      <c r="F1093">
        <v>0</v>
      </c>
      <c r="G1093" s="61">
        <v>1</v>
      </c>
      <c r="H1093">
        <v>0</v>
      </c>
      <c r="I1093">
        <v>0</v>
      </c>
      <c r="J1093">
        <v>18</v>
      </c>
      <c r="K1093" s="61">
        <v>1000</v>
      </c>
      <c r="L1093" s="61">
        <v>1000</v>
      </c>
      <c r="AA1093">
        <v>31</v>
      </c>
      <c r="AB1093">
        <v>12</v>
      </c>
      <c r="AC1093" t="str">
        <v>10NG198</v>
      </c>
      <c r="AD1093">
        <v>1323</v>
      </c>
      <c r="AE1093" t="str">
        <v>dist</v>
      </c>
    </row>
    <row r="1094" spans="1:31" hidden="1" x14ac:dyDescent="0.25">
      <c r="A1094">
        <v>1093</v>
      </c>
      <c r="B1094">
        <v>2026</v>
      </c>
      <c r="C1094">
        <v>2</v>
      </c>
      <c r="D1094">
        <v>14</v>
      </c>
      <c r="E1094">
        <v>11</v>
      </c>
      <c r="F1094">
        <v>0</v>
      </c>
      <c r="G1094" s="61">
        <v>1</v>
      </c>
      <c r="H1094">
        <v>0</v>
      </c>
      <c r="I1094">
        <v>0</v>
      </c>
      <c r="J1094">
        <v>19</v>
      </c>
      <c r="K1094" s="61">
        <v>600</v>
      </c>
      <c r="L1094" s="61">
        <v>600</v>
      </c>
      <c r="AA1094">
        <v>31</v>
      </c>
      <c r="AB1094">
        <v>12</v>
      </c>
      <c r="AC1094" t="str">
        <v>27BP916</v>
      </c>
      <c r="AD1094">
        <v>841</v>
      </c>
      <c r="AE1094" t="str">
        <v>dist</v>
      </c>
    </row>
    <row r="1095" spans="1:31" hidden="1" x14ac:dyDescent="0.25">
      <c r="A1095">
        <v>1094</v>
      </c>
      <c r="B1095">
        <v>2026</v>
      </c>
      <c r="C1095">
        <v>2</v>
      </c>
      <c r="D1095">
        <v>14</v>
      </c>
      <c r="E1095">
        <v>11</v>
      </c>
      <c r="F1095">
        <v>0</v>
      </c>
      <c r="G1095" s="61">
        <v>314</v>
      </c>
      <c r="H1095">
        <v>0</v>
      </c>
      <c r="I1095">
        <v>0</v>
      </c>
      <c r="J1095">
        <v>10</v>
      </c>
      <c r="K1095" s="61">
        <v>2</v>
      </c>
      <c r="L1095" s="61">
        <v>628</v>
      </c>
      <c r="AA1095">
        <v>31</v>
      </c>
      <c r="AB1095">
        <v>12</v>
      </c>
      <c r="AC1095" t="str">
        <v>10ON175</v>
      </c>
      <c r="AD1095">
        <v>1402</v>
      </c>
      <c r="AE1095" t="str">
        <v>dist</v>
      </c>
    </row>
    <row r="1096" spans="1:31" hidden="1" x14ac:dyDescent="0.25">
      <c r="A1096">
        <v>1095</v>
      </c>
      <c r="B1096">
        <v>2026</v>
      </c>
      <c r="C1096">
        <v>2</v>
      </c>
      <c r="D1096">
        <v>14</v>
      </c>
      <c r="E1096">
        <v>11</v>
      </c>
      <c r="F1096">
        <v>0</v>
      </c>
      <c r="G1096" s="61">
        <v>185</v>
      </c>
      <c r="H1096">
        <v>0</v>
      </c>
      <c r="I1096">
        <v>0</v>
      </c>
      <c r="J1096">
        <v>16</v>
      </c>
      <c r="K1096" s="61">
        <v>3.5</v>
      </c>
      <c r="L1096" s="61">
        <v>647.5</v>
      </c>
      <c r="AA1096">
        <v>31</v>
      </c>
      <c r="AB1096">
        <v>12</v>
      </c>
      <c r="AC1096" t="str">
        <v>27BZ361</v>
      </c>
      <c r="AD1096">
        <v>798</v>
      </c>
      <c r="AE1096" t="str">
        <v>dist</v>
      </c>
    </row>
    <row r="1097" spans="1:31" hidden="1" x14ac:dyDescent="0.25">
      <c r="A1097">
        <v>1096</v>
      </c>
      <c r="B1097">
        <v>2026</v>
      </c>
      <c r="C1097">
        <v>2</v>
      </c>
      <c r="D1097">
        <v>51</v>
      </c>
      <c r="E1097">
        <v>7</v>
      </c>
      <c r="F1097">
        <v>0</v>
      </c>
      <c r="G1097" s="61">
        <v>0.8</v>
      </c>
      <c r="H1097">
        <v>0</v>
      </c>
      <c r="I1097">
        <v>0</v>
      </c>
      <c r="J1097">
        <v>8</v>
      </c>
      <c r="K1097" s="61">
        <v>2300</v>
      </c>
      <c r="L1097" s="61">
        <v>1840</v>
      </c>
      <c r="AA1097">
        <v>31</v>
      </c>
      <c r="AB1097">
        <v>12</v>
      </c>
      <c r="AC1097" t="str">
        <v>10ZU722</v>
      </c>
      <c r="AD1097">
        <v>576</v>
      </c>
      <c r="AE1097" t="str">
        <v>dist</v>
      </c>
    </row>
    <row r="1098" spans="1:31" hidden="1" x14ac:dyDescent="0.25">
      <c r="A1098">
        <v>1097</v>
      </c>
      <c r="B1098">
        <v>2026</v>
      </c>
      <c r="C1098">
        <v>2</v>
      </c>
      <c r="D1098">
        <v>51</v>
      </c>
      <c r="E1098">
        <v>7</v>
      </c>
      <c r="F1098">
        <v>0</v>
      </c>
      <c r="G1098" s="61">
        <v>1</v>
      </c>
      <c r="H1098">
        <v>0</v>
      </c>
      <c r="I1098">
        <v>0</v>
      </c>
      <c r="J1098">
        <v>9</v>
      </c>
      <c r="K1098" s="61">
        <v>2300</v>
      </c>
      <c r="L1098" s="61">
        <v>2300</v>
      </c>
      <c r="AA1098">
        <v>31</v>
      </c>
      <c r="AB1098">
        <v>12</v>
      </c>
      <c r="AC1098" t="str">
        <v>38BG860</v>
      </c>
      <c r="AD1098" t="str">
        <v/>
      </c>
      <c r="AE1098" t="str">
        <v>dist</v>
      </c>
    </row>
    <row r="1099" spans="1:31" hidden="1" x14ac:dyDescent="0.25">
      <c r="A1099">
        <v>1098</v>
      </c>
      <c r="B1099">
        <v>2026</v>
      </c>
      <c r="C1099">
        <v>2</v>
      </c>
      <c r="D1099">
        <v>51</v>
      </c>
      <c r="E1099">
        <v>7</v>
      </c>
      <c r="F1099">
        <v>0</v>
      </c>
      <c r="G1099" s="61">
        <v>1</v>
      </c>
      <c r="H1099">
        <v>0</v>
      </c>
      <c r="I1099">
        <v>0</v>
      </c>
      <c r="J1099">
        <v>10</v>
      </c>
      <c r="K1099" s="61">
        <v>2300</v>
      </c>
      <c r="L1099" s="61">
        <v>2300</v>
      </c>
      <c r="AA1099">
        <v>31</v>
      </c>
      <c r="AB1099">
        <v>12</v>
      </c>
      <c r="AC1099" t="str">
        <v>38BG860</v>
      </c>
      <c r="AD1099">
        <v>494</v>
      </c>
      <c r="AE1099" t="str">
        <v>dist</v>
      </c>
    </row>
    <row r="1100" spans="1:31" hidden="1" x14ac:dyDescent="0.25">
      <c r="A1100">
        <v>1099</v>
      </c>
      <c r="B1100">
        <v>2026</v>
      </c>
      <c r="C1100">
        <v>2</v>
      </c>
      <c r="D1100">
        <v>11</v>
      </c>
      <c r="E1100">
        <v>14</v>
      </c>
      <c r="F1100">
        <v>0</v>
      </c>
      <c r="G1100" s="61">
        <v>2</v>
      </c>
      <c r="H1100">
        <v>0</v>
      </c>
      <c r="I1100">
        <v>0</v>
      </c>
      <c r="J1100">
        <v>3</v>
      </c>
      <c r="K1100" s="61">
        <v>100</v>
      </c>
      <c r="L1100" s="61">
        <v>200</v>
      </c>
      <c r="AA1100">
        <v>31</v>
      </c>
      <c r="AB1100">
        <v>13</v>
      </c>
      <c r="AC1100" t="str">
        <v>38BG860</v>
      </c>
      <c r="AD1100" t="str">
        <v/>
      </c>
      <c r="AE1100" t="str">
        <v>dist</v>
      </c>
    </row>
    <row r="1101" spans="1:31" hidden="1" x14ac:dyDescent="0.25">
      <c r="A1101">
        <v>1100</v>
      </c>
      <c r="B1101">
        <v>2026</v>
      </c>
      <c r="C1101">
        <v>2</v>
      </c>
      <c r="D1101">
        <v>110</v>
      </c>
      <c r="E1101">
        <v>7</v>
      </c>
      <c r="F1101">
        <v>0</v>
      </c>
      <c r="G1101" s="61">
        <v>80</v>
      </c>
      <c r="H1101">
        <v>0</v>
      </c>
      <c r="I1101">
        <v>0</v>
      </c>
      <c r="J1101" t="str">
        <v>R-2</v>
      </c>
      <c r="K1101" s="61">
        <v>-1.1000000000000001</v>
      </c>
      <c r="L1101" s="61">
        <v>-88</v>
      </c>
      <c r="AA1101">
        <v>31</v>
      </c>
      <c r="AB1101">
        <v>13</v>
      </c>
      <c r="AC1101" t="str">
        <v>77GR998</v>
      </c>
      <c r="AD1101">
        <v>1587</v>
      </c>
      <c r="AE1101" t="str">
        <v>dist</v>
      </c>
    </row>
    <row r="1102" spans="1:31" hidden="1" x14ac:dyDescent="0.25">
      <c r="A1102">
        <v>1101</v>
      </c>
      <c r="B1102">
        <v>2026</v>
      </c>
      <c r="C1102">
        <v>3</v>
      </c>
      <c r="D1102">
        <v>51</v>
      </c>
      <c r="E1102">
        <v>8</v>
      </c>
      <c r="F1102">
        <v>0</v>
      </c>
      <c r="G1102" s="61">
        <v>1</v>
      </c>
      <c r="H1102">
        <v>0</v>
      </c>
      <c r="I1102">
        <v>0</v>
      </c>
      <c r="J1102">
        <v>8</v>
      </c>
      <c r="K1102" s="61">
        <v>2300</v>
      </c>
      <c r="L1102" s="61">
        <v>2300</v>
      </c>
      <c r="AA1102">
        <v>31</v>
      </c>
      <c r="AB1102">
        <v>13</v>
      </c>
      <c r="AC1102" t="str">
        <v>77GR998</v>
      </c>
      <c r="AD1102">
        <v>1265</v>
      </c>
      <c r="AE1102" t="str">
        <v>dist</v>
      </c>
    </row>
    <row r="1103" spans="1:31" hidden="1" x14ac:dyDescent="0.25">
      <c r="A1103">
        <v>1102</v>
      </c>
      <c r="B1103">
        <v>2026</v>
      </c>
      <c r="C1103">
        <v>3</v>
      </c>
      <c r="D1103">
        <v>51</v>
      </c>
      <c r="E1103">
        <v>8</v>
      </c>
      <c r="F1103">
        <v>0</v>
      </c>
      <c r="G1103" s="61">
        <v>1</v>
      </c>
      <c r="H1103">
        <v>0</v>
      </c>
      <c r="I1103">
        <v>0</v>
      </c>
      <c r="J1103">
        <v>9</v>
      </c>
      <c r="K1103" s="61">
        <v>2300</v>
      </c>
      <c r="L1103" s="61">
        <v>2300</v>
      </c>
      <c r="AA1103">
        <v>31</v>
      </c>
      <c r="AB1103">
        <v>13</v>
      </c>
      <c r="AC1103" t="str">
        <v>10NS184</v>
      </c>
      <c r="AD1103">
        <v>1640</v>
      </c>
      <c r="AE1103" t="str">
        <v>dist</v>
      </c>
    </row>
    <row r="1104" spans="1:31" hidden="1" x14ac:dyDescent="0.25">
      <c r="A1104">
        <v>1103</v>
      </c>
      <c r="B1104">
        <v>2026</v>
      </c>
      <c r="C1104">
        <v>3</v>
      </c>
      <c r="D1104">
        <v>51</v>
      </c>
      <c r="E1104">
        <v>8</v>
      </c>
      <c r="F1104">
        <v>0</v>
      </c>
      <c r="G1104" s="61">
        <v>1</v>
      </c>
      <c r="H1104">
        <v>0</v>
      </c>
      <c r="I1104">
        <v>0</v>
      </c>
      <c r="J1104">
        <v>10</v>
      </c>
      <c r="K1104" s="61">
        <v>2300</v>
      </c>
      <c r="L1104" s="61">
        <v>2300</v>
      </c>
      <c r="AA1104">
        <v>31</v>
      </c>
      <c r="AB1104">
        <v>13</v>
      </c>
      <c r="AC1104" t="str">
        <v>10RN527</v>
      </c>
      <c r="AD1104">
        <v>3849</v>
      </c>
      <c r="AE1104" t="str">
        <v>dist</v>
      </c>
    </row>
    <row r="1105" spans="1:31" hidden="1" x14ac:dyDescent="0.25">
      <c r="A1105">
        <v>1104</v>
      </c>
      <c r="B1105">
        <v>2026</v>
      </c>
      <c r="C1105">
        <v>3</v>
      </c>
      <c r="D1105">
        <v>11</v>
      </c>
      <c r="E1105">
        <v>15</v>
      </c>
      <c r="F1105">
        <v>0</v>
      </c>
      <c r="G1105" s="61">
        <v>1</v>
      </c>
      <c r="H1105">
        <v>0</v>
      </c>
      <c r="I1105">
        <v>0</v>
      </c>
      <c r="J1105">
        <v>1</v>
      </c>
      <c r="K1105" s="61">
        <v>5500</v>
      </c>
      <c r="L1105" s="61">
        <v>5500</v>
      </c>
      <c r="AA1105">
        <v>31</v>
      </c>
      <c r="AB1105">
        <v>13</v>
      </c>
      <c r="AC1105" t="str">
        <v>17BE358</v>
      </c>
      <c r="AD1105">
        <v>1731</v>
      </c>
      <c r="AE1105" t="str">
        <v>dist</v>
      </c>
    </row>
    <row r="1106" spans="1:31" hidden="1" x14ac:dyDescent="0.25">
      <c r="A1106">
        <v>1105</v>
      </c>
      <c r="B1106">
        <v>2026</v>
      </c>
      <c r="C1106">
        <v>3</v>
      </c>
      <c r="D1106">
        <v>11</v>
      </c>
      <c r="E1106">
        <v>15</v>
      </c>
      <c r="F1106">
        <v>0</v>
      </c>
      <c r="G1106" s="61">
        <v>11</v>
      </c>
      <c r="H1106">
        <v>0</v>
      </c>
      <c r="I1106">
        <v>0</v>
      </c>
      <c r="J1106">
        <v>2</v>
      </c>
      <c r="K1106" s="61">
        <v>200</v>
      </c>
      <c r="L1106" s="61">
        <v>2200</v>
      </c>
      <c r="AA1106">
        <v>31</v>
      </c>
      <c r="AB1106">
        <v>13</v>
      </c>
      <c r="AC1106" t="str">
        <v>21BF442</v>
      </c>
      <c r="AD1106">
        <v>6293</v>
      </c>
      <c r="AE1106" t="str">
        <v>dist</v>
      </c>
    </row>
    <row r="1107" spans="1:31" hidden="1" x14ac:dyDescent="0.25">
      <c r="A1107">
        <v>1106</v>
      </c>
      <c r="B1107">
        <v>2026</v>
      </c>
      <c r="C1107">
        <v>3</v>
      </c>
      <c r="D1107">
        <v>14</v>
      </c>
      <c r="E1107">
        <v>12</v>
      </c>
      <c r="F1107">
        <v>0</v>
      </c>
      <c r="G1107" s="61">
        <v>0.38709677419354838</v>
      </c>
      <c r="H1107">
        <v>0</v>
      </c>
      <c r="I1107">
        <v>0</v>
      </c>
      <c r="J1107">
        <v>15</v>
      </c>
      <c r="K1107" s="61">
        <v>4000</v>
      </c>
      <c r="L1107" s="61">
        <v>1548.3870967741934</v>
      </c>
      <c r="AA1107">
        <v>31</v>
      </c>
      <c r="AB1107">
        <v>13</v>
      </c>
      <c r="AC1107" t="str">
        <v>50DK730</v>
      </c>
      <c r="AD1107">
        <v>5782</v>
      </c>
      <c r="AE1107" t="str">
        <v>dist</v>
      </c>
    </row>
    <row r="1108" spans="1:31" hidden="1" x14ac:dyDescent="0.25">
      <c r="A1108">
        <v>1107</v>
      </c>
      <c r="B1108">
        <v>2026</v>
      </c>
      <c r="C1108">
        <v>3</v>
      </c>
      <c r="D1108">
        <v>14</v>
      </c>
      <c r="E1108">
        <v>12</v>
      </c>
      <c r="F1108">
        <v>0</v>
      </c>
      <c r="G1108" s="61">
        <v>1</v>
      </c>
      <c r="H1108">
        <v>0</v>
      </c>
      <c r="I1108">
        <v>0</v>
      </c>
      <c r="J1108">
        <v>17</v>
      </c>
      <c r="K1108" s="61">
        <v>1000</v>
      </c>
      <c r="L1108" s="61">
        <v>1000</v>
      </c>
      <c r="AA1108">
        <v>31</v>
      </c>
      <c r="AB1108">
        <v>13</v>
      </c>
      <c r="AC1108" t="str">
        <v>50EF902</v>
      </c>
      <c r="AD1108">
        <v>1449</v>
      </c>
      <c r="AE1108" t="str">
        <v>dist</v>
      </c>
    </row>
    <row r="1109" spans="1:31" hidden="1" x14ac:dyDescent="0.25">
      <c r="A1109">
        <v>1108</v>
      </c>
      <c r="B1109">
        <v>2026</v>
      </c>
      <c r="C1109">
        <v>3</v>
      </c>
      <c r="D1109">
        <v>14</v>
      </c>
      <c r="E1109">
        <v>12</v>
      </c>
      <c r="F1109">
        <v>0</v>
      </c>
      <c r="G1109" s="61">
        <v>1</v>
      </c>
      <c r="H1109">
        <v>0</v>
      </c>
      <c r="I1109">
        <v>0</v>
      </c>
      <c r="J1109">
        <v>18</v>
      </c>
      <c r="K1109" s="61">
        <v>1000</v>
      </c>
      <c r="L1109" s="61">
        <v>1000</v>
      </c>
      <c r="AA1109">
        <v>31</v>
      </c>
      <c r="AB1109">
        <v>13</v>
      </c>
      <c r="AC1109" t="str">
        <v>50FB264</v>
      </c>
      <c r="AD1109">
        <v>985</v>
      </c>
      <c r="AE1109" t="str">
        <v>dist</v>
      </c>
    </row>
    <row r="1110" spans="1:31" hidden="1" x14ac:dyDescent="0.25">
      <c r="A1110">
        <v>1109</v>
      </c>
      <c r="B1110">
        <v>2026</v>
      </c>
      <c r="C1110">
        <v>3</v>
      </c>
      <c r="D1110">
        <v>14</v>
      </c>
      <c r="E1110">
        <v>12</v>
      </c>
      <c r="F1110">
        <v>0</v>
      </c>
      <c r="G1110" s="61">
        <v>1</v>
      </c>
      <c r="H1110">
        <v>0</v>
      </c>
      <c r="I1110">
        <v>0</v>
      </c>
      <c r="J1110">
        <v>19</v>
      </c>
      <c r="K1110" s="61">
        <v>600</v>
      </c>
      <c r="L1110" s="61">
        <v>600</v>
      </c>
      <c r="AA1110">
        <v>31</v>
      </c>
      <c r="AB1110">
        <v>13</v>
      </c>
      <c r="AC1110" t="str">
        <v>55CB633</v>
      </c>
      <c r="AD1110">
        <v>2828</v>
      </c>
      <c r="AE1110" t="str">
        <v>dist</v>
      </c>
    </row>
    <row r="1111" spans="1:31" hidden="1" x14ac:dyDescent="0.25">
      <c r="A1111">
        <v>1110</v>
      </c>
      <c r="B1111">
        <v>2026</v>
      </c>
      <c r="C1111">
        <v>3</v>
      </c>
      <c r="D1111">
        <v>14</v>
      </c>
      <c r="E1111">
        <v>12</v>
      </c>
      <c r="F1111">
        <v>0</v>
      </c>
      <c r="G1111" s="61">
        <v>150</v>
      </c>
      <c r="H1111">
        <v>0</v>
      </c>
      <c r="I1111">
        <v>0</v>
      </c>
      <c r="J1111">
        <v>10</v>
      </c>
      <c r="K1111" s="61">
        <v>2</v>
      </c>
      <c r="L1111" s="61">
        <v>300</v>
      </c>
      <c r="AA1111">
        <v>31</v>
      </c>
      <c r="AB1111">
        <v>13</v>
      </c>
      <c r="AC1111" t="str">
        <v>57BV285</v>
      </c>
      <c r="AD1111">
        <v>1940</v>
      </c>
      <c r="AE1111" t="str">
        <v>dist</v>
      </c>
    </row>
    <row r="1112" spans="1:31" hidden="1" x14ac:dyDescent="0.25">
      <c r="A1112">
        <v>1111</v>
      </c>
      <c r="B1112">
        <v>2026</v>
      </c>
      <c r="C1112">
        <v>3</v>
      </c>
      <c r="D1112">
        <v>14</v>
      </c>
      <c r="E1112">
        <v>12</v>
      </c>
      <c r="F1112">
        <v>0</v>
      </c>
      <c r="G1112" s="61">
        <v>172</v>
      </c>
      <c r="H1112">
        <v>0</v>
      </c>
      <c r="I1112">
        <v>0</v>
      </c>
      <c r="J1112">
        <v>16</v>
      </c>
      <c r="K1112" s="61">
        <v>3.5</v>
      </c>
      <c r="L1112" s="61">
        <v>602</v>
      </c>
      <c r="AA1112">
        <v>31</v>
      </c>
      <c r="AB1112">
        <v>13</v>
      </c>
      <c r="AC1112" t="str">
        <v>77MU119</v>
      </c>
      <c r="AD1112">
        <v>5279</v>
      </c>
      <c r="AE1112" t="str">
        <v>dist</v>
      </c>
    </row>
    <row r="1113" spans="1:31" hidden="1" x14ac:dyDescent="0.25">
      <c r="A1113">
        <v>1112</v>
      </c>
      <c r="B1113">
        <v>2026</v>
      </c>
      <c r="C1113">
        <v>3</v>
      </c>
      <c r="D1113">
        <v>14</v>
      </c>
      <c r="E1113">
        <v>12</v>
      </c>
      <c r="F1113">
        <v>0</v>
      </c>
      <c r="G1113" s="61">
        <v>200</v>
      </c>
      <c r="H1113">
        <v>0</v>
      </c>
      <c r="I1113">
        <v>0</v>
      </c>
      <c r="J1113">
        <v>20</v>
      </c>
      <c r="K1113" s="61">
        <v>1.5</v>
      </c>
      <c r="L1113" s="61">
        <v>300</v>
      </c>
      <c r="AA1113">
        <v>31</v>
      </c>
      <c r="AB1113">
        <v>13</v>
      </c>
      <c r="AC1113" t="str">
        <v>77TG971</v>
      </c>
      <c r="AD1113">
        <v>1559</v>
      </c>
      <c r="AE1113" t="str">
        <v>dist</v>
      </c>
    </row>
    <row r="1114" spans="1:31" hidden="1" x14ac:dyDescent="0.25">
      <c r="A1114">
        <v>1113</v>
      </c>
      <c r="B1114">
        <v>2026</v>
      </c>
      <c r="C1114">
        <v>3</v>
      </c>
      <c r="D1114">
        <v>98</v>
      </c>
      <c r="E1114">
        <v>9</v>
      </c>
      <c r="F1114" t="str">
        <v>50BD416</v>
      </c>
      <c r="G1114" s="61">
        <v>50</v>
      </c>
      <c r="H1114">
        <v>0</v>
      </c>
      <c r="I1114">
        <v>0</v>
      </c>
      <c r="J1114" t="str">
        <v>R-3</v>
      </c>
      <c r="K1114" s="61">
        <v>-1</v>
      </c>
      <c r="L1114" s="61">
        <v>-50</v>
      </c>
      <c r="AA1114">
        <v>31</v>
      </c>
      <c r="AB1114">
        <v>13</v>
      </c>
      <c r="AC1114" t="str">
        <v>77UR032</v>
      </c>
      <c r="AD1114">
        <v>2613</v>
      </c>
      <c r="AE1114" t="str">
        <v>dist</v>
      </c>
    </row>
    <row r="1115" spans="1:31" hidden="1" x14ac:dyDescent="0.25">
      <c r="A1115">
        <v>1114</v>
      </c>
      <c r="B1115">
        <v>2026</v>
      </c>
      <c r="C1115">
        <v>3</v>
      </c>
      <c r="D1115">
        <v>91</v>
      </c>
      <c r="E1115">
        <v>9</v>
      </c>
      <c r="F1115" t="str">
        <v>90VJ454</v>
      </c>
      <c r="G1115" s="61">
        <v>1</v>
      </c>
      <c r="H1115">
        <v>0</v>
      </c>
      <c r="I1115">
        <v>0</v>
      </c>
      <c r="J1115">
        <v>1</v>
      </c>
      <c r="K1115" s="61">
        <v>3500</v>
      </c>
      <c r="L1115" s="61">
        <v>3500</v>
      </c>
      <c r="AA1115">
        <v>31</v>
      </c>
      <c r="AB1115">
        <v>13</v>
      </c>
      <c r="AC1115" t="str">
        <v>90EC344</v>
      </c>
      <c r="AD1115">
        <v>2500</v>
      </c>
      <c r="AE1115" t="str">
        <v>dist</v>
      </c>
    </row>
    <row r="1116" spans="1:31" hidden="1" x14ac:dyDescent="0.25">
      <c r="A1116">
        <v>1115</v>
      </c>
      <c r="B1116">
        <v>2026</v>
      </c>
      <c r="C1116">
        <v>3</v>
      </c>
      <c r="D1116">
        <v>33</v>
      </c>
      <c r="E1116">
        <v>19</v>
      </c>
      <c r="F1116">
        <v>0</v>
      </c>
      <c r="G1116" s="61">
        <v>49278</v>
      </c>
      <c r="H1116">
        <v>0</v>
      </c>
      <c r="I1116">
        <v>0</v>
      </c>
      <c r="J1116">
        <v>12</v>
      </c>
      <c r="K1116" s="61">
        <v>1.56</v>
      </c>
      <c r="L1116" s="61">
        <v>76873.680000000008</v>
      </c>
      <c r="AA1116">
        <v>31</v>
      </c>
      <c r="AB1116">
        <v>13</v>
      </c>
      <c r="AC1116" t="str">
        <v>90LS143</v>
      </c>
      <c r="AD1116">
        <v>2090</v>
      </c>
      <c r="AE1116" t="str">
        <v>dist</v>
      </c>
    </row>
    <row r="1117" spans="1:31" hidden="1" x14ac:dyDescent="0.25">
      <c r="A1117">
        <v>1116</v>
      </c>
      <c r="B1117">
        <v>2026</v>
      </c>
      <c r="C1117">
        <v>3</v>
      </c>
      <c r="D1117">
        <v>33</v>
      </c>
      <c r="E1117">
        <v>19</v>
      </c>
      <c r="F1117">
        <v>0</v>
      </c>
      <c r="G1117" s="61">
        <v>59524</v>
      </c>
      <c r="H1117">
        <v>0</v>
      </c>
      <c r="I1117">
        <v>0</v>
      </c>
      <c r="J1117">
        <v>13</v>
      </c>
      <c r="K1117" s="61">
        <v>4.53</v>
      </c>
      <c r="L1117" s="61">
        <v>269643.72000000003</v>
      </c>
      <c r="AA1117">
        <v>31</v>
      </c>
      <c r="AB1117">
        <v>13</v>
      </c>
      <c r="AC1117" t="str">
        <v>90OE402</v>
      </c>
      <c r="AD1117">
        <v>4560</v>
      </c>
      <c r="AE1117" t="str">
        <v>dist</v>
      </c>
    </row>
    <row r="1118" spans="1:31" hidden="1" x14ac:dyDescent="0.25">
      <c r="A1118">
        <v>1117</v>
      </c>
      <c r="B1118">
        <v>2026</v>
      </c>
      <c r="C1118">
        <v>3</v>
      </c>
      <c r="D1118">
        <v>33</v>
      </c>
      <c r="E1118">
        <v>19</v>
      </c>
      <c r="F1118">
        <v>0</v>
      </c>
      <c r="G1118" s="61">
        <v>54344</v>
      </c>
      <c r="H1118">
        <v>0</v>
      </c>
      <c r="I1118">
        <v>0</v>
      </c>
      <c r="J1118">
        <v>14</v>
      </c>
      <c r="K1118" s="61">
        <v>4.53</v>
      </c>
      <c r="L1118" s="61">
        <v>246178.32</v>
      </c>
      <c r="AA1118">
        <v>31</v>
      </c>
      <c r="AB1118">
        <v>13</v>
      </c>
      <c r="AC1118" t="str">
        <v>90UX686</v>
      </c>
      <c r="AD1118">
        <v>2926</v>
      </c>
      <c r="AE1118" t="str">
        <v>dist</v>
      </c>
    </row>
    <row r="1119" spans="1:31" hidden="1" x14ac:dyDescent="0.25">
      <c r="A1119">
        <v>1118</v>
      </c>
      <c r="B1119">
        <v>2026</v>
      </c>
      <c r="C1119">
        <v>3</v>
      </c>
      <c r="D1119">
        <v>33</v>
      </c>
      <c r="E1119">
        <v>19</v>
      </c>
      <c r="F1119">
        <v>0</v>
      </c>
      <c r="G1119" s="61">
        <v>4240</v>
      </c>
      <c r="H1119">
        <v>0</v>
      </c>
      <c r="I1119">
        <v>0</v>
      </c>
      <c r="J1119">
        <v>15</v>
      </c>
      <c r="K1119" s="61">
        <v>4.53</v>
      </c>
      <c r="L1119" s="61">
        <v>19207.2</v>
      </c>
      <c r="AA1119">
        <v>31</v>
      </c>
      <c r="AB1119">
        <v>13</v>
      </c>
      <c r="AC1119" t="str">
        <v>99BT339</v>
      </c>
      <c r="AD1119">
        <v>3188</v>
      </c>
      <c r="AE1119" t="str">
        <v>dist</v>
      </c>
    </row>
    <row r="1120" spans="1:31" hidden="1" x14ac:dyDescent="0.25">
      <c r="A1120">
        <v>1119</v>
      </c>
      <c r="B1120">
        <v>2026</v>
      </c>
      <c r="C1120">
        <v>3</v>
      </c>
      <c r="D1120">
        <v>33</v>
      </c>
      <c r="E1120">
        <v>19</v>
      </c>
      <c r="F1120">
        <v>0</v>
      </c>
      <c r="G1120" s="61">
        <v>2938</v>
      </c>
      <c r="H1120">
        <v>0</v>
      </c>
      <c r="I1120">
        <v>0</v>
      </c>
      <c r="J1120">
        <v>16</v>
      </c>
      <c r="K1120" s="61">
        <v>3.77</v>
      </c>
      <c r="L1120" s="61">
        <v>11076.26</v>
      </c>
      <c r="M1120" t="s">
        <v>1165</v>
      </c>
      <c r="AA1120">
        <v>31</v>
      </c>
      <c r="AB1120">
        <v>13</v>
      </c>
      <c r="AC1120" t="str">
        <v>99CN447</v>
      </c>
      <c r="AD1120">
        <v>1868</v>
      </c>
      <c r="AE1120" t="str">
        <v>dist</v>
      </c>
    </row>
    <row r="1121" spans="1:31" hidden="1" x14ac:dyDescent="0.25">
      <c r="A1121">
        <v>1120</v>
      </c>
      <c r="B1121">
        <v>2026</v>
      </c>
      <c r="C1121">
        <v>3</v>
      </c>
      <c r="D1121">
        <v>30</v>
      </c>
      <c r="E1121">
        <v>15</v>
      </c>
      <c r="F1121">
        <v>0</v>
      </c>
      <c r="G1121" s="61">
        <v>1</v>
      </c>
      <c r="H1121">
        <v>0</v>
      </c>
      <c r="I1121">
        <v>0</v>
      </c>
      <c r="J1121">
        <v>4</v>
      </c>
      <c r="K1121" s="61">
        <v>5500</v>
      </c>
      <c r="L1121" s="61">
        <v>5500</v>
      </c>
      <c r="AA1121">
        <v>31</v>
      </c>
      <c r="AB1121">
        <v>13</v>
      </c>
      <c r="AC1121" t="str">
        <v>99DT131</v>
      </c>
      <c r="AD1121">
        <v>1301</v>
      </c>
      <c r="AE1121" t="str">
        <v>dist</v>
      </c>
    </row>
    <row r="1122" spans="1:31" hidden="1" x14ac:dyDescent="0.25">
      <c r="A1122">
        <v>1121</v>
      </c>
      <c r="B1122">
        <v>2026</v>
      </c>
      <c r="C1122">
        <v>3</v>
      </c>
      <c r="D1122">
        <v>31</v>
      </c>
      <c r="E1122">
        <v>14</v>
      </c>
      <c r="F1122">
        <v>0</v>
      </c>
      <c r="G1122" s="61">
        <v>0.1</v>
      </c>
      <c r="H1122">
        <v>0</v>
      </c>
      <c r="I1122">
        <v>0</v>
      </c>
      <c r="J1122" t="str">
        <v>M-1</v>
      </c>
      <c r="K1122" s="61">
        <v>1</v>
      </c>
      <c r="L1122" s="61">
        <v>0.1</v>
      </c>
      <c r="AA1122">
        <v>31</v>
      </c>
      <c r="AB1122">
        <v>13</v>
      </c>
      <c r="AC1122" t="str">
        <v>99EM163</v>
      </c>
      <c r="AD1122">
        <v>1215</v>
      </c>
      <c r="AE1122" t="str">
        <v>dist</v>
      </c>
    </row>
    <row r="1123" spans="1:31" hidden="1" x14ac:dyDescent="0.25">
      <c r="A1123">
        <v>1122</v>
      </c>
      <c r="B1123">
        <v>2026</v>
      </c>
      <c r="C1123">
        <v>3</v>
      </c>
      <c r="D1123">
        <v>31</v>
      </c>
      <c r="E1123">
        <v>14</v>
      </c>
      <c r="F1123">
        <v>0</v>
      </c>
      <c r="G1123" s="61">
        <v>0.1</v>
      </c>
      <c r="H1123">
        <v>0</v>
      </c>
      <c r="I1123">
        <v>0</v>
      </c>
      <c r="J1123" t="str">
        <v>R-1</v>
      </c>
      <c r="K1123" s="61">
        <v>-1</v>
      </c>
      <c r="L1123" s="61">
        <v>-0.1</v>
      </c>
      <c r="AA1123">
        <v>31</v>
      </c>
      <c r="AB1123">
        <v>13</v>
      </c>
      <c r="AC1123" t="str">
        <v>99FO779</v>
      </c>
      <c r="AD1123">
        <v>2021</v>
      </c>
      <c r="AE1123" t="str">
        <v>dist</v>
      </c>
    </row>
    <row r="1124" spans="1:31" hidden="1" x14ac:dyDescent="0.25">
      <c r="A1124">
        <v>1123</v>
      </c>
      <c r="B1124">
        <v>2026</v>
      </c>
      <c r="C1124">
        <v>3</v>
      </c>
      <c r="D1124">
        <v>150</v>
      </c>
      <c r="E1124">
        <v>2</v>
      </c>
      <c r="F1124">
        <v>0</v>
      </c>
      <c r="G1124" s="61">
        <v>3</v>
      </c>
      <c r="H1124">
        <v>0</v>
      </c>
      <c r="I1124">
        <v>0</v>
      </c>
      <c r="J1124">
        <v>2</v>
      </c>
      <c r="K1124" s="61">
        <v>270</v>
      </c>
      <c r="L1124" s="61">
        <v>810</v>
      </c>
      <c r="AA1124">
        <v>31</v>
      </c>
      <c r="AB1124">
        <v>13</v>
      </c>
      <c r="AC1124" t="str">
        <v>99GZ612</v>
      </c>
      <c r="AD1124">
        <v>1664</v>
      </c>
      <c r="AE1124" t="str">
        <v>dist</v>
      </c>
    </row>
    <row r="1125" spans="1:31" hidden="1" x14ac:dyDescent="0.25">
      <c r="A1125">
        <v>1124</v>
      </c>
      <c r="B1125">
        <v>2026</v>
      </c>
      <c r="C1125">
        <v>3</v>
      </c>
      <c r="D1125">
        <v>182</v>
      </c>
      <c r="E1125">
        <v>2</v>
      </c>
      <c r="F1125">
        <v>0</v>
      </c>
      <c r="G1125" s="61">
        <v>53.571428571428903</v>
      </c>
      <c r="H1125">
        <v>0</v>
      </c>
      <c r="I1125">
        <v>0</v>
      </c>
      <c r="J1125" t="str">
        <v>R-1</v>
      </c>
      <c r="K1125" s="61">
        <v>-1</v>
      </c>
      <c r="L1125" s="61">
        <v>-53.571428571428903</v>
      </c>
      <c r="AA1125">
        <v>31</v>
      </c>
      <c r="AB1125">
        <v>13</v>
      </c>
      <c r="AC1125" t="str">
        <v>99HZ395</v>
      </c>
      <c r="AD1125">
        <v>4350</v>
      </c>
      <c r="AE1125" t="str">
        <v>dist</v>
      </c>
    </row>
    <row r="1126" spans="1:31" hidden="1" x14ac:dyDescent="0.25">
      <c r="A1126">
        <v>1125</v>
      </c>
      <c r="B1126">
        <v>2026</v>
      </c>
      <c r="C1126">
        <v>3</v>
      </c>
      <c r="D1126">
        <v>11</v>
      </c>
      <c r="E1126">
        <v>15</v>
      </c>
      <c r="F1126">
        <v>0</v>
      </c>
      <c r="G1126" s="61">
        <v>7</v>
      </c>
      <c r="H1126">
        <v>0</v>
      </c>
      <c r="I1126">
        <v>0</v>
      </c>
      <c r="J1126">
        <v>3</v>
      </c>
      <c r="K1126" s="61">
        <v>100</v>
      </c>
      <c r="L1126" s="61">
        <v>700</v>
      </c>
      <c r="AA1126">
        <v>31</v>
      </c>
      <c r="AB1126">
        <v>13</v>
      </c>
      <c r="AC1126" t="str">
        <v>99KL663</v>
      </c>
      <c r="AD1126">
        <v>1413</v>
      </c>
      <c r="AE1126" t="str">
        <v>dist</v>
      </c>
    </row>
    <row r="1127" spans="1:31" hidden="1" x14ac:dyDescent="0.25">
      <c r="AA1127">
        <v>31</v>
      </c>
      <c r="AB1127">
        <v>13</v>
      </c>
      <c r="AC1127" t="str">
        <v>99LM412</v>
      </c>
      <c r="AD1127">
        <v>1944</v>
      </c>
      <c r="AE1127" t="str">
        <v>dist</v>
      </c>
    </row>
    <row r="1128" spans="1:31" hidden="1" x14ac:dyDescent="0.25">
      <c r="AA1128">
        <v>31</v>
      </c>
      <c r="AB1128">
        <v>13</v>
      </c>
      <c r="AC1128" t="str">
        <v>99MN472</v>
      </c>
      <c r="AD1128">
        <v>6483</v>
      </c>
      <c r="AE1128" t="str">
        <v>dist</v>
      </c>
    </row>
    <row r="1129" spans="1:31" x14ac:dyDescent="0.25">
      <c r="AA1129">
        <v>31</v>
      </c>
      <c r="AB1129">
        <v>13</v>
      </c>
      <c r="AC1129" t="str">
        <v>99OR961</v>
      </c>
      <c r="AD1129">
        <v>1904</v>
      </c>
      <c r="AE1129" t="str">
        <v>dist</v>
      </c>
    </row>
    <row r="1130" spans="1:31" x14ac:dyDescent="0.25">
      <c r="AA1130">
        <v>31</v>
      </c>
      <c r="AB1130">
        <v>13</v>
      </c>
      <c r="AC1130" t="str">
        <v>99UK314</v>
      </c>
      <c r="AD1130">
        <v>11677</v>
      </c>
      <c r="AE1130" t="str">
        <v>dist</v>
      </c>
    </row>
    <row r="1131" spans="1:31" x14ac:dyDescent="0.25">
      <c r="AA1131">
        <v>31</v>
      </c>
      <c r="AB1131">
        <v>13</v>
      </c>
      <c r="AC1131" t="str">
        <v>10NG198</v>
      </c>
      <c r="AD1131">
        <v>1706</v>
      </c>
      <c r="AE1131" t="str">
        <v>dist</v>
      </c>
    </row>
    <row r="1132" spans="1:31" x14ac:dyDescent="0.25">
      <c r="AA1132">
        <v>31</v>
      </c>
      <c r="AB1132">
        <v>13</v>
      </c>
      <c r="AC1132" t="str">
        <v>10ON175</v>
      </c>
      <c r="AD1132">
        <v>1718</v>
      </c>
      <c r="AE1132" t="str">
        <v>dist</v>
      </c>
    </row>
    <row r="1133" spans="1:31" x14ac:dyDescent="0.25">
      <c r="AA1133">
        <v>31</v>
      </c>
      <c r="AB1133">
        <v>13</v>
      </c>
      <c r="AC1133" t="str">
        <v>27BZ361</v>
      </c>
      <c r="AD1133">
        <v>1073</v>
      </c>
      <c r="AE1133" t="str">
        <v>dist</v>
      </c>
    </row>
    <row r="1134" spans="1:31" x14ac:dyDescent="0.25">
      <c r="AA1134">
        <v>31</v>
      </c>
      <c r="AB1134">
        <v>13</v>
      </c>
      <c r="AC1134" t="str">
        <v>10ZU722</v>
      </c>
      <c r="AD1134">
        <v>929</v>
      </c>
      <c r="AE1134" t="str">
        <v>dist</v>
      </c>
    </row>
    <row r="1135" spans="1:31" x14ac:dyDescent="0.25">
      <c r="AA1135">
        <v>31</v>
      </c>
      <c r="AB1135">
        <v>13</v>
      </c>
      <c r="AC1135" t="str">
        <v>38BG860</v>
      </c>
      <c r="AD1135">
        <v>2032</v>
      </c>
      <c r="AE1135" t="str">
        <v>dist</v>
      </c>
    </row>
    <row r="1136" spans="1:31" x14ac:dyDescent="0.25">
      <c r="AA1136">
        <v>31</v>
      </c>
      <c r="AB1136">
        <v>13</v>
      </c>
      <c r="AC1136" t="str">
        <v>53BD239</v>
      </c>
      <c r="AD1136">
        <v>1015</v>
      </c>
      <c r="AE1136" t="str">
        <v>dist</v>
      </c>
    </row>
    <row r="1137" spans="27:31" x14ac:dyDescent="0.25">
      <c r="AA1137">
        <v>31</v>
      </c>
      <c r="AB1137">
        <v>13</v>
      </c>
      <c r="AC1137" t="str">
        <v>99GN495</v>
      </c>
      <c r="AD1137">
        <v>269</v>
      </c>
      <c r="AE1137" t="str">
        <v>dist</v>
      </c>
    </row>
    <row r="1138" spans="27:31" x14ac:dyDescent="0.25">
      <c r="AA1138">
        <v>31</v>
      </c>
      <c r="AB1138">
        <v>13</v>
      </c>
      <c r="AC1138" t="str">
        <v>10OG142</v>
      </c>
      <c r="AD1138">
        <v>275</v>
      </c>
      <c r="AE1138" t="str">
        <v>dist</v>
      </c>
    </row>
    <row r="1139" spans="27:31" x14ac:dyDescent="0.25">
      <c r="AA1139">
        <v>31</v>
      </c>
      <c r="AB1139">
        <v>13</v>
      </c>
      <c r="AC1139" t="str">
        <v>77VL420</v>
      </c>
      <c r="AD1139">
        <v>2645</v>
      </c>
      <c r="AE1139" t="str">
        <v>dist</v>
      </c>
    </row>
  </sheetData>
  <autoFilter ref="A1:M1128" xr:uid="{998134DB-1F0F-4961-ABA7-AEB12E872399}">
    <filterColumn colId="5">
      <filters>
        <filter val="99EM163"/>
      </filters>
    </filterColumn>
  </autoFilter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0700-36F3-4D65-AAEF-FF962A72BC16}">
  <sheetPr codeName="Sheet21"/>
  <dimension ref="A1"/>
  <sheetViews>
    <sheetView workbookViewId="0">
      <selection activeCell="O1" sqref="O1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EE59-839F-4575-8273-D194DA243BA6}">
  <dimension ref="A1:G130"/>
  <sheetViews>
    <sheetView workbookViewId="0">
      <selection activeCell="O1" sqref="O1"/>
    </sheetView>
  </sheetViews>
  <sheetFormatPr defaultRowHeight="15" x14ac:dyDescent="0.25"/>
  <cols>
    <col min="1" max="4" width="9.140625" style="19"/>
  </cols>
  <sheetData>
    <row r="1" spans="1:7" x14ac:dyDescent="0.25">
      <c r="A1" s="98" t="s">
        <v>1169</v>
      </c>
      <c r="B1" s="98" t="s">
        <v>1170</v>
      </c>
      <c r="C1" s="98" t="s">
        <v>1171</v>
      </c>
      <c r="D1" s="98" t="s">
        <v>1172</v>
      </c>
    </row>
    <row r="2" spans="1:7" x14ac:dyDescent="0.25">
      <c r="A2" s="19" t="s">
        <v>1173</v>
      </c>
      <c r="B2" s="19">
        <v>45989</v>
      </c>
      <c r="C2" s="19">
        <v>45991</v>
      </c>
      <c r="D2" s="19">
        <v>45989</v>
      </c>
      <c r="F2" t="s">
        <v>1302</v>
      </c>
      <c r="G2" cm="1">
        <f t="array" ref="G2:G130">_xlfn.NUMBERVALUE(LEFT(F2:F130,3))</f>
        <v>150</v>
      </c>
    </row>
    <row r="3" spans="1:7" x14ac:dyDescent="0.25">
      <c r="A3" s="19" t="s">
        <v>1174</v>
      </c>
      <c r="B3" s="19">
        <v>45601</v>
      </c>
      <c r="C3" s="19">
        <v>45626</v>
      </c>
      <c r="D3" s="19">
        <v>45601</v>
      </c>
      <c r="F3" t="s">
        <v>1303</v>
      </c>
      <c r="G3">
        <v>141</v>
      </c>
    </row>
    <row r="4" spans="1:7" x14ac:dyDescent="0.25">
      <c r="A4" s="19" t="s">
        <v>1175</v>
      </c>
      <c r="B4" s="19">
        <v>45931</v>
      </c>
      <c r="C4" s="19">
        <v>45961</v>
      </c>
      <c r="D4" s="19">
        <v>45925</v>
      </c>
      <c r="F4" t="s">
        <v>1304</v>
      </c>
      <c r="G4">
        <v>121</v>
      </c>
    </row>
    <row r="5" spans="1:7" x14ac:dyDescent="0.25">
      <c r="A5" s="19" t="s">
        <v>1176</v>
      </c>
      <c r="B5" s="19">
        <v>45962</v>
      </c>
      <c r="C5" s="19">
        <v>45991</v>
      </c>
      <c r="D5" s="19">
        <v>45925</v>
      </c>
      <c r="F5" t="s">
        <v>1305</v>
      </c>
      <c r="G5">
        <v>121</v>
      </c>
    </row>
    <row r="6" spans="1:7" x14ac:dyDescent="0.25">
      <c r="A6" s="19" t="s">
        <v>1177</v>
      </c>
      <c r="B6" s="19">
        <v>45895</v>
      </c>
      <c r="C6" s="19">
        <v>45900</v>
      </c>
      <c r="D6" s="19">
        <v>45890</v>
      </c>
      <c r="F6" t="s">
        <v>1306</v>
      </c>
      <c r="G6">
        <v>110</v>
      </c>
    </row>
    <row r="7" spans="1:7" x14ac:dyDescent="0.25">
      <c r="A7" s="19" t="s">
        <v>1178</v>
      </c>
      <c r="B7" s="19">
        <v>45901</v>
      </c>
      <c r="C7" s="19">
        <v>45930</v>
      </c>
      <c r="D7" s="19">
        <v>45890</v>
      </c>
      <c r="F7" t="s">
        <v>1307</v>
      </c>
      <c r="G7">
        <v>110</v>
      </c>
    </row>
    <row r="8" spans="1:7" x14ac:dyDescent="0.25">
      <c r="A8" s="19" t="s">
        <v>1179</v>
      </c>
      <c r="B8" s="19">
        <v>45931</v>
      </c>
      <c r="C8" s="19">
        <v>45961</v>
      </c>
      <c r="D8" s="19">
        <v>45890</v>
      </c>
      <c r="F8" t="s">
        <v>1308</v>
      </c>
      <c r="G8">
        <v>110</v>
      </c>
    </row>
    <row r="9" spans="1:7" x14ac:dyDescent="0.25">
      <c r="A9" s="19" t="s">
        <v>1180</v>
      </c>
      <c r="B9" s="19">
        <v>45962</v>
      </c>
      <c r="C9" s="19">
        <v>45991</v>
      </c>
      <c r="D9" s="19">
        <v>45890</v>
      </c>
      <c r="F9" t="s">
        <v>1309</v>
      </c>
      <c r="G9">
        <v>110</v>
      </c>
    </row>
    <row r="10" spans="1:7" x14ac:dyDescent="0.25">
      <c r="A10" s="19" t="s">
        <v>1181</v>
      </c>
      <c r="B10" s="19">
        <v>45856</v>
      </c>
      <c r="C10" s="19">
        <v>45900</v>
      </c>
      <c r="D10" s="19">
        <v>45856</v>
      </c>
      <c r="F10" t="s">
        <v>1310</v>
      </c>
      <c r="G10">
        <v>107</v>
      </c>
    </row>
    <row r="11" spans="1:7" x14ac:dyDescent="0.25">
      <c r="A11" s="19" t="s">
        <v>1182</v>
      </c>
      <c r="B11" s="19">
        <v>45931</v>
      </c>
      <c r="C11" s="19">
        <v>45961</v>
      </c>
      <c r="D11" s="19">
        <v>45856</v>
      </c>
      <c r="F11" t="s">
        <v>1311</v>
      </c>
      <c r="G11">
        <v>107</v>
      </c>
    </row>
    <row r="12" spans="1:7" x14ac:dyDescent="0.25">
      <c r="A12" s="19" t="s">
        <v>1183</v>
      </c>
      <c r="B12" s="19">
        <v>45880</v>
      </c>
      <c r="C12" s="19">
        <v>45900</v>
      </c>
      <c r="D12" s="19">
        <v>45880</v>
      </c>
      <c r="F12" t="s">
        <v>1312</v>
      </c>
      <c r="G12">
        <v>103</v>
      </c>
    </row>
    <row r="13" spans="1:7" x14ac:dyDescent="0.25">
      <c r="A13" s="19" t="s">
        <v>1184</v>
      </c>
      <c r="B13" s="19">
        <v>45892</v>
      </c>
      <c r="C13" s="19">
        <v>45900</v>
      </c>
      <c r="D13" s="19">
        <v>45892</v>
      </c>
      <c r="F13" t="s">
        <v>1313</v>
      </c>
      <c r="G13">
        <v>102</v>
      </c>
    </row>
    <row r="14" spans="1:7" x14ac:dyDescent="0.25">
      <c r="A14" s="19" t="s">
        <v>1185</v>
      </c>
      <c r="B14" s="19">
        <v>45901</v>
      </c>
      <c r="C14" s="19">
        <v>45930</v>
      </c>
      <c r="D14" s="19">
        <v>45892</v>
      </c>
      <c r="F14" t="s">
        <v>1314</v>
      </c>
      <c r="G14">
        <v>102</v>
      </c>
    </row>
    <row r="15" spans="1:7" x14ac:dyDescent="0.25">
      <c r="A15" s="19" t="s">
        <v>1186</v>
      </c>
      <c r="B15" s="19">
        <v>45931</v>
      </c>
      <c r="C15" s="19">
        <v>45961</v>
      </c>
      <c r="D15" s="19">
        <v>45892</v>
      </c>
      <c r="F15" t="s">
        <v>1315</v>
      </c>
      <c r="G15">
        <v>102</v>
      </c>
    </row>
    <row r="16" spans="1:7" x14ac:dyDescent="0.25">
      <c r="A16" s="19" t="s">
        <v>1187</v>
      </c>
      <c r="B16" s="19">
        <v>45962</v>
      </c>
      <c r="C16" s="19">
        <v>45991</v>
      </c>
      <c r="D16" s="19">
        <v>45892</v>
      </c>
      <c r="F16" t="s">
        <v>1316</v>
      </c>
      <c r="G16">
        <v>102</v>
      </c>
    </row>
    <row r="17" spans="1:7" x14ac:dyDescent="0.25">
      <c r="A17" s="19" t="s">
        <v>1188</v>
      </c>
      <c r="B17" s="19">
        <v>45861</v>
      </c>
      <c r="C17" s="19">
        <v>45869</v>
      </c>
      <c r="D17" s="19">
        <v>45859</v>
      </c>
      <c r="F17" t="s">
        <v>1317</v>
      </c>
      <c r="G17">
        <v>100</v>
      </c>
    </row>
    <row r="18" spans="1:7" x14ac:dyDescent="0.25">
      <c r="A18" s="19" t="s">
        <v>1189</v>
      </c>
      <c r="B18" s="19">
        <v>45870</v>
      </c>
      <c r="C18" s="19">
        <v>45900</v>
      </c>
      <c r="D18" s="19">
        <v>45859</v>
      </c>
      <c r="F18" t="s">
        <v>1318</v>
      </c>
      <c r="G18">
        <v>100</v>
      </c>
    </row>
    <row r="19" spans="1:7" x14ac:dyDescent="0.25">
      <c r="A19" s="19" t="s">
        <v>1190</v>
      </c>
      <c r="B19" s="19">
        <v>45901</v>
      </c>
      <c r="C19" s="19">
        <v>45930</v>
      </c>
      <c r="D19" s="19">
        <v>45859</v>
      </c>
      <c r="F19" t="s">
        <v>1319</v>
      </c>
      <c r="G19">
        <v>100</v>
      </c>
    </row>
    <row r="20" spans="1:7" x14ac:dyDescent="0.25">
      <c r="A20" s="19" t="s">
        <v>1191</v>
      </c>
      <c r="B20" s="19">
        <v>45931</v>
      </c>
      <c r="C20" s="19">
        <v>45961</v>
      </c>
      <c r="D20" s="19">
        <v>45859</v>
      </c>
      <c r="F20" t="s">
        <v>1320</v>
      </c>
      <c r="G20">
        <v>100</v>
      </c>
    </row>
    <row r="21" spans="1:7" x14ac:dyDescent="0.25">
      <c r="A21" s="19" t="s">
        <v>1192</v>
      </c>
      <c r="B21" s="19">
        <v>45962</v>
      </c>
      <c r="C21" s="19">
        <v>45991</v>
      </c>
      <c r="D21" s="19">
        <v>45859</v>
      </c>
      <c r="F21" t="s">
        <v>1321</v>
      </c>
      <c r="G21">
        <v>100</v>
      </c>
    </row>
    <row r="22" spans="1:7" x14ac:dyDescent="0.25">
      <c r="A22" s="19" t="s">
        <v>1193</v>
      </c>
      <c r="B22" s="19">
        <v>45859</v>
      </c>
      <c r="C22" s="19">
        <v>45869</v>
      </c>
      <c r="D22" s="19">
        <v>45859</v>
      </c>
      <c r="F22" t="s">
        <v>1322</v>
      </c>
      <c r="G22">
        <v>99</v>
      </c>
    </row>
    <row r="23" spans="1:7" x14ac:dyDescent="0.25">
      <c r="A23" s="19" t="s">
        <v>1194</v>
      </c>
      <c r="B23" s="19">
        <v>45870</v>
      </c>
      <c r="C23" s="19">
        <v>45900</v>
      </c>
      <c r="D23" s="19">
        <v>45859</v>
      </c>
      <c r="F23" t="s">
        <v>1323</v>
      </c>
      <c r="G23">
        <v>99</v>
      </c>
    </row>
    <row r="24" spans="1:7" x14ac:dyDescent="0.25">
      <c r="A24" s="19" t="s">
        <v>1195</v>
      </c>
      <c r="B24" s="19">
        <v>45901</v>
      </c>
      <c r="C24" s="19">
        <v>45930</v>
      </c>
      <c r="D24" s="19">
        <v>45859</v>
      </c>
      <c r="F24" t="s">
        <v>1324</v>
      </c>
      <c r="G24">
        <v>99</v>
      </c>
    </row>
    <row r="25" spans="1:7" x14ac:dyDescent="0.25">
      <c r="A25" s="19" t="s">
        <v>1196</v>
      </c>
      <c r="B25" s="19">
        <v>45931</v>
      </c>
      <c r="C25" s="19">
        <v>45961</v>
      </c>
      <c r="D25" s="19">
        <v>45859</v>
      </c>
      <c r="F25" t="s">
        <v>1325</v>
      </c>
      <c r="G25">
        <v>99</v>
      </c>
    </row>
    <row r="26" spans="1:7" x14ac:dyDescent="0.25">
      <c r="A26" s="19" t="s">
        <v>1197</v>
      </c>
      <c r="B26" s="19">
        <v>45962</v>
      </c>
      <c r="C26" s="19">
        <v>45991</v>
      </c>
      <c r="D26" s="19">
        <v>45859</v>
      </c>
      <c r="F26" t="s">
        <v>1326</v>
      </c>
      <c r="G26">
        <v>99</v>
      </c>
    </row>
    <row r="27" spans="1:7" x14ac:dyDescent="0.25">
      <c r="A27" s="19" t="s">
        <v>1198</v>
      </c>
      <c r="B27" s="19">
        <v>45858</v>
      </c>
      <c r="C27" s="19">
        <v>45869</v>
      </c>
      <c r="D27" s="19">
        <v>45854</v>
      </c>
      <c r="F27" t="s">
        <v>1327</v>
      </c>
      <c r="G27">
        <v>98</v>
      </c>
    </row>
    <row r="28" spans="1:7" x14ac:dyDescent="0.25">
      <c r="A28" s="19" t="s">
        <v>1199</v>
      </c>
      <c r="B28" s="19">
        <v>45870</v>
      </c>
      <c r="C28" s="19">
        <v>45900</v>
      </c>
      <c r="D28" s="19">
        <v>45854</v>
      </c>
      <c r="F28" t="s">
        <v>1328</v>
      </c>
      <c r="G28">
        <v>98</v>
      </c>
    </row>
    <row r="29" spans="1:7" x14ac:dyDescent="0.25">
      <c r="A29" s="19" t="s">
        <v>1200</v>
      </c>
      <c r="B29" s="19">
        <v>45901</v>
      </c>
      <c r="C29" s="19">
        <v>45930</v>
      </c>
      <c r="D29" s="19">
        <v>45854</v>
      </c>
      <c r="F29" t="s">
        <v>1329</v>
      </c>
      <c r="G29">
        <v>98</v>
      </c>
    </row>
    <row r="30" spans="1:7" x14ac:dyDescent="0.25">
      <c r="A30" s="19" t="s">
        <v>1201</v>
      </c>
      <c r="B30" s="19">
        <v>45931</v>
      </c>
      <c r="C30" s="19">
        <v>45961</v>
      </c>
      <c r="D30" s="19">
        <v>45854</v>
      </c>
      <c r="F30" t="s">
        <v>1330</v>
      </c>
      <c r="G30">
        <v>98</v>
      </c>
    </row>
    <row r="31" spans="1:7" x14ac:dyDescent="0.25">
      <c r="A31" s="19" t="s">
        <v>1202</v>
      </c>
      <c r="B31" s="19">
        <v>45962</v>
      </c>
      <c r="C31" s="19">
        <v>45991</v>
      </c>
      <c r="D31" s="19">
        <v>45854</v>
      </c>
      <c r="F31" t="s">
        <v>1331</v>
      </c>
      <c r="G31">
        <v>98</v>
      </c>
    </row>
    <row r="32" spans="1:7" x14ac:dyDescent="0.25">
      <c r="A32" s="19" t="s">
        <v>1203</v>
      </c>
      <c r="B32" s="19">
        <v>45851</v>
      </c>
      <c r="C32" s="19">
        <v>45869</v>
      </c>
      <c r="D32" s="19">
        <v>45848</v>
      </c>
      <c r="F32" t="s">
        <v>1332</v>
      </c>
      <c r="G32">
        <v>95</v>
      </c>
    </row>
    <row r="33" spans="1:7" x14ac:dyDescent="0.25">
      <c r="A33" s="19" t="s">
        <v>1204</v>
      </c>
      <c r="B33" s="19">
        <v>45870</v>
      </c>
      <c r="C33" s="19">
        <v>45900</v>
      </c>
      <c r="D33" s="19">
        <v>45848</v>
      </c>
      <c r="F33" t="s">
        <v>1333</v>
      </c>
      <c r="G33">
        <v>95</v>
      </c>
    </row>
    <row r="34" spans="1:7" x14ac:dyDescent="0.25">
      <c r="A34" s="19" t="s">
        <v>1205</v>
      </c>
      <c r="B34" s="19">
        <v>45901</v>
      </c>
      <c r="C34" s="19">
        <v>45930</v>
      </c>
      <c r="D34" s="19">
        <v>45848</v>
      </c>
      <c r="F34" t="s">
        <v>1334</v>
      </c>
      <c r="G34">
        <v>95</v>
      </c>
    </row>
    <row r="35" spans="1:7" x14ac:dyDescent="0.25">
      <c r="A35" s="19" t="s">
        <v>1206</v>
      </c>
      <c r="B35" s="19">
        <v>45931</v>
      </c>
      <c r="C35" s="19">
        <v>45961</v>
      </c>
      <c r="D35" s="19">
        <v>45848</v>
      </c>
      <c r="F35" t="s">
        <v>1335</v>
      </c>
      <c r="G35">
        <v>95</v>
      </c>
    </row>
    <row r="36" spans="1:7" x14ac:dyDescent="0.25">
      <c r="A36" s="19" t="s">
        <v>1207</v>
      </c>
      <c r="B36" s="19">
        <v>45962</v>
      </c>
      <c r="C36" s="19">
        <v>45991</v>
      </c>
      <c r="D36" s="19">
        <v>45848</v>
      </c>
      <c r="F36" t="s">
        <v>1336</v>
      </c>
      <c r="G36">
        <v>95</v>
      </c>
    </row>
    <row r="37" spans="1:7" x14ac:dyDescent="0.25">
      <c r="A37" s="19" t="s">
        <v>1208</v>
      </c>
      <c r="B37" s="19">
        <v>45809</v>
      </c>
      <c r="C37" s="19">
        <v>45838</v>
      </c>
      <c r="D37" s="19">
        <v>45809</v>
      </c>
      <c r="F37" t="s">
        <v>1337</v>
      </c>
      <c r="G37">
        <v>94</v>
      </c>
    </row>
    <row r="38" spans="1:7" x14ac:dyDescent="0.25">
      <c r="A38" s="19" t="s">
        <v>1209</v>
      </c>
      <c r="B38" s="19">
        <v>45839</v>
      </c>
      <c r="C38" s="19">
        <v>45869</v>
      </c>
      <c r="D38" s="19">
        <v>45809</v>
      </c>
      <c r="F38" t="s">
        <v>1338</v>
      </c>
      <c r="G38">
        <v>94</v>
      </c>
    </row>
    <row r="39" spans="1:7" x14ac:dyDescent="0.25">
      <c r="A39" s="19" t="s">
        <v>1210</v>
      </c>
      <c r="B39" s="19">
        <v>45870</v>
      </c>
      <c r="C39" s="19">
        <v>45900</v>
      </c>
      <c r="D39" s="19">
        <v>45809</v>
      </c>
      <c r="F39" t="s">
        <v>1339</v>
      </c>
      <c r="G39">
        <v>94</v>
      </c>
    </row>
    <row r="40" spans="1:7" x14ac:dyDescent="0.25">
      <c r="A40" s="19" t="s">
        <v>1211</v>
      </c>
      <c r="B40" s="19">
        <v>45901</v>
      </c>
      <c r="C40" s="19">
        <v>45930</v>
      </c>
      <c r="D40" s="19">
        <v>45809</v>
      </c>
      <c r="F40" t="s">
        <v>1340</v>
      </c>
      <c r="G40">
        <v>94</v>
      </c>
    </row>
    <row r="41" spans="1:7" x14ac:dyDescent="0.25">
      <c r="A41" s="19" t="s">
        <v>1212</v>
      </c>
      <c r="B41" s="19">
        <v>45931</v>
      </c>
      <c r="C41" s="19">
        <v>45961</v>
      </c>
      <c r="D41" s="19">
        <v>45809</v>
      </c>
      <c r="F41" t="s">
        <v>1341</v>
      </c>
      <c r="G41">
        <v>94</v>
      </c>
    </row>
    <row r="42" spans="1:7" x14ac:dyDescent="0.25">
      <c r="A42" s="19" t="s">
        <v>1213</v>
      </c>
      <c r="B42" s="19">
        <v>45834</v>
      </c>
      <c r="C42" s="19">
        <v>45869</v>
      </c>
      <c r="D42" s="19">
        <v>45834</v>
      </c>
      <c r="F42" t="s">
        <v>1342</v>
      </c>
      <c r="G42">
        <v>91</v>
      </c>
    </row>
    <row r="43" spans="1:7" x14ac:dyDescent="0.25">
      <c r="A43" s="19" t="s">
        <v>1214</v>
      </c>
      <c r="B43" s="19">
        <v>45870</v>
      </c>
      <c r="C43" s="19">
        <v>45869</v>
      </c>
      <c r="D43" s="19">
        <v>45834</v>
      </c>
      <c r="F43" t="s">
        <v>1343</v>
      </c>
      <c r="G43">
        <v>91</v>
      </c>
    </row>
    <row r="44" spans="1:7" x14ac:dyDescent="0.25">
      <c r="A44" s="19" t="s">
        <v>1215</v>
      </c>
      <c r="B44" s="19">
        <v>45901</v>
      </c>
      <c r="C44" s="19">
        <v>45869</v>
      </c>
      <c r="D44" s="19">
        <v>45834</v>
      </c>
      <c r="F44" t="s">
        <v>1344</v>
      </c>
      <c r="G44">
        <v>91</v>
      </c>
    </row>
    <row r="45" spans="1:7" x14ac:dyDescent="0.25">
      <c r="A45" s="19" t="s">
        <v>1216</v>
      </c>
      <c r="B45" s="19">
        <v>45931</v>
      </c>
      <c r="C45" s="19">
        <v>45961</v>
      </c>
      <c r="D45" s="19">
        <v>45834</v>
      </c>
      <c r="F45" t="s">
        <v>1345</v>
      </c>
      <c r="G45">
        <v>91</v>
      </c>
    </row>
    <row r="46" spans="1:7" x14ac:dyDescent="0.25">
      <c r="A46" s="19" t="s">
        <v>1217</v>
      </c>
      <c r="B46" s="19">
        <v>45962</v>
      </c>
      <c r="C46" s="19">
        <v>45991</v>
      </c>
      <c r="D46" s="19">
        <v>45834</v>
      </c>
      <c r="F46" t="s">
        <v>1346</v>
      </c>
      <c r="G46">
        <v>91</v>
      </c>
    </row>
    <row r="47" spans="1:7" x14ac:dyDescent="0.25">
      <c r="A47" s="19" t="s">
        <v>1218</v>
      </c>
      <c r="B47" s="19">
        <v>45824</v>
      </c>
      <c r="C47" s="19">
        <v>45838</v>
      </c>
      <c r="D47" s="19">
        <v>45824</v>
      </c>
      <c r="F47" t="s">
        <v>1347</v>
      </c>
      <c r="G47">
        <v>85</v>
      </c>
    </row>
    <row r="48" spans="1:7" x14ac:dyDescent="0.25">
      <c r="A48" s="19" t="s">
        <v>1219</v>
      </c>
      <c r="B48" s="19">
        <v>45839</v>
      </c>
      <c r="C48" s="19">
        <v>45869</v>
      </c>
      <c r="D48" s="19">
        <v>45824</v>
      </c>
      <c r="F48" t="s">
        <v>1348</v>
      </c>
      <c r="G48">
        <v>85</v>
      </c>
    </row>
    <row r="49" spans="1:7" x14ac:dyDescent="0.25">
      <c r="A49" s="19" t="s">
        <v>1220</v>
      </c>
      <c r="B49" s="19">
        <v>45870</v>
      </c>
      <c r="C49" s="19">
        <v>45900</v>
      </c>
      <c r="D49" s="19">
        <v>45824</v>
      </c>
      <c r="F49" t="s">
        <v>1349</v>
      </c>
      <c r="G49">
        <v>85</v>
      </c>
    </row>
    <row r="50" spans="1:7" x14ac:dyDescent="0.25">
      <c r="A50" s="19" t="s">
        <v>1221</v>
      </c>
      <c r="B50" s="19">
        <v>45901</v>
      </c>
      <c r="C50" s="19">
        <v>45930</v>
      </c>
      <c r="D50" s="19">
        <v>45824</v>
      </c>
      <c r="F50" t="s">
        <v>1350</v>
      </c>
      <c r="G50">
        <v>85</v>
      </c>
    </row>
    <row r="51" spans="1:7" x14ac:dyDescent="0.25">
      <c r="A51" s="19" t="s">
        <v>1222</v>
      </c>
      <c r="B51" s="19">
        <v>45931</v>
      </c>
      <c r="C51" s="19">
        <v>45961</v>
      </c>
      <c r="D51" s="19">
        <v>45824</v>
      </c>
      <c r="F51" t="s">
        <v>1351</v>
      </c>
      <c r="G51">
        <v>85</v>
      </c>
    </row>
    <row r="52" spans="1:7" x14ac:dyDescent="0.25">
      <c r="A52" s="19" t="s">
        <v>1223</v>
      </c>
      <c r="B52" s="19">
        <v>45962</v>
      </c>
      <c r="C52" s="19">
        <v>45991</v>
      </c>
      <c r="D52" s="19">
        <v>45824</v>
      </c>
      <c r="F52" t="s">
        <v>1352</v>
      </c>
      <c r="G52">
        <v>85</v>
      </c>
    </row>
    <row r="53" spans="1:7" x14ac:dyDescent="0.25">
      <c r="A53" s="19" t="s">
        <v>1224</v>
      </c>
      <c r="B53" s="19">
        <v>45778</v>
      </c>
      <c r="C53" s="19">
        <v>45808</v>
      </c>
      <c r="D53" s="19">
        <v>45783</v>
      </c>
      <c r="F53" t="s">
        <v>1353</v>
      </c>
      <c r="G53">
        <v>65</v>
      </c>
    </row>
    <row r="54" spans="1:7" x14ac:dyDescent="0.25">
      <c r="A54" s="19" t="s">
        <v>1225</v>
      </c>
      <c r="B54" s="19">
        <v>45809</v>
      </c>
      <c r="C54" s="19">
        <v>45838</v>
      </c>
      <c r="D54" s="19">
        <v>45783</v>
      </c>
      <c r="F54" t="s">
        <v>1354</v>
      </c>
      <c r="G54">
        <v>65</v>
      </c>
    </row>
    <row r="55" spans="1:7" x14ac:dyDescent="0.25">
      <c r="A55" s="19" t="s">
        <v>1226</v>
      </c>
      <c r="B55" s="19">
        <v>45839</v>
      </c>
      <c r="C55" s="19">
        <v>45869</v>
      </c>
      <c r="D55" s="19">
        <v>45783</v>
      </c>
      <c r="F55" t="s">
        <v>1355</v>
      </c>
      <c r="G55">
        <v>65</v>
      </c>
    </row>
    <row r="56" spans="1:7" x14ac:dyDescent="0.25">
      <c r="A56" s="19" t="s">
        <v>1227</v>
      </c>
      <c r="B56" s="19">
        <v>45870</v>
      </c>
      <c r="C56" s="19">
        <v>45900</v>
      </c>
      <c r="D56" s="19">
        <v>45783</v>
      </c>
      <c r="F56" t="s">
        <v>1356</v>
      </c>
      <c r="G56">
        <v>65</v>
      </c>
    </row>
    <row r="57" spans="1:7" x14ac:dyDescent="0.25">
      <c r="A57" s="19" t="s">
        <v>1228</v>
      </c>
      <c r="B57" s="19">
        <v>45901</v>
      </c>
      <c r="C57" s="19">
        <v>45930</v>
      </c>
      <c r="D57" s="19">
        <v>45783</v>
      </c>
      <c r="F57" t="s">
        <v>1357</v>
      </c>
      <c r="G57">
        <v>65</v>
      </c>
    </row>
    <row r="58" spans="1:7" x14ac:dyDescent="0.25">
      <c r="A58" s="19" t="s">
        <v>1229</v>
      </c>
      <c r="B58" s="19">
        <v>45931</v>
      </c>
      <c r="C58" s="19">
        <v>45961</v>
      </c>
      <c r="D58" s="19">
        <v>45783</v>
      </c>
      <c r="F58" t="s">
        <v>1358</v>
      </c>
      <c r="G58">
        <v>65</v>
      </c>
    </row>
    <row r="59" spans="1:7" x14ac:dyDescent="0.25">
      <c r="A59" s="19" t="s">
        <v>1230</v>
      </c>
      <c r="B59" s="19">
        <v>45962</v>
      </c>
      <c r="C59" s="19">
        <v>45991</v>
      </c>
      <c r="D59" s="19">
        <v>45783</v>
      </c>
      <c r="F59" t="s">
        <v>1359</v>
      </c>
      <c r="G59">
        <v>65</v>
      </c>
    </row>
    <row r="60" spans="1:7" x14ac:dyDescent="0.25">
      <c r="A60" s="19" t="s">
        <v>1231</v>
      </c>
      <c r="B60" s="19">
        <v>45762</v>
      </c>
      <c r="C60" s="19">
        <v>45777</v>
      </c>
      <c r="D60" s="19">
        <v>45762</v>
      </c>
      <c r="F60" t="s">
        <v>1360</v>
      </c>
      <c r="G60">
        <v>52</v>
      </c>
    </row>
    <row r="61" spans="1:7" x14ac:dyDescent="0.25">
      <c r="A61" s="19" t="s">
        <v>1232</v>
      </c>
      <c r="B61" s="19">
        <v>45778</v>
      </c>
      <c r="C61" s="19">
        <v>45808</v>
      </c>
      <c r="D61" s="19">
        <v>45762</v>
      </c>
      <c r="F61" t="s">
        <v>1361</v>
      </c>
      <c r="G61">
        <v>52</v>
      </c>
    </row>
    <row r="62" spans="1:7" x14ac:dyDescent="0.25">
      <c r="A62" s="19" t="s">
        <v>1233</v>
      </c>
      <c r="B62" s="19">
        <v>45809</v>
      </c>
      <c r="C62" s="19">
        <v>45838</v>
      </c>
      <c r="D62" s="19">
        <v>45762</v>
      </c>
      <c r="F62" t="s">
        <v>1362</v>
      </c>
      <c r="G62">
        <v>52</v>
      </c>
    </row>
    <row r="63" spans="1:7" x14ac:dyDescent="0.25">
      <c r="A63" s="19" t="s">
        <v>1234</v>
      </c>
      <c r="B63" s="19">
        <v>45839</v>
      </c>
      <c r="C63" s="19">
        <v>45869</v>
      </c>
      <c r="D63" s="19">
        <v>45762</v>
      </c>
      <c r="F63" t="s">
        <v>1363</v>
      </c>
      <c r="G63">
        <v>52</v>
      </c>
    </row>
    <row r="64" spans="1:7" x14ac:dyDescent="0.25">
      <c r="A64" s="19" t="s">
        <v>1235</v>
      </c>
      <c r="B64" s="19">
        <v>45761</v>
      </c>
      <c r="C64" s="19">
        <v>45777</v>
      </c>
      <c r="D64" s="19">
        <v>45761</v>
      </c>
      <c r="F64" t="s">
        <v>1364</v>
      </c>
      <c r="G64">
        <v>51</v>
      </c>
    </row>
    <row r="65" spans="1:7" x14ac:dyDescent="0.25">
      <c r="A65" s="19" t="s">
        <v>1236</v>
      </c>
      <c r="B65" s="19">
        <v>45870</v>
      </c>
      <c r="C65" s="19">
        <v>45930</v>
      </c>
      <c r="D65" s="19">
        <v>45761</v>
      </c>
      <c r="F65" t="s">
        <v>1365</v>
      </c>
      <c r="G65">
        <v>51</v>
      </c>
    </row>
    <row r="66" spans="1:7" x14ac:dyDescent="0.25">
      <c r="A66" s="19" t="s">
        <v>1237</v>
      </c>
      <c r="B66" s="19">
        <v>45931</v>
      </c>
      <c r="C66" s="19">
        <v>45961</v>
      </c>
      <c r="D66" s="19">
        <v>45761</v>
      </c>
      <c r="F66" t="s">
        <v>1366</v>
      </c>
      <c r="G66">
        <v>51</v>
      </c>
    </row>
    <row r="67" spans="1:7" x14ac:dyDescent="0.25">
      <c r="A67" s="19" t="s">
        <v>1238</v>
      </c>
      <c r="B67" s="19">
        <v>45962</v>
      </c>
      <c r="C67" s="19">
        <v>45991</v>
      </c>
      <c r="D67" s="19">
        <v>45761</v>
      </c>
      <c r="F67" t="s">
        <v>1367</v>
      </c>
      <c r="G67">
        <v>51</v>
      </c>
    </row>
    <row r="68" spans="1:7" x14ac:dyDescent="0.25">
      <c r="A68" s="19" t="s">
        <v>1239</v>
      </c>
      <c r="B68" s="19">
        <v>45809</v>
      </c>
      <c r="C68" s="19">
        <v>45838</v>
      </c>
      <c r="D68" s="19">
        <v>45758</v>
      </c>
      <c r="F68" t="s">
        <v>1368</v>
      </c>
      <c r="G68">
        <v>50</v>
      </c>
    </row>
    <row r="69" spans="1:7" x14ac:dyDescent="0.25">
      <c r="A69" s="19" t="s">
        <v>1240</v>
      </c>
      <c r="B69" s="19">
        <v>45839</v>
      </c>
      <c r="C69" s="19">
        <v>45869</v>
      </c>
      <c r="D69" s="19">
        <v>45758</v>
      </c>
      <c r="F69" t="s">
        <v>1369</v>
      </c>
      <c r="G69">
        <v>50</v>
      </c>
    </row>
    <row r="70" spans="1:7" x14ac:dyDescent="0.25">
      <c r="A70" s="19" t="s">
        <v>1241</v>
      </c>
      <c r="B70" s="19">
        <v>45870</v>
      </c>
      <c r="C70" s="19">
        <v>45900</v>
      </c>
      <c r="D70" s="19">
        <v>45758</v>
      </c>
      <c r="F70" t="s">
        <v>1370</v>
      </c>
      <c r="G70">
        <v>50</v>
      </c>
    </row>
    <row r="71" spans="1:7" x14ac:dyDescent="0.25">
      <c r="A71" s="19" t="s">
        <v>1242</v>
      </c>
      <c r="B71" s="19">
        <v>45901</v>
      </c>
      <c r="C71" s="19">
        <v>45930</v>
      </c>
      <c r="D71" s="19">
        <v>45758</v>
      </c>
      <c r="F71" t="s">
        <v>1371</v>
      </c>
      <c r="G71">
        <v>50</v>
      </c>
    </row>
    <row r="72" spans="1:7" x14ac:dyDescent="0.25">
      <c r="A72" s="19" t="s">
        <v>1243</v>
      </c>
      <c r="B72" s="19">
        <v>45931</v>
      </c>
      <c r="C72" s="19">
        <v>45961</v>
      </c>
      <c r="D72" s="19">
        <v>45758</v>
      </c>
      <c r="F72" t="s">
        <v>1372</v>
      </c>
      <c r="G72">
        <v>50</v>
      </c>
    </row>
    <row r="73" spans="1:7" x14ac:dyDescent="0.25">
      <c r="A73" s="19" t="s">
        <v>1244</v>
      </c>
      <c r="B73" s="19">
        <v>45962</v>
      </c>
      <c r="C73" s="19">
        <v>45991</v>
      </c>
      <c r="D73" s="19">
        <v>45758</v>
      </c>
      <c r="F73" t="s">
        <v>1373</v>
      </c>
      <c r="G73">
        <v>50</v>
      </c>
    </row>
    <row r="74" spans="1:7" x14ac:dyDescent="0.25">
      <c r="A74" s="19" t="s">
        <v>1245</v>
      </c>
      <c r="B74" s="19">
        <v>45778</v>
      </c>
      <c r="C74" s="19">
        <v>45808</v>
      </c>
      <c r="D74" s="19">
        <v>45748</v>
      </c>
      <c r="F74" t="s">
        <v>1374</v>
      </c>
      <c r="G74">
        <v>46</v>
      </c>
    </row>
    <row r="75" spans="1:7" x14ac:dyDescent="0.25">
      <c r="A75" s="19" t="s">
        <v>1246</v>
      </c>
      <c r="B75" s="19">
        <v>45809</v>
      </c>
      <c r="C75" s="19">
        <v>45838</v>
      </c>
      <c r="D75" s="19">
        <v>45748</v>
      </c>
      <c r="F75" t="s">
        <v>1375</v>
      </c>
      <c r="G75">
        <v>46</v>
      </c>
    </row>
    <row r="76" spans="1:7" x14ac:dyDescent="0.25">
      <c r="A76" s="19" t="s">
        <v>1247</v>
      </c>
      <c r="B76" s="19">
        <v>45839</v>
      </c>
      <c r="C76" s="19">
        <v>45869</v>
      </c>
      <c r="D76" s="19">
        <v>45748</v>
      </c>
      <c r="F76" t="s">
        <v>1376</v>
      </c>
      <c r="G76">
        <v>46</v>
      </c>
    </row>
    <row r="77" spans="1:7" x14ac:dyDescent="0.25">
      <c r="A77" s="19" t="s">
        <v>1248</v>
      </c>
      <c r="B77" s="19">
        <v>45870</v>
      </c>
      <c r="C77" s="19">
        <v>45900</v>
      </c>
      <c r="D77" s="19">
        <v>45748</v>
      </c>
      <c r="F77" t="s">
        <v>1377</v>
      </c>
      <c r="G77">
        <v>46</v>
      </c>
    </row>
    <row r="78" spans="1:7" x14ac:dyDescent="0.25">
      <c r="A78" s="19" t="s">
        <v>1249</v>
      </c>
      <c r="B78" s="19">
        <v>45901</v>
      </c>
      <c r="C78" s="19">
        <v>45930</v>
      </c>
      <c r="D78" s="19">
        <v>45748</v>
      </c>
      <c r="F78" t="s">
        <v>1378</v>
      </c>
      <c r="G78">
        <v>46</v>
      </c>
    </row>
    <row r="79" spans="1:7" x14ac:dyDescent="0.25">
      <c r="A79" s="19" t="s">
        <v>1250</v>
      </c>
      <c r="B79" s="19">
        <v>45931</v>
      </c>
      <c r="C79" s="19">
        <v>45961</v>
      </c>
      <c r="D79" s="19">
        <v>45748</v>
      </c>
      <c r="F79" t="s">
        <v>1379</v>
      </c>
      <c r="G79">
        <v>46</v>
      </c>
    </row>
    <row r="80" spans="1:7" x14ac:dyDescent="0.25">
      <c r="A80" s="19" t="s">
        <v>1251</v>
      </c>
      <c r="B80" s="19">
        <v>45962</v>
      </c>
      <c r="C80" s="19">
        <v>45991</v>
      </c>
      <c r="D80" s="19">
        <v>45748</v>
      </c>
      <c r="F80" t="s">
        <v>1380</v>
      </c>
      <c r="G80">
        <v>46</v>
      </c>
    </row>
    <row r="81" spans="1:7" x14ac:dyDescent="0.25">
      <c r="A81" s="19" t="s">
        <v>1252</v>
      </c>
      <c r="B81" s="19">
        <v>45809</v>
      </c>
      <c r="C81" s="19">
        <v>45838</v>
      </c>
      <c r="D81" s="19">
        <v>45536</v>
      </c>
      <c r="F81" t="s">
        <v>1381</v>
      </c>
      <c r="G81">
        <v>33</v>
      </c>
    </row>
    <row r="82" spans="1:7" x14ac:dyDescent="0.25">
      <c r="A82" s="19" t="s">
        <v>1253</v>
      </c>
      <c r="B82" s="19">
        <v>45839</v>
      </c>
      <c r="C82" s="19">
        <v>45869</v>
      </c>
      <c r="D82" s="19">
        <v>45536</v>
      </c>
      <c r="F82" t="s">
        <v>1382</v>
      </c>
      <c r="G82">
        <v>33</v>
      </c>
    </row>
    <row r="83" spans="1:7" x14ac:dyDescent="0.25">
      <c r="A83" s="19" t="s">
        <v>1254</v>
      </c>
      <c r="B83" s="19">
        <v>45870</v>
      </c>
      <c r="C83" s="19">
        <v>45900</v>
      </c>
      <c r="D83" s="19">
        <v>45536</v>
      </c>
      <c r="F83" t="s">
        <v>1383</v>
      </c>
      <c r="G83">
        <v>33</v>
      </c>
    </row>
    <row r="84" spans="1:7" x14ac:dyDescent="0.25">
      <c r="A84" s="19" t="s">
        <v>1255</v>
      </c>
      <c r="B84" s="19">
        <v>45901</v>
      </c>
      <c r="C84" s="19">
        <v>45930</v>
      </c>
      <c r="D84" s="19">
        <v>45536</v>
      </c>
      <c r="F84" t="s">
        <v>1384</v>
      </c>
      <c r="G84">
        <v>33</v>
      </c>
    </row>
    <row r="85" spans="1:7" x14ac:dyDescent="0.25">
      <c r="A85" s="19" t="s">
        <v>1256</v>
      </c>
      <c r="B85" s="19">
        <v>45962</v>
      </c>
      <c r="C85" s="19">
        <v>45991</v>
      </c>
      <c r="D85" s="19">
        <v>45536</v>
      </c>
      <c r="F85" t="s">
        <v>1385</v>
      </c>
      <c r="G85">
        <v>33</v>
      </c>
    </row>
    <row r="86" spans="1:7" x14ac:dyDescent="0.25">
      <c r="A86" s="19" t="s">
        <v>1257</v>
      </c>
      <c r="B86" s="19">
        <v>45962</v>
      </c>
      <c r="C86" s="19">
        <v>45991</v>
      </c>
      <c r="D86" s="19">
        <v>45536</v>
      </c>
      <c r="F86" t="s">
        <v>1386</v>
      </c>
      <c r="G86">
        <v>33</v>
      </c>
    </row>
    <row r="87" spans="1:7" x14ac:dyDescent="0.25">
      <c r="A87" s="19" t="s">
        <v>1258</v>
      </c>
      <c r="B87" s="19">
        <v>45658</v>
      </c>
      <c r="C87" s="19">
        <v>45688</v>
      </c>
      <c r="D87" s="19">
        <v>45536</v>
      </c>
      <c r="F87" t="s">
        <v>1387</v>
      </c>
      <c r="G87">
        <v>33</v>
      </c>
    </row>
    <row r="88" spans="1:7" x14ac:dyDescent="0.25">
      <c r="A88" s="19" t="s">
        <v>1259</v>
      </c>
      <c r="B88" s="19">
        <v>45689</v>
      </c>
      <c r="C88" s="19">
        <v>45716</v>
      </c>
      <c r="D88" s="19">
        <v>45536</v>
      </c>
      <c r="F88" t="s">
        <v>1388</v>
      </c>
      <c r="G88">
        <v>33</v>
      </c>
    </row>
    <row r="89" spans="1:7" x14ac:dyDescent="0.25">
      <c r="A89" s="19" t="s">
        <v>1260</v>
      </c>
      <c r="B89" s="19">
        <v>45717</v>
      </c>
      <c r="C89" s="19">
        <v>45747</v>
      </c>
      <c r="D89" s="19">
        <v>45536</v>
      </c>
      <c r="F89" t="s">
        <v>1389</v>
      </c>
      <c r="G89">
        <v>33</v>
      </c>
    </row>
    <row r="90" spans="1:7" x14ac:dyDescent="0.25">
      <c r="A90" s="19" t="s">
        <v>1261</v>
      </c>
      <c r="B90" s="19">
        <v>45748</v>
      </c>
      <c r="C90" s="19">
        <v>45777</v>
      </c>
      <c r="D90" s="19">
        <v>45536</v>
      </c>
      <c r="F90" t="s">
        <v>1390</v>
      </c>
      <c r="G90">
        <v>33</v>
      </c>
    </row>
    <row r="91" spans="1:7" x14ac:dyDescent="0.25">
      <c r="A91" s="19" t="s">
        <v>1262</v>
      </c>
      <c r="B91" s="19">
        <v>45778</v>
      </c>
      <c r="C91" s="19">
        <v>45808</v>
      </c>
      <c r="D91" s="19">
        <v>45536</v>
      </c>
      <c r="F91" t="s">
        <v>1391</v>
      </c>
      <c r="G91">
        <v>33</v>
      </c>
    </row>
    <row r="92" spans="1:7" x14ac:dyDescent="0.25">
      <c r="A92" s="19" t="s">
        <v>1263</v>
      </c>
      <c r="B92" s="19">
        <v>45693</v>
      </c>
      <c r="C92" s="19">
        <v>45716</v>
      </c>
      <c r="D92" s="19">
        <v>45693</v>
      </c>
      <c r="F92" t="s">
        <v>1392</v>
      </c>
      <c r="G92">
        <v>31</v>
      </c>
    </row>
    <row r="93" spans="1:7" x14ac:dyDescent="0.25">
      <c r="A93" s="19" t="s">
        <v>1264</v>
      </c>
      <c r="B93" s="19">
        <v>45962</v>
      </c>
      <c r="C93" s="19">
        <v>45991</v>
      </c>
      <c r="D93" s="19">
        <v>45693</v>
      </c>
      <c r="F93" t="s">
        <v>1393</v>
      </c>
      <c r="G93">
        <v>31</v>
      </c>
    </row>
    <row r="94" spans="1:7" x14ac:dyDescent="0.25">
      <c r="A94" s="19" t="s">
        <v>1265</v>
      </c>
      <c r="B94" s="19">
        <v>45717</v>
      </c>
      <c r="C94" s="19">
        <v>45747</v>
      </c>
      <c r="D94" s="19">
        <v>45693</v>
      </c>
      <c r="F94" t="s">
        <v>1394</v>
      </c>
      <c r="G94">
        <v>31</v>
      </c>
    </row>
    <row r="95" spans="1:7" x14ac:dyDescent="0.25">
      <c r="A95" s="19" t="s">
        <v>1266</v>
      </c>
      <c r="B95" s="19">
        <v>45748</v>
      </c>
      <c r="C95" s="19">
        <v>45777</v>
      </c>
      <c r="D95" s="19">
        <v>45693</v>
      </c>
      <c r="F95" t="s">
        <v>1395</v>
      </c>
      <c r="G95">
        <v>31</v>
      </c>
    </row>
    <row r="96" spans="1:7" x14ac:dyDescent="0.25">
      <c r="A96" s="19" t="s">
        <v>1267</v>
      </c>
      <c r="B96" s="19">
        <v>45778</v>
      </c>
      <c r="C96" s="19">
        <v>45808</v>
      </c>
      <c r="D96" s="19">
        <v>45693</v>
      </c>
      <c r="F96" t="s">
        <v>1396</v>
      </c>
      <c r="G96">
        <v>31</v>
      </c>
    </row>
    <row r="97" spans="1:7" x14ac:dyDescent="0.25">
      <c r="A97" s="19" t="s">
        <v>1268</v>
      </c>
      <c r="B97" s="19">
        <v>45809</v>
      </c>
      <c r="C97" s="19">
        <v>45838</v>
      </c>
      <c r="D97" s="19">
        <v>45693</v>
      </c>
      <c r="F97" t="s">
        <v>1397</v>
      </c>
      <c r="G97">
        <v>31</v>
      </c>
    </row>
    <row r="98" spans="1:7" x14ac:dyDescent="0.25">
      <c r="A98" s="19" t="s">
        <v>1269</v>
      </c>
      <c r="B98" s="19">
        <v>45839</v>
      </c>
      <c r="C98" s="19">
        <v>45869</v>
      </c>
      <c r="D98" s="19">
        <v>45693</v>
      </c>
      <c r="F98" t="s">
        <v>1398</v>
      </c>
      <c r="G98">
        <v>31</v>
      </c>
    </row>
    <row r="99" spans="1:7" x14ac:dyDescent="0.25">
      <c r="A99" s="19" t="s">
        <v>1270</v>
      </c>
      <c r="B99" s="19">
        <v>45870</v>
      </c>
      <c r="C99" s="19">
        <v>45900</v>
      </c>
      <c r="D99" s="19">
        <v>45693</v>
      </c>
      <c r="F99" t="s">
        <v>1399</v>
      </c>
      <c r="G99">
        <v>31</v>
      </c>
    </row>
    <row r="100" spans="1:7" x14ac:dyDescent="0.25">
      <c r="A100" s="19" t="s">
        <v>1271</v>
      </c>
      <c r="B100" s="19">
        <v>45901</v>
      </c>
      <c r="C100" s="19">
        <v>45930</v>
      </c>
      <c r="D100" s="19">
        <v>45693</v>
      </c>
      <c r="F100" t="s">
        <v>1400</v>
      </c>
      <c r="G100">
        <v>31</v>
      </c>
    </row>
    <row r="101" spans="1:7" x14ac:dyDescent="0.25">
      <c r="A101" s="19" t="s">
        <v>1272</v>
      </c>
      <c r="B101" s="19">
        <v>45658</v>
      </c>
      <c r="C101" s="19">
        <v>45688</v>
      </c>
      <c r="D101" s="19">
        <v>45679</v>
      </c>
      <c r="F101" t="s">
        <v>1401</v>
      </c>
      <c r="G101">
        <v>30</v>
      </c>
    </row>
    <row r="102" spans="1:7" x14ac:dyDescent="0.25">
      <c r="A102" s="19" t="s">
        <v>1273</v>
      </c>
      <c r="B102" s="19">
        <v>45931</v>
      </c>
      <c r="C102" s="19">
        <v>45961</v>
      </c>
      <c r="D102" s="19">
        <v>45679</v>
      </c>
      <c r="F102" t="s">
        <v>1402</v>
      </c>
      <c r="G102">
        <v>30</v>
      </c>
    </row>
    <row r="103" spans="1:7" x14ac:dyDescent="0.25">
      <c r="A103" s="19" t="s">
        <v>1274</v>
      </c>
      <c r="B103" s="19">
        <v>45962</v>
      </c>
      <c r="C103" s="19">
        <v>45991</v>
      </c>
      <c r="D103" s="19">
        <v>45679</v>
      </c>
      <c r="F103" t="s">
        <v>1403</v>
      </c>
      <c r="G103">
        <v>30</v>
      </c>
    </row>
    <row r="104" spans="1:7" x14ac:dyDescent="0.25">
      <c r="A104" s="19" t="s">
        <v>1275</v>
      </c>
      <c r="B104" s="19">
        <v>45689</v>
      </c>
      <c r="C104" s="19">
        <v>45716</v>
      </c>
      <c r="D104" s="19">
        <v>45679</v>
      </c>
      <c r="F104" t="s">
        <v>1404</v>
      </c>
      <c r="G104">
        <v>30</v>
      </c>
    </row>
    <row r="105" spans="1:7" x14ac:dyDescent="0.25">
      <c r="A105" s="19" t="s">
        <v>1276</v>
      </c>
      <c r="B105" s="19">
        <v>45717</v>
      </c>
      <c r="C105" s="19">
        <v>45747</v>
      </c>
      <c r="D105" s="19">
        <v>45679</v>
      </c>
      <c r="F105" t="s">
        <v>1405</v>
      </c>
      <c r="G105">
        <v>30</v>
      </c>
    </row>
    <row r="106" spans="1:7" x14ac:dyDescent="0.25">
      <c r="A106" s="19" t="s">
        <v>1277</v>
      </c>
      <c r="B106" s="19">
        <v>45748</v>
      </c>
      <c r="C106" s="19">
        <v>45777</v>
      </c>
      <c r="D106" s="19">
        <v>45679</v>
      </c>
      <c r="F106" t="s">
        <v>1406</v>
      </c>
      <c r="G106">
        <v>30</v>
      </c>
    </row>
    <row r="107" spans="1:7" x14ac:dyDescent="0.25">
      <c r="A107" s="19" t="s">
        <v>1278</v>
      </c>
      <c r="B107" s="19">
        <v>45778</v>
      </c>
      <c r="C107" s="19">
        <v>45808</v>
      </c>
      <c r="D107" s="19">
        <v>45679</v>
      </c>
      <c r="F107" t="s">
        <v>1407</v>
      </c>
      <c r="G107">
        <v>30</v>
      </c>
    </row>
    <row r="108" spans="1:7" x14ac:dyDescent="0.25">
      <c r="A108" s="19" t="s">
        <v>1279</v>
      </c>
      <c r="B108" s="19">
        <v>45809</v>
      </c>
      <c r="C108" s="19">
        <v>45838</v>
      </c>
      <c r="D108" s="19">
        <v>45679</v>
      </c>
      <c r="F108" t="s">
        <v>1408</v>
      </c>
      <c r="G108">
        <v>30</v>
      </c>
    </row>
    <row r="109" spans="1:7" x14ac:dyDescent="0.25">
      <c r="A109" s="19" t="s">
        <v>1280</v>
      </c>
      <c r="B109" s="19">
        <v>45839</v>
      </c>
      <c r="C109" s="19">
        <v>45869</v>
      </c>
      <c r="D109" s="19">
        <v>45679</v>
      </c>
      <c r="F109" t="s">
        <v>1409</v>
      </c>
      <c r="G109">
        <v>30</v>
      </c>
    </row>
    <row r="110" spans="1:7" x14ac:dyDescent="0.25">
      <c r="A110" s="19" t="s">
        <v>1281</v>
      </c>
      <c r="B110" s="19">
        <v>45870</v>
      </c>
      <c r="C110" s="19">
        <v>45900</v>
      </c>
      <c r="D110" s="19">
        <v>45679</v>
      </c>
      <c r="F110" t="s">
        <v>1410</v>
      </c>
      <c r="G110">
        <v>30</v>
      </c>
    </row>
    <row r="111" spans="1:7" x14ac:dyDescent="0.25">
      <c r="A111" s="19" t="s">
        <v>1282</v>
      </c>
      <c r="B111" s="19">
        <v>45901</v>
      </c>
      <c r="C111" s="19">
        <v>45930</v>
      </c>
      <c r="D111" s="19">
        <v>45679</v>
      </c>
      <c r="F111" t="s">
        <v>1411</v>
      </c>
      <c r="G111">
        <v>30</v>
      </c>
    </row>
    <row r="112" spans="1:7" x14ac:dyDescent="0.25">
      <c r="A112" s="19" t="s">
        <v>1283</v>
      </c>
      <c r="B112" s="19">
        <v>45652</v>
      </c>
      <c r="C112" s="19">
        <v>45688</v>
      </c>
      <c r="D112" s="19">
        <v>45652</v>
      </c>
      <c r="F112" t="s">
        <v>1412</v>
      </c>
      <c r="G112">
        <v>14</v>
      </c>
    </row>
    <row r="113" spans="1:7" x14ac:dyDescent="0.25">
      <c r="A113" s="19" t="s">
        <v>1284</v>
      </c>
      <c r="B113" s="19">
        <v>45689</v>
      </c>
      <c r="C113" s="19">
        <v>45716</v>
      </c>
      <c r="D113" s="19">
        <v>45652</v>
      </c>
      <c r="F113" t="s">
        <v>1413</v>
      </c>
      <c r="G113">
        <v>14</v>
      </c>
    </row>
    <row r="114" spans="1:7" x14ac:dyDescent="0.25">
      <c r="A114" s="19" t="s">
        <v>1285</v>
      </c>
      <c r="B114" s="19">
        <v>45717</v>
      </c>
      <c r="C114" s="19">
        <v>45747</v>
      </c>
      <c r="D114" s="19">
        <v>45652</v>
      </c>
      <c r="F114" t="s">
        <v>1414</v>
      </c>
      <c r="G114">
        <v>14</v>
      </c>
    </row>
    <row r="115" spans="1:7" x14ac:dyDescent="0.25">
      <c r="A115" s="19" t="s">
        <v>1286</v>
      </c>
      <c r="B115" s="19">
        <v>45748</v>
      </c>
      <c r="C115" s="19">
        <v>45777</v>
      </c>
      <c r="D115" s="19">
        <v>45652</v>
      </c>
      <c r="F115" t="s">
        <v>1415</v>
      </c>
      <c r="G115">
        <v>14</v>
      </c>
    </row>
    <row r="116" spans="1:7" x14ac:dyDescent="0.25">
      <c r="A116" s="19" t="s">
        <v>1287</v>
      </c>
      <c r="B116" s="19">
        <v>45870</v>
      </c>
      <c r="C116" s="19">
        <v>45900</v>
      </c>
      <c r="D116" s="19">
        <v>45652</v>
      </c>
      <c r="F116" t="s">
        <v>1416</v>
      </c>
      <c r="G116">
        <v>14</v>
      </c>
    </row>
    <row r="117" spans="1:7" x14ac:dyDescent="0.25">
      <c r="A117" s="19" t="s">
        <v>1288</v>
      </c>
      <c r="B117" s="19">
        <v>45901</v>
      </c>
      <c r="C117" s="19">
        <v>45930</v>
      </c>
      <c r="D117" s="19">
        <v>45652</v>
      </c>
      <c r="F117" t="s">
        <v>1417</v>
      </c>
      <c r="G117">
        <v>14</v>
      </c>
    </row>
    <row r="118" spans="1:7" x14ac:dyDescent="0.25">
      <c r="A118" s="19" t="s">
        <v>1289</v>
      </c>
      <c r="B118" s="19">
        <v>45931</v>
      </c>
      <c r="C118" s="19">
        <v>45961</v>
      </c>
      <c r="D118" s="19">
        <v>45652</v>
      </c>
      <c r="F118" t="s">
        <v>1418</v>
      </c>
      <c r="G118">
        <v>14</v>
      </c>
    </row>
    <row r="119" spans="1:7" x14ac:dyDescent="0.25">
      <c r="A119" s="19" t="s">
        <v>1290</v>
      </c>
      <c r="B119" s="19">
        <v>45962</v>
      </c>
      <c r="C119" s="19">
        <v>45991</v>
      </c>
      <c r="D119" s="19">
        <v>45652</v>
      </c>
      <c r="F119" t="s">
        <v>1419</v>
      </c>
      <c r="G119">
        <v>14</v>
      </c>
    </row>
    <row r="120" spans="1:7" x14ac:dyDescent="0.25">
      <c r="A120" s="19" t="s">
        <v>1291</v>
      </c>
      <c r="B120" s="19">
        <v>45646</v>
      </c>
      <c r="C120" s="19">
        <v>45322</v>
      </c>
      <c r="D120" s="19">
        <v>45646</v>
      </c>
      <c r="F120" t="s">
        <v>1420</v>
      </c>
      <c r="G120">
        <v>11</v>
      </c>
    </row>
    <row r="121" spans="1:7" x14ac:dyDescent="0.25">
      <c r="A121" s="19" t="s">
        <v>1292</v>
      </c>
      <c r="B121" s="19">
        <v>45931</v>
      </c>
      <c r="C121" s="19">
        <v>45961</v>
      </c>
      <c r="D121" s="19">
        <v>45646</v>
      </c>
      <c r="F121" t="s">
        <v>1421</v>
      </c>
      <c r="G121">
        <v>11</v>
      </c>
    </row>
    <row r="122" spans="1:7" x14ac:dyDescent="0.25">
      <c r="A122" s="19" t="s">
        <v>1293</v>
      </c>
      <c r="B122" s="19">
        <v>45962</v>
      </c>
      <c r="C122" s="19">
        <v>45991</v>
      </c>
      <c r="D122" s="19">
        <v>45646</v>
      </c>
      <c r="F122" t="s">
        <v>1422</v>
      </c>
      <c r="G122">
        <v>11</v>
      </c>
    </row>
    <row r="123" spans="1:7" x14ac:dyDescent="0.25">
      <c r="A123" s="19" t="s">
        <v>1294</v>
      </c>
      <c r="B123" s="19">
        <v>45689</v>
      </c>
      <c r="C123" s="19">
        <v>45716</v>
      </c>
      <c r="D123" s="19">
        <v>45646</v>
      </c>
      <c r="F123" t="s">
        <v>1423</v>
      </c>
      <c r="G123">
        <v>11</v>
      </c>
    </row>
    <row r="124" spans="1:7" x14ac:dyDescent="0.25">
      <c r="A124" s="19" t="s">
        <v>1295</v>
      </c>
      <c r="B124" s="19">
        <v>45717</v>
      </c>
      <c r="C124" s="19">
        <v>45747</v>
      </c>
      <c r="D124" s="19">
        <v>45646</v>
      </c>
      <c r="F124" t="s">
        <v>1424</v>
      </c>
      <c r="G124">
        <v>11</v>
      </c>
    </row>
    <row r="125" spans="1:7" x14ac:dyDescent="0.25">
      <c r="A125" s="19" t="s">
        <v>1296</v>
      </c>
      <c r="B125" s="19">
        <v>45748</v>
      </c>
      <c r="C125" s="19">
        <v>45777</v>
      </c>
      <c r="D125" s="19">
        <v>45646</v>
      </c>
      <c r="F125" t="s">
        <v>1425</v>
      </c>
      <c r="G125">
        <v>11</v>
      </c>
    </row>
    <row r="126" spans="1:7" x14ac:dyDescent="0.25">
      <c r="A126" s="19" t="s">
        <v>1297</v>
      </c>
      <c r="B126" s="19">
        <v>45778</v>
      </c>
      <c r="C126" s="19">
        <v>45808</v>
      </c>
      <c r="D126" s="19">
        <v>45646</v>
      </c>
      <c r="F126" t="s">
        <v>1426</v>
      </c>
      <c r="G126">
        <v>11</v>
      </c>
    </row>
    <row r="127" spans="1:7" x14ac:dyDescent="0.25">
      <c r="A127" s="19" t="s">
        <v>1298</v>
      </c>
      <c r="B127" s="19">
        <v>45809</v>
      </c>
      <c r="C127" s="19">
        <v>45838</v>
      </c>
      <c r="D127" s="19">
        <v>45646</v>
      </c>
      <c r="F127" t="s">
        <v>1427</v>
      </c>
      <c r="G127">
        <v>11</v>
      </c>
    </row>
    <row r="128" spans="1:7" x14ac:dyDescent="0.25">
      <c r="A128" s="19" t="s">
        <v>1299</v>
      </c>
      <c r="B128" s="19">
        <v>45839</v>
      </c>
      <c r="C128" s="19">
        <v>45869</v>
      </c>
      <c r="D128" s="19">
        <v>45646</v>
      </c>
      <c r="F128" t="s">
        <v>1428</v>
      </c>
      <c r="G128">
        <v>11</v>
      </c>
    </row>
    <row r="129" spans="1:7" x14ac:dyDescent="0.25">
      <c r="A129" s="19" t="s">
        <v>1300</v>
      </c>
      <c r="B129" s="19">
        <v>45870</v>
      </c>
      <c r="C129" s="19">
        <v>45900</v>
      </c>
      <c r="D129" s="19">
        <v>45646</v>
      </c>
      <c r="F129" t="s">
        <v>1429</v>
      </c>
      <c r="G129">
        <v>11</v>
      </c>
    </row>
    <row r="130" spans="1:7" x14ac:dyDescent="0.25">
      <c r="A130" s="19" t="s">
        <v>1301</v>
      </c>
      <c r="B130" s="19">
        <v>45901</v>
      </c>
      <c r="C130" s="19">
        <v>45930</v>
      </c>
      <c r="D130" s="19">
        <v>45646</v>
      </c>
      <c r="F130" t="s">
        <v>1430</v>
      </c>
      <c r="G130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EBA79-6862-456D-8AB4-1782D1D891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view__cover</vt:lpstr>
      <vt:lpstr>view_calc</vt:lpstr>
      <vt:lpstr>view_daily_records</vt:lpstr>
      <vt:lpstr>view_monthly_records</vt:lpstr>
      <vt:lpstr>view_fuel</vt:lpstr>
      <vt:lpstr>log_monthly_records</vt:lpstr>
      <vt:lpstr>log_daily_records</vt:lpstr>
      <vt:lpstr>log_ipcs</vt:lpstr>
      <vt:lpstr>log_contracts</vt:lpstr>
      <vt:lpstr>log_addendums</vt:lpstr>
      <vt:lpstr>log_prices</vt:lpstr>
      <vt:lpstr>log_fuel_provision</vt:lpstr>
      <vt:lpstr>daily_quantities</vt:lpstr>
      <vt:lpstr>quantities</vt:lpstr>
      <vt:lpstr>log_positions</vt:lpstr>
      <vt:lpstr>old_ipc_dates</vt:lpstr>
      <vt:lpstr>contract_no</vt:lpstr>
      <vt:lpstr>ipc_date_end</vt:lpstr>
      <vt:lpstr>ipc_date_start</vt:lpstr>
      <vt:lpstr>ipc_no</vt:lpstr>
      <vt:lpstr>view__cover!Print_Area</vt:lpstr>
      <vt:lpstr>view_calc!Print_Area</vt:lpstr>
      <vt:lpstr>view_daily_records!Print_Area</vt:lpstr>
      <vt:lpstr>view_fuel!Print_Area</vt:lpstr>
      <vt:lpstr>view_monthly_records!Print_Area</vt:lpstr>
      <vt:lpstr>view_monthly_records!Print_Titles</vt:lpstr>
    </vt:vector>
  </TitlesOfParts>
  <Company>SilentAll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Kolin</dc:creator>
  <cp:lastModifiedBy>Elvin Bashirli</cp:lastModifiedBy>
  <cp:lastPrinted>2026-04-09T10:36:59Z</cp:lastPrinted>
  <dcterms:created xsi:type="dcterms:W3CDTF">2015-08-04T07:15:27Z</dcterms:created>
  <dcterms:modified xsi:type="dcterms:W3CDTF">2026-04-14T13:05:11Z</dcterms:modified>
</cp:coreProperties>
</file>