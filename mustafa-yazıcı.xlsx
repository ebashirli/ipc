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f35a67bc0854e0/Desktop/ipc/"/>
    </mc:Choice>
  </mc:AlternateContent>
  <xr:revisionPtr revIDLastSave="18" documentId="8_{6F966AF6-F8A9-454C-AE31-BE8E85D0D6A5}" xr6:coauthVersionLast="47" xr6:coauthVersionMax="47" xr10:uidLastSave="{56254944-A858-44EE-9A8A-AB786397D9BF}"/>
  <bookViews>
    <workbookView xWindow="-120" yWindow="-120" windowWidth="29040" windowHeight="15720" activeTab="1" xr2:uid="{731397FC-E56A-45A3-8852-311B56A51AAE}"/>
  </bookViews>
  <sheets>
    <sheet name="Sheet1" sheetId="1" r:id="rId1"/>
    <sheet name="vehicle-record" sheetId="2" r:id="rId2"/>
  </sheets>
  <externalReferences>
    <externalReference r:id="rId3"/>
    <externalReference r:id="rId4"/>
  </externalReferences>
  <definedNames>
    <definedName name="__123Graph_A" hidden="1">[1]DOKUM!$B$4:$B$4</definedName>
    <definedName name="__123Graph_B" hidden="1">[1]DOKUM!$B$5:$B$5</definedName>
    <definedName name="__123Graph_C" hidden="1">[1]DOKUM!$B$6:$B$6</definedName>
    <definedName name="__123Graph_D" hidden="1">[1]DOKUM!$B$7:$B$7</definedName>
    <definedName name="__123Graph_E" hidden="1">[1]DOKUM!$B$8:$B$8</definedName>
    <definedName name="__123Graph_X" hidden="1">[1]DOKUM!$A$4:$A$8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Order1" hidden="1">255</definedName>
    <definedName name="_Sort" localSheetId="1" hidden="1">#REF!</definedName>
    <definedName name="_Sort" hidden="1">#REF!</definedName>
    <definedName name="Contractor_Detail">"`"</definedName>
    <definedName name="dsd" hidden="1">#REF!</definedName>
    <definedName name="p" localSheetId="1" hidden="1">#REF!</definedName>
    <definedName name="p" hidden="1">#REF!</definedName>
    <definedName name="_xlnm.Print_Area" localSheetId="1">'vehicle-record'!$A$1:$J$44</definedName>
    <definedName name="subc_contr_folder_path">[2]config!$B$1</definedName>
    <definedName name="vv" localSheetId="1" hidden="1">{#N/A,#N/A,FALSE,"kap1";#N/A,#N/A,FALSE,"kap2";#N/A,#N/A,FALSE,"tem_mektubu";#N/A,#N/A,FALSE,"avans";#N/A,#N/A,FALSE,"söz_fiy_fark";#N/A,#N/A,FALSE,"fat_ihz"}</definedName>
    <definedName name="vv" hidden="1">{#N/A,#N/A,FALSE,"kap1";#N/A,#N/A,FALSE,"kap2";#N/A,#N/A,FALSE,"tem_mektubu";#N/A,#N/A,FALSE,"avans";#N/A,#N/A,FALSE,"söz_fiy_fark";#N/A,#N/A,FALSE,"fat_ihz"}</definedName>
    <definedName name="w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IMAL." localSheetId="1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DEMIR.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ekinci._.ihzarat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GENEL." localSheetId="1" hidden="1">{#N/A,#N/A,FALSE,"kap1";#N/A,#N/A,FALSE,"kap2";#N/A,#N/A,FALSE,"tem_mektubu";#N/A,#N/A,FALSE,"avans";#N/A,#N/A,FALSE,"söz_fiy_fark";#N/A,#N/A,FALSE,"fat_ihz"}</definedName>
    <definedName name="wrn.GENEL." hidden="1">{#N/A,#N/A,FALSE,"kap1";#N/A,#N/A,FALSE,"kap2";#N/A,#N/A,FALSE,"tem_mektubu";#N/A,#N/A,FALSE,"avans";#N/A,#N/A,FALSE,"söz_fiy_fark";#N/A,#N/A,FALSE,"fat_ihz"}</definedName>
    <definedName name="wrn.ILAVE._.BETON." localSheetId="1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localSheetId="1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S." localSheetId="1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stinat." localSheetId="1" hidden="1">{#N/A,#N/A,FALSE,"NF_S1";#N/A,#N/A,FALSE,"İ_100M";#N/A,#N/A,FALSE,"İ_150M";#N/A,#N/A,FALSE,"İ_200M"}</definedName>
    <definedName name="wrn.istinat." hidden="1">{#N/A,#N/A,FALSE,"NF_S1";#N/A,#N/A,FALSE,"İ_100M";#N/A,#N/A,FALSE,"İ_150M";#N/A,#N/A,FALSE,"İ_200M"}</definedName>
    <definedName name="wrn.KAL._.BÜR." localSheetId="1" hidden="1">{#N/A,#N/A,FALSE,"3";#N/A,#N/A,FALSE,"kal_iç_ihz";#N/A,#N/A,FALSE,"kal_iç_er";#N/A,#N/A,FALSE,"kal_iç_tut";#N/A,#N/A,FALSE,"5";#N/A,#N/A,FALSE,"brü_ihz";#N/A,#N/A,FALSE,"brü_er";#N/A,#N/A,FALSE,"brü_tut"}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MKESIF." localSheetId="1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ukayese." localSheetId="1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nakliye." localSheetId="1" hidden="1">{#N/A,#N/A,FALSE,"NAKLİYE_MESAFE";#N/A,#N/A,FALSE,"NF_01";#N/A,#N/A,FALSE,"NF_02";#N/A,#N/A,FALSE,"NF_03";#N/A,#N/A,FALSE,"NF_04";#N/A,#N/A,FALSE,"NF_05";#N/A,#N/A,FALSE,"NF_06"}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SIHHI." localSheetId="1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xxxx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xxxx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H39" i="2"/>
  <c r="G39" i="2"/>
  <c r="E39" i="2"/>
  <c r="C39" i="2"/>
  <c r="A9" i="2"/>
  <c r="A10" i="2" s="1"/>
  <c r="A11" i="2" l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</calcChain>
</file>

<file path=xl/sharedStrings.xml><?xml version="1.0" encoding="utf-8"?>
<sst xmlns="http://schemas.openxmlformats.org/spreadsheetml/2006/main" count="105" uniqueCount="74">
  <si>
    <t>Contract no</t>
  </si>
  <si>
    <t>Title</t>
  </si>
  <si>
    <t>Phone number</t>
  </si>
  <si>
    <t>Employee</t>
  </si>
  <si>
    <t>Plate no</t>
  </si>
  <si>
    <t>Type</t>
  </si>
  <si>
    <t>Brand/Model</t>
  </si>
  <si>
    <t>NAR TRANSPORT SERVICES MMC</t>
  </si>
  <si>
    <t/>
  </si>
  <si>
    <t>EB</t>
  </si>
  <si>
    <t>90GG153</t>
  </si>
  <si>
    <t>INTERMAK GROUP MMC</t>
  </si>
  <si>
    <t>+994102305309</t>
  </si>
  <si>
    <t>10AD071</t>
  </si>
  <si>
    <t xml:space="preserve">Telehandler </t>
  </si>
  <si>
    <t xml:space="preserve">Manito 1740 </t>
  </si>
  <si>
    <t>XE120W</t>
  </si>
  <si>
    <t>Qayçılı səbət</t>
  </si>
  <si>
    <t xml:space="preserve">Mantall </t>
  </si>
  <si>
    <t>XE160W</t>
  </si>
  <si>
    <t>CEPT1212</t>
  </si>
  <si>
    <t>HACIAGA KERIMOV</t>
  </si>
  <si>
    <t>+994503466032</t>
  </si>
  <si>
    <t>50BD416</t>
  </si>
  <si>
    <t>TEYMUR ABBASOV</t>
  </si>
  <si>
    <t>+994503851015</t>
  </si>
  <si>
    <t>11BC843</t>
  </si>
  <si>
    <t>Oqtay</t>
  </si>
  <si>
    <t>+994772954541</t>
  </si>
  <si>
    <t>77VS178</t>
  </si>
  <si>
    <t>Crane</t>
  </si>
  <si>
    <t>77MD834</t>
  </si>
  <si>
    <t>#</t>
  </si>
  <si>
    <t>Ramil Səfərov</t>
  </si>
  <si>
    <t>DY</t>
  </si>
  <si>
    <t>99XQ714</t>
  </si>
  <si>
    <t>Caspian</t>
  </si>
  <si>
    <t>50T610</t>
  </si>
  <si>
    <t>50T742</t>
  </si>
  <si>
    <t>Osman Bedir</t>
  </si>
  <si>
    <t>99LZ181</t>
  </si>
  <si>
    <t>Nar Kran</t>
  </si>
  <si>
    <t>99DX853</t>
  </si>
  <si>
    <t>Vinç (70T-luk)</t>
  </si>
  <si>
    <t>22BA318</t>
  </si>
  <si>
    <t>Forklift</t>
  </si>
  <si>
    <t>Sepet</t>
  </si>
  <si>
    <t>77RM146</t>
  </si>
  <si>
    <t>ADI</t>
  </si>
  <si>
    <t>Araç Sahibi</t>
  </si>
  <si>
    <t>Uygulama AYI</t>
  </si>
  <si>
    <t>Plakası</t>
  </si>
  <si>
    <t>Kontrat no</t>
  </si>
  <si>
    <t>Markası/Modeli</t>
  </si>
  <si>
    <t>IPC №</t>
  </si>
  <si>
    <t>Növbə</t>
  </si>
  <si>
    <t>Tel</t>
  </si>
  <si>
    <t>Gün</t>
  </si>
  <si>
    <t>Km Başı</t>
  </si>
  <si>
    <t>Km Sonu</t>
  </si>
  <si>
    <t>Sarf km</t>
  </si>
  <si>
    <t>Baş. Saati</t>
  </si>
  <si>
    <t>Bitiş Saati</t>
  </si>
  <si>
    <t>ƏLAVƏ
İŞ / SAAT</t>
  </si>
  <si>
    <t xml:space="preserve">Yakıt </t>
  </si>
  <si>
    <t>İmza</t>
  </si>
  <si>
    <t>Notlar</t>
  </si>
  <si>
    <t>CƏMİ TƏK:</t>
  </si>
  <si>
    <t>CƏMİ CÜT:</t>
  </si>
  <si>
    <t>CƏM SAAT:</t>
  </si>
  <si>
    <t>TƏRƏFLƏR</t>
  </si>
  <si>
    <t>VƏZİFƏ</t>
  </si>
  <si>
    <t>İMZA</t>
  </si>
  <si>
    <t>Kolin İnşaat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</si>
</sst>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2C]\ mmmm\ yyyy;@"/>
    <numFmt numFmtId="165" formatCode="000\ \K\m"/>
    <numFmt numFmtId="166" formatCode="0.0\ &quot;sa&quot;"/>
    <numFmt numFmtId="167" formatCode="#,##0.00\ &quot;lt&quot;"/>
    <numFmt numFmtId="168" formatCode="#,##0;[Red]#,##0"/>
    <numFmt numFmtId="169" formatCode="#,##0.0"/>
    <numFmt numFmtId="170" formatCode="#,##0.00\ &quot;gün&quot;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Aptos Narrow"/>
      <family val="2"/>
      <charset val="162"/>
      <scheme val="minor"/>
    </font>
    <font>
      <sz val="10"/>
      <name val="Arial Tur"/>
      <charset val="162"/>
    </font>
    <font>
      <b/>
      <sz val="16"/>
      <name val="Arial"/>
      <family val="2"/>
      <charset val="204"/>
    </font>
    <font>
      <sz val="16"/>
      <name val="Aptos Narrow"/>
      <family val="2"/>
      <scheme val="minor"/>
    </font>
    <font>
      <sz val="10"/>
      <name val="AvantGarde Md BT"/>
      <family val="2"/>
    </font>
    <font>
      <b/>
      <sz val="16"/>
      <name val="Aptos Narrow"/>
      <family val="2"/>
      <scheme val="minor"/>
    </font>
    <font>
      <sz val="16"/>
      <name val="Calibri"/>
      <family val="2"/>
      <charset val="162"/>
    </font>
    <font>
      <b/>
      <sz val="16"/>
      <name val="Calibri"/>
      <family val="2"/>
      <charset val="204"/>
    </font>
    <font>
      <b/>
      <sz val="16"/>
      <name val="Calibri"/>
      <family val="2"/>
    </font>
    <font>
      <b/>
      <sz val="16"/>
      <name val="Aptos Narrow"/>
      <family val="2"/>
      <charset val="204"/>
      <scheme val="minor"/>
    </font>
    <font>
      <b/>
      <sz val="16"/>
      <name val="Arial"/>
      <family val="2"/>
      <charset val="162"/>
    </font>
    <font>
      <sz val="10"/>
      <name val="Arial"/>
      <family val="2"/>
    </font>
    <font>
      <b/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7" fillId="0" borderId="0"/>
    <xf numFmtId="0" fontId="10" fillId="0" borderId="0"/>
    <xf numFmtId="43" fontId="17" fillId="0" borderId="0" applyFont="0" applyFill="0" applyBorder="0" applyAlignment="0" applyProtection="0"/>
  </cellStyleXfs>
  <cellXfs count="6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2" borderId="0" xfId="1" applyFont="1" applyFill="1" applyAlignment="1">
      <alignment vertical="center" wrapText="1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 wrapText="1"/>
    </xf>
    <xf numFmtId="0" fontId="4" fillId="2" borderId="5" xfId="1" applyFont="1" applyFill="1" applyBorder="1" applyAlignment="1">
      <alignment horizontal="left" vertical="center" wrapText="1"/>
    </xf>
    <xf numFmtId="0" fontId="4" fillId="2" borderId="6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6" fillId="0" borderId="5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8" fillId="3" borderId="7" xfId="3" applyFont="1" applyFill="1" applyBorder="1" applyAlignment="1">
      <alignment horizontal="center" vertical="center" wrapText="1"/>
    </xf>
    <xf numFmtId="0" fontId="8" fillId="3" borderId="8" xfId="3" applyFont="1" applyFill="1" applyBorder="1" applyAlignment="1">
      <alignment horizontal="center" vertical="center" wrapText="1"/>
    </xf>
    <xf numFmtId="0" fontId="8" fillId="3" borderId="9" xfId="3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/>
    </xf>
    <xf numFmtId="1" fontId="11" fillId="0" borderId="1" xfId="4" applyNumberFormat="1" applyFont="1" applyBorder="1" applyAlignment="1">
      <alignment horizontal="center" vertical="center"/>
    </xf>
    <xf numFmtId="165" fontId="9" fillId="0" borderId="1" xfId="4" applyNumberFormat="1" applyFont="1" applyBorder="1" applyAlignment="1">
      <alignment horizontal="center" vertical="center"/>
    </xf>
    <xf numFmtId="20" fontId="9" fillId="0" borderId="12" xfId="4" applyNumberFormat="1" applyFont="1" applyBorder="1" applyAlignment="1">
      <alignment horizontal="center" vertical="center"/>
    </xf>
    <xf numFmtId="166" fontId="9" fillId="0" borderId="1" xfId="4" applyNumberFormat="1" applyFont="1" applyBorder="1" applyAlignment="1">
      <alignment horizontal="center" vertical="center"/>
    </xf>
    <xf numFmtId="167" fontId="9" fillId="0" borderId="12" xfId="4" applyNumberFormat="1" applyFont="1" applyBorder="1" applyAlignment="1">
      <alignment horizontal="center" vertical="center"/>
    </xf>
    <xf numFmtId="0" fontId="9" fillId="0" borderId="13" xfId="4" applyFont="1" applyBorder="1" applyAlignment="1">
      <alignment horizontal="center" vertical="center"/>
    </xf>
    <xf numFmtId="168" fontId="9" fillId="0" borderId="14" xfId="4" applyNumberFormat="1" applyFont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3" fontId="9" fillId="0" borderId="15" xfId="4" applyNumberFormat="1" applyFont="1" applyBorder="1" applyAlignment="1">
      <alignment horizontal="center" vertical="center"/>
    </xf>
    <xf numFmtId="0" fontId="9" fillId="0" borderId="12" xfId="4" applyFont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169" fontId="9" fillId="0" borderId="15" xfId="4" applyNumberFormat="1" applyFont="1" applyBorder="1" applyAlignment="1">
      <alignment horizontal="center" vertical="center"/>
    </xf>
    <xf numFmtId="3" fontId="9" fillId="0" borderId="15" xfId="4" applyNumberFormat="1" applyFont="1" applyBorder="1" applyAlignment="1">
      <alignment horizontal="center" vertical="center" wrapText="1"/>
    </xf>
    <xf numFmtId="1" fontId="11" fillId="0" borderId="16" xfId="4" applyNumberFormat="1" applyFont="1" applyBorder="1" applyAlignment="1">
      <alignment horizontal="center" vertical="center"/>
    </xf>
    <xf numFmtId="20" fontId="9" fillId="0" borderId="17" xfId="4" applyNumberFormat="1" applyFont="1" applyBorder="1" applyAlignment="1">
      <alignment horizontal="center" vertical="center"/>
    </xf>
    <xf numFmtId="166" fontId="9" fillId="0" borderId="16" xfId="4" applyNumberFormat="1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170" fontId="12" fillId="0" borderId="3" xfId="3" applyNumberFormat="1" applyFont="1" applyBorder="1" applyAlignment="1">
      <alignment horizontal="center" vertical="center"/>
    </xf>
    <xf numFmtId="4" fontId="14" fillId="0" borderId="3" xfId="4" applyNumberFormat="1" applyFont="1" applyBorder="1" applyAlignment="1">
      <alignment horizontal="right" vertical="center"/>
    </xf>
    <xf numFmtId="166" fontId="12" fillId="0" borderId="3" xfId="4" applyNumberFormat="1" applyFont="1" applyBorder="1" applyAlignment="1">
      <alignment horizontal="center" vertical="center"/>
    </xf>
    <xf numFmtId="167" fontId="15" fillId="0" borderId="18" xfId="4" applyNumberFormat="1" applyFont="1" applyBorder="1" applyAlignment="1">
      <alignment horizontal="center" vertical="center"/>
    </xf>
    <xf numFmtId="4" fontId="12" fillId="0" borderId="18" xfId="4" applyNumberFormat="1" applyFont="1" applyBorder="1" applyAlignment="1">
      <alignment horizontal="center" vertical="center"/>
    </xf>
    <xf numFmtId="4" fontId="12" fillId="0" borderId="18" xfId="4" applyNumberFormat="1" applyFont="1" applyBorder="1" applyAlignment="1">
      <alignment vertical="center"/>
    </xf>
    <xf numFmtId="0" fontId="16" fillId="0" borderId="19" xfId="1" applyFont="1" applyBorder="1" applyAlignment="1">
      <alignment vertical="center"/>
    </xf>
    <xf numFmtId="0" fontId="16" fillId="0" borderId="20" xfId="1" applyFont="1" applyBorder="1" applyAlignment="1">
      <alignment vertical="center"/>
    </xf>
    <xf numFmtId="0" fontId="16" fillId="0" borderId="19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43" fontId="16" fillId="0" borderId="19" xfId="5" applyFont="1" applyBorder="1" applyAlignment="1">
      <alignment horizontal="center" vertical="center"/>
    </xf>
    <xf numFmtId="43" fontId="16" fillId="0" borderId="20" xfId="5" applyFont="1" applyBorder="1" applyAlignment="1">
      <alignment horizontal="center" vertical="center"/>
    </xf>
    <xf numFmtId="43" fontId="16" fillId="0" borderId="21" xfId="5" applyFont="1" applyBorder="1" applyAlignment="1">
      <alignment horizontal="center" vertical="center"/>
    </xf>
    <xf numFmtId="43" fontId="16" fillId="0" borderId="21" xfId="5" applyFont="1" applyBorder="1" applyAlignment="1">
      <alignment horizontal="center" vertical="center"/>
    </xf>
    <xf numFmtId="0" fontId="16" fillId="0" borderId="19" xfId="1" applyFont="1" applyBorder="1" applyAlignment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43" fontId="16" fillId="0" borderId="21" xfId="5" applyFont="1" applyBorder="1" applyAlignment="1">
      <alignment vertical="center"/>
    </xf>
    <xf numFmtId="2" fontId="16" fillId="0" borderId="2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</cellXfs>
  <cellStyles count="6">
    <cellStyle name="Normal" xfId="0" builtinId="0"/>
    <cellStyle name="Normal 2 3" xfId="3" xr:uid="{1CF1F823-F20B-4B5E-B340-D11B055CD61C}"/>
    <cellStyle name="Normal 3" xfId="2" xr:uid="{3A594873-ADBA-4AED-8ABA-49AACD6E4896}"/>
    <cellStyle name="Normal_Kitap1_1" xfId="4" xr:uid="{F9A8236E-51DC-4501-82DC-7C1A2B912891}"/>
    <cellStyle name="Normal_METRAJ SAYFALARI    (BOŞ)" xfId="1" xr:uid="{AE19AC5B-8CE3-4842-A958-B49E6C72D81F}"/>
    <cellStyle name="Virgül 2 2" xfId="5" xr:uid="{9527E5AB-A75F-4A58-9311-36A4041B8E25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136647</xdr:colOff>
      <xdr:row>0</xdr:row>
      <xdr:rowOff>64500</xdr:rowOff>
    </xdr:from>
    <xdr:to>
      <xdr:col>1</xdr:col>
      <xdr:colOff>347465</xdr:colOff>
      <xdr:row>1</xdr:row>
      <xdr:rowOff>350470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313D620-00EC-4EA5-8856-7236255F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647" y="64500"/>
          <a:ext cx="1487168" cy="60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FEORTAK\2003=100%20ufe\2003=100UFEHESA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f35a67bc0854e0/Desktop/ipc/eb-subc-follow.xlsx" TargetMode="External"/><Relationship Id="rId1" Type="http://schemas.openxmlformats.org/officeDocument/2006/relationships/externalLinkPath" Target="eb-subc-fol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FEhesap"/>
      <sheetName val="zincir"/>
      <sheetName val="DOKUMyan"/>
      <sheetName val="DOKUM"/>
      <sheetName val="agranaliz (aylik)"/>
      <sheetName val="agranaliz (yıllık)"/>
      <sheetName val="18_1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vehicle-record"/>
      <sheetName val="notes"/>
      <sheetName val="ipc_files"/>
      <sheetName val="config"/>
    </sheetNames>
    <sheetDataSet>
      <sheetData sheetId="0"/>
      <sheetData sheetId="1"/>
      <sheetData sheetId="2"/>
      <sheetData sheetId="3"/>
      <sheetData sheetId="4">
        <row r="1">
          <cell r="B1" t="str">
            <v>\\DATA\DataServer\Teknik Ofis\00_SPP2 Taseron Sozlesmeleri\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2EFC-3DE4-4177-BF16-13300E7A4BEF}">
  <dimension ref="A1:H21"/>
  <sheetViews>
    <sheetView view="pageBreakPreview" zoomScale="60" zoomScaleNormal="100" workbookViewId="0">
      <selection activeCell="C16" sqref="C16"/>
    </sheetView>
  </sheetViews>
  <sheetFormatPr defaultRowHeight="15"/>
  <cols>
    <col min="2" max="2" width="11.140625" bestFit="1" customWidth="1"/>
    <col min="3" max="3" width="29.28515625" bestFit="1" customWidth="1"/>
    <col min="4" max="4" width="14.140625" bestFit="1" customWidth="1"/>
    <col min="5" max="5" width="9.42578125" bestFit="1" customWidth="1"/>
    <col min="6" max="6" width="9.28515625" bestFit="1" customWidth="1"/>
    <col min="7" max="7" width="13.28515625" bestFit="1" customWidth="1"/>
    <col min="8" max="8" width="18" bestFit="1" customWidth="1"/>
  </cols>
  <sheetData>
    <row r="1" spans="1:8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1</v>
      </c>
      <c r="B2" s="2">
        <v>31</v>
      </c>
      <c r="C2" s="2" t="s">
        <v>7</v>
      </c>
      <c r="D2" s="2" t="s">
        <v>8</v>
      </c>
      <c r="E2" s="2" t="s">
        <v>9</v>
      </c>
      <c r="F2" s="2" t="s">
        <v>10</v>
      </c>
      <c r="G2" s="2"/>
      <c r="H2" s="2"/>
    </row>
    <row r="3" spans="1:8">
      <c r="A3" s="2">
        <v>2</v>
      </c>
      <c r="B3" s="2">
        <v>51</v>
      </c>
      <c r="C3" s="2" t="s">
        <v>11</v>
      </c>
      <c r="D3" s="2" t="s">
        <v>12</v>
      </c>
      <c r="E3" s="2" t="s">
        <v>9</v>
      </c>
      <c r="F3" s="2" t="s">
        <v>13</v>
      </c>
      <c r="G3" s="2" t="s">
        <v>14</v>
      </c>
      <c r="H3" s="2" t="s">
        <v>15</v>
      </c>
    </row>
    <row r="4" spans="1:8">
      <c r="A4" s="2">
        <v>3</v>
      </c>
      <c r="B4" s="2">
        <v>51</v>
      </c>
      <c r="C4" s="2" t="s">
        <v>11</v>
      </c>
      <c r="D4" s="2" t="s">
        <v>12</v>
      </c>
      <c r="E4" s="2" t="s">
        <v>9</v>
      </c>
      <c r="F4" s="2" t="s">
        <v>16</v>
      </c>
      <c r="G4" s="2" t="s">
        <v>17</v>
      </c>
      <c r="H4" s="2" t="s">
        <v>18</v>
      </c>
    </row>
    <row r="5" spans="1:8">
      <c r="A5" s="2">
        <v>4</v>
      </c>
      <c r="B5" s="2">
        <v>51</v>
      </c>
      <c r="C5" s="2" t="s">
        <v>11</v>
      </c>
      <c r="D5" s="2" t="s">
        <v>12</v>
      </c>
      <c r="E5" s="2" t="s">
        <v>9</v>
      </c>
      <c r="F5" s="2" t="s">
        <v>19</v>
      </c>
      <c r="G5" s="2" t="s">
        <v>17</v>
      </c>
      <c r="H5" s="2" t="s">
        <v>18</v>
      </c>
    </row>
    <row r="6" spans="1:8">
      <c r="A6" s="2">
        <v>5</v>
      </c>
      <c r="B6" s="2">
        <v>51</v>
      </c>
      <c r="C6" s="2" t="s">
        <v>11</v>
      </c>
      <c r="D6" s="2" t="s">
        <v>12</v>
      </c>
      <c r="E6" s="2" t="s">
        <v>9</v>
      </c>
      <c r="F6" s="2" t="s">
        <v>20</v>
      </c>
      <c r="G6" s="2" t="s">
        <v>17</v>
      </c>
      <c r="H6" s="2" t="s">
        <v>18</v>
      </c>
    </row>
    <row r="7" spans="1:8">
      <c r="A7" s="2">
        <v>6</v>
      </c>
      <c r="B7" s="2">
        <v>98</v>
      </c>
      <c r="C7" s="2" t="s">
        <v>21</v>
      </c>
      <c r="D7" s="2" t="s">
        <v>22</v>
      </c>
      <c r="E7" s="2" t="s">
        <v>9</v>
      </c>
      <c r="F7" s="2" t="s">
        <v>23</v>
      </c>
      <c r="G7" s="2"/>
      <c r="H7" s="2"/>
    </row>
    <row r="8" spans="1:8">
      <c r="A8" s="2">
        <v>7</v>
      </c>
      <c r="B8" s="2">
        <v>121</v>
      </c>
      <c r="C8" s="2" t="s">
        <v>24</v>
      </c>
      <c r="D8" s="2" t="s">
        <v>25</v>
      </c>
      <c r="E8" s="2" t="s">
        <v>9</v>
      </c>
      <c r="F8" s="2" t="s">
        <v>26</v>
      </c>
      <c r="G8" s="2"/>
      <c r="H8" s="2"/>
    </row>
    <row r="9" spans="1:8">
      <c r="A9" s="2">
        <v>8</v>
      </c>
      <c r="B9" s="2">
        <v>182</v>
      </c>
      <c r="C9" s="2" t="s">
        <v>27</v>
      </c>
      <c r="D9" s="2" t="s">
        <v>28</v>
      </c>
      <c r="E9" s="2" t="s">
        <v>9</v>
      </c>
      <c r="F9" s="2" t="s">
        <v>29</v>
      </c>
      <c r="G9" s="2" t="s">
        <v>30</v>
      </c>
      <c r="H9" s="2"/>
    </row>
    <row r="10" spans="1:8">
      <c r="A10" s="2">
        <v>9</v>
      </c>
      <c r="B10" s="2">
        <v>182</v>
      </c>
      <c r="C10" s="2" t="s">
        <v>27</v>
      </c>
      <c r="D10" s="2" t="s">
        <v>28</v>
      </c>
      <c r="E10" s="2" t="s">
        <v>9</v>
      </c>
      <c r="F10" s="2" t="s">
        <v>31</v>
      </c>
      <c r="G10" s="2" t="s">
        <v>30</v>
      </c>
      <c r="H10" s="2"/>
    </row>
    <row r="11" spans="1:8">
      <c r="A11" s="2">
        <v>10</v>
      </c>
      <c r="B11" s="2">
        <v>7</v>
      </c>
      <c r="C11" s="2" t="s">
        <v>33</v>
      </c>
      <c r="D11" s="2"/>
      <c r="E11" s="2" t="s">
        <v>34</v>
      </c>
      <c r="F11" s="2" t="s">
        <v>35</v>
      </c>
      <c r="G11" s="2"/>
      <c r="H11" s="2"/>
    </row>
    <row r="12" spans="1:8">
      <c r="A12" s="2">
        <v>11</v>
      </c>
      <c r="B12" s="2">
        <v>178</v>
      </c>
      <c r="C12" s="2" t="s">
        <v>36</v>
      </c>
      <c r="D12" s="2"/>
      <c r="E12" s="2" t="s">
        <v>34</v>
      </c>
      <c r="F12" s="2" t="s">
        <v>37</v>
      </c>
      <c r="G12" s="2"/>
      <c r="H12" s="2"/>
    </row>
    <row r="13" spans="1:8">
      <c r="A13" s="2">
        <v>12</v>
      </c>
      <c r="B13" s="2">
        <v>178</v>
      </c>
      <c r="C13" s="2" t="s">
        <v>36</v>
      </c>
      <c r="D13" s="2"/>
      <c r="E13" s="2" t="s">
        <v>34</v>
      </c>
      <c r="F13" s="2" t="s">
        <v>38</v>
      </c>
      <c r="G13" s="2"/>
      <c r="H13" s="2"/>
    </row>
    <row r="14" spans="1:8">
      <c r="A14" s="2">
        <v>13</v>
      </c>
      <c r="B14" s="2">
        <v>162</v>
      </c>
      <c r="C14" s="2" t="s">
        <v>39</v>
      </c>
      <c r="D14" s="2"/>
      <c r="E14" s="2" t="s">
        <v>34</v>
      </c>
      <c r="F14" s="2" t="s">
        <v>40</v>
      </c>
      <c r="G14" s="2"/>
      <c r="H14" s="2"/>
    </row>
    <row r="15" spans="1:8">
      <c r="A15" s="2">
        <v>14</v>
      </c>
      <c r="B15" s="2">
        <v>119</v>
      </c>
      <c r="C15" s="2" t="s">
        <v>41</v>
      </c>
      <c r="D15" s="2"/>
      <c r="E15" s="2" t="s">
        <v>34</v>
      </c>
      <c r="F15" s="2" t="s">
        <v>42</v>
      </c>
      <c r="G15" s="2" t="s">
        <v>43</v>
      </c>
      <c r="H15" s="2"/>
    </row>
    <row r="16" spans="1:8">
      <c r="A16" s="2">
        <v>15</v>
      </c>
      <c r="B16" s="2">
        <v>119</v>
      </c>
      <c r="C16" s="2" t="s">
        <v>41</v>
      </c>
      <c r="D16" s="2"/>
      <c r="E16" s="2" t="s">
        <v>34</v>
      </c>
      <c r="F16" s="2" t="s">
        <v>44</v>
      </c>
      <c r="G16" s="2" t="s">
        <v>45</v>
      </c>
      <c r="H16" s="2"/>
    </row>
    <row r="17" spans="1:8">
      <c r="A17" s="2">
        <v>16</v>
      </c>
      <c r="B17" s="2">
        <v>119</v>
      </c>
      <c r="C17" s="2" t="s">
        <v>41</v>
      </c>
      <c r="D17" s="2"/>
      <c r="E17" s="2" t="s">
        <v>34</v>
      </c>
      <c r="F17" s="2" t="s">
        <v>47</v>
      </c>
      <c r="G17" s="2" t="s">
        <v>46</v>
      </c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  <pageSetup scale="10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6198-6AAD-4E11-B63F-158908A4D049}">
  <sheetPr>
    <pageSetUpPr fitToPage="1"/>
  </sheetPr>
  <dimension ref="A1:J45"/>
  <sheetViews>
    <sheetView showZeros="0" tabSelected="1" view="pageBreakPreview" zoomScale="55" zoomScaleNormal="55" zoomScaleSheetLayoutView="55" workbookViewId="0">
      <selection activeCell="J42" sqref="J42"/>
    </sheetView>
  </sheetViews>
  <sheetFormatPr defaultColWidth="8.7109375" defaultRowHeight="15"/>
  <cols>
    <col min="1" max="1" width="19.140625" bestFit="1" customWidth="1"/>
    <col min="2" max="2" width="19.5703125" customWidth="1"/>
    <col min="3" max="3" width="15" bestFit="1" customWidth="1"/>
    <col min="4" max="4" width="19.85546875" bestFit="1" customWidth="1"/>
    <col min="5" max="5" width="16.5703125" bestFit="1" customWidth="1"/>
    <col min="6" max="6" width="21.140625" bestFit="1" customWidth="1"/>
    <col min="7" max="7" width="15.28515625" customWidth="1"/>
    <col min="8" max="8" width="22.7109375" customWidth="1"/>
    <col min="9" max="9" width="21.7109375" bestFit="1" customWidth="1"/>
    <col min="10" max="10" width="22.28515625" bestFit="1" customWidth="1"/>
    <col min="11" max="11" width="9.28515625" customWidth="1"/>
    <col min="233" max="233" width="17.5703125" customWidth="1"/>
    <col min="234" max="234" width="28.28515625" customWidth="1"/>
    <col min="235" max="235" width="21.28515625" customWidth="1"/>
    <col min="236" max="236" width="10.5703125" customWidth="1"/>
    <col min="237" max="237" width="19" customWidth="1"/>
    <col min="238" max="238" width="9.28515625" customWidth="1"/>
    <col min="489" max="489" width="17.5703125" customWidth="1"/>
    <col min="490" max="490" width="28.28515625" customWidth="1"/>
    <col min="491" max="491" width="21.28515625" customWidth="1"/>
    <col min="492" max="492" width="10.5703125" customWidth="1"/>
    <col min="493" max="493" width="19" customWidth="1"/>
    <col min="494" max="494" width="9.28515625" customWidth="1"/>
    <col min="745" max="745" width="17.5703125" customWidth="1"/>
    <col min="746" max="746" width="28.28515625" customWidth="1"/>
    <col min="747" max="747" width="21.28515625" customWidth="1"/>
    <col min="748" max="748" width="10.5703125" customWidth="1"/>
    <col min="749" max="749" width="19" customWidth="1"/>
    <col min="750" max="750" width="9.28515625" customWidth="1"/>
    <col min="1001" max="1001" width="17.5703125" customWidth="1"/>
    <col min="1002" max="1002" width="28.28515625" customWidth="1"/>
    <col min="1003" max="1003" width="21.28515625" customWidth="1"/>
    <col min="1004" max="1004" width="10.5703125" customWidth="1"/>
    <col min="1005" max="1005" width="19" customWidth="1"/>
    <col min="1006" max="1006" width="9.28515625" customWidth="1"/>
    <col min="1257" max="1257" width="17.5703125" customWidth="1"/>
    <col min="1258" max="1258" width="28.28515625" customWidth="1"/>
    <col min="1259" max="1259" width="21.28515625" customWidth="1"/>
    <col min="1260" max="1260" width="10.5703125" customWidth="1"/>
    <col min="1261" max="1261" width="19" customWidth="1"/>
    <col min="1262" max="1262" width="9.28515625" customWidth="1"/>
    <col min="1513" max="1513" width="17.5703125" customWidth="1"/>
    <col min="1514" max="1514" width="28.28515625" customWidth="1"/>
    <col min="1515" max="1515" width="21.28515625" customWidth="1"/>
    <col min="1516" max="1516" width="10.5703125" customWidth="1"/>
    <col min="1517" max="1517" width="19" customWidth="1"/>
    <col min="1518" max="1518" width="9.28515625" customWidth="1"/>
    <col min="1769" max="1769" width="17.5703125" customWidth="1"/>
    <col min="1770" max="1770" width="28.28515625" customWidth="1"/>
    <col min="1771" max="1771" width="21.28515625" customWidth="1"/>
    <col min="1772" max="1772" width="10.5703125" customWidth="1"/>
    <col min="1773" max="1773" width="19" customWidth="1"/>
    <col min="1774" max="1774" width="9.28515625" customWidth="1"/>
    <col min="2025" max="2025" width="17.5703125" customWidth="1"/>
    <col min="2026" max="2026" width="28.28515625" customWidth="1"/>
    <col min="2027" max="2027" width="21.28515625" customWidth="1"/>
    <col min="2028" max="2028" width="10.5703125" customWidth="1"/>
    <col min="2029" max="2029" width="19" customWidth="1"/>
    <col min="2030" max="2030" width="9.28515625" customWidth="1"/>
    <col min="2281" max="2281" width="17.5703125" customWidth="1"/>
    <col min="2282" max="2282" width="28.28515625" customWidth="1"/>
    <col min="2283" max="2283" width="21.28515625" customWidth="1"/>
    <col min="2284" max="2284" width="10.5703125" customWidth="1"/>
    <col min="2285" max="2285" width="19" customWidth="1"/>
    <col min="2286" max="2286" width="9.28515625" customWidth="1"/>
    <col min="2537" max="2537" width="17.5703125" customWidth="1"/>
    <col min="2538" max="2538" width="28.28515625" customWidth="1"/>
    <col min="2539" max="2539" width="21.28515625" customWidth="1"/>
    <col min="2540" max="2540" width="10.5703125" customWidth="1"/>
    <col min="2541" max="2541" width="19" customWidth="1"/>
    <col min="2542" max="2542" width="9.28515625" customWidth="1"/>
    <col min="2793" max="2793" width="17.5703125" customWidth="1"/>
    <col min="2794" max="2794" width="28.28515625" customWidth="1"/>
    <col min="2795" max="2795" width="21.28515625" customWidth="1"/>
    <col min="2796" max="2796" width="10.5703125" customWidth="1"/>
    <col min="2797" max="2797" width="19" customWidth="1"/>
    <col min="2798" max="2798" width="9.28515625" customWidth="1"/>
    <col min="3049" max="3049" width="17.5703125" customWidth="1"/>
    <col min="3050" max="3050" width="28.28515625" customWidth="1"/>
    <col min="3051" max="3051" width="21.28515625" customWidth="1"/>
    <col min="3052" max="3052" width="10.5703125" customWidth="1"/>
    <col min="3053" max="3053" width="19" customWidth="1"/>
    <col min="3054" max="3054" width="9.28515625" customWidth="1"/>
    <col min="3305" max="3305" width="17.5703125" customWidth="1"/>
    <col min="3306" max="3306" width="28.28515625" customWidth="1"/>
    <col min="3307" max="3307" width="21.28515625" customWidth="1"/>
    <col min="3308" max="3308" width="10.5703125" customWidth="1"/>
    <col min="3309" max="3309" width="19" customWidth="1"/>
    <col min="3310" max="3310" width="9.28515625" customWidth="1"/>
    <col min="3561" max="3561" width="17.5703125" customWidth="1"/>
    <col min="3562" max="3562" width="28.28515625" customWidth="1"/>
    <col min="3563" max="3563" width="21.28515625" customWidth="1"/>
    <col min="3564" max="3564" width="10.5703125" customWidth="1"/>
    <col min="3565" max="3565" width="19" customWidth="1"/>
    <col min="3566" max="3566" width="9.28515625" customWidth="1"/>
    <col min="3817" max="3817" width="17.5703125" customWidth="1"/>
    <col min="3818" max="3818" width="28.28515625" customWidth="1"/>
    <col min="3819" max="3819" width="21.28515625" customWidth="1"/>
    <col min="3820" max="3820" width="10.5703125" customWidth="1"/>
    <col min="3821" max="3821" width="19" customWidth="1"/>
    <col min="3822" max="3822" width="9.28515625" customWidth="1"/>
    <col min="4073" max="4073" width="17.5703125" customWidth="1"/>
    <col min="4074" max="4074" width="28.28515625" customWidth="1"/>
    <col min="4075" max="4075" width="21.28515625" customWidth="1"/>
    <col min="4076" max="4076" width="10.5703125" customWidth="1"/>
    <col min="4077" max="4077" width="19" customWidth="1"/>
    <col min="4078" max="4078" width="9.28515625" customWidth="1"/>
    <col min="4329" max="4329" width="17.5703125" customWidth="1"/>
    <col min="4330" max="4330" width="28.28515625" customWidth="1"/>
    <col min="4331" max="4331" width="21.28515625" customWidth="1"/>
    <col min="4332" max="4332" width="10.5703125" customWidth="1"/>
    <col min="4333" max="4333" width="19" customWidth="1"/>
    <col min="4334" max="4334" width="9.28515625" customWidth="1"/>
    <col min="4585" max="4585" width="17.5703125" customWidth="1"/>
    <col min="4586" max="4586" width="28.28515625" customWidth="1"/>
    <col min="4587" max="4587" width="21.28515625" customWidth="1"/>
    <col min="4588" max="4588" width="10.5703125" customWidth="1"/>
    <col min="4589" max="4589" width="19" customWidth="1"/>
    <col min="4590" max="4590" width="9.28515625" customWidth="1"/>
    <col min="4841" max="4841" width="17.5703125" customWidth="1"/>
    <col min="4842" max="4842" width="28.28515625" customWidth="1"/>
    <col min="4843" max="4843" width="21.28515625" customWidth="1"/>
    <col min="4844" max="4844" width="10.5703125" customWidth="1"/>
    <col min="4845" max="4845" width="19" customWidth="1"/>
    <col min="4846" max="4846" width="9.28515625" customWidth="1"/>
    <col min="5097" max="5097" width="17.5703125" customWidth="1"/>
    <col min="5098" max="5098" width="28.28515625" customWidth="1"/>
    <col min="5099" max="5099" width="21.28515625" customWidth="1"/>
    <col min="5100" max="5100" width="10.5703125" customWidth="1"/>
    <col min="5101" max="5101" width="19" customWidth="1"/>
    <col min="5102" max="5102" width="9.28515625" customWidth="1"/>
    <col min="5353" max="5353" width="17.5703125" customWidth="1"/>
    <col min="5354" max="5354" width="28.28515625" customWidth="1"/>
    <col min="5355" max="5355" width="21.28515625" customWidth="1"/>
    <col min="5356" max="5356" width="10.5703125" customWidth="1"/>
    <col min="5357" max="5357" width="19" customWidth="1"/>
    <col min="5358" max="5358" width="9.28515625" customWidth="1"/>
    <col min="5609" max="5609" width="17.5703125" customWidth="1"/>
    <col min="5610" max="5610" width="28.28515625" customWidth="1"/>
    <col min="5611" max="5611" width="21.28515625" customWidth="1"/>
    <col min="5612" max="5612" width="10.5703125" customWidth="1"/>
    <col min="5613" max="5613" width="19" customWidth="1"/>
    <col min="5614" max="5614" width="9.28515625" customWidth="1"/>
    <col min="5865" max="5865" width="17.5703125" customWidth="1"/>
    <col min="5866" max="5866" width="28.28515625" customWidth="1"/>
    <col min="5867" max="5867" width="21.28515625" customWidth="1"/>
    <col min="5868" max="5868" width="10.5703125" customWidth="1"/>
    <col min="5869" max="5869" width="19" customWidth="1"/>
    <col min="5870" max="5870" width="9.28515625" customWidth="1"/>
    <col min="6121" max="6121" width="17.5703125" customWidth="1"/>
    <col min="6122" max="6122" width="28.28515625" customWidth="1"/>
    <col min="6123" max="6123" width="21.28515625" customWidth="1"/>
    <col min="6124" max="6124" width="10.5703125" customWidth="1"/>
    <col min="6125" max="6125" width="19" customWidth="1"/>
    <col min="6126" max="6126" width="9.28515625" customWidth="1"/>
    <col min="6377" max="6377" width="17.5703125" customWidth="1"/>
    <col min="6378" max="6378" width="28.28515625" customWidth="1"/>
    <col min="6379" max="6379" width="21.28515625" customWidth="1"/>
    <col min="6380" max="6380" width="10.5703125" customWidth="1"/>
    <col min="6381" max="6381" width="19" customWidth="1"/>
    <col min="6382" max="6382" width="9.28515625" customWidth="1"/>
    <col min="6633" max="6633" width="17.5703125" customWidth="1"/>
    <col min="6634" max="6634" width="28.28515625" customWidth="1"/>
    <col min="6635" max="6635" width="21.28515625" customWidth="1"/>
    <col min="6636" max="6636" width="10.5703125" customWidth="1"/>
    <col min="6637" max="6637" width="19" customWidth="1"/>
    <col min="6638" max="6638" width="9.28515625" customWidth="1"/>
    <col min="6889" max="6889" width="17.5703125" customWidth="1"/>
    <col min="6890" max="6890" width="28.28515625" customWidth="1"/>
    <col min="6891" max="6891" width="21.28515625" customWidth="1"/>
    <col min="6892" max="6892" width="10.5703125" customWidth="1"/>
    <col min="6893" max="6893" width="19" customWidth="1"/>
    <col min="6894" max="6894" width="9.28515625" customWidth="1"/>
    <col min="7145" max="7145" width="17.5703125" customWidth="1"/>
    <col min="7146" max="7146" width="28.28515625" customWidth="1"/>
    <col min="7147" max="7147" width="21.28515625" customWidth="1"/>
    <col min="7148" max="7148" width="10.5703125" customWidth="1"/>
    <col min="7149" max="7149" width="19" customWidth="1"/>
    <col min="7150" max="7150" width="9.28515625" customWidth="1"/>
    <col min="7401" max="7401" width="17.5703125" customWidth="1"/>
    <col min="7402" max="7402" width="28.28515625" customWidth="1"/>
    <col min="7403" max="7403" width="21.28515625" customWidth="1"/>
    <col min="7404" max="7404" width="10.5703125" customWidth="1"/>
    <col min="7405" max="7405" width="19" customWidth="1"/>
    <col min="7406" max="7406" width="9.28515625" customWidth="1"/>
    <col min="7657" max="7657" width="17.5703125" customWidth="1"/>
    <col min="7658" max="7658" width="28.28515625" customWidth="1"/>
    <col min="7659" max="7659" width="21.28515625" customWidth="1"/>
    <col min="7660" max="7660" width="10.5703125" customWidth="1"/>
    <col min="7661" max="7661" width="19" customWidth="1"/>
    <col min="7662" max="7662" width="9.28515625" customWidth="1"/>
    <col min="7913" max="7913" width="17.5703125" customWidth="1"/>
    <col min="7914" max="7914" width="28.28515625" customWidth="1"/>
    <col min="7915" max="7915" width="21.28515625" customWidth="1"/>
    <col min="7916" max="7916" width="10.5703125" customWidth="1"/>
    <col min="7917" max="7917" width="19" customWidth="1"/>
    <col min="7918" max="7918" width="9.28515625" customWidth="1"/>
    <col min="8169" max="8169" width="17.5703125" customWidth="1"/>
    <col min="8170" max="8170" width="28.28515625" customWidth="1"/>
    <col min="8171" max="8171" width="21.28515625" customWidth="1"/>
    <col min="8172" max="8172" width="10.5703125" customWidth="1"/>
    <col min="8173" max="8173" width="19" customWidth="1"/>
    <col min="8174" max="8174" width="9.28515625" customWidth="1"/>
    <col min="8425" max="8425" width="17.5703125" customWidth="1"/>
    <col min="8426" max="8426" width="28.28515625" customWidth="1"/>
    <col min="8427" max="8427" width="21.28515625" customWidth="1"/>
    <col min="8428" max="8428" width="10.5703125" customWidth="1"/>
    <col min="8429" max="8429" width="19" customWidth="1"/>
    <col min="8430" max="8430" width="9.28515625" customWidth="1"/>
    <col min="8681" max="8681" width="17.5703125" customWidth="1"/>
    <col min="8682" max="8682" width="28.28515625" customWidth="1"/>
    <col min="8683" max="8683" width="21.28515625" customWidth="1"/>
    <col min="8684" max="8684" width="10.5703125" customWidth="1"/>
    <col min="8685" max="8685" width="19" customWidth="1"/>
    <col min="8686" max="8686" width="9.28515625" customWidth="1"/>
    <col min="8937" max="8937" width="17.5703125" customWidth="1"/>
    <col min="8938" max="8938" width="28.28515625" customWidth="1"/>
    <col min="8939" max="8939" width="21.28515625" customWidth="1"/>
    <col min="8940" max="8940" width="10.5703125" customWidth="1"/>
    <col min="8941" max="8941" width="19" customWidth="1"/>
    <col min="8942" max="8942" width="9.28515625" customWidth="1"/>
    <col min="9193" max="9193" width="17.5703125" customWidth="1"/>
    <col min="9194" max="9194" width="28.28515625" customWidth="1"/>
    <col min="9195" max="9195" width="21.28515625" customWidth="1"/>
    <col min="9196" max="9196" width="10.5703125" customWidth="1"/>
    <col min="9197" max="9197" width="19" customWidth="1"/>
    <col min="9198" max="9198" width="9.28515625" customWidth="1"/>
    <col min="9449" max="9449" width="17.5703125" customWidth="1"/>
    <col min="9450" max="9450" width="28.28515625" customWidth="1"/>
    <col min="9451" max="9451" width="21.28515625" customWidth="1"/>
    <col min="9452" max="9452" width="10.5703125" customWidth="1"/>
    <col min="9453" max="9453" width="19" customWidth="1"/>
    <col min="9454" max="9454" width="9.28515625" customWidth="1"/>
    <col min="9705" max="9705" width="17.5703125" customWidth="1"/>
    <col min="9706" max="9706" width="28.28515625" customWidth="1"/>
    <col min="9707" max="9707" width="21.28515625" customWidth="1"/>
    <col min="9708" max="9708" width="10.5703125" customWidth="1"/>
    <col min="9709" max="9709" width="19" customWidth="1"/>
    <col min="9710" max="9710" width="9.28515625" customWidth="1"/>
    <col min="9961" max="9961" width="17.5703125" customWidth="1"/>
    <col min="9962" max="9962" width="28.28515625" customWidth="1"/>
    <col min="9963" max="9963" width="21.28515625" customWidth="1"/>
    <col min="9964" max="9964" width="10.5703125" customWidth="1"/>
    <col min="9965" max="9965" width="19" customWidth="1"/>
    <col min="9966" max="9966" width="9.28515625" customWidth="1"/>
    <col min="10217" max="10217" width="17.5703125" customWidth="1"/>
    <col min="10218" max="10218" width="28.28515625" customWidth="1"/>
    <col min="10219" max="10219" width="21.28515625" customWidth="1"/>
    <col min="10220" max="10220" width="10.5703125" customWidth="1"/>
    <col min="10221" max="10221" width="19" customWidth="1"/>
    <col min="10222" max="10222" width="9.28515625" customWidth="1"/>
    <col min="10473" max="10473" width="17.5703125" customWidth="1"/>
    <col min="10474" max="10474" width="28.28515625" customWidth="1"/>
    <col min="10475" max="10475" width="21.28515625" customWidth="1"/>
    <col min="10476" max="10476" width="10.5703125" customWidth="1"/>
    <col min="10477" max="10477" width="19" customWidth="1"/>
    <col min="10478" max="10478" width="9.28515625" customWidth="1"/>
    <col min="10729" max="10729" width="17.5703125" customWidth="1"/>
    <col min="10730" max="10730" width="28.28515625" customWidth="1"/>
    <col min="10731" max="10731" width="21.28515625" customWidth="1"/>
    <col min="10732" max="10732" width="10.5703125" customWidth="1"/>
    <col min="10733" max="10733" width="19" customWidth="1"/>
    <col min="10734" max="10734" width="9.28515625" customWidth="1"/>
    <col min="10985" max="10985" width="17.5703125" customWidth="1"/>
    <col min="10986" max="10986" width="28.28515625" customWidth="1"/>
    <col min="10987" max="10987" width="21.28515625" customWidth="1"/>
    <col min="10988" max="10988" width="10.5703125" customWidth="1"/>
    <col min="10989" max="10989" width="19" customWidth="1"/>
    <col min="10990" max="10990" width="9.28515625" customWidth="1"/>
    <col min="11241" max="11241" width="17.5703125" customWidth="1"/>
    <col min="11242" max="11242" width="28.28515625" customWidth="1"/>
    <col min="11243" max="11243" width="21.28515625" customWidth="1"/>
    <col min="11244" max="11244" width="10.5703125" customWidth="1"/>
    <col min="11245" max="11245" width="19" customWidth="1"/>
    <col min="11246" max="11246" width="9.28515625" customWidth="1"/>
    <col min="11497" max="11497" width="17.5703125" customWidth="1"/>
    <col min="11498" max="11498" width="28.28515625" customWidth="1"/>
    <col min="11499" max="11499" width="21.28515625" customWidth="1"/>
    <col min="11500" max="11500" width="10.5703125" customWidth="1"/>
    <col min="11501" max="11501" width="19" customWidth="1"/>
    <col min="11502" max="11502" width="9.28515625" customWidth="1"/>
    <col min="11753" max="11753" width="17.5703125" customWidth="1"/>
    <col min="11754" max="11754" width="28.28515625" customWidth="1"/>
    <col min="11755" max="11755" width="21.28515625" customWidth="1"/>
    <col min="11756" max="11756" width="10.5703125" customWidth="1"/>
    <col min="11757" max="11757" width="19" customWidth="1"/>
    <col min="11758" max="11758" width="9.28515625" customWidth="1"/>
    <col min="12009" max="12009" width="17.5703125" customWidth="1"/>
    <col min="12010" max="12010" width="28.28515625" customWidth="1"/>
    <col min="12011" max="12011" width="21.28515625" customWidth="1"/>
    <col min="12012" max="12012" width="10.5703125" customWidth="1"/>
    <col min="12013" max="12013" width="19" customWidth="1"/>
    <col min="12014" max="12014" width="9.28515625" customWidth="1"/>
    <col min="12265" max="12265" width="17.5703125" customWidth="1"/>
    <col min="12266" max="12266" width="28.28515625" customWidth="1"/>
    <col min="12267" max="12267" width="21.28515625" customWidth="1"/>
    <col min="12268" max="12268" width="10.5703125" customWidth="1"/>
    <col min="12269" max="12269" width="19" customWidth="1"/>
    <col min="12270" max="12270" width="9.28515625" customWidth="1"/>
    <col min="12521" max="12521" width="17.5703125" customWidth="1"/>
    <col min="12522" max="12522" width="28.28515625" customWidth="1"/>
    <col min="12523" max="12523" width="21.28515625" customWidth="1"/>
    <col min="12524" max="12524" width="10.5703125" customWidth="1"/>
    <col min="12525" max="12525" width="19" customWidth="1"/>
    <col min="12526" max="12526" width="9.28515625" customWidth="1"/>
    <col min="12777" max="12777" width="17.5703125" customWidth="1"/>
    <col min="12778" max="12778" width="28.28515625" customWidth="1"/>
    <col min="12779" max="12779" width="21.28515625" customWidth="1"/>
    <col min="12780" max="12780" width="10.5703125" customWidth="1"/>
    <col min="12781" max="12781" width="19" customWidth="1"/>
    <col min="12782" max="12782" width="9.28515625" customWidth="1"/>
    <col min="13033" max="13033" width="17.5703125" customWidth="1"/>
    <col min="13034" max="13034" width="28.28515625" customWidth="1"/>
    <col min="13035" max="13035" width="21.28515625" customWidth="1"/>
    <col min="13036" max="13036" width="10.5703125" customWidth="1"/>
    <col min="13037" max="13037" width="19" customWidth="1"/>
    <col min="13038" max="13038" width="9.28515625" customWidth="1"/>
    <col min="13289" max="13289" width="17.5703125" customWidth="1"/>
    <col min="13290" max="13290" width="28.28515625" customWidth="1"/>
    <col min="13291" max="13291" width="21.28515625" customWidth="1"/>
    <col min="13292" max="13292" width="10.5703125" customWidth="1"/>
    <col min="13293" max="13293" width="19" customWidth="1"/>
    <col min="13294" max="13294" width="9.28515625" customWidth="1"/>
    <col min="13545" max="13545" width="17.5703125" customWidth="1"/>
    <col min="13546" max="13546" width="28.28515625" customWidth="1"/>
    <col min="13547" max="13547" width="21.28515625" customWidth="1"/>
    <col min="13548" max="13548" width="10.5703125" customWidth="1"/>
    <col min="13549" max="13549" width="19" customWidth="1"/>
    <col min="13550" max="13550" width="9.28515625" customWidth="1"/>
    <col min="13801" max="13801" width="17.5703125" customWidth="1"/>
    <col min="13802" max="13802" width="28.28515625" customWidth="1"/>
    <col min="13803" max="13803" width="21.28515625" customWidth="1"/>
    <col min="13804" max="13804" width="10.5703125" customWidth="1"/>
    <col min="13805" max="13805" width="19" customWidth="1"/>
    <col min="13806" max="13806" width="9.28515625" customWidth="1"/>
    <col min="14057" max="14057" width="17.5703125" customWidth="1"/>
    <col min="14058" max="14058" width="28.28515625" customWidth="1"/>
    <col min="14059" max="14059" width="21.28515625" customWidth="1"/>
    <col min="14060" max="14060" width="10.5703125" customWidth="1"/>
    <col min="14061" max="14061" width="19" customWidth="1"/>
    <col min="14062" max="14062" width="9.28515625" customWidth="1"/>
    <col min="14313" max="14313" width="17.5703125" customWidth="1"/>
    <col min="14314" max="14314" width="28.28515625" customWidth="1"/>
    <col min="14315" max="14315" width="21.28515625" customWidth="1"/>
    <col min="14316" max="14316" width="10.5703125" customWidth="1"/>
    <col min="14317" max="14317" width="19" customWidth="1"/>
    <col min="14318" max="14318" width="9.28515625" customWidth="1"/>
    <col min="14569" max="14569" width="17.5703125" customWidth="1"/>
    <col min="14570" max="14570" width="28.28515625" customWidth="1"/>
    <col min="14571" max="14571" width="21.28515625" customWidth="1"/>
    <col min="14572" max="14572" width="10.5703125" customWidth="1"/>
    <col min="14573" max="14573" width="19" customWidth="1"/>
    <col min="14574" max="14574" width="9.28515625" customWidth="1"/>
    <col min="14825" max="14825" width="17.5703125" customWidth="1"/>
    <col min="14826" max="14826" width="28.28515625" customWidth="1"/>
    <col min="14827" max="14827" width="21.28515625" customWidth="1"/>
    <col min="14828" max="14828" width="10.5703125" customWidth="1"/>
    <col min="14829" max="14829" width="19" customWidth="1"/>
    <col min="14830" max="14830" width="9.28515625" customWidth="1"/>
    <col min="15081" max="15081" width="17.5703125" customWidth="1"/>
    <col min="15082" max="15082" width="28.28515625" customWidth="1"/>
    <col min="15083" max="15083" width="21.28515625" customWidth="1"/>
    <col min="15084" max="15084" width="10.5703125" customWidth="1"/>
    <col min="15085" max="15085" width="19" customWidth="1"/>
    <col min="15086" max="15086" width="9.28515625" customWidth="1"/>
    <col min="15337" max="15337" width="17.5703125" customWidth="1"/>
    <col min="15338" max="15338" width="28.28515625" customWidth="1"/>
    <col min="15339" max="15339" width="21.28515625" customWidth="1"/>
    <col min="15340" max="15340" width="10.5703125" customWidth="1"/>
    <col min="15341" max="15341" width="19" customWidth="1"/>
    <col min="15342" max="15342" width="9.28515625" customWidth="1"/>
    <col min="15593" max="15593" width="17.5703125" customWidth="1"/>
    <col min="15594" max="15594" width="28.28515625" customWidth="1"/>
    <col min="15595" max="15595" width="21.28515625" customWidth="1"/>
    <col min="15596" max="15596" width="10.5703125" customWidth="1"/>
    <col min="15597" max="15597" width="19" customWidth="1"/>
    <col min="15598" max="15598" width="9.28515625" customWidth="1"/>
    <col min="15849" max="15849" width="17.5703125" customWidth="1"/>
    <col min="15850" max="15850" width="28.28515625" customWidth="1"/>
    <col min="15851" max="15851" width="21.28515625" customWidth="1"/>
    <col min="15852" max="15852" width="10.5703125" customWidth="1"/>
    <col min="15853" max="15853" width="19" customWidth="1"/>
    <col min="15854" max="15854" width="9.28515625" customWidth="1"/>
    <col min="16105" max="16105" width="17.5703125" customWidth="1"/>
    <col min="16106" max="16106" width="28.28515625" customWidth="1"/>
    <col min="16107" max="16107" width="21.28515625" customWidth="1"/>
    <col min="16108" max="16108" width="10.5703125" customWidth="1"/>
    <col min="16109" max="16109" width="19" customWidth="1"/>
    <col min="16110" max="16110" width="9.28515625" customWidth="1"/>
  </cols>
  <sheetData>
    <row r="1" spans="1:10" ht="25.5" customHeight="1">
      <c r="A1" s="3"/>
      <c r="B1" s="4"/>
      <c r="C1" s="5" t="str">
        <f>"KİRALIK ARAÇ GÜNLÜK PUANTAJ TAKİP FORMU"</f>
        <v>KİRALIK ARAÇ GÜNLÜK PUANTAJ TAKİP FORMU</v>
      </c>
      <c r="D1" s="5"/>
      <c r="E1" s="5"/>
      <c r="F1" s="5"/>
      <c r="G1" s="5"/>
      <c r="H1" s="5"/>
      <c r="I1" s="6"/>
      <c r="J1" s="6"/>
    </row>
    <row r="2" spans="1:10" ht="43.5" customHeight="1">
      <c r="A2" s="7"/>
      <c r="B2" s="7"/>
      <c r="C2" s="8"/>
      <c r="D2" s="8"/>
      <c r="E2" s="8"/>
      <c r="F2" s="8"/>
      <c r="G2" s="8"/>
      <c r="H2" s="8"/>
      <c r="I2" s="7"/>
      <c r="J2" s="7"/>
    </row>
    <row r="3" spans="1:10" ht="26.25" customHeight="1">
      <c r="A3" s="9" t="s">
        <v>49</v>
      </c>
      <c r="B3" s="9"/>
      <c r="C3" s="10"/>
      <c r="D3" s="11"/>
      <c r="E3" s="11"/>
      <c r="F3" s="11"/>
      <c r="G3" s="9" t="s">
        <v>50</v>
      </c>
      <c r="H3" s="12"/>
      <c r="I3" s="13"/>
      <c r="J3" s="14"/>
    </row>
    <row r="4" spans="1:10" ht="26.25" customHeight="1">
      <c r="A4" s="15" t="s">
        <v>51</v>
      </c>
      <c r="B4" s="16"/>
      <c r="C4" s="10"/>
      <c r="D4" s="11"/>
      <c r="E4" s="11"/>
      <c r="F4" s="11"/>
      <c r="G4" s="9" t="s">
        <v>52</v>
      </c>
      <c r="H4" s="12"/>
      <c r="I4" s="17"/>
      <c r="J4" s="14"/>
    </row>
    <row r="5" spans="1:10" ht="26.25" customHeight="1">
      <c r="A5" s="15" t="s">
        <v>53</v>
      </c>
      <c r="B5" s="16"/>
      <c r="C5" s="10"/>
      <c r="D5" s="11"/>
      <c r="E5" s="11"/>
      <c r="F5" s="11"/>
      <c r="G5" s="9" t="s">
        <v>54</v>
      </c>
      <c r="H5" s="12"/>
      <c r="I5" s="13"/>
      <c r="J5" s="14"/>
    </row>
    <row r="6" spans="1:10" ht="26.25" customHeight="1" thickBot="1">
      <c r="A6" s="15" t="s">
        <v>55</v>
      </c>
      <c r="B6" s="16"/>
      <c r="C6" s="18"/>
      <c r="D6" s="19"/>
      <c r="E6" s="19"/>
      <c r="F6" s="19"/>
      <c r="G6" s="9" t="s">
        <v>56</v>
      </c>
      <c r="H6" s="12"/>
      <c r="I6" s="20"/>
      <c r="J6" s="21"/>
    </row>
    <row r="7" spans="1:10" ht="54" customHeight="1" thickBot="1">
      <c r="A7" s="22" t="s">
        <v>57</v>
      </c>
      <c r="B7" s="23" t="s">
        <v>58</v>
      </c>
      <c r="C7" s="23" t="s">
        <v>59</v>
      </c>
      <c r="D7" s="23" t="s">
        <v>60</v>
      </c>
      <c r="E7" s="24" t="s">
        <v>61</v>
      </c>
      <c r="F7" s="24" t="s">
        <v>62</v>
      </c>
      <c r="G7" s="24" t="s">
        <v>63</v>
      </c>
      <c r="H7" s="24" t="s">
        <v>64</v>
      </c>
      <c r="I7" s="24" t="s">
        <v>65</v>
      </c>
      <c r="J7" s="25" t="s">
        <v>66</v>
      </c>
    </row>
    <row r="8" spans="1:10" ht="32.25" customHeight="1">
      <c r="A8" s="26">
        <v>1</v>
      </c>
      <c r="B8" s="27"/>
      <c r="C8" s="27"/>
      <c r="D8" s="28"/>
      <c r="E8" s="29"/>
      <c r="F8" s="29"/>
      <c r="G8" s="30"/>
      <c r="H8" s="31"/>
      <c r="I8" s="32"/>
      <c r="J8" s="33"/>
    </row>
    <row r="9" spans="1:10" ht="32.25" customHeight="1">
      <c r="A9" s="26">
        <f>+A8+1</f>
        <v>2</v>
      </c>
      <c r="B9" s="27"/>
      <c r="C9" s="27"/>
      <c r="D9" s="28"/>
      <c r="E9" s="29"/>
      <c r="F9" s="29"/>
      <c r="G9" s="30"/>
      <c r="H9" s="31"/>
      <c r="I9" s="34"/>
      <c r="J9" s="35"/>
    </row>
    <row r="10" spans="1:10" ht="32.25" customHeight="1">
      <c r="A10" s="26">
        <f t="shared" ref="A10:A38" si="0">A9+1</f>
        <v>3</v>
      </c>
      <c r="B10" s="27"/>
      <c r="C10" s="27"/>
      <c r="D10" s="28"/>
      <c r="E10" s="29"/>
      <c r="F10" s="29"/>
      <c r="G10" s="30"/>
      <c r="H10" s="31"/>
      <c r="I10" s="34"/>
      <c r="J10" s="35"/>
    </row>
    <row r="11" spans="1:10" ht="32.25" customHeight="1">
      <c r="A11" s="26">
        <f t="shared" si="0"/>
        <v>4</v>
      </c>
      <c r="B11" s="27"/>
      <c r="C11" s="27"/>
      <c r="D11" s="28"/>
      <c r="E11" s="29"/>
      <c r="F11" s="29"/>
      <c r="G11" s="30"/>
      <c r="H11" s="31"/>
      <c r="I11" s="34"/>
      <c r="J11" s="35"/>
    </row>
    <row r="12" spans="1:10" ht="32.25" customHeight="1">
      <c r="A12" s="26">
        <f t="shared" si="0"/>
        <v>5</v>
      </c>
      <c r="B12" s="27"/>
      <c r="C12" s="27"/>
      <c r="D12" s="28"/>
      <c r="E12" s="29"/>
      <c r="F12" s="29"/>
      <c r="G12" s="30"/>
      <c r="H12" s="31"/>
      <c r="I12" s="36"/>
      <c r="J12" s="35"/>
    </row>
    <row r="13" spans="1:10" ht="32.25" customHeight="1">
      <c r="A13" s="26">
        <f t="shared" si="0"/>
        <v>6</v>
      </c>
      <c r="B13" s="27"/>
      <c r="C13" s="27"/>
      <c r="D13" s="28"/>
      <c r="E13" s="29"/>
      <c r="F13" s="29"/>
      <c r="G13" s="30"/>
      <c r="H13" s="31"/>
      <c r="I13" s="34"/>
      <c r="J13" s="35"/>
    </row>
    <row r="14" spans="1:10" ht="32.25" customHeight="1">
      <c r="A14" s="26">
        <f t="shared" si="0"/>
        <v>7</v>
      </c>
      <c r="B14" s="27"/>
      <c r="C14" s="27"/>
      <c r="D14" s="28"/>
      <c r="E14" s="29"/>
      <c r="F14" s="29"/>
      <c r="G14" s="30"/>
      <c r="H14" s="31"/>
      <c r="I14" s="34"/>
      <c r="J14" s="35"/>
    </row>
    <row r="15" spans="1:10" ht="32.25" customHeight="1">
      <c r="A15" s="26">
        <f t="shared" si="0"/>
        <v>8</v>
      </c>
      <c r="B15" s="27"/>
      <c r="C15" s="27"/>
      <c r="D15" s="28"/>
      <c r="E15" s="29"/>
      <c r="F15" s="29"/>
      <c r="G15" s="30"/>
      <c r="H15" s="31"/>
      <c r="I15" s="34"/>
      <c r="J15" s="35"/>
    </row>
    <row r="16" spans="1:10" ht="32.25" customHeight="1">
      <c r="A16" s="26">
        <f t="shared" si="0"/>
        <v>9</v>
      </c>
      <c r="B16" s="27"/>
      <c r="C16" s="27"/>
      <c r="D16" s="28"/>
      <c r="E16" s="29"/>
      <c r="F16" s="29"/>
      <c r="G16" s="30"/>
      <c r="H16" s="31"/>
      <c r="I16" s="34"/>
      <c r="J16" s="35"/>
    </row>
    <row r="17" spans="1:10" ht="32.25" customHeight="1">
      <c r="A17" s="26">
        <f t="shared" si="0"/>
        <v>10</v>
      </c>
      <c r="B17" s="27"/>
      <c r="C17" s="27"/>
      <c r="D17" s="28"/>
      <c r="E17" s="29"/>
      <c r="F17" s="29"/>
      <c r="G17" s="30"/>
      <c r="H17" s="31"/>
      <c r="I17" s="34"/>
      <c r="J17" s="35"/>
    </row>
    <row r="18" spans="1:10" ht="32.25" customHeight="1">
      <c r="A18" s="26">
        <f t="shared" si="0"/>
        <v>11</v>
      </c>
      <c r="B18" s="27"/>
      <c r="C18" s="27"/>
      <c r="D18" s="28"/>
      <c r="E18" s="29"/>
      <c r="F18" s="29"/>
      <c r="G18" s="30"/>
      <c r="H18" s="31"/>
      <c r="I18" s="34"/>
      <c r="J18" s="37"/>
    </row>
    <row r="19" spans="1:10" ht="32.25" customHeight="1">
      <c r="A19" s="26">
        <f t="shared" si="0"/>
        <v>12</v>
      </c>
      <c r="B19" s="27"/>
      <c r="C19" s="27"/>
      <c r="D19" s="28"/>
      <c r="E19" s="29"/>
      <c r="F19" s="29"/>
      <c r="G19" s="30"/>
      <c r="H19" s="31"/>
      <c r="I19" s="34"/>
      <c r="J19" s="35"/>
    </row>
    <row r="20" spans="1:10" ht="32.25" customHeight="1">
      <c r="A20" s="26">
        <f t="shared" si="0"/>
        <v>13</v>
      </c>
      <c r="B20" s="27"/>
      <c r="C20" s="27"/>
      <c r="D20" s="28"/>
      <c r="E20" s="29"/>
      <c r="F20" s="29"/>
      <c r="G20" s="30"/>
      <c r="H20" s="31"/>
      <c r="I20" s="36"/>
      <c r="J20" s="35"/>
    </row>
    <row r="21" spans="1:10" ht="32.25" customHeight="1">
      <c r="A21" s="26">
        <f t="shared" si="0"/>
        <v>14</v>
      </c>
      <c r="B21" s="27"/>
      <c r="C21" s="27"/>
      <c r="D21" s="28"/>
      <c r="E21" s="29"/>
      <c r="F21" s="29"/>
      <c r="G21" s="30"/>
      <c r="H21" s="31"/>
      <c r="I21" s="36"/>
      <c r="J21" s="35"/>
    </row>
    <row r="22" spans="1:10" ht="32.25" customHeight="1">
      <c r="A22" s="26">
        <f t="shared" si="0"/>
        <v>15</v>
      </c>
      <c r="B22" s="27"/>
      <c r="C22" s="27"/>
      <c r="D22" s="28"/>
      <c r="E22" s="29"/>
      <c r="F22" s="29"/>
      <c r="G22" s="30"/>
      <c r="H22" s="31"/>
      <c r="I22" s="36"/>
      <c r="J22" s="38"/>
    </row>
    <row r="23" spans="1:10" ht="32.25" customHeight="1">
      <c r="A23" s="26">
        <f t="shared" si="0"/>
        <v>16</v>
      </c>
      <c r="B23" s="27"/>
      <c r="C23" s="27"/>
      <c r="D23" s="28"/>
      <c r="E23" s="29"/>
      <c r="F23" s="29"/>
      <c r="G23" s="30"/>
      <c r="H23" s="31"/>
      <c r="I23" s="36"/>
      <c r="J23" s="38"/>
    </row>
    <row r="24" spans="1:10" ht="32.25" customHeight="1">
      <c r="A24" s="26">
        <f t="shared" si="0"/>
        <v>17</v>
      </c>
      <c r="B24" s="27"/>
      <c r="C24" s="27"/>
      <c r="D24" s="28"/>
      <c r="E24" s="29"/>
      <c r="F24" s="29"/>
      <c r="G24" s="30"/>
      <c r="H24" s="31"/>
      <c r="I24" s="36"/>
      <c r="J24" s="39"/>
    </row>
    <row r="25" spans="1:10" ht="32.25" customHeight="1">
      <c r="A25" s="26">
        <f t="shared" si="0"/>
        <v>18</v>
      </c>
      <c r="B25" s="27"/>
      <c r="C25" s="27"/>
      <c r="D25" s="28"/>
      <c r="E25" s="29"/>
      <c r="F25" s="29"/>
      <c r="G25" s="30"/>
      <c r="H25" s="31"/>
      <c r="I25" s="36"/>
      <c r="J25" s="39"/>
    </row>
    <row r="26" spans="1:10" ht="32.25" customHeight="1">
      <c r="A26" s="26">
        <f t="shared" si="0"/>
        <v>19</v>
      </c>
      <c r="B26" s="27"/>
      <c r="C26" s="27"/>
      <c r="D26" s="28"/>
      <c r="E26" s="29"/>
      <c r="F26" s="29"/>
      <c r="G26" s="30"/>
      <c r="H26" s="31"/>
      <c r="I26" s="36"/>
      <c r="J26" s="39"/>
    </row>
    <row r="27" spans="1:10" ht="32.25" customHeight="1">
      <c r="A27" s="26">
        <f t="shared" si="0"/>
        <v>20</v>
      </c>
      <c r="B27" s="27"/>
      <c r="C27" s="27"/>
      <c r="D27" s="28"/>
      <c r="E27" s="29"/>
      <c r="F27" s="29"/>
      <c r="G27" s="30"/>
      <c r="H27" s="31"/>
      <c r="I27" s="36"/>
      <c r="J27" s="39"/>
    </row>
    <row r="28" spans="1:10" ht="32.25" customHeight="1">
      <c r="A28" s="26">
        <f t="shared" si="0"/>
        <v>21</v>
      </c>
      <c r="B28" s="27"/>
      <c r="C28" s="27"/>
      <c r="D28" s="28"/>
      <c r="E28" s="29"/>
      <c r="F28" s="29"/>
      <c r="G28" s="30"/>
      <c r="H28" s="31"/>
      <c r="I28" s="36"/>
      <c r="J28" s="39"/>
    </row>
    <row r="29" spans="1:10" ht="32.25" customHeight="1">
      <c r="A29" s="26">
        <f t="shared" si="0"/>
        <v>22</v>
      </c>
      <c r="B29" s="27"/>
      <c r="C29" s="27"/>
      <c r="D29" s="28"/>
      <c r="E29" s="29"/>
      <c r="F29" s="29"/>
      <c r="G29" s="30"/>
      <c r="H29" s="31"/>
      <c r="I29" s="36"/>
      <c r="J29" s="39"/>
    </row>
    <row r="30" spans="1:10" ht="32.25" customHeight="1">
      <c r="A30" s="26">
        <f t="shared" si="0"/>
        <v>23</v>
      </c>
      <c r="B30" s="27"/>
      <c r="C30" s="27"/>
      <c r="D30" s="28"/>
      <c r="E30" s="29"/>
      <c r="F30" s="29"/>
      <c r="G30" s="30"/>
      <c r="H30" s="31"/>
      <c r="I30" s="36"/>
      <c r="J30" s="39"/>
    </row>
    <row r="31" spans="1:10" ht="32.25" customHeight="1">
      <c r="A31" s="26">
        <f t="shared" si="0"/>
        <v>24</v>
      </c>
      <c r="B31" s="27"/>
      <c r="C31" s="27"/>
      <c r="D31" s="28"/>
      <c r="E31" s="29"/>
      <c r="F31" s="29"/>
      <c r="G31" s="30"/>
      <c r="H31" s="31"/>
      <c r="I31" s="36"/>
      <c r="J31" s="39"/>
    </row>
    <row r="32" spans="1:10" ht="32.25" customHeight="1">
      <c r="A32" s="26">
        <f t="shared" si="0"/>
        <v>25</v>
      </c>
      <c r="B32" s="27"/>
      <c r="C32" s="27"/>
      <c r="D32" s="28"/>
      <c r="E32" s="29"/>
      <c r="F32" s="29"/>
      <c r="G32" s="30"/>
      <c r="H32" s="31"/>
      <c r="I32" s="36"/>
      <c r="J32" s="39"/>
    </row>
    <row r="33" spans="1:10" ht="32.25" customHeight="1">
      <c r="A33" s="26">
        <f t="shared" si="0"/>
        <v>26</v>
      </c>
      <c r="B33" s="27"/>
      <c r="C33" s="27"/>
      <c r="D33" s="28"/>
      <c r="E33" s="29"/>
      <c r="F33" s="29"/>
      <c r="G33" s="30"/>
      <c r="H33" s="31"/>
      <c r="I33" s="36"/>
      <c r="J33" s="39"/>
    </row>
    <row r="34" spans="1:10" ht="32.25" customHeight="1">
      <c r="A34" s="26">
        <f t="shared" si="0"/>
        <v>27</v>
      </c>
      <c r="B34" s="27"/>
      <c r="C34" s="27"/>
      <c r="D34" s="28"/>
      <c r="E34" s="29"/>
      <c r="F34" s="29"/>
      <c r="G34" s="30"/>
      <c r="H34" s="31"/>
      <c r="I34" s="36"/>
      <c r="J34" s="39"/>
    </row>
    <row r="35" spans="1:10" ht="32.25" customHeight="1">
      <c r="A35" s="26">
        <f t="shared" si="0"/>
        <v>28</v>
      </c>
      <c r="B35" s="27"/>
      <c r="C35" s="27"/>
      <c r="D35" s="28"/>
      <c r="E35" s="29"/>
      <c r="F35" s="29"/>
      <c r="G35" s="30"/>
      <c r="H35" s="31"/>
      <c r="I35" s="36"/>
      <c r="J35" s="39"/>
    </row>
    <row r="36" spans="1:10" ht="32.25" customHeight="1">
      <c r="A36" s="26">
        <v>29</v>
      </c>
      <c r="B36" s="27"/>
      <c r="C36" s="27"/>
      <c r="D36" s="28"/>
      <c r="E36" s="29"/>
      <c r="F36" s="29"/>
      <c r="G36" s="30"/>
      <c r="H36" s="31"/>
      <c r="I36" s="36"/>
      <c r="J36" s="39"/>
    </row>
    <row r="37" spans="1:10" ht="32.25" customHeight="1">
      <c r="A37" s="26">
        <v>30</v>
      </c>
      <c r="B37" s="27"/>
      <c r="C37" s="27"/>
      <c r="D37" s="28"/>
      <c r="E37" s="29"/>
      <c r="F37" s="29"/>
      <c r="G37" s="30"/>
      <c r="H37" s="31"/>
      <c r="I37" s="36"/>
      <c r="J37" s="39"/>
    </row>
    <row r="38" spans="1:10" ht="32.25" customHeight="1" thickBot="1">
      <c r="A38" s="26">
        <v>31</v>
      </c>
      <c r="B38" s="40"/>
      <c r="C38" s="40"/>
      <c r="D38" s="28"/>
      <c r="E38" s="29"/>
      <c r="F38" s="41"/>
      <c r="G38" s="42"/>
      <c r="H38" s="31"/>
      <c r="I38" s="36"/>
      <c r="J38" s="39"/>
    </row>
    <row r="39" spans="1:10" ht="33.75" customHeight="1" thickBot="1">
      <c r="A39" s="43"/>
      <c r="B39" s="44" t="s">
        <v>67</v>
      </c>
      <c r="C39" s="45">
        <f>+COUNTA(C8:C38)</f>
        <v>0</v>
      </c>
      <c r="D39" s="44" t="s">
        <v>68</v>
      </c>
      <c r="E39" s="45">
        <f>+COUNTA(E8:E38)</f>
        <v>0</v>
      </c>
      <c r="F39" s="46" t="s">
        <v>69</v>
      </c>
      <c r="G39" s="47">
        <f>SUM(G8:G38)</f>
        <v>0</v>
      </c>
      <c r="H39" s="48">
        <f>SUM(H8:H38)</f>
        <v>0</v>
      </c>
      <c r="I39" s="49"/>
      <c r="J39" s="50"/>
    </row>
    <row r="40" spans="1:10" ht="31.5" customHeight="1" thickBot="1">
      <c r="A40" s="51" t="s">
        <v>70</v>
      </c>
      <c r="B40" s="52"/>
      <c r="C40" s="52"/>
      <c r="D40" s="53" t="s">
        <v>71</v>
      </c>
      <c r="E40" s="54"/>
      <c r="F40" s="55"/>
      <c r="G40" s="56" t="s">
        <v>48</v>
      </c>
      <c r="H40" s="57"/>
      <c r="I40" s="58"/>
      <c r="J40" s="59" t="s">
        <v>72</v>
      </c>
    </row>
    <row r="41" spans="1:10" ht="31.5" customHeight="1" thickBot="1">
      <c r="A41" s="60"/>
      <c r="B41" s="61"/>
      <c r="C41" s="61"/>
      <c r="D41" s="62"/>
      <c r="E41" s="63"/>
      <c r="F41" s="64"/>
      <c r="G41" s="56"/>
      <c r="H41" s="57"/>
      <c r="I41" s="58"/>
      <c r="J41" s="65"/>
    </row>
    <row r="42" spans="1:10" ht="33.6" customHeight="1" thickBot="1">
      <c r="A42" s="51" t="s">
        <v>73</v>
      </c>
      <c r="B42" s="52"/>
      <c r="C42" s="52"/>
      <c r="D42" s="62"/>
      <c r="E42" s="63"/>
      <c r="F42" s="64"/>
      <c r="G42" s="56"/>
      <c r="H42" s="57"/>
      <c r="I42" s="58"/>
      <c r="J42" s="66"/>
    </row>
    <row r="43" spans="1:10" ht="33.6" customHeight="1" thickBot="1">
      <c r="A43" s="51" t="s">
        <v>73</v>
      </c>
      <c r="B43" s="52"/>
      <c r="C43" s="52"/>
      <c r="D43" s="62"/>
      <c r="E43" s="63"/>
      <c r="F43" s="64"/>
      <c r="G43" s="56"/>
      <c r="H43" s="57"/>
      <c r="I43" s="58"/>
      <c r="J43" s="66"/>
    </row>
    <row r="44" spans="1:10" ht="39" customHeight="1">
      <c r="A44" s="67"/>
      <c r="B44" s="67"/>
    </row>
    <row r="45" spans="1:10" ht="39.75" customHeight="1">
      <c r="A45" s="67"/>
    </row>
  </sheetData>
  <mergeCells count="24">
    <mergeCell ref="D42:F42"/>
    <mergeCell ref="G42:I42"/>
    <mergeCell ref="D43:F43"/>
    <mergeCell ref="G43:I43"/>
    <mergeCell ref="C6:F6"/>
    <mergeCell ref="G6:H6"/>
    <mergeCell ref="I6:J6"/>
    <mergeCell ref="D40:F40"/>
    <mergeCell ref="G40:I40"/>
    <mergeCell ref="A41:C41"/>
    <mergeCell ref="D41:F41"/>
    <mergeCell ref="G41:I41"/>
    <mergeCell ref="C4:F4"/>
    <mergeCell ref="G4:H4"/>
    <mergeCell ref="I4:J4"/>
    <mergeCell ref="C5:F5"/>
    <mergeCell ref="G5:H5"/>
    <mergeCell ref="I5:J5"/>
    <mergeCell ref="C1:H2"/>
    <mergeCell ref="I1:J1"/>
    <mergeCell ref="A3:B3"/>
    <mergeCell ref="C3:F3"/>
    <mergeCell ref="G3:H3"/>
    <mergeCell ref="I3:J3"/>
  </mergeCells>
  <conditionalFormatting sqref="A8:J38">
    <cfRule type="expression" dxfId="0" priority="2">
      <formula>#REF!=1</formula>
    </cfRule>
  </conditionalFormatting>
  <printOptions horizontalCentered="1" verticalCentered="1"/>
  <pageMargins left="0.25" right="0.25" top="0.75" bottom="0.75" header="0.3" footer="0.3"/>
  <pageSetup scale="47" orientation="portrait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vehicle-record</vt:lpstr>
      <vt:lpstr>'vehicle-record'!Print_Area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Bashirli</dc:creator>
  <cp:lastModifiedBy>Elvin Bashirli</cp:lastModifiedBy>
  <cp:lastPrinted>2026-03-03T11:46:35Z</cp:lastPrinted>
  <dcterms:created xsi:type="dcterms:W3CDTF">2026-03-03T11:33:17Z</dcterms:created>
  <dcterms:modified xsi:type="dcterms:W3CDTF">2026-03-03T11:46:38Z</dcterms:modified>
</cp:coreProperties>
</file>