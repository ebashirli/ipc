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0f35a67bc0854e0/Desktop/temp/"/>
    </mc:Choice>
  </mc:AlternateContent>
  <xr:revisionPtr revIDLastSave="204" documentId="8_{4B3D0721-6D45-4B67-89A6-0A693A66F65D}" xr6:coauthVersionLast="47" xr6:coauthVersionMax="47" xr10:uidLastSave="{BEA3D521-A179-4462-A997-9D58ED8A27D9}"/>
  <bookViews>
    <workbookView xWindow="-120" yWindow="-120" windowWidth="29040" windowHeight="15720" xr2:uid="{00000000-000D-0000-FFFF-FFFF00000000}"/>
  </bookViews>
  <sheets>
    <sheet name="addendums" sheetId="1" r:id="rId1"/>
    <sheet name="Sheet2" sheetId="3" r:id="rId2"/>
    <sheet name="price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M5" i="1" s="1"/>
  <c r="M4" i="1"/>
  <c r="L5" i="1"/>
  <c r="L4" i="1"/>
  <c r="K4" i="1"/>
  <c r="K3" i="1" l="1"/>
  <c r="L3" i="1" s="1"/>
  <c r="M2" i="1"/>
  <c r="L2" i="1" l="1"/>
  <c r="M3" i="1"/>
</calcChain>
</file>

<file path=xl/sharedStrings.xml><?xml version="1.0" encoding="utf-8"?>
<sst xmlns="http://schemas.openxmlformats.org/spreadsheetml/2006/main" count="32" uniqueCount="31">
  <si>
    <t>addDate</t>
  </si>
  <si>
    <t>personInCharge</t>
  </si>
  <si>
    <t>addNo</t>
  </si>
  <si>
    <t>contractDate</t>
  </si>
  <si>
    <t>contractNo</t>
  </si>
  <si>
    <t>description</t>
  </si>
  <si>
    <t>doubleShiftPrice</t>
  </si>
  <si>
    <t>extraHourPrice</t>
  </si>
  <si>
    <t>singleShiftPrice</t>
  </si>
  <si>
    <t>#</t>
  </si>
  <si>
    <t>Xaqani VEYİSLİ</t>
  </si>
  <si>
    <t>plateNo</t>
  </si>
  <si>
    <t>10AD015</t>
  </si>
  <si>
    <t>brandModel</t>
  </si>
  <si>
    <t>type</t>
  </si>
  <si>
    <t>calcDayCount</t>
  </si>
  <si>
    <t>10AD071</t>
  </si>
  <si>
    <t>77MU119</t>
  </si>
  <si>
    <t>50EL608</t>
  </si>
  <si>
    <t>DEİCİ İCARUS  40.17</t>
  </si>
  <si>
    <t>Telehandler</t>
  </si>
  <si>
    <t>TELESKOPİK YÜKLƏYİCİ</t>
  </si>
  <si>
    <t>FRONTAL YÜKLƏYİCİ</t>
  </si>
  <si>
    <t>Mini loader</t>
  </si>
  <si>
    <t>BOBCAT S 450</t>
  </si>
  <si>
    <t>MERCEDES SPRİNTER</t>
  </si>
  <si>
    <t>MİTSUBİSHİ L 200</t>
  </si>
  <si>
    <t>Service</t>
  </si>
  <si>
    <t>Pickup</t>
  </si>
  <si>
    <t>Kiralıq Servis</t>
  </si>
  <si>
    <t>Kiralıq pikup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</si>
</sst>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3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3" fillId="0" borderId="0" xfId="0" applyFont="1" applyAlignment="1">
      <alignment horizontal="center" vertical="center"/>
    </xf>
    <xf numFmtId="43" fontId="0" fillId="0" borderId="0" xfId="1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38100</xdr:rowOff>
        </xdr:from>
        <xdr:to>
          <xdr:col>15</xdr:col>
          <xdr:colOff>361950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"/>
  <sheetViews>
    <sheetView tabSelected="1" workbookViewId="0">
      <pane ySplit="1" topLeftCell="A2" activePane="bottomLeft" state="frozen"/>
      <selection pane="bottomLeft" activeCell="K7" sqref="K7"/>
    </sheetView>
  </sheetViews>
  <sheetFormatPr defaultRowHeight="15" x14ac:dyDescent="0.25"/>
  <cols>
    <col min="1" max="1" width="5.85546875" bestFit="1" customWidth="1"/>
    <col min="2" max="2" width="12.28515625" bestFit="1" customWidth="1"/>
    <col min="3" max="3" width="12.28515625" style="1" bestFit="1" customWidth="1"/>
    <col min="4" max="4" width="8.42578125" bestFit="1" customWidth="1"/>
    <col min="5" max="5" width="8.42578125" style="1" bestFit="1" customWidth="1"/>
    <col min="6" max="6" width="10.7109375" customWidth="1"/>
    <col min="7" max="7" width="18.140625" bestFit="1" customWidth="1"/>
    <col min="8" max="8" width="15.28515625" customWidth="1"/>
    <col min="9" max="9" width="13.42578125" bestFit="1" customWidth="1"/>
    <col min="10" max="10" width="28.5703125" bestFit="1" customWidth="1"/>
    <col min="11" max="11" width="14.42578125" bestFit="1" customWidth="1"/>
    <col min="12" max="12" width="11.5703125" bestFit="1" customWidth="1"/>
    <col min="13" max="13" width="16" bestFit="1" customWidth="1"/>
    <col min="14" max="14" width="15" bestFit="1" customWidth="1"/>
  </cols>
  <sheetData>
    <row r="1" spans="1:14" ht="27.75" customHeight="1" x14ac:dyDescent="0.25">
      <c r="A1" s="7" t="s">
        <v>9</v>
      </c>
      <c r="B1" s="5" t="s">
        <v>4</v>
      </c>
      <c r="C1" s="2" t="s">
        <v>3</v>
      </c>
      <c r="D1" s="5" t="s">
        <v>2</v>
      </c>
      <c r="E1" s="2" t="s">
        <v>0</v>
      </c>
      <c r="F1" s="5" t="s">
        <v>11</v>
      </c>
      <c r="G1" s="5" t="s">
        <v>13</v>
      </c>
      <c r="H1" s="5" t="s">
        <v>14</v>
      </c>
      <c r="I1" s="5" t="s">
        <v>15</v>
      </c>
      <c r="J1" s="5" t="s">
        <v>5</v>
      </c>
      <c r="K1" s="5" t="s">
        <v>8</v>
      </c>
      <c r="L1" s="5" t="s">
        <v>6</v>
      </c>
      <c r="M1" s="5" t="s">
        <v>7</v>
      </c>
      <c r="N1" s="5" t="s">
        <v>1</v>
      </c>
    </row>
    <row r="2" spans="1:14" s="3" customFormat="1" x14ac:dyDescent="0.25">
      <c r="A2" s="3">
        <v>1</v>
      </c>
      <c r="B2" s="3">
        <v>51</v>
      </c>
      <c r="C2" s="4">
        <v>45761</v>
      </c>
      <c r="D2" s="3">
        <v>4</v>
      </c>
      <c r="E2" s="4">
        <v>45962</v>
      </c>
      <c r="F2" s="3" t="s">
        <v>16</v>
      </c>
      <c r="G2" s="8" t="s">
        <v>19</v>
      </c>
      <c r="H2" s="3" t="s">
        <v>20</v>
      </c>
      <c r="I2" s="3">
        <v>28</v>
      </c>
      <c r="J2" s="3" t="s">
        <v>21</v>
      </c>
      <c r="K2" s="6">
        <v>235.71</v>
      </c>
      <c r="L2" s="6">
        <f>K2*1.8</f>
        <v>424.27800000000002</v>
      </c>
      <c r="M2" s="6">
        <f>K2/10</f>
        <v>23.571000000000002</v>
      </c>
      <c r="N2" s="3" t="s">
        <v>10</v>
      </c>
    </row>
    <row r="3" spans="1:14" s="3" customFormat="1" x14ac:dyDescent="0.25">
      <c r="A3" s="3">
        <v>2</v>
      </c>
      <c r="B3" s="3">
        <v>51</v>
      </c>
      <c r="C3" s="4">
        <v>45761</v>
      </c>
      <c r="D3" s="3">
        <v>5</v>
      </c>
      <c r="E3" s="4">
        <v>46004</v>
      </c>
      <c r="F3" s="3" t="s">
        <v>12</v>
      </c>
      <c r="G3" s="3" t="s">
        <v>24</v>
      </c>
      <c r="H3" s="3" t="s">
        <v>23</v>
      </c>
      <c r="I3" s="3">
        <v>28</v>
      </c>
      <c r="J3" s="1" t="s">
        <v>22</v>
      </c>
      <c r="K3" s="6">
        <f>4800/28</f>
        <v>171.42857142857142</v>
      </c>
      <c r="L3" s="6">
        <f>K3*1.8</f>
        <v>308.57142857142856</v>
      </c>
      <c r="M3" s="6">
        <f>K3/10</f>
        <v>17.142857142857142</v>
      </c>
      <c r="N3" s="3" t="s">
        <v>10</v>
      </c>
    </row>
    <row r="4" spans="1:14" ht="30" x14ac:dyDescent="0.25">
      <c r="A4" s="3">
        <v>3</v>
      </c>
      <c r="B4" s="3">
        <v>31</v>
      </c>
      <c r="C4" s="4">
        <v>45693</v>
      </c>
      <c r="D4" s="3">
        <v>17</v>
      </c>
      <c r="E4" s="4">
        <v>45992</v>
      </c>
      <c r="F4" s="3" t="s">
        <v>17</v>
      </c>
      <c r="G4" s="3" t="s">
        <v>25</v>
      </c>
      <c r="H4" s="3" t="s">
        <v>27</v>
      </c>
      <c r="I4" s="3">
        <v>28</v>
      </c>
      <c r="J4" s="3" t="s">
        <v>29</v>
      </c>
      <c r="K4" s="6">
        <f>2200/28</f>
        <v>78.571428571428569</v>
      </c>
      <c r="L4" s="6">
        <f>K4*1.8</f>
        <v>141.42857142857142</v>
      </c>
      <c r="M4" s="6">
        <f>K4/10</f>
        <v>7.8571428571428568</v>
      </c>
      <c r="N4" s="3"/>
    </row>
    <row r="5" spans="1:14" x14ac:dyDescent="0.25">
      <c r="A5" s="3">
        <v>4</v>
      </c>
      <c r="B5" s="3">
        <v>31</v>
      </c>
      <c r="C5" s="1">
        <v>45693</v>
      </c>
      <c r="D5" s="3">
        <v>17</v>
      </c>
      <c r="E5" s="4">
        <v>45992</v>
      </c>
      <c r="F5" s="3" t="s">
        <v>18</v>
      </c>
      <c r="G5" t="s">
        <v>26</v>
      </c>
      <c r="H5" s="3" t="s">
        <v>28</v>
      </c>
      <c r="I5" s="3">
        <v>28</v>
      </c>
      <c r="J5" s="3" t="s">
        <v>30</v>
      </c>
      <c r="K5" s="6">
        <f>2700/28</f>
        <v>96.428571428571431</v>
      </c>
      <c r="L5" s="6">
        <f>K5*1.8</f>
        <v>173.57142857142858</v>
      </c>
      <c r="M5" s="6">
        <f>K5/10</f>
        <v>9.6428571428571423</v>
      </c>
    </row>
    <row r="6" spans="1:14" x14ac:dyDescent="0.25">
      <c r="F6" s="3"/>
    </row>
    <row r="7" spans="1:14" x14ac:dyDescent="0.25">
      <c r="K7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Word">
                <anchor moveWithCells="1" sizeWithCells="1">
                  <from>
                    <xdr:col>14</xdr:col>
                    <xdr:colOff>161925</xdr:colOff>
                    <xdr:row>0</xdr:row>
                    <xdr:rowOff>38100</xdr:rowOff>
                  </from>
                  <to>
                    <xdr:col>15</xdr:col>
                    <xdr:colOff>361950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AE06A-0769-4BED-BC32-559AB955A62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5BEE0-E6B7-4957-869F-33DD5285BE6E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addendums</vt:lpstr>
      <vt:lpstr>Sheet2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Elvin Bashirli</cp:lastModifiedBy>
  <dcterms:created xsi:type="dcterms:W3CDTF">2015-06-05T18:17:20Z</dcterms:created>
  <dcterms:modified xsi:type="dcterms:W3CDTF">2026-01-13T07:21:40Z</dcterms:modified>
</cp:coreProperties>
</file>